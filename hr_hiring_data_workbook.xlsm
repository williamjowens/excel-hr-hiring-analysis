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2.xml" ContentType="application/vnd.openxmlformats-officedocument.spreadsheetml.pivotTab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2.xml" ContentType="application/vnd.openxmlformats-officedocument.drawing+xml"/>
  <Override PartName="/xl/tables/table3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4.xml" ContentType="application/vnd.openxmlformats-officedocument.spreadsheetml.table+xml"/>
  <Override PartName="/xl/pivotTables/pivotTable15.xml" ContentType="application/vnd.openxmlformats-officedocument.spreadsheetml.pivotTable+xml"/>
  <Override PartName="/xl/drawings/drawing13.xml" ContentType="application/vnd.openxmlformats-officedocument.drawing+xml"/>
  <Override PartName="/xl/tables/table5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5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williamjowens/Desktop/excel-hr-hiring-analysis/"/>
    </mc:Choice>
  </mc:AlternateContent>
  <xr:revisionPtr revIDLastSave="0" documentId="13_ncr:1_{27C85325-5EFE-094B-95D3-2B3130DDFE9D}" xr6:coauthVersionLast="47" xr6:coauthVersionMax="47" xr10:uidLastSave="{00000000-0000-0000-0000-000000000000}"/>
  <bookViews>
    <workbookView xWindow="10220" yWindow="-21100" windowWidth="28800" windowHeight="17500" xr2:uid="{C94B7A1F-76B5-C444-9AE7-431904443BC0}"/>
  </bookViews>
  <sheets>
    <sheet name="hr_hiring_data_original" sheetId="1" r:id="rId1"/>
    <sheet name="Hires by Dept" sheetId="2" r:id="rId2"/>
    <sheet name="Declinations by Dept" sheetId="3" r:id="rId3"/>
    <sheet name="Rescinded by Dept" sheetId="6" r:id="rId4"/>
    <sheet name="Transfers by Dept" sheetId="7" r:id="rId5"/>
    <sheet name="Promos by Dept" sheetId="4" r:id="rId6"/>
    <sheet name="Dept Analysis Table" sheetId="5" r:id="rId7"/>
    <sheet name="Hires by Classification" sheetId="8" r:id="rId8"/>
    <sheet name="Declinations by Classification" sheetId="9" r:id="rId9"/>
    <sheet name="Rescinded by Classification" sheetId="10" r:id="rId10"/>
    <sheet name="Transfers by Classification" sheetId="11" r:id="rId11"/>
    <sheet name="Promos by Classification" sheetId="12" r:id="rId12"/>
    <sheet name="Classification Analysis Table" sheetId="13" r:id="rId13"/>
    <sheet name="Hires Only Table" sheetId="14" r:id="rId14"/>
    <sheet name="Hires by Month" sheetId="15" r:id="rId15"/>
    <sheet name="ETS Forecast" sheetId="23" r:id="rId16"/>
    <sheet name="Forecast Evaluation 1" sheetId="24" r:id="rId17"/>
    <sheet name="Poisson Regression" sheetId="16" r:id="rId18"/>
    <sheet name="Forecast Evaluation 2" sheetId="22" r:id="rId19"/>
    <sheet name="Negative Binomial Regression" sheetId="25" r:id="rId20"/>
    <sheet name="Forecast Evaluation 3" sheetId="26" r:id="rId21"/>
    <sheet name="Metrics Comparison" sheetId="29" r:id="rId22"/>
    <sheet name="NB Forecasts" sheetId="28" r:id="rId23"/>
    <sheet name="Future Forecasts" sheetId="27" r:id="rId24"/>
  </sheets>
  <definedNames>
    <definedName name="_xleta.PI" hidden="1" xlm="1">#NAME?</definedName>
  </definedNames>
  <calcPr calcId="191029"/>
  <pivotCaches>
    <pivotCache cacheId="4" r:id="rId25"/>
    <pivotCache cacheId="5" r:id="rId26"/>
    <pivotCache cacheId="6" r:id="rId27"/>
    <pivotCache cacheId="7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9" l="1"/>
  <c r="E3" i="29"/>
  <c r="E2" i="29"/>
  <c r="D4" i="29"/>
  <c r="C4" i="29"/>
  <c r="B4" i="29"/>
  <c r="D3" i="29"/>
  <c r="C3" i="29"/>
  <c r="B3" i="29"/>
  <c r="D2" i="29"/>
  <c r="C2" i="29"/>
  <c r="B2" i="29"/>
  <c r="H19" i="25"/>
  <c r="H20" i="25"/>
  <c r="H21" i="25"/>
  <c r="G19" i="25"/>
  <c r="G20" i="25"/>
  <c r="G21" i="25"/>
  <c r="F3" i="27"/>
  <c r="F4" i="27"/>
  <c r="F5" i="27"/>
  <c r="F2" i="27"/>
  <c r="H22" i="28"/>
  <c r="H23" i="28"/>
  <c r="H24" i="28"/>
  <c r="H25" i="28"/>
  <c r="G22" i="28"/>
  <c r="G23" i="28"/>
  <c r="G24" i="28"/>
  <c r="G25" i="28"/>
  <c r="XFD1048550" i="28" a="1"/>
  <c r="XFD1048550" i="28" s="1"/>
  <c r="XFD1048551" i="28" a="1"/>
  <c r="XFD1048551" i="28"/>
  <c r="XFD1048552" i="28" a="1"/>
  <c r="XFD1048552" i="28"/>
  <c r="XFD1048553" i="28" a="1"/>
  <c r="XFD1048553" i="28"/>
  <c r="XFD1048554" i="28" a="1"/>
  <c r="XFD1048554" i="28" s="1"/>
  <c r="XFD1048555" i="28" a="1"/>
  <c r="XFD1048555" i="28"/>
  <c r="XFD1048556" i="28" a="1"/>
  <c r="XFD1048556" i="28"/>
  <c r="XFD1048557" i="28" a="1"/>
  <c r="XFD1048557" i="28"/>
  <c r="XFD1048558" i="28" a="1"/>
  <c r="XFD1048558" i="28" s="1"/>
  <c r="XFD1048559" i="28" a="1"/>
  <c r="XFD1048559" i="28"/>
  <c r="XFD1048560" i="28" a="1"/>
  <c r="XFD1048560" i="28"/>
  <c r="XFD1048561" i="28" a="1"/>
  <c r="XFD1048561" i="28"/>
  <c r="XFD1048562" i="28" a="1"/>
  <c r="XFD1048562" i="28" s="1"/>
  <c r="XFD1048563" i="28" a="1"/>
  <c r="XFD1048563" i="28"/>
  <c r="XFD1048564" i="28" a="1"/>
  <c r="XFD1048564" i="28"/>
  <c r="XFD1048565" i="28" a="1"/>
  <c r="XFD1048565" i="28"/>
  <c r="XFD1048566" i="28" a="1"/>
  <c r="XFD1048566" i="28" s="1"/>
  <c r="XFD1048567" i="28" a="1"/>
  <c r="XFD1048567" i="28"/>
  <c r="XFD1048568" i="28" a="1"/>
  <c r="XFD1048568" i="28"/>
  <c r="XFD1048569" i="28" a="1"/>
  <c r="XFD1048569" i="28"/>
  <c r="XFD1048570" i="28" a="1"/>
  <c r="XFD1048570" i="28" s="1"/>
  <c r="XFD1048571" i="28" a="1"/>
  <c r="XFD1048571" i="28"/>
  <c r="XFD1048572" i="28" a="1"/>
  <c r="XFD1048572" i="28"/>
  <c r="XFD1048573" i="28" a="1"/>
  <c r="XFD1048573" i="28"/>
  <c r="XFD1048574" i="28" a="1"/>
  <c r="XFD1048574" i="28" s="1"/>
  <c r="XFD1048575" i="28" a="1"/>
  <c r="XFD1048575" i="28"/>
  <c r="D22" i="28"/>
  <c r="D23" i="28"/>
  <c r="D24" i="28"/>
  <c r="D25" i="28"/>
  <c r="E25" i="28" s="1"/>
  <c r="E22" i="28"/>
  <c r="E23" i="28"/>
  <c r="E24" i="28"/>
  <c r="F22" i="28"/>
  <c r="F23" i="28"/>
  <c r="F24" i="28"/>
  <c r="F25" i="28"/>
  <c r="D21" i="28"/>
  <c r="D20" i="28"/>
  <c r="F19" i="28"/>
  <c r="D19" i="28"/>
  <c r="E19" i="28" s="1"/>
  <c r="F18" i="28"/>
  <c r="D18" i="28"/>
  <c r="D17" i="28"/>
  <c r="F16" i="28"/>
  <c r="E16" i="28"/>
  <c r="D16" i="28"/>
  <c r="G16" i="28" s="1"/>
  <c r="H16" i="28" s="1"/>
  <c r="F15" i="28"/>
  <c r="E15" i="28"/>
  <c r="D15" i="28"/>
  <c r="G15" i="28" s="1"/>
  <c r="H15" i="28" s="1"/>
  <c r="D14" i="28"/>
  <c r="F14" i="28" s="1"/>
  <c r="D13" i="28"/>
  <c r="F13" i="28" s="1"/>
  <c r="D12" i="28"/>
  <c r="F11" i="28"/>
  <c r="D11" i="28"/>
  <c r="E11" i="28" s="1"/>
  <c r="G11" i="28" s="1"/>
  <c r="H11" i="28" s="1"/>
  <c r="F10" i="28"/>
  <c r="D10" i="28"/>
  <c r="E10" i="28" s="1"/>
  <c r="G10" i="28" s="1"/>
  <c r="H10" i="28" s="1"/>
  <c r="D9" i="28"/>
  <c r="F8" i="28"/>
  <c r="D8" i="28"/>
  <c r="E8" i="28" s="1"/>
  <c r="G8" i="28" s="1"/>
  <c r="H8" i="28" s="1"/>
  <c r="F7" i="28"/>
  <c r="D7" i="28"/>
  <c r="E7" i="28" s="1"/>
  <c r="G7" i="28" s="1"/>
  <c r="H7" i="28" s="1"/>
  <c r="D6" i="28"/>
  <c r="F5" i="28"/>
  <c r="E5" i="28"/>
  <c r="G5" i="28" s="1"/>
  <c r="H5" i="28" s="1"/>
  <c r="D5" i="28"/>
  <c r="F4" i="28"/>
  <c r="E4" i="28"/>
  <c r="D4" i="28"/>
  <c r="G4" i="28" s="1"/>
  <c r="H4" i="28" s="1"/>
  <c r="D3" i="28"/>
  <c r="F3" i="28" s="1"/>
  <c r="D2" i="28"/>
  <c r="B11" i="24"/>
  <c r="D3" i="24"/>
  <c r="D4" i="24"/>
  <c r="D2" i="24"/>
  <c r="B11" i="22"/>
  <c r="D3" i="22"/>
  <c r="D4" i="22"/>
  <c r="D2" i="22"/>
  <c r="XFD1048550" i="23" a="1"/>
  <c r="XFD1048550" i="23" s="1"/>
  <c r="XFD1048551" i="23" a="1"/>
  <c r="XFD1048551" i="23" s="1"/>
  <c r="XFD1048552" i="23" a="1"/>
  <c r="XFD1048552" i="23" s="1"/>
  <c r="XFD1048553" i="23" a="1"/>
  <c r="XFD1048553" i="23"/>
  <c r="XFD1048554" i="23" a="1"/>
  <c r="XFD1048554" i="23" s="1"/>
  <c r="XFD1048555" i="23" a="1"/>
  <c r="XFD1048555" i="23" s="1"/>
  <c r="XFD1048556" i="23" a="1"/>
  <c r="XFD1048556" i="23" s="1"/>
  <c r="XFD1048557" i="23" a="1"/>
  <c r="XFD1048557" i="23" s="1"/>
  <c r="XFD1048558" i="23" a="1"/>
  <c r="XFD1048558" i="23"/>
  <c r="XFD1048559" i="23" a="1"/>
  <c r="XFD1048559" i="23" s="1"/>
  <c r="XFD1048560" i="23" a="1"/>
  <c r="XFD1048560" i="23" s="1"/>
  <c r="XFD1048561" i="23" a="1"/>
  <c r="XFD1048561" i="23" s="1"/>
  <c r="XFD1048562" i="23" a="1"/>
  <c r="XFD1048562" i="23" s="1"/>
  <c r="XFD1048563" i="23" a="1"/>
  <c r="XFD1048563" i="23" s="1"/>
  <c r="XFD1048564" i="23" a="1"/>
  <c r="XFD1048564" i="23" s="1"/>
  <c r="XFD1048565" i="23" a="1"/>
  <c r="XFD1048565" i="23" s="1"/>
  <c r="XFD1048566" i="23" a="1"/>
  <c r="XFD1048566" i="23" s="1"/>
  <c r="XFD1048567" i="23" a="1"/>
  <c r="XFD1048567" i="23" s="1"/>
  <c r="XFD1048568" i="23" a="1"/>
  <c r="XFD1048568" i="23" s="1"/>
  <c r="XFD1048569" i="23" a="1"/>
  <c r="XFD1048569" i="23"/>
  <c r="XFD1048570" i="23" a="1"/>
  <c r="XFD1048570" i="23" s="1"/>
  <c r="XFD1048571" i="23" a="1"/>
  <c r="XFD1048571" i="23" s="1"/>
  <c r="XFD1048572" i="23" a="1"/>
  <c r="XFD1048572" i="23" s="1"/>
  <c r="XFD1048573" i="23" a="1"/>
  <c r="XFD1048573" i="23" s="1"/>
  <c r="XFD1048574" i="23" a="1"/>
  <c r="XFD1048574" i="23"/>
  <c r="XFD1048575" i="23" a="1"/>
  <c r="XFD1048575" i="23" s="1"/>
  <c r="XFD1048550" i="25" a="1"/>
  <c r="XFD1048550" i="25"/>
  <c r="XFD1048551" i="25" a="1"/>
  <c r="XFD1048551" i="25" s="1"/>
  <c r="XFD1048552" i="25" a="1"/>
  <c r="XFD1048552" i="25" s="1"/>
  <c r="XFD1048553" i="25" a="1"/>
  <c r="XFD1048553" i="25"/>
  <c r="XFD1048554" i="25" a="1"/>
  <c r="XFD1048554" i="25"/>
  <c r="XFD1048555" i="25" a="1"/>
  <c r="XFD1048555" i="25" s="1"/>
  <c r="XFD1048556" i="25" a="1"/>
  <c r="XFD1048556" i="25" s="1"/>
  <c r="XFD1048557" i="25" a="1"/>
  <c r="XFD1048557" i="25" s="1"/>
  <c r="XFD1048558" i="25" a="1"/>
  <c r="XFD1048558" i="25"/>
  <c r="XFD1048559" i="25" a="1"/>
  <c r="XFD1048559" i="25" s="1"/>
  <c r="XFD1048560" i="25" a="1"/>
  <c r="XFD1048560" i="25" s="1"/>
  <c r="XFD1048561" i="25" a="1"/>
  <c r="XFD1048561" i="25" s="1"/>
  <c r="XFD1048562" i="25" a="1"/>
  <c r="XFD1048562" i="25"/>
  <c r="XFD1048563" i="25" a="1"/>
  <c r="XFD1048563" i="25"/>
  <c r="XFD1048564" i="25" a="1"/>
  <c r="XFD1048564" i="25" s="1"/>
  <c r="XFD1048565" i="25" a="1"/>
  <c r="XFD1048565" i="25" s="1"/>
  <c r="XFD1048566" i="25" a="1"/>
  <c r="XFD1048566" i="25" s="1"/>
  <c r="XFD1048567" i="25" a="1"/>
  <c r="XFD1048567" i="25"/>
  <c r="XFD1048568" i="25" a="1"/>
  <c r="XFD1048568" i="25" s="1"/>
  <c r="XFD1048569" i="25" a="1"/>
  <c r="XFD1048569" i="25" s="1"/>
  <c r="XFD1048570" i="25" a="1"/>
  <c r="XFD1048570" i="25" s="1"/>
  <c r="XFD1048571" i="25" a="1"/>
  <c r="XFD1048571" i="25"/>
  <c r="XFD1048572" i="25" a="1"/>
  <c r="XFD1048572" i="25" s="1"/>
  <c r="XFD1048573" i="25" a="1"/>
  <c r="XFD1048573" i="25" s="1"/>
  <c r="XFD1048574" i="25" a="1"/>
  <c r="XFD1048574" i="25" s="1"/>
  <c r="XFD1048575" i="25" a="1"/>
  <c r="XFD1048575" i="25" s="1"/>
  <c r="A4" i="26"/>
  <c r="A3" i="26"/>
  <c r="A2" i="26"/>
  <c r="G3" i="16"/>
  <c r="G4" i="16"/>
  <c r="G5" i="16"/>
  <c r="G6" i="16"/>
  <c r="G7" i="16"/>
  <c r="H7" i="16" s="1"/>
  <c r="G8" i="16"/>
  <c r="H8" i="16" s="1"/>
  <c r="G9" i="16"/>
  <c r="H9" i="16" s="1"/>
  <c r="G10" i="16"/>
  <c r="H10" i="16" s="1"/>
  <c r="G11" i="16"/>
  <c r="G12" i="16"/>
  <c r="G13" i="16"/>
  <c r="G14" i="16"/>
  <c r="G15" i="16"/>
  <c r="H15" i="16" s="1"/>
  <c r="G16" i="16"/>
  <c r="H16" i="16" s="1"/>
  <c r="G17" i="16"/>
  <c r="H17" i="16" s="1"/>
  <c r="G18" i="16"/>
  <c r="G19" i="16"/>
  <c r="G20" i="16"/>
  <c r="G21" i="16"/>
  <c r="G18" i="25"/>
  <c r="H18" i="25" s="1"/>
  <c r="E21" i="25"/>
  <c r="D21" i="25"/>
  <c r="F21" i="25" s="1"/>
  <c r="F20" i="25"/>
  <c r="D20" i="25"/>
  <c r="E20" i="25" s="1"/>
  <c r="F19" i="25"/>
  <c r="E19" i="25"/>
  <c r="D19" i="25"/>
  <c r="D18" i="25"/>
  <c r="E17" i="25"/>
  <c r="D17" i="25"/>
  <c r="F17" i="25" s="1"/>
  <c r="F16" i="25"/>
  <c r="D16" i="25"/>
  <c r="E16" i="25" s="1"/>
  <c r="G15" i="25"/>
  <c r="H15" i="25" s="1"/>
  <c r="F15" i="25"/>
  <c r="E15" i="25"/>
  <c r="D15" i="25"/>
  <c r="D14" i="25"/>
  <c r="E13" i="25"/>
  <c r="D13" i="25"/>
  <c r="F13" i="25" s="1"/>
  <c r="F12" i="25"/>
  <c r="D12" i="25"/>
  <c r="G11" i="25"/>
  <c r="H11" i="25" s="1"/>
  <c r="F11" i="25"/>
  <c r="E11" i="25"/>
  <c r="D11" i="25"/>
  <c r="D10" i="25"/>
  <c r="E9" i="25"/>
  <c r="D9" i="25"/>
  <c r="F9" i="25" s="1"/>
  <c r="G8" i="25"/>
  <c r="H8" i="25" s="1"/>
  <c r="F8" i="25"/>
  <c r="E8" i="25"/>
  <c r="D8" i="25"/>
  <c r="F7" i="25"/>
  <c r="D7" i="25"/>
  <c r="E6" i="25"/>
  <c r="D6" i="25"/>
  <c r="F6" i="25" s="1"/>
  <c r="F5" i="25"/>
  <c r="D5" i="25"/>
  <c r="E5" i="25" s="1"/>
  <c r="F4" i="25"/>
  <c r="E4" i="25"/>
  <c r="G4" i="25" s="1"/>
  <c r="H4" i="25" s="1"/>
  <c r="D4" i="25"/>
  <c r="D3" i="25"/>
  <c r="E2" i="25"/>
  <c r="D2" i="25"/>
  <c r="F2" i="25" s="1"/>
  <c r="G2" i="25" s="1"/>
  <c r="H2" i="25" s="1"/>
  <c r="B3" i="24"/>
  <c r="B4" i="24"/>
  <c r="C4" i="24" s="1"/>
  <c r="E4" i="24" s="1"/>
  <c r="B2" i="24"/>
  <c r="C2" i="24" s="1"/>
  <c r="A4" i="24"/>
  <c r="C3" i="24"/>
  <c r="E3" i="24" s="1"/>
  <c r="A3" i="24"/>
  <c r="A2" i="24"/>
  <c r="A3" i="22"/>
  <c r="A4" i="22"/>
  <c r="A2" i="22"/>
  <c r="XFD1048550" i="16" a="1"/>
  <c r="XFD1048550" i="16" s="1"/>
  <c r="XFD1048551" i="16" a="1"/>
  <c r="XFD1048551" i="16" s="1"/>
  <c r="XFD1048552" i="16" a="1"/>
  <c r="XFD1048552" i="16" s="1"/>
  <c r="XFD1048553" i="16" a="1"/>
  <c r="XFD1048553" i="16" s="1"/>
  <c r="XFD1048554" i="16" a="1"/>
  <c r="XFD1048554" i="16" s="1"/>
  <c r="XFD1048555" i="16" a="1"/>
  <c r="XFD1048555" i="16" s="1"/>
  <c r="XFD1048556" i="16" a="1"/>
  <c r="XFD1048556" i="16" s="1"/>
  <c r="XFD1048557" i="16" a="1"/>
  <c r="XFD1048557" i="16"/>
  <c r="XFD1048558" i="16" a="1"/>
  <c r="XFD1048558" i="16" s="1"/>
  <c r="XFD1048559" i="16" a="1"/>
  <c r="XFD1048559" i="16" s="1"/>
  <c r="XFD1048560" i="16" a="1"/>
  <c r="XFD1048560" i="16" s="1"/>
  <c r="XFD1048561" i="16" a="1"/>
  <c r="XFD1048561" i="16" s="1"/>
  <c r="XFD1048562" i="16" a="1"/>
  <c r="XFD1048562" i="16" s="1"/>
  <c r="XFD1048563" i="16" a="1"/>
  <c r="XFD1048563" i="16" s="1"/>
  <c r="XFD1048564" i="16" a="1"/>
  <c r="XFD1048564" i="16" s="1"/>
  <c r="XFD1048565" i="16" a="1"/>
  <c r="XFD1048565" i="16"/>
  <c r="XFD1048566" i="16" a="1"/>
  <c r="XFD1048566" i="16" s="1"/>
  <c r="XFD1048567" i="16" a="1"/>
  <c r="XFD1048567" i="16" s="1"/>
  <c r="XFD1048568" i="16" a="1"/>
  <c r="XFD1048568" i="16" s="1"/>
  <c r="XFD1048569" i="16" a="1"/>
  <c r="XFD1048569" i="16" s="1"/>
  <c r="XFD1048570" i="16" a="1"/>
  <c r="XFD1048570" i="16" s="1"/>
  <c r="XFD1048571" i="16" a="1"/>
  <c r="XFD1048571" i="16" s="1"/>
  <c r="XFD1048572" i="16" a="1"/>
  <c r="XFD1048572" i="16" s="1"/>
  <c r="XFD1048573" i="16" a="1"/>
  <c r="XFD1048573" i="16" s="1"/>
  <c r="XFD1048574" i="16" a="1"/>
  <c r="XFD1048574" i="16" s="1"/>
  <c r="XFD1048575" i="16" a="1"/>
  <c r="XFD1048575" i="16" s="1"/>
  <c r="H21" i="16"/>
  <c r="H20" i="16"/>
  <c r="H19" i="16"/>
  <c r="H4" i="16"/>
  <c r="H5" i="16"/>
  <c r="H6" i="16"/>
  <c r="H11" i="16"/>
  <c r="H12" i="16"/>
  <c r="H13" i="16"/>
  <c r="H14" i="16"/>
  <c r="H18" i="16"/>
  <c r="H3" i="16"/>
  <c r="G2" i="16"/>
  <c r="H2" i="16" s="1"/>
  <c r="D3" i="16"/>
  <c r="D4" i="16"/>
  <c r="E4" i="16" s="1"/>
  <c r="D5" i="16"/>
  <c r="D6" i="16"/>
  <c r="F6" i="16" s="1"/>
  <c r="D7" i="16"/>
  <c r="F7" i="16" s="1"/>
  <c r="D8" i="16"/>
  <c r="E8" i="16" s="1"/>
  <c r="D9" i="16"/>
  <c r="F9" i="16" s="1"/>
  <c r="D10" i="16"/>
  <c r="D11" i="16"/>
  <c r="D12" i="16"/>
  <c r="E12" i="16" s="1"/>
  <c r="D13" i="16"/>
  <c r="E13" i="16" s="1"/>
  <c r="D14" i="16"/>
  <c r="F14" i="16" s="1"/>
  <c r="D15" i="16"/>
  <c r="F15" i="16" s="1"/>
  <c r="D16" i="16"/>
  <c r="F16" i="16" s="1"/>
  <c r="D17" i="16"/>
  <c r="F17" i="16" s="1"/>
  <c r="D18" i="16"/>
  <c r="D19" i="16"/>
  <c r="F19" i="16" s="1"/>
  <c r="D20" i="16"/>
  <c r="E20" i="16" s="1"/>
  <c r="D21" i="16"/>
  <c r="F21" i="16" s="1"/>
  <c r="D2" i="16"/>
  <c r="F2" i="16" s="1"/>
  <c r="E19" i="16"/>
  <c r="F18" i="16"/>
  <c r="E18" i="16"/>
  <c r="E17" i="16"/>
  <c r="F11" i="16"/>
  <c r="E11" i="16"/>
  <c r="F10" i="16"/>
  <c r="E10" i="16"/>
  <c r="F3" i="16"/>
  <c r="E3" i="16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2" i="13"/>
  <c r="I3" i="5"/>
  <c r="I4" i="5"/>
  <c r="I5" i="5"/>
  <c r="I6" i="5"/>
  <c r="I7" i="5"/>
  <c r="I8" i="5"/>
  <c r="I9" i="5"/>
  <c r="I10" i="5"/>
  <c r="I11" i="5"/>
  <c r="I2" i="5"/>
  <c r="H3" i="5"/>
  <c r="H4" i="5"/>
  <c r="H5" i="5"/>
  <c r="H6" i="5"/>
  <c r="H7" i="5"/>
  <c r="H8" i="5"/>
  <c r="H9" i="5"/>
  <c r="H10" i="5"/>
  <c r="H11" i="5"/>
  <c r="H2" i="5"/>
  <c r="G3" i="5"/>
  <c r="G4" i="5"/>
  <c r="G5" i="5"/>
  <c r="G6" i="5"/>
  <c r="G7" i="5"/>
  <c r="G8" i="5"/>
  <c r="G9" i="5"/>
  <c r="G10" i="5"/>
  <c r="G11" i="5"/>
  <c r="G2" i="5"/>
  <c r="E3" i="5"/>
  <c r="E4" i="5"/>
  <c r="E5" i="5"/>
  <c r="E6" i="5"/>
  <c r="E7" i="5"/>
  <c r="E8" i="5"/>
  <c r="E9" i="5"/>
  <c r="E10" i="5"/>
  <c r="E11" i="5"/>
  <c r="E2" i="5"/>
  <c r="D3" i="5"/>
  <c r="D4" i="5"/>
  <c r="D5" i="5"/>
  <c r="D6" i="5"/>
  <c r="D7" i="5"/>
  <c r="D8" i="5"/>
  <c r="D9" i="5"/>
  <c r="D10" i="5"/>
  <c r="D11" i="5"/>
  <c r="D2" i="5"/>
  <c r="F3" i="5"/>
  <c r="F4" i="5"/>
  <c r="F5" i="5"/>
  <c r="F6" i="5"/>
  <c r="F7" i="5"/>
  <c r="F8" i="5"/>
  <c r="F9" i="5"/>
  <c r="F10" i="5"/>
  <c r="F11" i="5"/>
  <c r="F2" i="5"/>
  <c r="C3" i="5"/>
  <c r="C4" i="5"/>
  <c r="C5" i="5"/>
  <c r="C6" i="5"/>
  <c r="C7" i="5"/>
  <c r="C8" i="5"/>
  <c r="C9" i="5"/>
  <c r="C10" i="5"/>
  <c r="C11" i="5"/>
  <c r="C2" i="5"/>
  <c r="B3" i="5"/>
  <c r="B4" i="5"/>
  <c r="B5" i="5"/>
  <c r="B6" i="5"/>
  <c r="B7" i="5"/>
  <c r="B8" i="5"/>
  <c r="B9" i="5"/>
  <c r="B10" i="5"/>
  <c r="B11" i="5"/>
  <c r="B2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" i="1"/>
  <c r="D20" i="23"/>
  <c r="D21" i="23"/>
  <c r="D19" i="23"/>
  <c r="E3" i="27"/>
  <c r="E4" i="27"/>
  <c r="E5" i="27"/>
  <c r="E2" i="27"/>
  <c r="G6" i="28" l="1"/>
  <c r="H6" i="28" s="1"/>
  <c r="G21" i="28"/>
  <c r="H21" i="28" s="1"/>
  <c r="E2" i="28"/>
  <c r="E13" i="28"/>
  <c r="G13" i="28" s="1"/>
  <c r="H13" i="28" s="1"/>
  <c r="G19" i="28"/>
  <c r="H19" i="28" s="1"/>
  <c r="E21" i="28"/>
  <c r="F2" i="28"/>
  <c r="G2" i="28" s="1"/>
  <c r="H2" i="28" s="1"/>
  <c r="E18" i="28"/>
  <c r="G18" i="28" s="1"/>
  <c r="H18" i="28" s="1"/>
  <c r="F21" i="28"/>
  <c r="E9" i="28"/>
  <c r="G9" i="28" s="1"/>
  <c r="H9" i="28" s="1"/>
  <c r="E12" i="28"/>
  <c r="G12" i="28" s="1"/>
  <c r="H12" i="28" s="1"/>
  <c r="E20" i="28"/>
  <c r="E6" i="28"/>
  <c r="F9" i="28"/>
  <c r="F12" i="28"/>
  <c r="E17" i="28"/>
  <c r="G17" i="28" s="1"/>
  <c r="H17" i="28" s="1"/>
  <c r="F20" i="28"/>
  <c r="G20" i="28" s="1"/>
  <c r="H20" i="28" s="1"/>
  <c r="E3" i="28"/>
  <c r="G3" i="28" s="1"/>
  <c r="H3" i="28" s="1"/>
  <c r="F6" i="28"/>
  <c r="E14" i="28"/>
  <c r="G14" i="28" s="1"/>
  <c r="H14" i="28" s="1"/>
  <c r="F17" i="28"/>
  <c r="F4" i="24"/>
  <c r="F3" i="24"/>
  <c r="B3" i="26"/>
  <c r="C3" i="26" s="1"/>
  <c r="B2" i="26"/>
  <c r="C2" i="26" s="1"/>
  <c r="B4" i="26"/>
  <c r="C4" i="26" s="1"/>
  <c r="F4" i="26"/>
  <c r="J8" i="16"/>
  <c r="G6" i="25"/>
  <c r="H6" i="25" s="1"/>
  <c r="G9" i="25"/>
  <c r="H9" i="25" s="1"/>
  <c r="G13" i="25"/>
  <c r="H13" i="25" s="1"/>
  <c r="G17" i="25"/>
  <c r="H17" i="25" s="1"/>
  <c r="G5" i="25"/>
  <c r="H5" i="25" s="1"/>
  <c r="E7" i="25"/>
  <c r="G7" i="25" s="1"/>
  <c r="H7" i="25" s="1"/>
  <c r="E10" i="25"/>
  <c r="G10" i="25" s="1"/>
  <c r="H10" i="25" s="1"/>
  <c r="G16" i="25"/>
  <c r="H16" i="25" s="1"/>
  <c r="E18" i="25"/>
  <c r="F10" i="25"/>
  <c r="F18" i="25"/>
  <c r="E12" i="25"/>
  <c r="G12" i="25" s="1"/>
  <c r="H12" i="25" s="1"/>
  <c r="E3" i="25"/>
  <c r="E14" i="25"/>
  <c r="G14" i="25" s="1"/>
  <c r="H14" i="25" s="1"/>
  <c r="F3" i="25"/>
  <c r="F14" i="25"/>
  <c r="B2" i="22"/>
  <c r="C2" i="22" s="1"/>
  <c r="F2" i="22" s="1"/>
  <c r="B4" i="22"/>
  <c r="C4" i="22" s="1"/>
  <c r="E4" i="22" s="1"/>
  <c r="B3" i="22"/>
  <c r="C3" i="22" s="1"/>
  <c r="E3" i="22" s="1"/>
  <c r="F2" i="24"/>
  <c r="B12" i="24" s="1"/>
  <c r="E2" i="24"/>
  <c r="B9" i="24" s="1"/>
  <c r="B10" i="24" s="1"/>
  <c r="E21" i="16"/>
  <c r="F13" i="16"/>
  <c r="F4" i="16"/>
  <c r="F8" i="16"/>
  <c r="E5" i="16"/>
  <c r="F5" i="16"/>
  <c r="F12" i="16"/>
  <c r="E6" i="16"/>
  <c r="F20" i="16"/>
  <c r="E2" i="16"/>
  <c r="E9" i="16"/>
  <c r="E14" i="16"/>
  <c r="E16" i="16"/>
  <c r="E7" i="16"/>
  <c r="E15" i="16"/>
  <c r="E4" i="26" l="1"/>
  <c r="D4" i="26"/>
  <c r="E3" i="26"/>
  <c r="D3" i="26"/>
  <c r="E2" i="26"/>
  <c r="D2" i="26"/>
  <c r="B11" i="26" s="1"/>
  <c r="J9" i="28"/>
  <c r="E2" i="22"/>
  <c r="B9" i="22" s="1"/>
  <c r="B10" i="22" s="1"/>
  <c r="G3" i="25"/>
  <c r="F2" i="26"/>
  <c r="F3" i="26"/>
  <c r="J9" i="25"/>
  <c r="H3" i="25"/>
  <c r="B9" i="26"/>
  <c r="B10" i="26" s="1"/>
  <c r="F3" i="22"/>
  <c r="F4" i="22"/>
  <c r="B12" i="26" l="1"/>
  <c r="B12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<sst xmlns="http://schemas.openxmlformats.org/spreadsheetml/2006/main" count="18178" uniqueCount="3976">
  <si>
    <t>Recruitment Number</t>
  </si>
  <si>
    <t>Position Number</t>
  </si>
  <si>
    <t>Classification</t>
  </si>
  <si>
    <t>Department</t>
  </si>
  <si>
    <t>Interview Date</t>
  </si>
  <si>
    <t>Selection</t>
  </si>
  <si>
    <t>Job Offer Date</t>
  </si>
  <si>
    <t>Effective Date</t>
  </si>
  <si>
    <t>Comments</t>
  </si>
  <si>
    <t>123-005-101-001</t>
  </si>
  <si>
    <t>Software Engineer</t>
  </si>
  <si>
    <t>Sales</t>
  </si>
  <si>
    <t>Melissa Miller</t>
  </si>
  <si>
    <t>declined</t>
  </si>
  <si>
    <t>123-005-101-002</t>
  </si>
  <si>
    <t>Jennifer Wilson</t>
  </si>
  <si>
    <t>transfer</t>
  </si>
  <si>
    <t>123-004-118-001</t>
  </si>
  <si>
    <t>Network Engineer</t>
  </si>
  <si>
    <t>Marketing</t>
  </si>
  <si>
    <t>Donna Moore</t>
  </si>
  <si>
    <t>123-004-118-002</t>
  </si>
  <si>
    <t>Margaret Perez</t>
  </si>
  <si>
    <t>123-004-118-003</t>
  </si>
  <si>
    <t>Edward Perez</t>
  </si>
  <si>
    <t>rescinded</t>
  </si>
  <si>
    <t>123-004-118-004</t>
  </si>
  <si>
    <t>Mia Thompson</t>
  </si>
  <si>
    <t>new to org</t>
  </si>
  <si>
    <t>123-004-118-005</t>
  </si>
  <si>
    <t>Jackson Harris</t>
  </si>
  <si>
    <t>123-004-119-001</t>
  </si>
  <si>
    <t>Account Manager</t>
  </si>
  <si>
    <t>cancelled</t>
  </si>
  <si>
    <t>123-005-125-001</t>
  </si>
  <si>
    <t>Security Analyst</t>
  </si>
  <si>
    <t>Matthew Moore</t>
  </si>
  <si>
    <t>123-006-106-001</t>
  </si>
  <si>
    <t>Marketing Coordinator</t>
  </si>
  <si>
    <t>Customer Service</t>
  </si>
  <si>
    <t>Sarah Hall</t>
  </si>
  <si>
    <t>123-006-106-002</t>
  </si>
  <si>
    <t>David Robinson</t>
  </si>
  <si>
    <t>promo</t>
  </si>
  <si>
    <t>123-006-106-003</t>
  </si>
  <si>
    <t>Amanda Lee</t>
  </si>
  <si>
    <t>123-006-126-001</t>
  </si>
  <si>
    <t>Recruiter</t>
  </si>
  <si>
    <t>Susan Collins</t>
  </si>
  <si>
    <t>123-006-126-002</t>
  </si>
  <si>
    <t>Olivia Collins</t>
  </si>
  <si>
    <t>123-006-126-003</t>
  </si>
  <si>
    <t>Melissa Scott</t>
  </si>
  <si>
    <t>123-006-126-004</t>
  </si>
  <si>
    <t>Lisa Anderson</t>
  </si>
  <si>
    <t>123-001-125-001</t>
  </si>
  <si>
    <t>Human Resources</t>
  </si>
  <si>
    <t>David Gomez</t>
  </si>
  <si>
    <t>123-007-113-001</t>
  </si>
  <si>
    <t>Operations Supervisor</t>
  </si>
  <si>
    <t>Information Technology</t>
  </si>
  <si>
    <t>Emily Parker</t>
  </si>
  <si>
    <t>123-007-113-002</t>
  </si>
  <si>
    <t>Olivia Wright</t>
  </si>
  <si>
    <t>123-007-113-003</t>
  </si>
  <si>
    <t>Charles Ramirez</t>
  </si>
  <si>
    <t>123-007-113-004</t>
  </si>
  <si>
    <t>Steven Carter</t>
  </si>
  <si>
    <t>123-007-113-005</t>
  </si>
  <si>
    <t>Kenneth Martin</t>
  </si>
  <si>
    <t>123-006-105-001</t>
  </si>
  <si>
    <t>Financial Analyst</t>
  </si>
  <si>
    <t>Joshua Lee</t>
  </si>
  <si>
    <t>123-006-105-002</t>
  </si>
  <si>
    <t>Jessica Brown</t>
  </si>
  <si>
    <t>123-008-103-001</t>
  </si>
  <si>
    <t>Project Manager</t>
  </si>
  <si>
    <t>Research and Development</t>
  </si>
  <si>
    <t>William Nelson</t>
  </si>
  <si>
    <t>123-010-117-001</t>
  </si>
  <si>
    <t>Quality Assurance</t>
  </si>
  <si>
    <t>Legal</t>
  </si>
  <si>
    <t>Dorothy Martin</t>
  </si>
  <si>
    <t>123-010-117-002</t>
  </si>
  <si>
    <t>Linda Thomas</t>
  </si>
  <si>
    <t>123-010-117-003</t>
  </si>
  <si>
    <t>Emily Anderson</t>
  </si>
  <si>
    <t>123-010-117-004</t>
  </si>
  <si>
    <t>Kenneth Brown</t>
  </si>
  <si>
    <t>123-006-128-001</t>
  </si>
  <si>
    <t>Payroll Specialist</t>
  </si>
  <si>
    <t>Kevin Young</t>
  </si>
  <si>
    <t>123-008-108-001</t>
  </si>
  <si>
    <t>Customer Support Rep</t>
  </si>
  <si>
    <t>Michael Nelson</t>
  </si>
  <si>
    <t>123-008-108-002</t>
  </si>
  <si>
    <t>Logan Campbell</t>
  </si>
  <si>
    <t>123-008-108-003</t>
  </si>
  <si>
    <t>Patricia Sanchez</t>
  </si>
  <si>
    <t>123-008-108-004</t>
  </si>
  <si>
    <t>Richard Gonzalez</t>
  </si>
  <si>
    <t>123-005-106-001</t>
  </si>
  <si>
    <t>Jackson Jones</t>
  </si>
  <si>
    <t>123-005-106-002</t>
  </si>
  <si>
    <t>Patricia Adams</t>
  </si>
  <si>
    <t>123-005-106-003</t>
  </si>
  <si>
    <t>David Clark</t>
  </si>
  <si>
    <t>123-005-106-004</t>
  </si>
  <si>
    <t>David Harris</t>
  </si>
  <si>
    <t>123-007-110-001</t>
  </si>
  <si>
    <t>Legal Advisor</t>
  </si>
  <si>
    <t>Elizabeth Gonzalez</t>
  </si>
  <si>
    <t>123-007-110-002</t>
  </si>
  <si>
    <t>Melissa Lee</t>
  </si>
  <si>
    <t>123-007-110-003</t>
  </si>
  <si>
    <t>Patricia Allen</t>
  </si>
  <si>
    <t>123-007-110-004</t>
  </si>
  <si>
    <t>John Baker</t>
  </si>
  <si>
    <t>123-007-110-005</t>
  </si>
  <si>
    <t>Olivia Torres</t>
  </si>
  <si>
    <t>123-002-120-001</t>
  </si>
  <si>
    <t>Executive Assistant</t>
  </si>
  <si>
    <t>Finance</t>
  </si>
  <si>
    <t>Jackson Taylor</t>
  </si>
  <si>
    <t>123-002-120-002</t>
  </si>
  <si>
    <t>Betty Rodriguez</t>
  </si>
  <si>
    <t>123-002-120-003</t>
  </si>
  <si>
    <t>James Robinson</t>
  </si>
  <si>
    <t>123-002-120-004</t>
  </si>
  <si>
    <t>Thomas Rodriguez</t>
  </si>
  <si>
    <t>123-004-129-001</t>
  </si>
  <si>
    <t>Supply Chain Manager</t>
  </si>
  <si>
    <t>Mark Turner</t>
  </si>
  <si>
    <t>123-004-129-002</t>
  </si>
  <si>
    <t>Kevin Evans</t>
  </si>
  <si>
    <t>123-004-129-003</t>
  </si>
  <si>
    <t>Olivia Rodriguez</t>
  </si>
  <si>
    <t>123-009-124-001</t>
  </si>
  <si>
    <t>Compliance Officer</t>
  </si>
  <si>
    <t>Operations</t>
  </si>
  <si>
    <t>Joshua Wilson</t>
  </si>
  <si>
    <t>123-009-124-002</t>
  </si>
  <si>
    <t>Steven Young</t>
  </si>
  <si>
    <t>123-007-103-001</t>
  </si>
  <si>
    <t>Brian Edwards</t>
  </si>
  <si>
    <t>123-007-103-002</t>
  </si>
  <si>
    <t>William Green</t>
  </si>
  <si>
    <t>123-007-103-003</t>
  </si>
  <si>
    <t>Emily Smith</t>
  </si>
  <si>
    <t>123-006-127-001</t>
  </si>
  <si>
    <t>Training Coordinator</t>
  </si>
  <si>
    <t>William Williams</t>
  </si>
  <si>
    <t>123-006-127-002</t>
  </si>
  <si>
    <t>Lucas Thompson</t>
  </si>
  <si>
    <t>123-006-127-003</t>
  </si>
  <si>
    <t>Deborah Scott</t>
  </si>
  <si>
    <t>123-006-127-004</t>
  </si>
  <si>
    <t>Jackson Thomas</t>
  </si>
  <si>
    <t>123-006-127-005</t>
  </si>
  <si>
    <t>Mary Lopez</t>
  </si>
  <si>
    <t>123-004-126-001</t>
  </si>
  <si>
    <t>Brian Miller</t>
  </si>
  <si>
    <t>123-004-126-002</t>
  </si>
  <si>
    <t>Isabella Gomez</t>
  </si>
  <si>
    <t>123-004-126-003</t>
  </si>
  <si>
    <t>Isabella Collins</t>
  </si>
  <si>
    <t>123-004-122-001</t>
  </si>
  <si>
    <t>DevOps Engineer</t>
  </si>
  <si>
    <t>Logan Jones</t>
  </si>
  <si>
    <t>123-004-122-002</t>
  </si>
  <si>
    <t>Amanda Turner</t>
  </si>
  <si>
    <t>123-004-122-003</t>
  </si>
  <si>
    <t>Barbara Nguyen</t>
  </si>
  <si>
    <t>123-004-122-004</t>
  </si>
  <si>
    <t>George Gomez</t>
  </si>
  <si>
    <t>123-007-104-001</t>
  </si>
  <si>
    <t>HR Specialist</t>
  </si>
  <si>
    <t>Robert Rivera</t>
  </si>
  <si>
    <t>123-007-104-002</t>
  </si>
  <si>
    <t>Lisa Ramirez</t>
  </si>
  <si>
    <t>123-007-104-003</t>
  </si>
  <si>
    <t>Kevin Diaz</t>
  </si>
  <si>
    <t>123-007-104-004</t>
  </si>
  <si>
    <t>Kevin Clark</t>
  </si>
  <si>
    <t>123-007-104-005</t>
  </si>
  <si>
    <t>William Gonzalez</t>
  </si>
  <si>
    <t>123-003-122-001</t>
  </si>
  <si>
    <t>Engineering</t>
  </si>
  <si>
    <t>Emily Turner</t>
  </si>
  <si>
    <t>123-003-122-002</t>
  </si>
  <si>
    <t>Sophia Nguyen</t>
  </si>
  <si>
    <t>123-003-122-003</t>
  </si>
  <si>
    <t>Steven Walker</t>
  </si>
  <si>
    <t>123-003-122-004</t>
  </si>
  <si>
    <t>Kevin Green</t>
  </si>
  <si>
    <t>123-003-122-005</t>
  </si>
  <si>
    <t>Amanda Martin</t>
  </si>
  <si>
    <t>123-001-101-001</t>
  </si>
  <si>
    <t>Sandra Clark</t>
  </si>
  <si>
    <t>123-001-101-002</t>
  </si>
  <si>
    <t>Jessica Martinez</t>
  </si>
  <si>
    <t>123-007-125-001</t>
  </si>
  <si>
    <t>Brian King</t>
  </si>
  <si>
    <t>123-007-125-002</t>
  </si>
  <si>
    <t>Sandra Rodriguez</t>
  </si>
  <si>
    <t>123-008-125-001</t>
  </si>
  <si>
    <t>Mason Collins</t>
  </si>
  <si>
    <t>123-008-125-002</t>
  </si>
  <si>
    <t>Mark Taylor</t>
  </si>
  <si>
    <t>123-008-125-003</t>
  </si>
  <si>
    <t>Deborah King</t>
  </si>
  <si>
    <t>123-008-125-004</t>
  </si>
  <si>
    <t>Mark Jones</t>
  </si>
  <si>
    <t>123-008-125-005</t>
  </si>
  <si>
    <t>Christopher Edwards</t>
  </si>
  <si>
    <t>123-007-108-001</t>
  </si>
  <si>
    <t>Anthony Clark</t>
  </si>
  <si>
    <t>123-007-108-002</t>
  </si>
  <si>
    <t>Mason Clark</t>
  </si>
  <si>
    <t>123-010-128-001</t>
  </si>
  <si>
    <t>Karen Carter</t>
  </si>
  <si>
    <t>123-010-128-002</t>
  </si>
  <si>
    <t>Paul Mitchell</t>
  </si>
  <si>
    <t>123-010-128-003</t>
  </si>
  <si>
    <t>Ashley Johnson</t>
  </si>
  <si>
    <t>123-010-128-004</t>
  </si>
  <si>
    <t>George Hernandez</t>
  </si>
  <si>
    <t>123-007-101-001</t>
  </si>
  <si>
    <t>Jennifer Adams</t>
  </si>
  <si>
    <t>123-007-101-002</t>
  </si>
  <si>
    <t>Thomas Harris</t>
  </si>
  <si>
    <t>123-007-101-003</t>
  </si>
  <si>
    <t>Sarah Carter</t>
  </si>
  <si>
    <t>123-007-101-004</t>
  </si>
  <si>
    <t>Mary Mitchell</t>
  </si>
  <si>
    <t>123-007-101-005</t>
  </si>
  <si>
    <t>John Roberts</t>
  </si>
  <si>
    <t>123-004-108-001</t>
  </si>
  <si>
    <t>William Walker</t>
  </si>
  <si>
    <t>123-005-123-001</t>
  </si>
  <si>
    <t>Data Engineer</t>
  </si>
  <si>
    <t>Joshua Mitchell</t>
  </si>
  <si>
    <t>123-005-123-002</t>
  </si>
  <si>
    <t>Michael Nguyen</t>
  </si>
  <si>
    <t>123-005-123-003</t>
  </si>
  <si>
    <t>Betty Rivera</t>
  </si>
  <si>
    <t>123-005-104-001</t>
  </si>
  <si>
    <t>Daniel Wright</t>
  </si>
  <si>
    <t>123-005-104-002</t>
  </si>
  <si>
    <t>Carol Perez</t>
  </si>
  <si>
    <t>123-005-104-003</t>
  </si>
  <si>
    <t>Michael Ramirez</t>
  </si>
  <si>
    <t>123-005-104-004</t>
  </si>
  <si>
    <t>Margaret Lopez</t>
  </si>
  <si>
    <t>123-005-104-005</t>
  </si>
  <si>
    <t>Sandra Ramirez</t>
  </si>
  <si>
    <t>123-002-127-001</t>
  </si>
  <si>
    <t>Edward Robinson</t>
  </si>
  <si>
    <t>123-002-127-002</t>
  </si>
  <si>
    <t>Barbara Young</t>
  </si>
  <si>
    <t>123-002-127-003</t>
  </si>
  <si>
    <t>Sarah Cruz</t>
  </si>
  <si>
    <t>123-004-117-001</t>
  </si>
  <si>
    <t>Anthony Young</t>
  </si>
  <si>
    <t>123-008-121-001</t>
  </si>
  <si>
    <t>UX Designer</t>
  </si>
  <si>
    <t>Charles Anderson</t>
  </si>
  <si>
    <t>123-008-121-002</t>
  </si>
  <si>
    <t>Donald Scott</t>
  </si>
  <si>
    <t>123-008-121-003</t>
  </si>
  <si>
    <t>Daniel Hall</t>
  </si>
  <si>
    <t>123-008-121-004</t>
  </si>
  <si>
    <t>Linda Campbell</t>
  </si>
  <si>
    <t>123-009-124-003</t>
  </si>
  <si>
    <t>Melissa Walker</t>
  </si>
  <si>
    <t>123-009-124-004</t>
  </si>
  <si>
    <t>Michael Turner</t>
  </si>
  <si>
    <t>123-005-106-005</t>
  </si>
  <si>
    <t>Sarah Williams</t>
  </si>
  <si>
    <t>123-008-121-005</t>
  </si>
  <si>
    <t>Donald Walker</t>
  </si>
  <si>
    <t>123-008-109-001</t>
  </si>
  <si>
    <t>IT Technician</t>
  </si>
  <si>
    <t>Ashley Jones</t>
  </si>
  <si>
    <t>123-004-103-001</t>
  </si>
  <si>
    <t>Joshua Hill</t>
  </si>
  <si>
    <t>123-008-115-001</t>
  </si>
  <si>
    <t>Graphic Designer</t>
  </si>
  <si>
    <t>Karen Torres</t>
  </si>
  <si>
    <t>123-008-115-002</t>
  </si>
  <si>
    <t>Edward Wilson</t>
  </si>
  <si>
    <t>123-008-115-003</t>
  </si>
  <si>
    <t>Jessica Lopez</t>
  </si>
  <si>
    <t>123-010-115-001</t>
  </si>
  <si>
    <t>Joseph Jackson</t>
  </si>
  <si>
    <t>123-010-115-002</t>
  </si>
  <si>
    <t>Amanda Anderson</t>
  </si>
  <si>
    <t>123-010-115-003</t>
  </si>
  <si>
    <t>Margaret Davis</t>
  </si>
  <si>
    <t>123-010-115-004</t>
  </si>
  <si>
    <t>John Brown</t>
  </si>
  <si>
    <t>123-002-115-001</t>
  </si>
  <si>
    <t>Charlotte Moore</t>
  </si>
  <si>
    <t>123-002-115-002</t>
  </si>
  <si>
    <t>Olivia Ramirez</t>
  </si>
  <si>
    <t>123-002-115-003</t>
  </si>
  <si>
    <t>Joseph Baker</t>
  </si>
  <si>
    <t>123-002-115-004</t>
  </si>
  <si>
    <t>Andrew Williams</t>
  </si>
  <si>
    <t>123-005-130-001</t>
  </si>
  <si>
    <t>Biomedical Engineer</t>
  </si>
  <si>
    <t>Kenneth Evans</t>
  </si>
  <si>
    <t>123-005-130-002</t>
  </si>
  <si>
    <t>Christopher Nelson</t>
  </si>
  <si>
    <t>123-008-114-001</t>
  </si>
  <si>
    <t>Research Analyst</t>
  </si>
  <si>
    <t>Isabella Carter</t>
  </si>
  <si>
    <t>123-008-114-002</t>
  </si>
  <si>
    <t>Linda Roberts</t>
  </si>
  <si>
    <t>123-008-114-003</t>
  </si>
  <si>
    <t>Kevin Parker</t>
  </si>
  <si>
    <t>123-006-117-001</t>
  </si>
  <si>
    <t>Edward Brown</t>
  </si>
  <si>
    <t>123-006-117-002</t>
  </si>
  <si>
    <t>Charles Lewis</t>
  </si>
  <si>
    <t>123-006-117-003</t>
  </si>
  <si>
    <t>Kenneth Hill</t>
  </si>
  <si>
    <t>123-006-117-004</t>
  </si>
  <si>
    <t>123-006-117-005</t>
  </si>
  <si>
    <t>123-003-121-001</t>
  </si>
  <si>
    <t>Steven Rivera</t>
  </si>
  <si>
    <t>123-003-121-002</t>
  </si>
  <si>
    <t>Jessica Robinson</t>
  </si>
  <si>
    <t>123-003-121-003</t>
  </si>
  <si>
    <t>123-003-121-004</t>
  </si>
  <si>
    <t>Jackson Gomez</t>
  </si>
  <si>
    <t>123-005-110-001</t>
  </si>
  <si>
    <t>Logan Martinez</t>
  </si>
  <si>
    <t>123-005-110-002</t>
  </si>
  <si>
    <t>Sandra Lee</t>
  </si>
  <si>
    <t>123-005-110-003</t>
  </si>
  <si>
    <t>Mia Roberts</t>
  </si>
  <si>
    <t>123-005-110-004</t>
  </si>
  <si>
    <t>Matthew Nelson</t>
  </si>
  <si>
    <t>123-005-110-005</t>
  </si>
  <si>
    <t>Donna Perez</t>
  </si>
  <si>
    <t>123-009-104-001</t>
  </si>
  <si>
    <t>Robert Flores</t>
  </si>
  <si>
    <t>123-009-104-002</t>
  </si>
  <si>
    <t>Logan Adams</t>
  </si>
  <si>
    <t>123-009-104-003</t>
  </si>
  <si>
    <t>Nancy Flores</t>
  </si>
  <si>
    <t>123-009-104-004</t>
  </si>
  <si>
    <t>Christopher Green</t>
  </si>
  <si>
    <t>123-002-108-001</t>
  </si>
  <si>
    <t>Mark Hernandez</t>
  </si>
  <si>
    <t>123-002-108-002</t>
  </si>
  <si>
    <t>Sophia Brown</t>
  </si>
  <si>
    <t>123-002-108-003</t>
  </si>
  <si>
    <t>Jessica King</t>
  </si>
  <si>
    <t>123-002-108-004</t>
  </si>
  <si>
    <t>Barbara Garcia</t>
  </si>
  <si>
    <t>123-010-116-001</t>
  </si>
  <si>
    <t>Content Writer</t>
  </si>
  <si>
    <t>Kenneth Taylor</t>
  </si>
  <si>
    <t>123-010-116-002</t>
  </si>
  <si>
    <t>Lucas Jackson</t>
  </si>
  <si>
    <t>123-005-119-001</t>
  </si>
  <si>
    <t>Mia Martin</t>
  </si>
  <si>
    <t>123-005-119-002</t>
  </si>
  <si>
    <t>Matthew Torres</t>
  </si>
  <si>
    <t>123-005-119-003</t>
  </si>
  <si>
    <t>Mary Turner</t>
  </si>
  <si>
    <t>123-005-119-004</t>
  </si>
  <si>
    <t>Ava Hill</t>
  </si>
  <si>
    <t>123-004-125-001</t>
  </si>
  <si>
    <t>Kenneth Gonzalez</t>
  </si>
  <si>
    <t>123-004-125-002</t>
  </si>
  <si>
    <t>Kenneth Miller</t>
  </si>
  <si>
    <t>123-004-125-003</t>
  </si>
  <si>
    <t>George Rodriguez</t>
  </si>
  <si>
    <t>123-004-125-004</t>
  </si>
  <si>
    <t>Barbara Gonzalez</t>
  </si>
  <si>
    <t>123-004-125-005</t>
  </si>
  <si>
    <t>Kimberly Allen</t>
  </si>
  <si>
    <t>123-008-130-001</t>
  </si>
  <si>
    <t>Ethan Davis</t>
  </si>
  <si>
    <t>123-008-130-002</t>
  </si>
  <si>
    <t>Logan Baker</t>
  </si>
  <si>
    <t>123-008-130-003</t>
  </si>
  <si>
    <t>Sophia Sanchez</t>
  </si>
  <si>
    <t>123-006-115-001</t>
  </si>
  <si>
    <t>Michael Baker</t>
  </si>
  <si>
    <t>123-006-115-002</t>
  </si>
  <si>
    <t>Ava Flores</t>
  </si>
  <si>
    <t>123-006-115-003</t>
  </si>
  <si>
    <t>Ava Hall</t>
  </si>
  <si>
    <t>123-001-105-001</t>
  </si>
  <si>
    <t>Ashley Davis</t>
  </si>
  <si>
    <t>123-008-113-001</t>
  </si>
  <si>
    <t>Donna Mitchell</t>
  </si>
  <si>
    <t>123-008-113-002</t>
  </si>
  <si>
    <t>Michelle Clark</t>
  </si>
  <si>
    <t>123-008-113-003</t>
  </si>
  <si>
    <t>Mark Thomas</t>
  </si>
  <si>
    <t>123-006-118-001</t>
  </si>
  <si>
    <t>Richard Davis</t>
  </si>
  <si>
    <t>123-010-121-001</t>
  </si>
  <si>
    <t>123-003-108-001</t>
  </si>
  <si>
    <t>Mason Carter</t>
  </si>
  <si>
    <t>123-003-108-002</t>
  </si>
  <si>
    <t>Logan Anderson</t>
  </si>
  <si>
    <t>123-003-108-003</t>
  </si>
  <si>
    <t>Lucas Hill</t>
  </si>
  <si>
    <t>123-003-108-004</t>
  </si>
  <si>
    <t>William Wright</t>
  </si>
  <si>
    <t>123-003-108-005</t>
  </si>
  <si>
    <t>Logan Johnson</t>
  </si>
  <si>
    <t>123-004-126-004</t>
  </si>
  <si>
    <t>Barbara Taylor</t>
  </si>
  <si>
    <t>123-004-126-005</t>
  </si>
  <si>
    <t>Melissa Jones</t>
  </si>
  <si>
    <t>123-004-126-006</t>
  </si>
  <si>
    <t>Mark Allen</t>
  </si>
  <si>
    <t>123-004-126-007</t>
  </si>
  <si>
    <t>Sandra Adams</t>
  </si>
  <si>
    <t>123-004-126-008</t>
  </si>
  <si>
    <t>Amanda Miller</t>
  </si>
  <si>
    <t>123-002-103-001</t>
  </si>
  <si>
    <t>William Moore</t>
  </si>
  <si>
    <t>123-002-103-002</t>
  </si>
  <si>
    <t>Steven Hill</t>
  </si>
  <si>
    <t>123-002-103-003</t>
  </si>
  <si>
    <t>Margaret Lewis</t>
  </si>
  <si>
    <t>123-007-113-006</t>
  </si>
  <si>
    <t>123-008-122-001</t>
  </si>
  <si>
    <t>123-007-103-004</t>
  </si>
  <si>
    <t>Ethan Rodriguez</t>
  </si>
  <si>
    <t>123-002-122-001</t>
  </si>
  <si>
    <t>Kevin Carter</t>
  </si>
  <si>
    <t>123-002-122-002</t>
  </si>
  <si>
    <t>Charles Hill</t>
  </si>
  <si>
    <t>123-002-122-003</t>
  </si>
  <si>
    <t>Elizabeth Nelson</t>
  </si>
  <si>
    <t>123-002-122-004</t>
  </si>
  <si>
    <t>Mia Scott</t>
  </si>
  <si>
    <t>123-004-119-002</t>
  </si>
  <si>
    <t>Joshua Nelson</t>
  </si>
  <si>
    <t>123-004-119-003</t>
  </si>
  <si>
    <t>Edward Martin</t>
  </si>
  <si>
    <t>123-004-119-004</t>
  </si>
  <si>
    <t>123-004-119-005</t>
  </si>
  <si>
    <t>Kenneth Johnson</t>
  </si>
  <si>
    <t>123-007-107-001</t>
  </si>
  <si>
    <t>Sales Associate</t>
  </si>
  <si>
    <t>Lisa Martin</t>
  </si>
  <si>
    <t>123-007-107-002</t>
  </si>
  <si>
    <t>Elizabeth Hernandez</t>
  </si>
  <si>
    <t>123-007-107-003</t>
  </si>
  <si>
    <t>Kevin Ramirez</t>
  </si>
  <si>
    <t>123-007-107-004</t>
  </si>
  <si>
    <t>Susan Carter</t>
  </si>
  <si>
    <t>123-005-104-006</t>
  </si>
  <si>
    <t>Robert Anderson</t>
  </si>
  <si>
    <t>123-005-104-007</t>
  </si>
  <si>
    <t>Karen Wilson</t>
  </si>
  <si>
    <t>123-005-104-008</t>
  </si>
  <si>
    <t>Christopher Davis</t>
  </si>
  <si>
    <t>123-005-104-009</t>
  </si>
  <si>
    <t>William Harris</t>
  </si>
  <si>
    <t>123-005-104-010</t>
  </si>
  <si>
    <t>John Sanchez</t>
  </si>
  <si>
    <t>123-002-130-001</t>
  </si>
  <si>
    <t>Dorothy Green</t>
  </si>
  <si>
    <t>123-002-130-002</t>
  </si>
  <si>
    <t>David Phillips</t>
  </si>
  <si>
    <t>123-002-130-003</t>
  </si>
  <si>
    <t>Margaret Diaz</t>
  </si>
  <si>
    <t>123-002-117-001</t>
  </si>
  <si>
    <t>Joseph Perez</t>
  </si>
  <si>
    <t>123-002-117-002</t>
  </si>
  <si>
    <t>Lucas Roberts</t>
  </si>
  <si>
    <t>123-002-117-003</t>
  </si>
  <si>
    <t>Jessica Miller</t>
  </si>
  <si>
    <t>123-002-117-004</t>
  </si>
  <si>
    <t>Elizabeth Carter</t>
  </si>
  <si>
    <t>123-010-115-005</t>
  </si>
  <si>
    <t>Logan Green</t>
  </si>
  <si>
    <t>123-010-115-006</t>
  </si>
  <si>
    <t>Mark Green</t>
  </si>
  <si>
    <t>123-010-115-007</t>
  </si>
  <si>
    <t>Patricia Thompson</t>
  </si>
  <si>
    <t>123-010-115-008</t>
  </si>
  <si>
    <t>Robert Brown</t>
  </si>
  <si>
    <t>123-010-115-009</t>
  </si>
  <si>
    <t>Logan Diaz</t>
  </si>
  <si>
    <t>123-008-113-004</t>
  </si>
  <si>
    <t>Mark Collins</t>
  </si>
  <si>
    <t>123-008-113-005</t>
  </si>
  <si>
    <t>Patricia Lewis</t>
  </si>
  <si>
    <t>123-008-113-006</t>
  </si>
  <si>
    <t>Steven Adams</t>
  </si>
  <si>
    <t>123-008-113-007</t>
  </si>
  <si>
    <t>Kimberly King</t>
  </si>
  <si>
    <t>123-008-113-008</t>
  </si>
  <si>
    <t>Anthony Roberts</t>
  </si>
  <si>
    <t>123-006-126-005</t>
  </si>
  <si>
    <t>Emily Baker</t>
  </si>
  <si>
    <t>123-010-124-001</t>
  </si>
  <si>
    <t>Donna Nelson</t>
  </si>
  <si>
    <t>123-010-124-002</t>
  </si>
  <si>
    <t>Carol Hall</t>
  </si>
  <si>
    <t>123-009-110-001</t>
  </si>
  <si>
    <t>Isabella Rodriguez</t>
  </si>
  <si>
    <t>123-009-110-002</t>
  </si>
  <si>
    <t>Mary White</t>
  </si>
  <si>
    <t>123-009-110-003</t>
  </si>
  <si>
    <t>Richard Anderson</t>
  </si>
  <si>
    <t>123-009-110-004</t>
  </si>
  <si>
    <t>Sophia Miller</t>
  </si>
  <si>
    <t>123-006-102-001</t>
  </si>
  <si>
    <t>Data Scientist</t>
  </si>
  <si>
    <t>Matthew Martinez</t>
  </si>
  <si>
    <t>123-006-102-002</t>
  </si>
  <si>
    <t>George Lewis</t>
  </si>
  <si>
    <t>123-006-102-003</t>
  </si>
  <si>
    <t>Mark Flores</t>
  </si>
  <si>
    <t>123-006-102-004</t>
  </si>
  <si>
    <t>Paul Thomas</t>
  </si>
  <si>
    <t>123-006-102-005</t>
  </si>
  <si>
    <t>Lisa Baker</t>
  </si>
  <si>
    <t>123-007-125-003</t>
  </si>
  <si>
    <t>Isabella Gonzalez</t>
  </si>
  <si>
    <t>123-007-125-004</t>
  </si>
  <si>
    <t>Donald Parker</t>
  </si>
  <si>
    <t>123-007-125-005</t>
  </si>
  <si>
    <t>Charles Garcia</t>
  </si>
  <si>
    <t>123-007-125-006</t>
  </si>
  <si>
    <t>Mason Ramirez</t>
  </si>
  <si>
    <t>123-007-125-007</t>
  </si>
  <si>
    <t>Jackson Johnson</t>
  </si>
  <si>
    <t>123-004-112-001</t>
  </si>
  <si>
    <t>Business Analyst</t>
  </si>
  <si>
    <t>Joseph Johnson</t>
  </si>
  <si>
    <t>123-004-112-002</t>
  </si>
  <si>
    <t>Sophia Martinez</t>
  </si>
  <si>
    <t>123-004-112-003</t>
  </si>
  <si>
    <t>Brian Turner</t>
  </si>
  <si>
    <t>123-004-112-004</t>
  </si>
  <si>
    <t>Lucas Garcia</t>
  </si>
  <si>
    <t>123-010-118-001</t>
  </si>
  <si>
    <t>Jessica Martin</t>
  </si>
  <si>
    <t>123-010-118-002</t>
  </si>
  <si>
    <t>John Davis</t>
  </si>
  <si>
    <t>123-010-118-003</t>
  </si>
  <si>
    <t>Steven Torres</t>
  </si>
  <si>
    <t>123-010-118-004</t>
  </si>
  <si>
    <t>Margaret Smith</t>
  </si>
  <si>
    <t>123-010-118-005</t>
  </si>
  <si>
    <t>Kevin Nelson</t>
  </si>
  <si>
    <t>123-009-117-001</t>
  </si>
  <si>
    <t>Matthew Parker</t>
  </si>
  <si>
    <t>123-009-117-002</t>
  </si>
  <si>
    <t>Thomas Mitchell</t>
  </si>
  <si>
    <t>123-009-117-003</t>
  </si>
  <si>
    <t>Jessica Campbell</t>
  </si>
  <si>
    <t>123-009-117-004</t>
  </si>
  <si>
    <t>123-009-117-005</t>
  </si>
  <si>
    <t>Mason Roberts</t>
  </si>
  <si>
    <t>123-003-126-001</t>
  </si>
  <si>
    <t>Robert Jackson</t>
  </si>
  <si>
    <t>123-001-129-001</t>
  </si>
  <si>
    <t>Isabella Wright</t>
  </si>
  <si>
    <t>123-001-129-002</t>
  </si>
  <si>
    <t>Charles Thompson</t>
  </si>
  <si>
    <t>123-001-129-003</t>
  </si>
  <si>
    <t>Ethan White</t>
  </si>
  <si>
    <t>123-007-129-001</t>
  </si>
  <si>
    <t>Brian Young</t>
  </si>
  <si>
    <t>123-007-129-002</t>
  </si>
  <si>
    <t>George Ramirez</t>
  </si>
  <si>
    <t>123-007-129-003</t>
  </si>
  <si>
    <t>Paul Jackson</t>
  </si>
  <si>
    <t>123-005-122-001</t>
  </si>
  <si>
    <t>David Hall</t>
  </si>
  <si>
    <t>123-005-122-002</t>
  </si>
  <si>
    <t>Logan Collins</t>
  </si>
  <si>
    <t>123-005-122-003</t>
  </si>
  <si>
    <t>Kenneth Gomez</t>
  </si>
  <si>
    <t>123-009-112-001</t>
  </si>
  <si>
    <t>Mia Hill</t>
  </si>
  <si>
    <t>123-009-112-002</t>
  </si>
  <si>
    <t>Deborah Adams</t>
  </si>
  <si>
    <t>123-001-119-001</t>
  </si>
  <si>
    <t>Mark White</t>
  </si>
  <si>
    <t>123-001-119-002</t>
  </si>
  <si>
    <t>Kimberly White</t>
  </si>
  <si>
    <t>123-001-119-003</t>
  </si>
  <si>
    <t>Linda Johnson</t>
  </si>
  <si>
    <t>123-001-119-004</t>
  </si>
  <si>
    <t>Thomas Roberts</t>
  </si>
  <si>
    <t>123-001-119-005</t>
  </si>
  <si>
    <t>Michelle Jackson</t>
  </si>
  <si>
    <t>123-002-105-001</t>
  </si>
  <si>
    <t>Dorothy Lewis</t>
  </si>
  <si>
    <t>123-002-105-002</t>
  </si>
  <si>
    <t>Kevin Thompson</t>
  </si>
  <si>
    <t>123-002-105-003</t>
  </si>
  <si>
    <t>Karen Diaz</t>
  </si>
  <si>
    <t>123-002-105-004</t>
  </si>
  <si>
    <t>Sophia White</t>
  </si>
  <si>
    <t>123-003-126-002</t>
  </si>
  <si>
    <t>Lisa Scott</t>
  </si>
  <si>
    <t>123-003-126-003</t>
  </si>
  <si>
    <t>Michelle Cruz</t>
  </si>
  <si>
    <t>123-008-123-001</t>
  </si>
  <si>
    <t>Isabella Torres</t>
  </si>
  <si>
    <t>123-008-123-002</t>
  </si>
  <si>
    <t>Sandra Baker</t>
  </si>
  <si>
    <t>123-008-123-003</t>
  </si>
  <si>
    <t>Deborah Rodriguez</t>
  </si>
  <si>
    <t>123-008-123-004</t>
  </si>
  <si>
    <t>Kimberly Martinez</t>
  </si>
  <si>
    <t>123-008-123-005</t>
  </si>
  <si>
    <t>Daniel King</t>
  </si>
  <si>
    <t>123-009-107-001</t>
  </si>
  <si>
    <t>Karen Flores</t>
  </si>
  <si>
    <t>123-009-107-002</t>
  </si>
  <si>
    <t>David Nelson</t>
  </si>
  <si>
    <t>123-009-107-003</t>
  </si>
  <si>
    <t>Jennifer Williams</t>
  </si>
  <si>
    <t>123-001-120-001</t>
  </si>
  <si>
    <t>Carol Martin</t>
  </si>
  <si>
    <t>123-001-120-002</t>
  </si>
  <si>
    <t>Karen Robinson</t>
  </si>
  <si>
    <t>123-001-120-003</t>
  </si>
  <si>
    <t>Anthony Walker</t>
  </si>
  <si>
    <t>123-001-120-004</t>
  </si>
  <si>
    <t>Christopher Parker</t>
  </si>
  <si>
    <t>123-003-113-001</t>
  </si>
  <si>
    <t>Christopher Thomas</t>
  </si>
  <si>
    <t>123-003-113-002</t>
  </si>
  <si>
    <t>Michael Brown</t>
  </si>
  <si>
    <t>123-003-113-003</t>
  </si>
  <si>
    <t>Logan Edwards</t>
  </si>
  <si>
    <t>123-003-107-001</t>
  </si>
  <si>
    <t>Ashley Cruz</t>
  </si>
  <si>
    <t>123-003-107-002</t>
  </si>
  <si>
    <t>Betty Allen</t>
  </si>
  <si>
    <t>123-003-107-003</t>
  </si>
  <si>
    <t>Daniel Brown</t>
  </si>
  <si>
    <t>123-003-107-004</t>
  </si>
  <si>
    <t>Charles Wright</t>
  </si>
  <si>
    <t>123-005-105-001</t>
  </si>
  <si>
    <t>Robert Sanchez</t>
  </si>
  <si>
    <t>123-005-105-002</t>
  </si>
  <si>
    <t>Emily Jackson</t>
  </si>
  <si>
    <t>123-005-105-003</t>
  </si>
  <si>
    <t>Isabella Flores</t>
  </si>
  <si>
    <t>123-006-112-001</t>
  </si>
  <si>
    <t>Richard Hill</t>
  </si>
  <si>
    <t>123-006-112-002</t>
  </si>
  <si>
    <t>Robert Rodriguez</t>
  </si>
  <si>
    <t>123-006-112-003</t>
  </si>
  <si>
    <t>Elizabeth Hill</t>
  </si>
  <si>
    <t>123-006-112-004</t>
  </si>
  <si>
    <t>David Sanchez</t>
  </si>
  <si>
    <t>123-006-112-005</t>
  </si>
  <si>
    <t>Dorothy Torres</t>
  </si>
  <si>
    <t>123-006-112-006</t>
  </si>
  <si>
    <t>Sophia Edwards</t>
  </si>
  <si>
    <t>123-010-121-002</t>
  </si>
  <si>
    <t>Patricia Nguyen</t>
  </si>
  <si>
    <t>123-010-121-003</t>
  </si>
  <si>
    <t>Elizabeth Evans</t>
  </si>
  <si>
    <t>123-010-121-004</t>
  </si>
  <si>
    <t>Richard Johnson</t>
  </si>
  <si>
    <t>123-010-121-005</t>
  </si>
  <si>
    <t>Brian Wilson</t>
  </si>
  <si>
    <t>123-010-121-006</t>
  </si>
  <si>
    <t>123-009-107-004</t>
  </si>
  <si>
    <t>Kimberly Harris</t>
  </si>
  <si>
    <t>123-009-107-005</t>
  </si>
  <si>
    <t>Paul Thompson</t>
  </si>
  <si>
    <t>123-009-107-006</t>
  </si>
  <si>
    <t>Jessica Moore</t>
  </si>
  <si>
    <t>123-005-125-002</t>
  </si>
  <si>
    <t>Christopher Walker</t>
  </si>
  <si>
    <t>123-005-125-003</t>
  </si>
  <si>
    <t>Charles Davis</t>
  </si>
  <si>
    <t>123-003-125-001</t>
  </si>
  <si>
    <t>Emily Hall</t>
  </si>
  <si>
    <t>123-003-125-002</t>
  </si>
  <si>
    <t>Daniel Lewis</t>
  </si>
  <si>
    <t>123-003-125-003</t>
  </si>
  <si>
    <t>123-010-120-001</t>
  </si>
  <si>
    <t>Kevin Edwards</t>
  </si>
  <si>
    <t>123-010-120-002</t>
  </si>
  <si>
    <t>Michael Clark</t>
  </si>
  <si>
    <t>123-003-122-006</t>
  </si>
  <si>
    <t>Anthony Adams</t>
  </si>
  <si>
    <t>123-005-125-004</t>
  </si>
  <si>
    <t>Patricia Collins</t>
  </si>
  <si>
    <t>123-005-125-005</t>
  </si>
  <si>
    <t>Ava Collins</t>
  </si>
  <si>
    <t>123-005-125-006</t>
  </si>
  <si>
    <t>Mason Sanchez</t>
  </si>
  <si>
    <t>123-001-129-004</t>
  </si>
  <si>
    <t>Joshua Miller</t>
  </si>
  <si>
    <t>123-009-121-001</t>
  </si>
  <si>
    <t>Mia Allen</t>
  </si>
  <si>
    <t>123-009-121-002</t>
  </si>
  <si>
    <t>David Campbell</t>
  </si>
  <si>
    <t>123-009-121-003</t>
  </si>
  <si>
    <t>Melissa Perez</t>
  </si>
  <si>
    <t>123-009-121-004</t>
  </si>
  <si>
    <t>Michelle Diaz</t>
  </si>
  <si>
    <t>123-009-121-005</t>
  </si>
  <si>
    <t>Betty Nelson</t>
  </si>
  <si>
    <t>123-004-111-001</t>
  </si>
  <si>
    <t>Product Manager</t>
  </si>
  <si>
    <t>Jessica Lewis</t>
  </si>
  <si>
    <t>123-010-119-001</t>
  </si>
  <si>
    <t>Lisa Hall</t>
  </si>
  <si>
    <t>123-005-115-001</t>
  </si>
  <si>
    <t>Brian Davis</t>
  </si>
  <si>
    <t>123-005-115-002</t>
  </si>
  <si>
    <t>123-009-114-001</t>
  </si>
  <si>
    <t>Edward Thomas</t>
  </si>
  <si>
    <t>123-009-114-002</t>
  </si>
  <si>
    <t>John Collins</t>
  </si>
  <si>
    <t>123-009-114-003</t>
  </si>
  <si>
    <t>Andrew Wright</t>
  </si>
  <si>
    <t>123-009-114-004</t>
  </si>
  <si>
    <t>Linda Baker</t>
  </si>
  <si>
    <t>123-009-103-001</t>
  </si>
  <si>
    <t>William Allen</t>
  </si>
  <si>
    <t>123-009-103-002</t>
  </si>
  <si>
    <t>123-009-103-003</t>
  </si>
  <si>
    <t>Thomas Evans</t>
  </si>
  <si>
    <t>123-009-103-004</t>
  </si>
  <si>
    <t>John Williams</t>
  </si>
  <si>
    <t>123-001-118-001</t>
  </si>
  <si>
    <t>123-007-125-008</t>
  </si>
  <si>
    <t>Mark Parker</t>
  </si>
  <si>
    <t>123-007-125-009</t>
  </si>
  <si>
    <t>Carol Parker</t>
  </si>
  <si>
    <t>123-007-125-010</t>
  </si>
  <si>
    <t>Kimberly Rodriguez</t>
  </si>
  <si>
    <t>123-008-110-001</t>
  </si>
  <si>
    <t>Isabella Anderson</t>
  </si>
  <si>
    <t>123-008-110-002</t>
  </si>
  <si>
    <t>Richard Cruz</t>
  </si>
  <si>
    <t>123-008-110-003</t>
  </si>
  <si>
    <t>Michelle Roberts</t>
  </si>
  <si>
    <t>123-008-110-004</t>
  </si>
  <si>
    <t>Joshua Williams</t>
  </si>
  <si>
    <t>123-008-110-005</t>
  </si>
  <si>
    <t>Jessica Mitchell</t>
  </si>
  <si>
    <t>123-004-118-006</t>
  </si>
  <si>
    <t>123-005-108-001</t>
  </si>
  <si>
    <t>Anthony Martin</t>
  </si>
  <si>
    <t>123-005-108-002</t>
  </si>
  <si>
    <t>Kenneth Baker</t>
  </si>
  <si>
    <t>123-007-112-001</t>
  </si>
  <si>
    <t>123-007-112-002</t>
  </si>
  <si>
    <t>Edward Wright</t>
  </si>
  <si>
    <t>123-007-112-003</t>
  </si>
  <si>
    <t>Mia Rivera</t>
  </si>
  <si>
    <t>123-007-112-004</t>
  </si>
  <si>
    <t>Anthony Scott</t>
  </si>
  <si>
    <t>123-007-112-005</t>
  </si>
  <si>
    <t>Susan Perez</t>
  </si>
  <si>
    <t>123-006-128-002</t>
  </si>
  <si>
    <t>Patricia Moore</t>
  </si>
  <si>
    <t>123-002-128-001</t>
  </si>
  <si>
    <t>Donald Wilson</t>
  </si>
  <si>
    <t>123-002-128-002</t>
  </si>
  <si>
    <t>Jackson Gonzalez</t>
  </si>
  <si>
    <t>123-004-130-001</t>
  </si>
  <si>
    <t>Ava Thomas</t>
  </si>
  <si>
    <t>123-004-130-002</t>
  </si>
  <si>
    <t>Karen Taylor</t>
  </si>
  <si>
    <t>123-004-130-003</t>
  </si>
  <si>
    <t>Ethan Campbell</t>
  </si>
  <si>
    <t>123-004-130-004</t>
  </si>
  <si>
    <t>Lisa Lee</t>
  </si>
  <si>
    <t>123-004-130-005</t>
  </si>
  <si>
    <t>Mary Taylor</t>
  </si>
  <si>
    <t>123-004-111-002</t>
  </si>
  <si>
    <t>Ashley Scott</t>
  </si>
  <si>
    <t>123-004-111-003</t>
  </si>
  <si>
    <t>Sandra Hernandez</t>
  </si>
  <si>
    <t>123-004-111-004</t>
  </si>
  <si>
    <t>Barbara Collins</t>
  </si>
  <si>
    <t>123-004-111-005</t>
  </si>
  <si>
    <t>Charlotte Evans</t>
  </si>
  <si>
    <t>123-004-105-001</t>
  </si>
  <si>
    <t>Susan Allen</t>
  </si>
  <si>
    <t>123-008-122-002</t>
  </si>
  <si>
    <t>123-001-101-003</t>
  </si>
  <si>
    <t>Mary Allen</t>
  </si>
  <si>
    <t>123-001-101-004</t>
  </si>
  <si>
    <t>Ava Miller</t>
  </si>
  <si>
    <t>123-001-101-005</t>
  </si>
  <si>
    <t>Michelle King</t>
  </si>
  <si>
    <t>123-001-101-006</t>
  </si>
  <si>
    <t>Jennifer White</t>
  </si>
  <si>
    <t>123-001-101-007</t>
  </si>
  <si>
    <t>Brian Anderson</t>
  </si>
  <si>
    <t>123-001-121-001</t>
  </si>
  <si>
    <t>Emily Walker</t>
  </si>
  <si>
    <t>123-008-103-002</t>
  </si>
  <si>
    <t>Andrew Diaz</t>
  </si>
  <si>
    <t>123-008-103-003</t>
  </si>
  <si>
    <t>Susan Edwards</t>
  </si>
  <si>
    <t>123-008-103-004</t>
  </si>
  <si>
    <t>Lucas Wright</t>
  </si>
  <si>
    <t>123-008-103-005</t>
  </si>
  <si>
    <t>Susan Nguyen</t>
  </si>
  <si>
    <t>123-002-130-004</t>
  </si>
  <si>
    <t>Jessica Torres</t>
  </si>
  <si>
    <t>123-002-130-005</t>
  </si>
  <si>
    <t>Matthew Carter</t>
  </si>
  <si>
    <t>123-002-130-006</t>
  </si>
  <si>
    <t>Patricia Miller</t>
  </si>
  <si>
    <t>123-010-111-001</t>
  </si>
  <si>
    <t>Deborah Lee</t>
  </si>
  <si>
    <t>123-010-111-002</t>
  </si>
  <si>
    <t>Ashley Anderson</t>
  </si>
  <si>
    <t>123-010-111-003</t>
  </si>
  <si>
    <t>Jennifer Roberts</t>
  </si>
  <si>
    <t>123-010-111-004</t>
  </si>
  <si>
    <t>Sarah Martinez</t>
  </si>
  <si>
    <t>123-010-111-005</t>
  </si>
  <si>
    <t>Christopher White</t>
  </si>
  <si>
    <t>123-006-115-004</t>
  </si>
  <si>
    <t>Jennifer Lopez</t>
  </si>
  <si>
    <t>123-006-115-005</t>
  </si>
  <si>
    <t>Michael Johnson</t>
  </si>
  <si>
    <t>123-006-115-006</t>
  </si>
  <si>
    <t>Joshua Gomez</t>
  </si>
  <si>
    <t>123-005-101-003</t>
  </si>
  <si>
    <t>Jennifer Campbell</t>
  </si>
  <si>
    <t>123-005-101-004</t>
  </si>
  <si>
    <t>David Rodriguez</t>
  </si>
  <si>
    <t>123-005-101-005</t>
  </si>
  <si>
    <t>David Ramirez</t>
  </si>
  <si>
    <t>123-005-101-006</t>
  </si>
  <si>
    <t>Lisa Taylor</t>
  </si>
  <si>
    <t>123-010-120-003</t>
  </si>
  <si>
    <t>Karen Smith</t>
  </si>
  <si>
    <t>123-010-120-004</t>
  </si>
  <si>
    <t>Mark Perez</t>
  </si>
  <si>
    <t>123-006-110-001</t>
  </si>
  <si>
    <t>Donald Lee</t>
  </si>
  <si>
    <t>123-006-110-002</t>
  </si>
  <si>
    <t>Brian Green</t>
  </si>
  <si>
    <t>123-006-110-003</t>
  </si>
  <si>
    <t>123-006-110-004</t>
  </si>
  <si>
    <t>Donna Wright</t>
  </si>
  <si>
    <t>123-006-110-005</t>
  </si>
  <si>
    <t>Charlotte Rivera</t>
  </si>
  <si>
    <t>123-002-127-004</t>
  </si>
  <si>
    <t>123-002-127-005</t>
  </si>
  <si>
    <t>Margaret Gomez</t>
  </si>
  <si>
    <t>123-002-127-006</t>
  </si>
  <si>
    <t>Donna Sanchez</t>
  </si>
  <si>
    <t>123-002-127-007</t>
  </si>
  <si>
    <t>Paul Williams</t>
  </si>
  <si>
    <t>123-004-104-001</t>
  </si>
  <si>
    <t>Michelle Williams</t>
  </si>
  <si>
    <t>123-004-104-002</t>
  </si>
  <si>
    <t>Sophia Ramirez</t>
  </si>
  <si>
    <t>123-004-104-003</t>
  </si>
  <si>
    <t>123-009-117-006</t>
  </si>
  <si>
    <t>123-009-117-007</t>
  </si>
  <si>
    <t>Daniel Johnson</t>
  </si>
  <si>
    <t>123-009-117-008</t>
  </si>
  <si>
    <t>Linda Turner</t>
  </si>
  <si>
    <t>123-009-117-009</t>
  </si>
  <si>
    <t>Kimberly Walker</t>
  </si>
  <si>
    <t>123-009-117-010</t>
  </si>
  <si>
    <t>Christopher Jones</t>
  </si>
  <si>
    <t>123-006-101-001</t>
  </si>
  <si>
    <t>Jackson Mitchell</t>
  </si>
  <si>
    <t>123-009-111-001</t>
  </si>
  <si>
    <t>Ethan Sanchez</t>
  </si>
  <si>
    <t>123-009-111-002</t>
  </si>
  <si>
    <t>123-009-111-003</t>
  </si>
  <si>
    <t>Dorothy Wilson</t>
  </si>
  <si>
    <t>123-009-111-004</t>
  </si>
  <si>
    <t>Andrew Miller</t>
  </si>
  <si>
    <t>123-002-115-005</t>
  </si>
  <si>
    <t>Kimberly Green</t>
  </si>
  <si>
    <t>123-002-115-006</t>
  </si>
  <si>
    <t>Daniel Thompson</t>
  </si>
  <si>
    <t>123-002-115-007</t>
  </si>
  <si>
    <t>123-004-104-004</t>
  </si>
  <si>
    <t>123-004-104-005</t>
  </si>
  <si>
    <t>Joshua Rodriguez</t>
  </si>
  <si>
    <t>123-004-104-006</t>
  </si>
  <si>
    <t>Kenneth Wright</t>
  </si>
  <si>
    <t>123-005-116-001</t>
  </si>
  <si>
    <t>Mason Lewis</t>
  </si>
  <si>
    <t>123-005-116-002</t>
  </si>
  <si>
    <t>James Young</t>
  </si>
  <si>
    <t>123-009-118-001</t>
  </si>
  <si>
    <t>Anthony Rivera</t>
  </si>
  <si>
    <t>123-009-118-002</t>
  </si>
  <si>
    <t>Mary Gomez</t>
  </si>
  <si>
    <t>123-009-118-003</t>
  </si>
  <si>
    <t>Joseph Wright</t>
  </si>
  <si>
    <t>123-009-118-004</t>
  </si>
  <si>
    <t>Emily Allen</t>
  </si>
  <si>
    <t>123-009-125-001</t>
  </si>
  <si>
    <t>Edward Campbell</t>
  </si>
  <si>
    <t>123-009-125-002</t>
  </si>
  <si>
    <t>Melissa Turner</t>
  </si>
  <si>
    <t>123-009-125-003</t>
  </si>
  <si>
    <t>Thomas Thompson</t>
  </si>
  <si>
    <t>123-004-125-006</t>
  </si>
  <si>
    <t>Logan Rivera</t>
  </si>
  <si>
    <t>123-004-125-007</t>
  </si>
  <si>
    <t>Susan Evans</t>
  </si>
  <si>
    <t>123-006-119-001</t>
  </si>
  <si>
    <t>Paul Hernandez</t>
  </si>
  <si>
    <t>123-006-119-002</t>
  </si>
  <si>
    <t>Andrew Moore</t>
  </si>
  <si>
    <t>123-006-119-003</t>
  </si>
  <si>
    <t>William Carter</t>
  </si>
  <si>
    <t>123-006-119-004</t>
  </si>
  <si>
    <t>Brian Parker</t>
  </si>
  <si>
    <t>123-006-119-005</t>
  </si>
  <si>
    <t>Edward Turner</t>
  </si>
  <si>
    <t>123-007-121-001</t>
  </si>
  <si>
    <t>123-007-121-002</t>
  </si>
  <si>
    <t>Charlotte Young</t>
  </si>
  <si>
    <t>123-007-121-003</t>
  </si>
  <si>
    <t>George Robinson</t>
  </si>
  <si>
    <t>123-007-121-004</t>
  </si>
  <si>
    <t>Susan Ramirez</t>
  </si>
  <si>
    <t>123-005-127-001</t>
  </si>
  <si>
    <t>123-005-127-002</t>
  </si>
  <si>
    <t>Robert Miller</t>
  </si>
  <si>
    <t>123-005-127-003</t>
  </si>
  <si>
    <t>Mark Robinson</t>
  </si>
  <si>
    <t>123-005-129-001</t>
  </si>
  <si>
    <t>123-005-129-002</t>
  </si>
  <si>
    <t>123-002-114-001</t>
  </si>
  <si>
    <t>123-003-103-001</t>
  </si>
  <si>
    <t>Amanda Lewis</t>
  </si>
  <si>
    <t>123-003-103-002</t>
  </si>
  <si>
    <t>Logan Ramirez</t>
  </si>
  <si>
    <t>123-003-103-003</t>
  </si>
  <si>
    <t>123-003-103-004</t>
  </si>
  <si>
    <t>123-003-103-005</t>
  </si>
  <si>
    <t>Kimberly Torres</t>
  </si>
  <si>
    <t>123-006-115-007</t>
  </si>
  <si>
    <t>Ava Clark</t>
  </si>
  <si>
    <t>123-006-115-008</t>
  </si>
  <si>
    <t>Michael Rodriguez</t>
  </si>
  <si>
    <t>123-007-112-006</t>
  </si>
  <si>
    <t>Sarah Adams</t>
  </si>
  <si>
    <t>123-007-112-007</t>
  </si>
  <si>
    <t>Deborah Hall</t>
  </si>
  <si>
    <t>123-007-112-008</t>
  </si>
  <si>
    <t>Susan King</t>
  </si>
  <si>
    <t>123-001-110-001</t>
  </si>
  <si>
    <t>Jessica Young</t>
  </si>
  <si>
    <t>123-001-110-002</t>
  </si>
  <si>
    <t>Jackson Lee</t>
  </si>
  <si>
    <t>123-009-112-003</t>
  </si>
  <si>
    <t>Mary Nguyen</t>
  </si>
  <si>
    <t>123-009-112-004</t>
  </si>
  <si>
    <t>Jackson Brown</t>
  </si>
  <si>
    <t>123-009-121-006</t>
  </si>
  <si>
    <t>Jennifer Green</t>
  </si>
  <si>
    <t>123-009-121-007</t>
  </si>
  <si>
    <t>Ethan Martinez</t>
  </si>
  <si>
    <t>123-009-121-008</t>
  </si>
  <si>
    <t>Karen Hall</t>
  </si>
  <si>
    <t>123-009-121-009</t>
  </si>
  <si>
    <t>Jessica Garcia</t>
  </si>
  <si>
    <t>123-010-120-005</t>
  </si>
  <si>
    <t>Melissa Nelson</t>
  </si>
  <si>
    <t>123-003-123-001</t>
  </si>
  <si>
    <t>Charlotte Thompson</t>
  </si>
  <si>
    <t>123-006-106-004</t>
  </si>
  <si>
    <t>George Cruz</t>
  </si>
  <si>
    <t>123-006-106-005</t>
  </si>
  <si>
    <t>Ethan Ramirez</t>
  </si>
  <si>
    <t>123-010-109-001</t>
  </si>
  <si>
    <t>Patricia Young</t>
  </si>
  <si>
    <t>123-002-125-001</t>
  </si>
  <si>
    <t>Joseph Mitchell</t>
  </si>
  <si>
    <t>123-002-125-002</t>
  </si>
  <si>
    <t>Jessica Williams</t>
  </si>
  <si>
    <t>123-002-125-003</t>
  </si>
  <si>
    <t>Jackson Diaz</t>
  </si>
  <si>
    <t>123-002-125-004</t>
  </si>
  <si>
    <t>Joseph Lee</t>
  </si>
  <si>
    <t>123-002-125-005</t>
  </si>
  <si>
    <t>Isabella Jones</t>
  </si>
  <si>
    <t>123-004-106-001</t>
  </si>
  <si>
    <t>John Cruz</t>
  </si>
  <si>
    <t>123-004-106-002</t>
  </si>
  <si>
    <t>Christopher Garcia</t>
  </si>
  <si>
    <t>123-004-106-003</t>
  </si>
  <si>
    <t>Andrew Gomez</t>
  </si>
  <si>
    <t>123-004-106-004</t>
  </si>
  <si>
    <t>Lisa Nguyen</t>
  </si>
  <si>
    <t>123-004-106-005</t>
  </si>
  <si>
    <t>123-007-130-001</t>
  </si>
  <si>
    <t>Daniel Green</t>
  </si>
  <si>
    <t>123-007-125-011</t>
  </si>
  <si>
    <t>Kimberly Thomas</t>
  </si>
  <si>
    <t>123-007-125-012</t>
  </si>
  <si>
    <t>Dorothy Moore</t>
  </si>
  <si>
    <t>123-007-125-013</t>
  </si>
  <si>
    <t>Mia King</t>
  </si>
  <si>
    <t>123-002-115-008</t>
  </si>
  <si>
    <t>Deborah Nguyen</t>
  </si>
  <si>
    <t>123-002-115-009</t>
  </si>
  <si>
    <t>Isabella Sanchez</t>
  </si>
  <si>
    <t>123-002-115-010</t>
  </si>
  <si>
    <t>Kevin Rodriguez</t>
  </si>
  <si>
    <t>123-002-115-011</t>
  </si>
  <si>
    <t>123-002-115-012</t>
  </si>
  <si>
    <t>John Gonzalez</t>
  </si>
  <si>
    <t>123-008-106-001</t>
  </si>
  <si>
    <t>Linda Wright</t>
  </si>
  <si>
    <t>123-008-106-002</t>
  </si>
  <si>
    <t>123-008-106-003</t>
  </si>
  <si>
    <t>123-008-106-004</t>
  </si>
  <si>
    <t>Susan Turner</t>
  </si>
  <si>
    <t>123-007-112-009</t>
  </si>
  <si>
    <t>Donna Taylor</t>
  </si>
  <si>
    <t>123-007-112-010</t>
  </si>
  <si>
    <t>Isabella Lopez</t>
  </si>
  <si>
    <t>123-007-112-011</t>
  </si>
  <si>
    <t>Michael Robinson</t>
  </si>
  <si>
    <t>123-007-112-012</t>
  </si>
  <si>
    <t>James Brown</t>
  </si>
  <si>
    <t>123-007-112-013</t>
  </si>
  <si>
    <t>Betty White</t>
  </si>
  <si>
    <t>123-008-107-001</t>
  </si>
  <si>
    <t>Jackson Torres</t>
  </si>
  <si>
    <t>123-008-107-002</t>
  </si>
  <si>
    <t>Linda Williams</t>
  </si>
  <si>
    <t>123-001-116-001</t>
  </si>
  <si>
    <t>Daniel Wilson</t>
  </si>
  <si>
    <t>123-001-116-002</t>
  </si>
  <si>
    <t>123-001-116-003</t>
  </si>
  <si>
    <t>Patricia Garcia</t>
  </si>
  <si>
    <t>123-001-116-004</t>
  </si>
  <si>
    <t>Kenneth Phillips</t>
  </si>
  <si>
    <t>123-009-116-001</t>
  </si>
  <si>
    <t>Andrew Allen</t>
  </si>
  <si>
    <t>123-009-116-002</t>
  </si>
  <si>
    <t>Mary Lee</t>
  </si>
  <si>
    <t>123-009-116-003</t>
  </si>
  <si>
    <t>Patricia Phillips</t>
  </si>
  <si>
    <t>123-009-116-004</t>
  </si>
  <si>
    <t>David Miller</t>
  </si>
  <si>
    <t>123-001-118-002</t>
  </si>
  <si>
    <t>Daniel Turner</t>
  </si>
  <si>
    <t>123-001-118-003</t>
  </si>
  <si>
    <t>Ava Nguyen</t>
  </si>
  <si>
    <t>123-010-119-002</t>
  </si>
  <si>
    <t>Mason Phillips</t>
  </si>
  <si>
    <t>123-010-119-003</t>
  </si>
  <si>
    <t>Robert Garcia</t>
  </si>
  <si>
    <t>123-009-101-001</t>
  </si>
  <si>
    <t>Dorothy Nelson</t>
  </si>
  <si>
    <t>123-009-101-002</t>
  </si>
  <si>
    <t>123-009-101-003</t>
  </si>
  <si>
    <t>Patricia Johnson</t>
  </si>
  <si>
    <t>123-009-101-004</t>
  </si>
  <si>
    <t>123-005-111-001</t>
  </si>
  <si>
    <t>123-005-111-002</t>
  </si>
  <si>
    <t>Carol Lee</t>
  </si>
  <si>
    <t>123-005-111-003</t>
  </si>
  <si>
    <t>Joseph Nelson</t>
  </si>
  <si>
    <t>123-003-105-001</t>
  </si>
  <si>
    <t>123-010-130-001</t>
  </si>
  <si>
    <t>Jackson Young</t>
  </si>
  <si>
    <t>123-010-130-002</t>
  </si>
  <si>
    <t>Daniel Lee</t>
  </si>
  <si>
    <t>123-006-127-006</t>
  </si>
  <si>
    <t>Matthew Miller</t>
  </si>
  <si>
    <t>123-006-127-007</t>
  </si>
  <si>
    <t>Brian Jones</t>
  </si>
  <si>
    <t>123-006-127-008</t>
  </si>
  <si>
    <t>Patricia Harris</t>
  </si>
  <si>
    <t>123-006-127-009</t>
  </si>
  <si>
    <t>123-008-106-005</t>
  </si>
  <si>
    <t>Charles Johnson</t>
  </si>
  <si>
    <t>123-003-111-001</t>
  </si>
  <si>
    <t>John Scott</t>
  </si>
  <si>
    <t>123-003-111-002</t>
  </si>
  <si>
    <t>Dorothy Johnson</t>
  </si>
  <si>
    <t>123-003-111-003</t>
  </si>
  <si>
    <t>David Brown</t>
  </si>
  <si>
    <t>123-003-111-004</t>
  </si>
  <si>
    <t>Brian Scott</t>
  </si>
  <si>
    <t>123-002-108-005</t>
  </si>
  <si>
    <t>123-001-112-001</t>
  </si>
  <si>
    <t>Paul Harris</t>
  </si>
  <si>
    <t>123-001-112-002</t>
  </si>
  <si>
    <t>Richard Miller</t>
  </si>
  <si>
    <t>123-001-112-003</t>
  </si>
  <si>
    <t>Donald Diaz</t>
  </si>
  <si>
    <t>123-001-112-004</t>
  </si>
  <si>
    <t>Lucas Nelson</t>
  </si>
  <si>
    <t>123-003-112-001</t>
  </si>
  <si>
    <t>Mason Harris</t>
  </si>
  <si>
    <t>123-003-112-002</t>
  </si>
  <si>
    <t>Joseph Turner</t>
  </si>
  <si>
    <t>123-003-112-003</t>
  </si>
  <si>
    <t>Brian Nelson</t>
  </si>
  <si>
    <t>123-003-112-004</t>
  </si>
  <si>
    <t>Edward Nguyen</t>
  </si>
  <si>
    <t>123-008-122-003</t>
  </si>
  <si>
    <t>Karen Garcia</t>
  </si>
  <si>
    <t>123-008-122-004</t>
  </si>
  <si>
    <t>Linda Carter</t>
  </si>
  <si>
    <t>123-008-122-005</t>
  </si>
  <si>
    <t>123-008-122-006</t>
  </si>
  <si>
    <t>Mason Hill</t>
  </si>
  <si>
    <t>123-008-122-007</t>
  </si>
  <si>
    <t>Jennifer Harris</t>
  </si>
  <si>
    <t>123-008-117-001</t>
  </si>
  <si>
    <t>Linda Clark</t>
  </si>
  <si>
    <t>123-002-130-007</t>
  </si>
  <si>
    <t>Logan Wright</t>
  </si>
  <si>
    <t>123-002-130-008</t>
  </si>
  <si>
    <t>Carol Young</t>
  </si>
  <si>
    <t>123-002-130-009</t>
  </si>
  <si>
    <t>Betty Martinez</t>
  </si>
  <si>
    <t>123-002-130-010</t>
  </si>
  <si>
    <t>Brian Thomas</t>
  </si>
  <si>
    <t>123-002-130-011</t>
  </si>
  <si>
    <t>Mary Perez</t>
  </si>
  <si>
    <t>123-002-128-003</t>
  </si>
  <si>
    <t>Melissa Lewis</t>
  </si>
  <si>
    <t>123-002-128-004</t>
  </si>
  <si>
    <t>Richard Lewis</t>
  </si>
  <si>
    <t>123-008-124-001</t>
  </si>
  <si>
    <t>Steven Gomez</t>
  </si>
  <si>
    <t>123-008-124-002</t>
  </si>
  <si>
    <t>William Roberts</t>
  </si>
  <si>
    <t>123-008-124-003</t>
  </si>
  <si>
    <t>123-008-124-004</t>
  </si>
  <si>
    <t>Robert Robinson</t>
  </si>
  <si>
    <t>123-008-124-005</t>
  </si>
  <si>
    <t>Sarah White</t>
  </si>
  <si>
    <t>123-001-122-001</t>
  </si>
  <si>
    <t>Joshua Lewis</t>
  </si>
  <si>
    <t>123-001-122-002</t>
  </si>
  <si>
    <t>Daniel Hernandez</t>
  </si>
  <si>
    <t>123-001-110-003</t>
  </si>
  <si>
    <t>Joshua Phillips</t>
  </si>
  <si>
    <t>123-001-110-004</t>
  </si>
  <si>
    <t>Mia Anderson</t>
  </si>
  <si>
    <t>123-001-110-005</t>
  </si>
  <si>
    <t>Anthony Allen</t>
  </si>
  <si>
    <t>123-001-110-006</t>
  </si>
  <si>
    <t>Donald Collins</t>
  </si>
  <si>
    <t>123-005-120-001</t>
  </si>
  <si>
    <t>123-005-120-002</t>
  </si>
  <si>
    <t>Donna Miller</t>
  </si>
  <si>
    <t>123-005-120-003</t>
  </si>
  <si>
    <t>Emily Adams</t>
  </si>
  <si>
    <t>123-002-116-001</t>
  </si>
  <si>
    <t>Logan Moore</t>
  </si>
  <si>
    <t>123-002-116-002</t>
  </si>
  <si>
    <t>Richard Martinez</t>
  </si>
  <si>
    <t>123-002-116-003</t>
  </si>
  <si>
    <t>Kevin Lee</t>
  </si>
  <si>
    <t>123-005-110-006</t>
  </si>
  <si>
    <t>Donna Rivera</t>
  </si>
  <si>
    <t>123-005-110-007</t>
  </si>
  <si>
    <t>Ava Nelson</t>
  </si>
  <si>
    <t>123-005-110-008</t>
  </si>
  <si>
    <t>Charles Miller</t>
  </si>
  <si>
    <t>123-005-110-009</t>
  </si>
  <si>
    <t>Ethan Scott</t>
  </si>
  <si>
    <t>123-002-121-001</t>
  </si>
  <si>
    <t>Melissa Parker</t>
  </si>
  <si>
    <t>123-002-121-002</t>
  </si>
  <si>
    <t>123-001-116-005</t>
  </si>
  <si>
    <t>Donald Cruz</t>
  </si>
  <si>
    <t>123-001-116-006</t>
  </si>
  <si>
    <t>Kimberly Martin</t>
  </si>
  <si>
    <t>123-001-116-007</t>
  </si>
  <si>
    <t>Richard Perez</t>
  </si>
  <si>
    <t>123-001-116-008</t>
  </si>
  <si>
    <t>Elizabeth Lee</t>
  </si>
  <si>
    <t>123-001-116-009</t>
  </si>
  <si>
    <t>123-003-107-005</t>
  </si>
  <si>
    <t>Sophia Carter</t>
  </si>
  <si>
    <t>123-003-107-006</t>
  </si>
  <si>
    <t>Betty Ramirez</t>
  </si>
  <si>
    <t>123-003-107-007</t>
  </si>
  <si>
    <t>Richard Campbell</t>
  </si>
  <si>
    <t>123-003-107-008</t>
  </si>
  <si>
    <t>Mary Baker</t>
  </si>
  <si>
    <t>123-003-107-009</t>
  </si>
  <si>
    <t>Brian Cruz</t>
  </si>
  <si>
    <t>123-007-104-006</t>
  </si>
  <si>
    <t>John Evans</t>
  </si>
  <si>
    <t>123-007-104-007</t>
  </si>
  <si>
    <t>Margaret Cruz</t>
  </si>
  <si>
    <t>123-007-104-008</t>
  </si>
  <si>
    <t>David Collins</t>
  </si>
  <si>
    <t>123-007-104-009</t>
  </si>
  <si>
    <t>William Wilson</t>
  </si>
  <si>
    <t>123-007-104-010</t>
  </si>
  <si>
    <t>Lisa Rivera</t>
  </si>
  <si>
    <t>123-009-125-004</t>
  </si>
  <si>
    <t>Sarah Flores</t>
  </si>
  <si>
    <t>123-009-125-005</t>
  </si>
  <si>
    <t>Carol Turner</t>
  </si>
  <si>
    <t>123-009-125-006</t>
  </si>
  <si>
    <t>Mark Harris</t>
  </si>
  <si>
    <t>123-009-125-007</t>
  </si>
  <si>
    <t>Brian Martinez</t>
  </si>
  <si>
    <t>123-009-125-008</t>
  </si>
  <si>
    <t>Karen Clark</t>
  </si>
  <si>
    <t>123-010-117-005</t>
  </si>
  <si>
    <t>123-005-125-007</t>
  </si>
  <si>
    <t>Dorothy Clark</t>
  </si>
  <si>
    <t>123-005-125-008</t>
  </si>
  <si>
    <t>Brian Walker</t>
  </si>
  <si>
    <t>123-005-125-009</t>
  </si>
  <si>
    <t>Jennifer Collins</t>
  </si>
  <si>
    <t>123-005-125-010</t>
  </si>
  <si>
    <t>Elizabeth Garcia</t>
  </si>
  <si>
    <t>123-005-125-011</t>
  </si>
  <si>
    <t>Carol Anderson</t>
  </si>
  <si>
    <t>123-002-102-001</t>
  </si>
  <si>
    <t>Lisa Phillips</t>
  </si>
  <si>
    <t>123-002-102-002</t>
  </si>
  <si>
    <t>Mia Carter</t>
  </si>
  <si>
    <t>123-003-122-007</t>
  </si>
  <si>
    <t>123-003-122-008</t>
  </si>
  <si>
    <t>Isabella Perez</t>
  </si>
  <si>
    <t>123-003-122-009</t>
  </si>
  <si>
    <t>Sarah Turner</t>
  </si>
  <si>
    <t>123-007-126-001</t>
  </si>
  <si>
    <t>Brian Campbell</t>
  </si>
  <si>
    <t>123-007-126-002</t>
  </si>
  <si>
    <t>Anthony Collins</t>
  </si>
  <si>
    <t>123-010-106-001</t>
  </si>
  <si>
    <t>123-010-106-002</t>
  </si>
  <si>
    <t>Mark Williams</t>
  </si>
  <si>
    <t>123-010-106-003</t>
  </si>
  <si>
    <t>123-010-106-004</t>
  </si>
  <si>
    <t>Margaret Nelson</t>
  </si>
  <si>
    <t>123-009-105-001</t>
  </si>
  <si>
    <t>Mia Young</t>
  </si>
  <si>
    <t>123-009-105-002</t>
  </si>
  <si>
    <t>Steven Diaz</t>
  </si>
  <si>
    <t>123-009-105-003</t>
  </si>
  <si>
    <t>Edward Young</t>
  </si>
  <si>
    <t>123-009-105-004</t>
  </si>
  <si>
    <t>Steven Anderson</t>
  </si>
  <si>
    <t>123-009-105-005</t>
  </si>
  <si>
    <t>Sandra Lewis</t>
  </si>
  <si>
    <t>123-001-116-010</t>
  </si>
  <si>
    <t>Emily Scott</t>
  </si>
  <si>
    <t>123-009-129-001</t>
  </si>
  <si>
    <t>Kevin Robinson</t>
  </si>
  <si>
    <t>123-009-129-002</t>
  </si>
  <si>
    <t>Mia Robinson</t>
  </si>
  <si>
    <t>123-009-129-003</t>
  </si>
  <si>
    <t>123-009-129-004</t>
  </si>
  <si>
    <t>Edward Nelson</t>
  </si>
  <si>
    <t>123-009-129-005</t>
  </si>
  <si>
    <t>Emily King</t>
  </si>
  <si>
    <t>123-003-129-001</t>
  </si>
  <si>
    <t>Dorothy Mitchell</t>
  </si>
  <si>
    <t>123-003-129-002</t>
  </si>
  <si>
    <t>123-003-129-003</t>
  </si>
  <si>
    <t>Sandra Evans</t>
  </si>
  <si>
    <t>123-003-129-004</t>
  </si>
  <si>
    <t>Anthony Williams</t>
  </si>
  <si>
    <t>123-010-115-010</t>
  </si>
  <si>
    <t>Ashley Smith</t>
  </si>
  <si>
    <t>123-010-115-011</t>
  </si>
  <si>
    <t>123-010-115-012</t>
  </si>
  <si>
    <t>Jackson Allen</t>
  </si>
  <si>
    <t>123-010-115-013</t>
  </si>
  <si>
    <t>123-010-115-014</t>
  </si>
  <si>
    <t>Steven Cruz</t>
  </si>
  <si>
    <t>123-005-111-004</t>
  </si>
  <si>
    <t>Anthony Hill</t>
  </si>
  <si>
    <t>123-005-111-005</t>
  </si>
  <si>
    <t>123-005-111-006</t>
  </si>
  <si>
    <t>Amanda Thompson</t>
  </si>
  <si>
    <t>123-005-111-007</t>
  </si>
  <si>
    <t>Steven Wright</t>
  </si>
  <si>
    <t>123-008-118-001</t>
  </si>
  <si>
    <t>Amanda Mitchell</t>
  </si>
  <si>
    <t>123-008-118-002</t>
  </si>
  <si>
    <t>Kimberly Miller</t>
  </si>
  <si>
    <t>123-008-118-003</t>
  </si>
  <si>
    <t>Patricia Gonzalez</t>
  </si>
  <si>
    <t>123-008-118-004</t>
  </si>
  <si>
    <t>Amanda Taylor</t>
  </si>
  <si>
    <t>123-008-118-005</t>
  </si>
  <si>
    <t>123-010-104-001</t>
  </si>
  <si>
    <t>Jessica Allen</t>
  </si>
  <si>
    <t>123-010-104-002</t>
  </si>
  <si>
    <t>Matthew Harris</t>
  </si>
  <si>
    <t>123-010-104-003</t>
  </si>
  <si>
    <t>Emily Brown</t>
  </si>
  <si>
    <t>123-010-104-004</t>
  </si>
  <si>
    <t>Logan Roberts</t>
  </si>
  <si>
    <t>123-010-104-005</t>
  </si>
  <si>
    <t>Kenneth Rivera</t>
  </si>
  <si>
    <t>123-004-125-008</t>
  </si>
  <si>
    <t>Barbara Lopez</t>
  </si>
  <si>
    <t>123-004-125-009</t>
  </si>
  <si>
    <t>Sarah Scott</t>
  </si>
  <si>
    <t>123-004-125-010</t>
  </si>
  <si>
    <t>Mia Taylor</t>
  </si>
  <si>
    <t>123-003-123-002</t>
  </si>
  <si>
    <t>Christopher Hill</t>
  </si>
  <si>
    <t>123-010-116-003</t>
  </si>
  <si>
    <t>Sophia Rivera</t>
  </si>
  <si>
    <t>123-010-116-004</t>
  </si>
  <si>
    <t>Barbara King</t>
  </si>
  <si>
    <t>123-010-116-005</t>
  </si>
  <si>
    <t>Paul Wright</t>
  </si>
  <si>
    <t>123-010-116-006</t>
  </si>
  <si>
    <t>Susan Nelson</t>
  </si>
  <si>
    <t>123-010-116-007</t>
  </si>
  <si>
    <t>Charlotte Carter</t>
  </si>
  <si>
    <t>123-006-104-001</t>
  </si>
  <si>
    <t>Carol Flores</t>
  </si>
  <si>
    <t>123-006-104-002</t>
  </si>
  <si>
    <t>Matthew Collins</t>
  </si>
  <si>
    <t>123-006-104-003</t>
  </si>
  <si>
    <t>Mary Collins</t>
  </si>
  <si>
    <t>123-006-104-004</t>
  </si>
  <si>
    <t>Ashley Williams</t>
  </si>
  <si>
    <t>123-009-111-005</t>
  </si>
  <si>
    <t>Deborah Wright</t>
  </si>
  <si>
    <t>123-004-122-005</t>
  </si>
  <si>
    <t>Paul Turner</t>
  </si>
  <si>
    <t>123-004-122-006</t>
  </si>
  <si>
    <t>Mary Robinson</t>
  </si>
  <si>
    <t>123-004-122-007</t>
  </si>
  <si>
    <t>Barbara Gomez</t>
  </si>
  <si>
    <t>123-004-122-008</t>
  </si>
  <si>
    <t>123-007-115-001</t>
  </si>
  <si>
    <t>Matthew Baker</t>
  </si>
  <si>
    <t>123-007-115-002</t>
  </si>
  <si>
    <t>Sophia Baker</t>
  </si>
  <si>
    <t>123-007-115-003</t>
  </si>
  <si>
    <t>Edward Mitchell</t>
  </si>
  <si>
    <t>123-007-115-004</t>
  </si>
  <si>
    <t>123-008-110-006</t>
  </si>
  <si>
    <t>Kevin Johnson</t>
  </si>
  <si>
    <t>123-008-110-007</t>
  </si>
  <si>
    <t>Melissa Sanchez</t>
  </si>
  <si>
    <t>123-008-110-008</t>
  </si>
  <si>
    <t>123-008-110-009</t>
  </si>
  <si>
    <t>123-009-118-005</t>
  </si>
  <si>
    <t>Melissa Mitchell</t>
  </si>
  <si>
    <t>123-009-129-006</t>
  </si>
  <si>
    <t>Joseph Flores</t>
  </si>
  <si>
    <t>123-009-129-007</t>
  </si>
  <si>
    <t>Kevin Phillips</t>
  </si>
  <si>
    <t>123-009-121-010</t>
  </si>
  <si>
    <t>John Taylor</t>
  </si>
  <si>
    <t>123-006-111-001</t>
  </si>
  <si>
    <t>Michael Jackson</t>
  </si>
  <si>
    <t>123-006-111-002</t>
  </si>
  <si>
    <t>123-010-119-004</t>
  </si>
  <si>
    <t>David Smith</t>
  </si>
  <si>
    <t>123-010-119-005</t>
  </si>
  <si>
    <t>Melissa Adams</t>
  </si>
  <si>
    <t>123-010-119-006</t>
  </si>
  <si>
    <t>Amanda Campbell</t>
  </si>
  <si>
    <t>123-006-115-009</t>
  </si>
  <si>
    <t>Barbara Adams</t>
  </si>
  <si>
    <t>123-006-115-010</t>
  </si>
  <si>
    <t>123-006-115-011</t>
  </si>
  <si>
    <t>George Jones</t>
  </si>
  <si>
    <t>123-010-127-001</t>
  </si>
  <si>
    <t>Ava Williams</t>
  </si>
  <si>
    <t>123-010-127-002</t>
  </si>
  <si>
    <t>Carol Roberts</t>
  </si>
  <si>
    <t>123-010-127-003</t>
  </si>
  <si>
    <t>123-010-127-004</t>
  </si>
  <si>
    <t>123-010-127-005</t>
  </si>
  <si>
    <t>Ethan Flores</t>
  </si>
  <si>
    <t>123-008-105-001</t>
  </si>
  <si>
    <t>Charlotte Torres</t>
  </si>
  <si>
    <t>123-008-105-002</t>
  </si>
  <si>
    <t>123-004-112-005</t>
  </si>
  <si>
    <t>Matthew Walker</t>
  </si>
  <si>
    <t>123-006-121-001</t>
  </si>
  <si>
    <t>Mason Mitchell</t>
  </si>
  <si>
    <t>123-007-113-007</t>
  </si>
  <si>
    <t>Kimberly Taylor</t>
  </si>
  <si>
    <t>123-007-113-008</t>
  </si>
  <si>
    <t>Isabella Parker</t>
  </si>
  <si>
    <t>123-007-113-009</t>
  </si>
  <si>
    <t>123-009-103-005</t>
  </si>
  <si>
    <t>Barbara Hernandez</t>
  </si>
  <si>
    <t>123-009-103-006</t>
  </si>
  <si>
    <t>Kevin Anderson</t>
  </si>
  <si>
    <t>123-009-103-007</t>
  </si>
  <si>
    <t>Amanda Walker</t>
  </si>
  <si>
    <t>123-007-121-005</t>
  </si>
  <si>
    <t>William Torres</t>
  </si>
  <si>
    <t>123-010-102-001</t>
  </si>
  <si>
    <t>123-010-102-002</t>
  </si>
  <si>
    <t>123-005-129-003</t>
  </si>
  <si>
    <t>Joshua Walker</t>
  </si>
  <si>
    <t>123-007-127-001</t>
  </si>
  <si>
    <t>Donna Evans</t>
  </si>
  <si>
    <t>123-007-127-002</t>
  </si>
  <si>
    <t>123-007-127-003</t>
  </si>
  <si>
    <t>Joseph Harris</t>
  </si>
  <si>
    <t>123-007-127-004</t>
  </si>
  <si>
    <t>Kimberly Parker</t>
  </si>
  <si>
    <t>123-007-127-005</t>
  </si>
  <si>
    <t>123-009-129-008</t>
  </si>
  <si>
    <t>Donald Nelson</t>
  </si>
  <si>
    <t>123-009-129-009</t>
  </si>
  <si>
    <t>123-009-129-010</t>
  </si>
  <si>
    <t>123-009-129-011</t>
  </si>
  <si>
    <t>Daniel Nguyen</t>
  </si>
  <si>
    <t>123-009-129-012</t>
  </si>
  <si>
    <t>Deborah Anderson</t>
  </si>
  <si>
    <t>123-004-109-001</t>
  </si>
  <si>
    <t>Andrew King</t>
  </si>
  <si>
    <t>123-004-121-001</t>
  </si>
  <si>
    <t>Elizabeth Ramirez</t>
  </si>
  <si>
    <t>123-004-121-002</t>
  </si>
  <si>
    <t>Michelle Moore</t>
  </si>
  <si>
    <t>123-004-121-003</t>
  </si>
  <si>
    <t>Barbara White</t>
  </si>
  <si>
    <t>123-007-125-014</t>
  </si>
  <si>
    <t>Melissa Anderson</t>
  </si>
  <si>
    <t>123-007-125-015</t>
  </si>
  <si>
    <t>123-007-106-001</t>
  </si>
  <si>
    <t>Donald Hill</t>
  </si>
  <si>
    <t>123-006-108-001</t>
  </si>
  <si>
    <t>Jackson Sanchez</t>
  </si>
  <si>
    <t>123-003-125-004</t>
  </si>
  <si>
    <t>Mia Nelson</t>
  </si>
  <si>
    <t>123-003-125-005</t>
  </si>
  <si>
    <t>Joshua Allen</t>
  </si>
  <si>
    <t>123-003-125-006</t>
  </si>
  <si>
    <t>David Baker</t>
  </si>
  <si>
    <t>123-003-125-007</t>
  </si>
  <si>
    <t>James Hernandez</t>
  </si>
  <si>
    <t>123-007-112-014</t>
  </si>
  <si>
    <t>Melissa Rivera</t>
  </si>
  <si>
    <t>123-007-112-015</t>
  </si>
  <si>
    <t>Daniel Evans</t>
  </si>
  <si>
    <t>123-007-112-016</t>
  </si>
  <si>
    <t>123-007-112-017</t>
  </si>
  <si>
    <t>Emily Jones</t>
  </si>
  <si>
    <t>123-009-126-001</t>
  </si>
  <si>
    <t>Brian Lewis</t>
  </si>
  <si>
    <t>123-009-126-002</t>
  </si>
  <si>
    <t>Deborah Robinson</t>
  </si>
  <si>
    <t>123-009-126-003</t>
  </si>
  <si>
    <t>Linda Taylor</t>
  </si>
  <si>
    <t>123-004-122-009</t>
  </si>
  <si>
    <t>Kimberly Wright</t>
  </si>
  <si>
    <t>123-004-122-010</t>
  </si>
  <si>
    <t>123-004-122-011</t>
  </si>
  <si>
    <t>123-010-107-001</t>
  </si>
  <si>
    <t>Melissa Baker</t>
  </si>
  <si>
    <t>123-010-107-002</t>
  </si>
  <si>
    <t>Melissa Thomas</t>
  </si>
  <si>
    <t>123-010-107-003</t>
  </si>
  <si>
    <t>Jessica Turner</t>
  </si>
  <si>
    <t>123-002-104-001</t>
  </si>
  <si>
    <t>Mia Walker</t>
  </si>
  <si>
    <t>123-002-104-002</t>
  </si>
  <si>
    <t>Ashley Lopez</t>
  </si>
  <si>
    <t>123-002-104-003</t>
  </si>
  <si>
    <t>Andrew Rodriguez</t>
  </si>
  <si>
    <t>123-002-104-004</t>
  </si>
  <si>
    <t>Charlotte Wright</t>
  </si>
  <si>
    <t>123-003-128-001</t>
  </si>
  <si>
    <t>Christopher Hall</t>
  </si>
  <si>
    <t>123-003-128-002</t>
  </si>
  <si>
    <t>123-003-128-003</t>
  </si>
  <si>
    <t>Barbara Scott</t>
  </si>
  <si>
    <t>123-003-128-004</t>
  </si>
  <si>
    <t>Lisa Lopez</t>
  </si>
  <si>
    <t>123-006-123-001</t>
  </si>
  <si>
    <t>Mark Lopez</t>
  </si>
  <si>
    <t>123-006-123-002</t>
  </si>
  <si>
    <t>Michael Campbell</t>
  </si>
  <si>
    <t>123-006-123-003</t>
  </si>
  <si>
    <t>123-003-126-004</t>
  </si>
  <si>
    <t>123-003-126-005</t>
  </si>
  <si>
    <t>Sophia Young</t>
  </si>
  <si>
    <t>123-003-126-006</t>
  </si>
  <si>
    <t>Betty Miller</t>
  </si>
  <si>
    <t>123-003-126-007</t>
  </si>
  <si>
    <t>Mason Green</t>
  </si>
  <si>
    <t>123-006-109-001</t>
  </si>
  <si>
    <t>123-006-109-002</t>
  </si>
  <si>
    <t>Andrew Torres</t>
  </si>
  <si>
    <t>123-006-109-003</t>
  </si>
  <si>
    <t>Deborah Mitchell</t>
  </si>
  <si>
    <t>123-005-120-004</t>
  </si>
  <si>
    <t>Logan Hernandez</t>
  </si>
  <si>
    <t>123-005-120-005</t>
  </si>
  <si>
    <t>Mia Collins</t>
  </si>
  <si>
    <t>123-005-120-006</t>
  </si>
  <si>
    <t>Christopher Adams</t>
  </si>
  <si>
    <t>123-005-120-007</t>
  </si>
  <si>
    <t>123-010-124-003</t>
  </si>
  <si>
    <t>David Lopez</t>
  </si>
  <si>
    <t>123-010-124-004</t>
  </si>
  <si>
    <t>123-010-124-005</t>
  </si>
  <si>
    <t>Michael Miller</t>
  </si>
  <si>
    <t>123-010-124-006</t>
  </si>
  <si>
    <t>Mary Roberts</t>
  </si>
  <si>
    <t>123-010-124-007</t>
  </si>
  <si>
    <t>Thomas Flores</t>
  </si>
  <si>
    <t>123-004-110-001</t>
  </si>
  <si>
    <t>Kenneth Rodriguez</t>
  </si>
  <si>
    <t>123-004-110-002</t>
  </si>
  <si>
    <t>Robert Nelson</t>
  </si>
  <si>
    <t>123-008-128-001</t>
  </si>
  <si>
    <t>Emily Lewis</t>
  </si>
  <si>
    <t>123-008-128-002</t>
  </si>
  <si>
    <t>Joshua Robinson</t>
  </si>
  <si>
    <t>123-008-128-003</t>
  </si>
  <si>
    <t>Ava Thompson</t>
  </si>
  <si>
    <t>123-008-128-004</t>
  </si>
  <si>
    <t>Karen White</t>
  </si>
  <si>
    <t>123-001-101-008</t>
  </si>
  <si>
    <t>Daniel Jackson</t>
  </si>
  <si>
    <t>123-001-101-009</t>
  </si>
  <si>
    <t>123-001-101-010</t>
  </si>
  <si>
    <t>Joshua Anderson</t>
  </si>
  <si>
    <t>123-001-101-011</t>
  </si>
  <si>
    <t>Olivia Scott</t>
  </si>
  <si>
    <t>123-001-101-012</t>
  </si>
  <si>
    <t>123-005-108-003</t>
  </si>
  <si>
    <t>Kimberly Carter</t>
  </si>
  <si>
    <t>123-005-126-001</t>
  </si>
  <si>
    <t>John Lopez</t>
  </si>
  <si>
    <t>123-005-126-002</t>
  </si>
  <si>
    <t>Sandra Flores</t>
  </si>
  <si>
    <t>123-005-126-003</t>
  </si>
  <si>
    <t>Richard Lee</t>
  </si>
  <si>
    <t>123-005-126-004</t>
  </si>
  <si>
    <t>Barbara Miller</t>
  </si>
  <si>
    <t>123-001-124-001</t>
  </si>
  <si>
    <t>123-001-124-002</t>
  </si>
  <si>
    <t>123-007-111-001</t>
  </si>
  <si>
    <t>Lisa Robinson</t>
  </si>
  <si>
    <t>123-007-111-002</t>
  </si>
  <si>
    <t>123-007-111-003</t>
  </si>
  <si>
    <t>Lucas Turner</t>
  </si>
  <si>
    <t>123-004-104-007</t>
  </si>
  <si>
    <t>123-004-104-008</t>
  </si>
  <si>
    <t>Kimberly Nelson</t>
  </si>
  <si>
    <t>123-004-104-009</t>
  </si>
  <si>
    <t>123-004-104-010</t>
  </si>
  <si>
    <t>Jackson Scott</t>
  </si>
  <si>
    <t>123-005-116-003</t>
  </si>
  <si>
    <t>Patricia Parker</t>
  </si>
  <si>
    <t>123-005-116-004</t>
  </si>
  <si>
    <t>Margaret Lee</t>
  </si>
  <si>
    <t>123-002-119-001</t>
  </si>
  <si>
    <t>Robert Nguyen</t>
  </si>
  <si>
    <t>123-002-119-002</t>
  </si>
  <si>
    <t>Deborah Garcia</t>
  </si>
  <si>
    <t>123-002-119-003</t>
  </si>
  <si>
    <t>Jackson Carter</t>
  </si>
  <si>
    <t>123-002-119-004</t>
  </si>
  <si>
    <t>William Young</t>
  </si>
  <si>
    <t>123-008-126-001</t>
  </si>
  <si>
    <t>123-008-126-002</t>
  </si>
  <si>
    <t>123-008-116-001</t>
  </si>
  <si>
    <t>123-008-116-002</t>
  </si>
  <si>
    <t>123-008-116-003</t>
  </si>
  <si>
    <t>John King</t>
  </si>
  <si>
    <t>123-008-116-004</t>
  </si>
  <si>
    <t>Sandra Smith</t>
  </si>
  <si>
    <t>123-008-116-005</t>
  </si>
  <si>
    <t>Mary Flores</t>
  </si>
  <si>
    <t>123-002-111-001</t>
  </si>
  <si>
    <t>Kimberly Baker</t>
  </si>
  <si>
    <t>123-002-111-002</t>
  </si>
  <si>
    <t>Charles Lee</t>
  </si>
  <si>
    <t>123-002-111-003</t>
  </si>
  <si>
    <t>123-002-111-004</t>
  </si>
  <si>
    <t>Logan Williams</t>
  </si>
  <si>
    <t>123-002-111-005</t>
  </si>
  <si>
    <t>Robert Torres</t>
  </si>
  <si>
    <t>123-010-117-006</t>
  </si>
  <si>
    <t>123-010-117-007</t>
  </si>
  <si>
    <t>123-010-117-008</t>
  </si>
  <si>
    <t>Emily Mitchell</t>
  </si>
  <si>
    <t>123-010-117-009</t>
  </si>
  <si>
    <t>123-010-117-010</t>
  </si>
  <si>
    <t>John Wilson</t>
  </si>
  <si>
    <t>123-007-118-001</t>
  </si>
  <si>
    <t>Kevin Thomas</t>
  </si>
  <si>
    <t>123-007-118-002</t>
  </si>
  <si>
    <t>123-002-129-001</t>
  </si>
  <si>
    <t>Steven Perez</t>
  </si>
  <si>
    <t>123-002-129-002</t>
  </si>
  <si>
    <t>Lucas Lee</t>
  </si>
  <si>
    <t>123-007-125-016</t>
  </si>
  <si>
    <t>Matthew Roberts</t>
  </si>
  <si>
    <t>123-007-125-017</t>
  </si>
  <si>
    <t>James Campbell</t>
  </si>
  <si>
    <t>123-007-125-018</t>
  </si>
  <si>
    <t>William Cruz</t>
  </si>
  <si>
    <t>123-004-108-002</t>
  </si>
  <si>
    <t>William Taylor</t>
  </si>
  <si>
    <t>123-004-108-003</t>
  </si>
  <si>
    <t>Ava Scott</t>
  </si>
  <si>
    <t>123-004-108-004</t>
  </si>
  <si>
    <t>Michael Williams</t>
  </si>
  <si>
    <t>123-005-108-004</t>
  </si>
  <si>
    <t>123-005-108-005</t>
  </si>
  <si>
    <t>Ava Wilson</t>
  </si>
  <si>
    <t>123-005-108-006</t>
  </si>
  <si>
    <t>Donald Lopez</t>
  </si>
  <si>
    <t>123-005-120-008</t>
  </si>
  <si>
    <t>123-007-112-018</t>
  </si>
  <si>
    <t>123-007-112-019</t>
  </si>
  <si>
    <t>Kenneth Roberts</t>
  </si>
  <si>
    <t>123-007-112-020</t>
  </si>
  <si>
    <t>Paul Torres</t>
  </si>
  <si>
    <t>123-007-112-021</t>
  </si>
  <si>
    <t>Patricia Baker</t>
  </si>
  <si>
    <t>123-004-103-002</t>
  </si>
  <si>
    <t>123-004-103-003</t>
  </si>
  <si>
    <t>Ashley Sanchez</t>
  </si>
  <si>
    <t>123-004-103-004</t>
  </si>
  <si>
    <t>Emily Sanchez</t>
  </si>
  <si>
    <t>123-004-103-005</t>
  </si>
  <si>
    <t>Edward Rodriguez</t>
  </si>
  <si>
    <t>123-004-108-005</t>
  </si>
  <si>
    <t>123-006-114-001</t>
  </si>
  <si>
    <t>Daniel Hill</t>
  </si>
  <si>
    <t>123-006-114-002</t>
  </si>
  <si>
    <t>Daniel Flores</t>
  </si>
  <si>
    <t>123-006-114-003</t>
  </si>
  <si>
    <t>Robert Evans</t>
  </si>
  <si>
    <t>123-002-105-005</t>
  </si>
  <si>
    <t>Charlotte Flores</t>
  </si>
  <si>
    <t>123-006-101-002</t>
  </si>
  <si>
    <t>Donald Johnson</t>
  </si>
  <si>
    <t>123-009-107-007</t>
  </si>
  <si>
    <t>Michelle Campbell</t>
  </si>
  <si>
    <t>123-009-107-008</t>
  </si>
  <si>
    <t>Donna Edwards</t>
  </si>
  <si>
    <t>123-009-107-009</t>
  </si>
  <si>
    <t>Charles Gonzalez</t>
  </si>
  <si>
    <t>123-009-107-010</t>
  </si>
  <si>
    <t>John Harris</t>
  </si>
  <si>
    <t>123-009-107-011</t>
  </si>
  <si>
    <t>Logan Miller</t>
  </si>
  <si>
    <t>123-007-108-003</t>
  </si>
  <si>
    <t>123-007-108-004</t>
  </si>
  <si>
    <t>Richard Allen</t>
  </si>
  <si>
    <t>123-007-108-005</t>
  </si>
  <si>
    <t>123-007-108-006</t>
  </si>
  <si>
    <t>Mary Thompson</t>
  </si>
  <si>
    <t>123-007-108-007</t>
  </si>
  <si>
    <t>Ethan Brown</t>
  </si>
  <si>
    <t>123-005-118-001</t>
  </si>
  <si>
    <t>Lucas Sanchez</t>
  </si>
  <si>
    <t>123-005-118-002</t>
  </si>
  <si>
    <t>Anthony Thomas</t>
  </si>
  <si>
    <t>123-009-115-001</t>
  </si>
  <si>
    <t>William Nguyen</t>
  </si>
  <si>
    <t>123-009-115-002</t>
  </si>
  <si>
    <t>Brian Rivera</t>
  </si>
  <si>
    <t>123-003-114-001</t>
  </si>
  <si>
    <t>123-003-114-002</t>
  </si>
  <si>
    <t>Mason Cruz</t>
  </si>
  <si>
    <t>123-003-114-003</t>
  </si>
  <si>
    <t>Christopher Cruz</t>
  </si>
  <si>
    <t>123-003-114-004</t>
  </si>
  <si>
    <t>Elizabeth Roberts</t>
  </si>
  <si>
    <t>123-003-114-005</t>
  </si>
  <si>
    <t>Edward Flores</t>
  </si>
  <si>
    <t>123-004-120-001</t>
  </si>
  <si>
    <t>Jennifer Hall</t>
  </si>
  <si>
    <t>123-004-120-002</t>
  </si>
  <si>
    <t>Dorothy Adams</t>
  </si>
  <si>
    <t>123-008-116-006</t>
  </si>
  <si>
    <t>Joseph Williams</t>
  </si>
  <si>
    <t>123-008-116-007</t>
  </si>
  <si>
    <t>Charlotte Clark</t>
  </si>
  <si>
    <t>123-004-125-011</t>
  </si>
  <si>
    <t>123-008-128-005</t>
  </si>
  <si>
    <t>123-008-128-006</t>
  </si>
  <si>
    <t>123-004-129-004</t>
  </si>
  <si>
    <t>Emily Harris</t>
  </si>
  <si>
    <t>123-004-129-005</t>
  </si>
  <si>
    <t>123-004-129-006</t>
  </si>
  <si>
    <t>123-004-129-007</t>
  </si>
  <si>
    <t>Sandra Turner</t>
  </si>
  <si>
    <t>123-004-129-008</t>
  </si>
  <si>
    <t>123-001-115-001</t>
  </si>
  <si>
    <t>Olivia Robinson</t>
  </si>
  <si>
    <t>123-001-115-002</t>
  </si>
  <si>
    <t>Dorothy Campbell</t>
  </si>
  <si>
    <t>123-006-121-002</t>
  </si>
  <si>
    <t>123-007-118-003</t>
  </si>
  <si>
    <t>Andrew Parker</t>
  </si>
  <si>
    <t>123-001-106-001</t>
  </si>
  <si>
    <t>George Roberts</t>
  </si>
  <si>
    <t>123-001-106-002</t>
  </si>
  <si>
    <t>Lucas Rodriguez</t>
  </si>
  <si>
    <t>123-001-106-003</t>
  </si>
  <si>
    <t>Sandra Young</t>
  </si>
  <si>
    <t>123-001-106-004</t>
  </si>
  <si>
    <t>Olivia Young</t>
  </si>
  <si>
    <t>123-007-115-005</t>
  </si>
  <si>
    <t>Jennifer Brown</t>
  </si>
  <si>
    <t>123-007-115-006</t>
  </si>
  <si>
    <t>123-007-115-007</t>
  </si>
  <si>
    <t>Patricia Lopez</t>
  </si>
  <si>
    <t>123-007-115-008</t>
  </si>
  <si>
    <t>Mia Williams</t>
  </si>
  <si>
    <t>123-005-106-006</t>
  </si>
  <si>
    <t>Sandra Mitchell</t>
  </si>
  <si>
    <t>123-005-106-007</t>
  </si>
  <si>
    <t>Karen Lee</t>
  </si>
  <si>
    <t>123-005-106-008</t>
  </si>
  <si>
    <t>Edward Ramirez</t>
  </si>
  <si>
    <t>123-005-106-009</t>
  </si>
  <si>
    <t>123-005-106-010</t>
  </si>
  <si>
    <t>123-008-103-006</t>
  </si>
  <si>
    <t>Margaret Hill</t>
  </si>
  <si>
    <t>123-008-103-007</t>
  </si>
  <si>
    <t>Jackson Rodriguez</t>
  </si>
  <si>
    <t>123-008-103-008</t>
  </si>
  <si>
    <t>Ethan Lopez</t>
  </si>
  <si>
    <t>123-008-103-009</t>
  </si>
  <si>
    <t>123-008-103-010</t>
  </si>
  <si>
    <t>Mia Wilson</t>
  </si>
  <si>
    <t>123-006-111-003</t>
  </si>
  <si>
    <t>James Green</t>
  </si>
  <si>
    <t>123-006-111-004</t>
  </si>
  <si>
    <t>John Martin</t>
  </si>
  <si>
    <t>123-006-111-005</t>
  </si>
  <si>
    <t>123-006-111-006</t>
  </si>
  <si>
    <t>Mason Lopez</t>
  </si>
  <si>
    <t>123-006-111-007</t>
  </si>
  <si>
    <t>Ava Walker</t>
  </si>
  <si>
    <t>123-008-105-003</t>
  </si>
  <si>
    <t>Sophia Evans</t>
  </si>
  <si>
    <t>123-008-105-004</t>
  </si>
  <si>
    <t>123-008-105-005</t>
  </si>
  <si>
    <t>Andrew Baker</t>
  </si>
  <si>
    <t>123-008-105-006</t>
  </si>
  <si>
    <t>John Martinez</t>
  </si>
  <si>
    <t>123-008-105-007</t>
  </si>
  <si>
    <t>123-010-106-005</t>
  </si>
  <si>
    <t>Dorothy Diaz</t>
  </si>
  <si>
    <t>123-002-114-002</t>
  </si>
  <si>
    <t>123-002-114-003</t>
  </si>
  <si>
    <t>Lisa Gomez</t>
  </si>
  <si>
    <t>123-002-114-004</t>
  </si>
  <si>
    <t>Steven Johnson</t>
  </si>
  <si>
    <t>123-002-114-005</t>
  </si>
  <si>
    <t>Nancy Walker</t>
  </si>
  <si>
    <t>123-002-105-006</t>
  </si>
  <si>
    <t>Susan Campbell</t>
  </si>
  <si>
    <t>123-002-105-007</t>
  </si>
  <si>
    <t>James Martin</t>
  </si>
  <si>
    <t>123-002-105-008</t>
  </si>
  <si>
    <t>Nancy Robinson</t>
  </si>
  <si>
    <t>123-002-105-009</t>
  </si>
  <si>
    <t>Mary Torres</t>
  </si>
  <si>
    <t>123-002-105-010</t>
  </si>
  <si>
    <t>123-008-111-001</t>
  </si>
  <si>
    <t>David Moore</t>
  </si>
  <si>
    <t>123-004-104-011</t>
  </si>
  <si>
    <t>Christopher Moore</t>
  </si>
  <si>
    <t>123-004-104-012</t>
  </si>
  <si>
    <t>David Jones</t>
  </si>
  <si>
    <t>123-004-104-013</t>
  </si>
  <si>
    <t>Patricia Rodriguez</t>
  </si>
  <si>
    <t>123-004-104-014</t>
  </si>
  <si>
    <t>Matthew Brown</t>
  </si>
  <si>
    <t>123-004-104-015</t>
  </si>
  <si>
    <t>Joshua Edwards</t>
  </si>
  <si>
    <t>123-006-110-006</t>
  </si>
  <si>
    <t>123-006-110-007</t>
  </si>
  <si>
    <t>Ethan Collins</t>
  </si>
  <si>
    <t>123-008-110-010</t>
  </si>
  <si>
    <t>Joseph Martinez</t>
  </si>
  <si>
    <t>123-008-110-011</t>
  </si>
  <si>
    <t>Barbara Hall</t>
  </si>
  <si>
    <t>123-008-110-012</t>
  </si>
  <si>
    <t>123-008-110-013</t>
  </si>
  <si>
    <t>Donald Robinson</t>
  </si>
  <si>
    <t>123-010-120-006</t>
  </si>
  <si>
    <t>Isabella Rivera</t>
  </si>
  <si>
    <t>123-010-120-007</t>
  </si>
  <si>
    <t>Paul Robinson</t>
  </si>
  <si>
    <t>123-004-120-003</t>
  </si>
  <si>
    <t>Donald Harris</t>
  </si>
  <si>
    <t>123-004-120-004</t>
  </si>
  <si>
    <t>Brian Nguyen</t>
  </si>
  <si>
    <t>123-004-120-005</t>
  </si>
  <si>
    <t>Paul Hall</t>
  </si>
  <si>
    <t>123-004-120-006</t>
  </si>
  <si>
    <t>Linda Nguyen</t>
  </si>
  <si>
    <t>123-004-120-007</t>
  </si>
  <si>
    <t>123-002-120-005</t>
  </si>
  <si>
    <t>Christopher Young</t>
  </si>
  <si>
    <t>123-002-120-006</t>
  </si>
  <si>
    <t>Edward Martinez</t>
  </si>
  <si>
    <t>123-002-120-007</t>
  </si>
  <si>
    <t>Michelle Torres</t>
  </si>
  <si>
    <t>123-002-120-008</t>
  </si>
  <si>
    <t>Olivia Lee</t>
  </si>
  <si>
    <t>123-002-120-009</t>
  </si>
  <si>
    <t>Ava Ramirez</t>
  </si>
  <si>
    <t>123-009-120-001</t>
  </si>
  <si>
    <t>Patricia White</t>
  </si>
  <si>
    <t>123-009-120-002</t>
  </si>
  <si>
    <t>Linda Parker</t>
  </si>
  <si>
    <t>123-009-120-003</t>
  </si>
  <si>
    <t>123-009-120-004</t>
  </si>
  <si>
    <t>Betty Harris</t>
  </si>
  <si>
    <t>123-003-116-001</t>
  </si>
  <si>
    <t>123-003-116-002</t>
  </si>
  <si>
    <t>James Jones</t>
  </si>
  <si>
    <t>123-007-122-001</t>
  </si>
  <si>
    <t>Sandra Allen</t>
  </si>
  <si>
    <t>123-007-122-002</t>
  </si>
  <si>
    <t>Logan Robinson</t>
  </si>
  <si>
    <t>123-006-113-001</t>
  </si>
  <si>
    <t>Joshua Smith</t>
  </si>
  <si>
    <t>123-006-113-002</t>
  </si>
  <si>
    <t>Anthony Wright</t>
  </si>
  <si>
    <t>123-006-123-004</t>
  </si>
  <si>
    <t>Elizabeth Campbell</t>
  </si>
  <si>
    <t>123-009-115-003</t>
  </si>
  <si>
    <t>Jessica Walker</t>
  </si>
  <si>
    <t>123-001-120-005</t>
  </si>
  <si>
    <t>123-001-120-006</t>
  </si>
  <si>
    <t>Anthony Thompson</t>
  </si>
  <si>
    <t>123-001-120-007</t>
  </si>
  <si>
    <t>Jackson Hill</t>
  </si>
  <si>
    <t>123-008-102-001</t>
  </si>
  <si>
    <t>Patricia Nelson</t>
  </si>
  <si>
    <t>123-008-102-002</t>
  </si>
  <si>
    <t>Charles Young</t>
  </si>
  <si>
    <t>123-008-102-003</t>
  </si>
  <si>
    <t>Sophia Moore</t>
  </si>
  <si>
    <t>123-008-102-004</t>
  </si>
  <si>
    <t>123-008-102-005</t>
  </si>
  <si>
    <t>Kevin Lewis</t>
  </si>
  <si>
    <t>123-004-126-009</t>
  </si>
  <si>
    <t>123-004-126-010</t>
  </si>
  <si>
    <t>Joshua Evans</t>
  </si>
  <si>
    <t>123-004-126-011</t>
  </si>
  <si>
    <t>Deborah Harris</t>
  </si>
  <si>
    <t>123-004-126-012</t>
  </si>
  <si>
    <t>Susan Torres</t>
  </si>
  <si>
    <t>123-002-125-006</t>
  </si>
  <si>
    <t>Betty Walker</t>
  </si>
  <si>
    <t>123-007-108-008</t>
  </si>
  <si>
    <t>123-007-108-009</t>
  </si>
  <si>
    <t>123-007-108-010</t>
  </si>
  <si>
    <t>Ava Wright</t>
  </si>
  <si>
    <t>123-007-108-011</t>
  </si>
  <si>
    <t>Nancy Moore</t>
  </si>
  <si>
    <t>123-010-121-007</t>
  </si>
  <si>
    <t>George Baker</t>
  </si>
  <si>
    <t>123-010-121-008</t>
  </si>
  <si>
    <t>Christopher Scott</t>
  </si>
  <si>
    <t>123-010-121-009</t>
  </si>
  <si>
    <t>Anthony Miller</t>
  </si>
  <si>
    <t>123-010-121-010</t>
  </si>
  <si>
    <t>George Jackson</t>
  </si>
  <si>
    <t>123-002-120-010</t>
  </si>
  <si>
    <t>Charlotte Hill</t>
  </si>
  <si>
    <t>123-010-128-005</t>
  </si>
  <si>
    <t>Edward Edwards</t>
  </si>
  <si>
    <t>123-010-128-006</t>
  </si>
  <si>
    <t>123-008-121-006</t>
  </si>
  <si>
    <t>Thomas Hernandez</t>
  </si>
  <si>
    <t>123-008-121-007</t>
  </si>
  <si>
    <t>Matthew Perez</t>
  </si>
  <si>
    <t>123-008-121-008</t>
  </si>
  <si>
    <t>Barbara Lewis</t>
  </si>
  <si>
    <t>123-007-120-001</t>
  </si>
  <si>
    <t>Elizabeth Wright</t>
  </si>
  <si>
    <t>123-007-120-002</t>
  </si>
  <si>
    <t>Dorothy Taylor</t>
  </si>
  <si>
    <t>123-005-119-005</t>
  </si>
  <si>
    <t>James Harris</t>
  </si>
  <si>
    <t>123-005-119-006</t>
  </si>
  <si>
    <t>Jackson Williams</t>
  </si>
  <si>
    <t>123-005-119-007</t>
  </si>
  <si>
    <t>Andrew Smith</t>
  </si>
  <si>
    <t>123-005-119-008</t>
  </si>
  <si>
    <t>Betty Diaz</t>
  </si>
  <si>
    <t>123-006-130-001</t>
  </si>
  <si>
    <t>Patricia Green</t>
  </si>
  <si>
    <t>123-006-130-002</t>
  </si>
  <si>
    <t>Jennifer Turner</t>
  </si>
  <si>
    <t>123-006-130-003</t>
  </si>
  <si>
    <t>Richard Lopez</t>
  </si>
  <si>
    <t>123-007-110-006</t>
  </si>
  <si>
    <t>Ashley Garcia</t>
  </si>
  <si>
    <t>123-004-102-001</t>
  </si>
  <si>
    <t>Ashley Harris</t>
  </si>
  <si>
    <t>123-009-116-005</t>
  </si>
  <si>
    <t>Robert Perez</t>
  </si>
  <si>
    <t>123-009-116-006</t>
  </si>
  <si>
    <t>Linda Wilson</t>
  </si>
  <si>
    <t>123-009-116-007</t>
  </si>
  <si>
    <t>Melissa Nguyen</t>
  </si>
  <si>
    <t>123-009-116-008</t>
  </si>
  <si>
    <t>Elizabeth Young</t>
  </si>
  <si>
    <t>123-003-108-006</t>
  </si>
  <si>
    <t>Patricia Edwards</t>
  </si>
  <si>
    <t>123-010-115-015</t>
  </si>
  <si>
    <t>Isabella Evans</t>
  </si>
  <si>
    <t>123-010-115-016</t>
  </si>
  <si>
    <t>John Phillips</t>
  </si>
  <si>
    <t>123-002-111-006</t>
  </si>
  <si>
    <t>Mason Gomez</t>
  </si>
  <si>
    <t>123-002-111-007</t>
  </si>
  <si>
    <t>123-002-111-008</t>
  </si>
  <si>
    <t>Emily Hernandez</t>
  </si>
  <si>
    <t>123-002-111-009</t>
  </si>
  <si>
    <t>Michael Gomez</t>
  </si>
  <si>
    <t>123-002-111-010</t>
  </si>
  <si>
    <t>123-002-130-012</t>
  </si>
  <si>
    <t>Brian Phillips</t>
  </si>
  <si>
    <t>123-002-130-013</t>
  </si>
  <si>
    <t>Kenneth Moore</t>
  </si>
  <si>
    <t>123-002-130-014</t>
  </si>
  <si>
    <t>Michelle Hall</t>
  </si>
  <si>
    <t>123-002-130-015</t>
  </si>
  <si>
    <t>123-002-130-016</t>
  </si>
  <si>
    <t>Jessica Gonzalez</t>
  </si>
  <si>
    <t>123-006-120-001</t>
  </si>
  <si>
    <t>Deborah Green</t>
  </si>
  <si>
    <t>123-006-120-002</t>
  </si>
  <si>
    <t>123-006-120-003</t>
  </si>
  <si>
    <t>Kevin Williams</t>
  </si>
  <si>
    <t>123-006-120-004</t>
  </si>
  <si>
    <t>Margaret Taylor</t>
  </si>
  <si>
    <t>123-006-120-005</t>
  </si>
  <si>
    <t>123-001-106-005</t>
  </si>
  <si>
    <t>Lucas Thomas</t>
  </si>
  <si>
    <t>123-001-106-006</t>
  </si>
  <si>
    <t>123-001-106-007</t>
  </si>
  <si>
    <t>Joseph Miller</t>
  </si>
  <si>
    <t>123-001-106-008</t>
  </si>
  <si>
    <t>Matthew Edwards</t>
  </si>
  <si>
    <t>123-007-102-001</t>
  </si>
  <si>
    <t>Michelle Robinson</t>
  </si>
  <si>
    <t>123-007-102-002</t>
  </si>
  <si>
    <t>Sandra Campbell</t>
  </si>
  <si>
    <t>123-004-109-002</t>
  </si>
  <si>
    <t>Brian Torres</t>
  </si>
  <si>
    <t>123-004-109-003</t>
  </si>
  <si>
    <t>123-004-109-004</t>
  </si>
  <si>
    <t>Nancy Anderson</t>
  </si>
  <si>
    <t>123-010-126-001</t>
  </si>
  <si>
    <t>Jennifer Clark</t>
  </si>
  <si>
    <t>123-010-126-002</t>
  </si>
  <si>
    <t>Mason Robinson</t>
  </si>
  <si>
    <t>123-004-124-001</t>
  </si>
  <si>
    <t>Donna Anderson</t>
  </si>
  <si>
    <t>123-004-124-002</t>
  </si>
  <si>
    <t>123-007-102-003</t>
  </si>
  <si>
    <t>Ethan Phillips</t>
  </si>
  <si>
    <t>123-007-102-004</t>
  </si>
  <si>
    <t>Emily Carter</t>
  </si>
  <si>
    <t>123-007-102-005</t>
  </si>
  <si>
    <t>William Thompson</t>
  </si>
  <si>
    <t>123-007-102-006</t>
  </si>
  <si>
    <t>123-007-102-007</t>
  </si>
  <si>
    <t>Sandra Robinson</t>
  </si>
  <si>
    <t>123-006-106-006</t>
  </si>
  <si>
    <t>123-006-106-007</t>
  </si>
  <si>
    <t>123-006-106-008</t>
  </si>
  <si>
    <t>123-006-106-009</t>
  </si>
  <si>
    <t>Steven Collins</t>
  </si>
  <si>
    <t>123-006-113-003</t>
  </si>
  <si>
    <t>123-006-113-004</t>
  </si>
  <si>
    <t>Nancy Thomas</t>
  </si>
  <si>
    <t>123-006-113-005</t>
  </si>
  <si>
    <t>123-006-113-006</t>
  </si>
  <si>
    <t>Sarah Brown</t>
  </si>
  <si>
    <t>123-009-116-009</t>
  </si>
  <si>
    <t>Dorothy Wright</t>
  </si>
  <si>
    <t>123-009-116-010</t>
  </si>
  <si>
    <t>Ethan Baker</t>
  </si>
  <si>
    <t>123-009-116-011</t>
  </si>
  <si>
    <t>Jennifer Sanchez</t>
  </si>
  <si>
    <t>123-009-116-012</t>
  </si>
  <si>
    <t>Sarah Davis</t>
  </si>
  <si>
    <t>123-009-116-013</t>
  </si>
  <si>
    <t>123-009-122-001</t>
  </si>
  <si>
    <t>Mark Mitchell</t>
  </si>
  <si>
    <t>123-009-122-002</t>
  </si>
  <si>
    <t>Logan Phillips</t>
  </si>
  <si>
    <t>123-006-121-003</t>
  </si>
  <si>
    <t>Ashley Nguyen</t>
  </si>
  <si>
    <t>123-006-121-004</t>
  </si>
  <si>
    <t>123-006-121-005</t>
  </si>
  <si>
    <t>Donald White</t>
  </si>
  <si>
    <t>123-006-121-006</t>
  </si>
  <si>
    <t>123-009-123-001</t>
  </si>
  <si>
    <t>Barbara Turner</t>
  </si>
  <si>
    <t>123-009-123-002</t>
  </si>
  <si>
    <t>Robert Lee</t>
  </si>
  <si>
    <t>123-009-123-003</t>
  </si>
  <si>
    <t>Barbara Wilson</t>
  </si>
  <si>
    <t>123-003-112-005</t>
  </si>
  <si>
    <t>Paul Martin</t>
  </si>
  <si>
    <t>123-003-112-006</t>
  </si>
  <si>
    <t>Deborah Martinez</t>
  </si>
  <si>
    <t>123-003-112-007</t>
  </si>
  <si>
    <t>Melissa Wright</t>
  </si>
  <si>
    <t>123-005-116-005</t>
  </si>
  <si>
    <t>Nancy Hall</t>
  </si>
  <si>
    <t>123-005-116-006</t>
  </si>
  <si>
    <t>Amanda Scott</t>
  </si>
  <si>
    <t>123-005-116-007</t>
  </si>
  <si>
    <t>Mark Thompson</t>
  </si>
  <si>
    <t>123-005-116-008</t>
  </si>
  <si>
    <t>Donna King</t>
  </si>
  <si>
    <t>123-005-116-009</t>
  </si>
  <si>
    <t>Mary Garcia</t>
  </si>
  <si>
    <t>123-007-117-001</t>
  </si>
  <si>
    <t>123-007-117-002</t>
  </si>
  <si>
    <t>Lisa Harris</t>
  </si>
  <si>
    <t>123-005-112-001</t>
  </si>
  <si>
    <t>123-005-112-002</t>
  </si>
  <si>
    <t>123-005-112-003</t>
  </si>
  <si>
    <t>Elizabeth Wilson</t>
  </si>
  <si>
    <t>123-005-112-004</t>
  </si>
  <si>
    <t>John Nguyen</t>
  </si>
  <si>
    <t>123-005-121-001</t>
  </si>
  <si>
    <t>Sandra Rivera</t>
  </si>
  <si>
    <t>123-005-121-002</t>
  </si>
  <si>
    <t>Matthew Jackson</t>
  </si>
  <si>
    <t>123-005-121-003</t>
  </si>
  <si>
    <t>Mason Nguyen</t>
  </si>
  <si>
    <t>123-005-121-004</t>
  </si>
  <si>
    <t>123-008-121-009</t>
  </si>
  <si>
    <t>Anthony Lopez</t>
  </si>
  <si>
    <t>123-002-101-001</t>
  </si>
  <si>
    <t>123-002-101-002</t>
  </si>
  <si>
    <t>123-002-101-003</t>
  </si>
  <si>
    <t>Steven Campbell</t>
  </si>
  <si>
    <t>123-010-106-006</t>
  </si>
  <si>
    <t>Sandra Cruz</t>
  </si>
  <si>
    <t>123-005-102-001</t>
  </si>
  <si>
    <t>Patricia Jackson</t>
  </si>
  <si>
    <t>123-005-102-002</t>
  </si>
  <si>
    <t>123-005-102-003</t>
  </si>
  <si>
    <t>Paul Lee</t>
  </si>
  <si>
    <t>123-006-109-004</t>
  </si>
  <si>
    <t>Isabella Martinez</t>
  </si>
  <si>
    <t>123-008-112-001</t>
  </si>
  <si>
    <t>Ava Hernandez</t>
  </si>
  <si>
    <t>123-008-112-002</t>
  </si>
  <si>
    <t>123-008-112-003</t>
  </si>
  <si>
    <t>Anthony Robinson</t>
  </si>
  <si>
    <t>123-008-112-004</t>
  </si>
  <si>
    <t>Mary Walker</t>
  </si>
  <si>
    <t>123-008-105-008</t>
  </si>
  <si>
    <t>Barbara Rivera</t>
  </si>
  <si>
    <t>123-008-105-009</t>
  </si>
  <si>
    <t>William Diaz</t>
  </si>
  <si>
    <t>123-008-105-010</t>
  </si>
  <si>
    <t>William Garcia</t>
  </si>
  <si>
    <t>123-008-105-011</t>
  </si>
  <si>
    <t>123-008-105-012</t>
  </si>
  <si>
    <t>123-002-116-004</t>
  </si>
  <si>
    <t>123-002-116-005</t>
  </si>
  <si>
    <t>James Carter</t>
  </si>
  <si>
    <t>123-002-116-006</t>
  </si>
  <si>
    <t>123-002-101-004</t>
  </si>
  <si>
    <t>Charlotte Nguyen</t>
  </si>
  <si>
    <t>123-002-101-005</t>
  </si>
  <si>
    <t>123-004-117-002</t>
  </si>
  <si>
    <t>Lucas Carter</t>
  </si>
  <si>
    <t>123-004-117-003</t>
  </si>
  <si>
    <t>123-006-106-010</t>
  </si>
  <si>
    <t>Anthony Davis</t>
  </si>
  <si>
    <t>123-006-106-011</t>
  </si>
  <si>
    <t>123-006-106-012</t>
  </si>
  <si>
    <t>George Williams</t>
  </si>
  <si>
    <t>123-006-106-013</t>
  </si>
  <si>
    <t>Charles Robinson</t>
  </si>
  <si>
    <t>123-009-108-001</t>
  </si>
  <si>
    <t>Mia Ramirez</t>
  </si>
  <si>
    <t>123-009-108-002</t>
  </si>
  <si>
    <t>Kevin Baker</t>
  </si>
  <si>
    <t>123-009-108-003</t>
  </si>
  <si>
    <t>Charlotte Baker</t>
  </si>
  <si>
    <t>123-009-108-004</t>
  </si>
  <si>
    <t>123-007-113-010</t>
  </si>
  <si>
    <t>John White</t>
  </si>
  <si>
    <t>123-007-113-011</t>
  </si>
  <si>
    <t>Linda Anderson</t>
  </si>
  <si>
    <t>123-007-113-012</t>
  </si>
  <si>
    <t>Dorothy Roberts</t>
  </si>
  <si>
    <t>123-007-113-013</t>
  </si>
  <si>
    <t>Daniel Walker</t>
  </si>
  <si>
    <t>123-007-113-014</t>
  </si>
  <si>
    <t>123-008-116-008</t>
  </si>
  <si>
    <t>Mary Miller</t>
  </si>
  <si>
    <t>123-008-116-009</t>
  </si>
  <si>
    <t>Barbara Harris</t>
  </si>
  <si>
    <t>123-002-125-007</t>
  </si>
  <si>
    <t>Richard Jackson</t>
  </si>
  <si>
    <t>123-002-125-008</t>
  </si>
  <si>
    <t>Nancy Phillips</t>
  </si>
  <si>
    <t>123-002-125-009</t>
  </si>
  <si>
    <t>123-002-125-010</t>
  </si>
  <si>
    <t>123-002-125-011</t>
  </si>
  <si>
    <t>Olivia Rivera</t>
  </si>
  <si>
    <t>123-007-110-007</t>
  </si>
  <si>
    <t>Kevin Scott</t>
  </si>
  <si>
    <t>123-007-110-008</t>
  </si>
  <si>
    <t>Betty Taylor</t>
  </si>
  <si>
    <t>123-007-110-009</t>
  </si>
  <si>
    <t>Deborah Jackson</t>
  </si>
  <si>
    <t>123-007-110-010</t>
  </si>
  <si>
    <t>Mason White</t>
  </si>
  <si>
    <t>123-006-125-001</t>
  </si>
  <si>
    <t>Mary Wright</t>
  </si>
  <si>
    <t>123-006-125-002</t>
  </si>
  <si>
    <t>Daniel Clark</t>
  </si>
  <si>
    <t>123-006-125-003</t>
  </si>
  <si>
    <t>Jessica Adams</t>
  </si>
  <si>
    <t>123-006-125-004</t>
  </si>
  <si>
    <t>Logan Martin</t>
  </si>
  <si>
    <t>123-007-122-003</t>
  </si>
  <si>
    <t>Sarah Johnson</t>
  </si>
  <si>
    <t>123-007-122-004</t>
  </si>
  <si>
    <t>Andrew Harris</t>
  </si>
  <si>
    <t>123-007-122-005</t>
  </si>
  <si>
    <t>Brian Baker</t>
  </si>
  <si>
    <t>123-007-122-006</t>
  </si>
  <si>
    <t>David Flores</t>
  </si>
  <si>
    <t>123-007-122-007</t>
  </si>
  <si>
    <t>Kenneth Diaz</t>
  </si>
  <si>
    <t>123-005-107-001</t>
  </si>
  <si>
    <t>Susan Thompson</t>
  </si>
  <si>
    <t>123-005-107-002</t>
  </si>
  <si>
    <t>Ethan Anderson</t>
  </si>
  <si>
    <t>123-005-107-003</t>
  </si>
  <si>
    <t>Sarah Jones</t>
  </si>
  <si>
    <t>123-005-117-001</t>
  </si>
  <si>
    <t>Richard Clark</t>
  </si>
  <si>
    <t>123-005-117-002</t>
  </si>
  <si>
    <t>Olivia Johnson</t>
  </si>
  <si>
    <t>123-005-117-003</t>
  </si>
  <si>
    <t>123-005-117-004</t>
  </si>
  <si>
    <t>123-003-115-001</t>
  </si>
  <si>
    <t>Amanda Carter</t>
  </si>
  <si>
    <t>123-003-115-002</t>
  </si>
  <si>
    <t>Logan Turner</t>
  </si>
  <si>
    <t>123-005-109-001</t>
  </si>
  <si>
    <t>Joshua Thomas</t>
  </si>
  <si>
    <t>123-005-109-002</t>
  </si>
  <si>
    <t>123-008-115-004</t>
  </si>
  <si>
    <t>Carol Edwards</t>
  </si>
  <si>
    <t>123-008-115-005</t>
  </si>
  <si>
    <t>123-008-115-006</t>
  </si>
  <si>
    <t>George Young</t>
  </si>
  <si>
    <t>123-008-115-007</t>
  </si>
  <si>
    <t>Joshua Martin</t>
  </si>
  <si>
    <t>123-008-115-008</t>
  </si>
  <si>
    <t>Betty Turner</t>
  </si>
  <si>
    <t>123-002-130-017</t>
  </si>
  <si>
    <t>123-002-130-018</t>
  </si>
  <si>
    <t>Ethan Lee</t>
  </si>
  <si>
    <t>123-002-130-019</t>
  </si>
  <si>
    <t>Ethan Mitchell</t>
  </si>
  <si>
    <t>123-002-130-020</t>
  </si>
  <si>
    <t>Michael Lopez</t>
  </si>
  <si>
    <t>123-002-130-021</t>
  </si>
  <si>
    <t>Logan Nguyen</t>
  </si>
  <si>
    <t>123-002-123-001</t>
  </si>
  <si>
    <t>Amanda Thomas</t>
  </si>
  <si>
    <t>123-002-123-002</t>
  </si>
  <si>
    <t>Donald Rivera</t>
  </si>
  <si>
    <t>123-002-123-003</t>
  </si>
  <si>
    <t>123-004-123-001</t>
  </si>
  <si>
    <t>Kenneth Hall</t>
  </si>
  <si>
    <t>123-004-123-002</t>
  </si>
  <si>
    <t>Mia Lewis</t>
  </si>
  <si>
    <t>123-004-123-003</t>
  </si>
  <si>
    <t>123-008-130-004</t>
  </si>
  <si>
    <t>Sophia Williams</t>
  </si>
  <si>
    <t>123-008-130-005</t>
  </si>
  <si>
    <t>Donald Mitchell</t>
  </si>
  <si>
    <t>123-008-130-006</t>
  </si>
  <si>
    <t>123-002-117-005</t>
  </si>
  <si>
    <t>Sandra Hall</t>
  </si>
  <si>
    <t>123-002-117-006</t>
  </si>
  <si>
    <t>Kenneth Lewis</t>
  </si>
  <si>
    <t>123-002-117-007</t>
  </si>
  <si>
    <t>123-009-108-005</t>
  </si>
  <si>
    <t>Sophia Lee</t>
  </si>
  <si>
    <t>123-009-108-006</t>
  </si>
  <si>
    <t>Barbara Baker</t>
  </si>
  <si>
    <t>123-007-103-005</t>
  </si>
  <si>
    <t>Olivia Harris</t>
  </si>
  <si>
    <t>123-007-103-006</t>
  </si>
  <si>
    <t>Ava Garcia</t>
  </si>
  <si>
    <t>123-007-103-007</t>
  </si>
  <si>
    <t>123-006-103-001</t>
  </si>
  <si>
    <t>James Rivera</t>
  </si>
  <si>
    <t>123-006-103-002</t>
  </si>
  <si>
    <t>Isabella Baker</t>
  </si>
  <si>
    <t>123-005-107-004</t>
  </si>
  <si>
    <t>William Ramirez</t>
  </si>
  <si>
    <t>123-005-107-005</t>
  </si>
  <si>
    <t>123-005-107-006</t>
  </si>
  <si>
    <t>Mary Jackson</t>
  </si>
  <si>
    <t>123-004-130-006</t>
  </si>
  <si>
    <t>Jennifer Smith</t>
  </si>
  <si>
    <t>123-004-130-007</t>
  </si>
  <si>
    <t>Amanda Wilson</t>
  </si>
  <si>
    <t>123-004-130-008</t>
  </si>
  <si>
    <t>John Miller</t>
  </si>
  <si>
    <t>123-006-116-001</t>
  </si>
  <si>
    <t>James Taylor</t>
  </si>
  <si>
    <t>123-006-116-002</t>
  </si>
  <si>
    <t>Kevin White</t>
  </si>
  <si>
    <t>123-006-116-003</t>
  </si>
  <si>
    <t>123-006-116-004</t>
  </si>
  <si>
    <t>123-006-116-005</t>
  </si>
  <si>
    <t>Elizabeth Taylor</t>
  </si>
  <si>
    <t>123-005-116-010</t>
  </si>
  <si>
    <t>Lucas Cruz</t>
  </si>
  <si>
    <t>123-005-116-011</t>
  </si>
  <si>
    <t>Kimberly Lee</t>
  </si>
  <si>
    <t>123-005-116-012</t>
  </si>
  <si>
    <t>123-004-102-002</t>
  </si>
  <si>
    <t>123-004-102-003</t>
  </si>
  <si>
    <t>Dorothy Robinson</t>
  </si>
  <si>
    <t>123-008-102-006</t>
  </si>
  <si>
    <t>123-008-102-007</t>
  </si>
  <si>
    <t>Daniel Garcia</t>
  </si>
  <si>
    <t>123-008-102-008</t>
  </si>
  <si>
    <t>David Mitchell</t>
  </si>
  <si>
    <t>123-010-119-007</t>
  </si>
  <si>
    <t>Kimberly Roberts</t>
  </si>
  <si>
    <t>123-010-119-008</t>
  </si>
  <si>
    <t>Deborah Young</t>
  </si>
  <si>
    <t>123-005-101-007</t>
  </si>
  <si>
    <t>123-008-103-011</t>
  </si>
  <si>
    <t>123-008-103-012</t>
  </si>
  <si>
    <t>Christopher Campbell</t>
  </si>
  <si>
    <t>123-008-103-013</t>
  </si>
  <si>
    <t>Carol Jackson</t>
  </si>
  <si>
    <t>123-008-103-014</t>
  </si>
  <si>
    <t>123-003-109-001</t>
  </si>
  <si>
    <t>Jennifer Johnson</t>
  </si>
  <si>
    <t>123-003-109-002</t>
  </si>
  <si>
    <t>Carol Carter</t>
  </si>
  <si>
    <t>123-007-126-003</t>
  </si>
  <si>
    <t>Daniel Nelson</t>
  </si>
  <si>
    <t>123-007-126-004</t>
  </si>
  <si>
    <t>Mark Cruz</t>
  </si>
  <si>
    <t>123-007-126-005</t>
  </si>
  <si>
    <t>Jennifer Carter</t>
  </si>
  <si>
    <t>123-007-114-001</t>
  </si>
  <si>
    <t>123-004-115-001</t>
  </si>
  <si>
    <t>123-004-115-002</t>
  </si>
  <si>
    <t>Elizabeth Rodriguez</t>
  </si>
  <si>
    <t>123-005-114-001</t>
  </si>
  <si>
    <t>Mary Davis</t>
  </si>
  <si>
    <t>123-005-114-002</t>
  </si>
  <si>
    <t>Sophia Lopez</t>
  </si>
  <si>
    <t>123-005-114-003</t>
  </si>
  <si>
    <t>123-005-114-004</t>
  </si>
  <si>
    <t>Margaret Clark</t>
  </si>
  <si>
    <t>123-005-114-005</t>
  </si>
  <si>
    <t>Daniel Taylor</t>
  </si>
  <si>
    <t>123-008-125-006</t>
  </si>
  <si>
    <t>Ava Parker</t>
  </si>
  <si>
    <t>123-008-125-007</t>
  </si>
  <si>
    <t>Joshua Taylor</t>
  </si>
  <si>
    <t>123-008-125-008</t>
  </si>
  <si>
    <t>Betty Davis</t>
  </si>
  <si>
    <t>123-008-125-009</t>
  </si>
  <si>
    <t>Logan Nelson</t>
  </si>
  <si>
    <t>123-008-125-010</t>
  </si>
  <si>
    <t>123-003-105-002</t>
  </si>
  <si>
    <t>Isabella Johnson</t>
  </si>
  <si>
    <t>123-008-107-003</t>
  </si>
  <si>
    <t>123-008-107-004</t>
  </si>
  <si>
    <t>Donald Ramirez</t>
  </si>
  <si>
    <t>123-008-124-006</t>
  </si>
  <si>
    <t>Donna Thomas</t>
  </si>
  <si>
    <t>123-008-124-007</t>
  </si>
  <si>
    <t>Patricia Perez</t>
  </si>
  <si>
    <t>123-008-124-008</t>
  </si>
  <si>
    <t>Anthony Diaz</t>
  </si>
  <si>
    <t>123-008-124-009</t>
  </si>
  <si>
    <t>Robert Young</t>
  </si>
  <si>
    <t>123-001-108-001</t>
  </si>
  <si>
    <t>Mia Turner</t>
  </si>
  <si>
    <t>123-001-108-002</t>
  </si>
  <si>
    <t>Sarah Edwards</t>
  </si>
  <si>
    <t>123-001-108-003</t>
  </si>
  <si>
    <t>Michelle Adams</t>
  </si>
  <si>
    <t>123-001-108-004</t>
  </si>
  <si>
    <t>David Jackson</t>
  </si>
  <si>
    <t>123-001-108-005</t>
  </si>
  <si>
    <t>Donna Collins</t>
  </si>
  <si>
    <t>123-007-124-001</t>
  </si>
  <si>
    <t>Sophia Walker</t>
  </si>
  <si>
    <t>123-007-124-002</t>
  </si>
  <si>
    <t>Melissa Garcia</t>
  </si>
  <si>
    <t>123-007-124-003</t>
  </si>
  <si>
    <t>David Hill</t>
  </si>
  <si>
    <t>123-007-124-004</t>
  </si>
  <si>
    <t>Karen Thomas</t>
  </si>
  <si>
    <t>123-005-112-005</t>
  </si>
  <si>
    <t>123-005-112-006</t>
  </si>
  <si>
    <t>123-005-112-007</t>
  </si>
  <si>
    <t>Thomas Perez</t>
  </si>
  <si>
    <t>123-003-129-005</t>
  </si>
  <si>
    <t>Dorothy Brown</t>
  </si>
  <si>
    <t>123-003-129-006</t>
  </si>
  <si>
    <t>123-003-129-007</t>
  </si>
  <si>
    <t>Michael Hernandez</t>
  </si>
  <si>
    <t>123-003-129-008</t>
  </si>
  <si>
    <t>Lisa Hernandez</t>
  </si>
  <si>
    <t>123-003-129-009</t>
  </si>
  <si>
    <t>George Parker</t>
  </si>
  <si>
    <t>123-003-111-005</t>
  </si>
  <si>
    <t>123-005-111-008</t>
  </si>
  <si>
    <t>123-005-111-009</t>
  </si>
  <si>
    <t>123-005-111-010</t>
  </si>
  <si>
    <t>123-005-111-011</t>
  </si>
  <si>
    <t>Charlotte Diaz</t>
  </si>
  <si>
    <t>123-005-111-012</t>
  </si>
  <si>
    <t>Mark Martinez</t>
  </si>
  <si>
    <t>123-002-103-004</t>
  </si>
  <si>
    <t>Deborah Hernandez</t>
  </si>
  <si>
    <t>123-002-103-005</t>
  </si>
  <si>
    <t>123-002-103-006</t>
  </si>
  <si>
    <t>Anthony Sanchez</t>
  </si>
  <si>
    <t>123-006-130-004</t>
  </si>
  <si>
    <t>Brian Sanchez</t>
  </si>
  <si>
    <t>123-006-123-005</t>
  </si>
  <si>
    <t>123-006-123-006</t>
  </si>
  <si>
    <t>123-006-123-007</t>
  </si>
  <si>
    <t>Kimberly Perez</t>
  </si>
  <si>
    <t>123-006-123-008</t>
  </si>
  <si>
    <t>123-001-104-001</t>
  </si>
  <si>
    <t>Steven Thompson</t>
  </si>
  <si>
    <t>123-001-104-002</t>
  </si>
  <si>
    <t>Mark Martin</t>
  </si>
  <si>
    <t>123-001-104-003</t>
  </si>
  <si>
    <t>Daniel Martin</t>
  </si>
  <si>
    <t>123-007-123-001</t>
  </si>
  <si>
    <t>Christopher King</t>
  </si>
  <si>
    <t>123-007-123-002</t>
  </si>
  <si>
    <t>Elizabeth Rivera</t>
  </si>
  <si>
    <t>123-007-123-003</t>
  </si>
  <si>
    <t>Patricia Ramirez</t>
  </si>
  <si>
    <t>123-007-123-004</t>
  </si>
  <si>
    <t>123-007-123-005</t>
  </si>
  <si>
    <t>Logan Taylor</t>
  </si>
  <si>
    <t>123-008-123-006</t>
  </si>
  <si>
    <t>Steven Rodriguez</t>
  </si>
  <si>
    <t>123-008-123-007</t>
  </si>
  <si>
    <t>Dorothy Allen</t>
  </si>
  <si>
    <t>123-008-123-008</t>
  </si>
  <si>
    <t>Donald Williams</t>
  </si>
  <si>
    <t>123-008-123-009</t>
  </si>
  <si>
    <t>Joshua Diaz</t>
  </si>
  <si>
    <t>123-005-119-009</t>
  </si>
  <si>
    <t>123-003-101-001</t>
  </si>
  <si>
    <t>123-003-101-002</t>
  </si>
  <si>
    <t>Isabella Mitchell</t>
  </si>
  <si>
    <t>123-006-118-002</t>
  </si>
  <si>
    <t>Donald Torres</t>
  </si>
  <si>
    <t>123-007-126-006</t>
  </si>
  <si>
    <t>123-007-126-007</t>
  </si>
  <si>
    <t>Elizabeth Parker</t>
  </si>
  <si>
    <t>123-007-126-008</t>
  </si>
  <si>
    <t>Matthew Anderson</t>
  </si>
  <si>
    <t>123-007-126-009</t>
  </si>
  <si>
    <t>Kevin Cruz</t>
  </si>
  <si>
    <t>123-002-121-003</t>
  </si>
  <si>
    <t>123-002-121-004</t>
  </si>
  <si>
    <t>Michelle Wright</t>
  </si>
  <si>
    <t>123-008-107-005</t>
  </si>
  <si>
    <t>Kevin Wright</t>
  </si>
  <si>
    <t>123-008-107-006</t>
  </si>
  <si>
    <t>Mason Rivera</t>
  </si>
  <si>
    <t>123-008-107-007</t>
  </si>
  <si>
    <t>Betty Nguyen</t>
  </si>
  <si>
    <t>123-008-107-008</t>
  </si>
  <si>
    <t>123-008-107-009</t>
  </si>
  <si>
    <t>Thomas Garcia</t>
  </si>
  <si>
    <t>123-003-110-001</t>
  </si>
  <si>
    <t>Jennifer Martinez</t>
  </si>
  <si>
    <t>123-003-110-002</t>
  </si>
  <si>
    <t>Michelle Lee</t>
  </si>
  <si>
    <t>123-007-110-011</t>
  </si>
  <si>
    <t>Anthony Edwards</t>
  </si>
  <si>
    <t>123-002-127-008</t>
  </si>
  <si>
    <t>Edward Hill</t>
  </si>
  <si>
    <t>123-009-125-009</t>
  </si>
  <si>
    <t>Patricia Lee</t>
  </si>
  <si>
    <t>123-009-125-010</t>
  </si>
  <si>
    <t>Mary Clark</t>
  </si>
  <si>
    <t>123-009-125-011</t>
  </si>
  <si>
    <t>Emily Nguyen</t>
  </si>
  <si>
    <t>123-009-125-012</t>
  </si>
  <si>
    <t>123-003-107-010</t>
  </si>
  <si>
    <t>Sophia Thomas</t>
  </si>
  <si>
    <t>123-003-107-011</t>
  </si>
  <si>
    <t>Isabella Robinson</t>
  </si>
  <si>
    <t>123-003-107-012</t>
  </si>
  <si>
    <t>Jackson Collins</t>
  </si>
  <si>
    <t>123-007-127-006</t>
  </si>
  <si>
    <t>Donna Turner</t>
  </si>
  <si>
    <t>123-007-127-007</t>
  </si>
  <si>
    <t>123-007-127-008</t>
  </si>
  <si>
    <t>123-007-129-004</t>
  </si>
  <si>
    <t>Olivia Baker</t>
  </si>
  <si>
    <t>123-007-129-005</t>
  </si>
  <si>
    <t>Sarah Thomas</t>
  </si>
  <si>
    <t>123-006-120-006</t>
  </si>
  <si>
    <t>Carol Smith</t>
  </si>
  <si>
    <t>123-003-122-010</t>
  </si>
  <si>
    <t>Edward Sanchez</t>
  </si>
  <si>
    <t>123-003-122-011</t>
  </si>
  <si>
    <t>Paul Johnson</t>
  </si>
  <si>
    <t>123-003-122-012</t>
  </si>
  <si>
    <t>Isabella Hill</t>
  </si>
  <si>
    <t>123-003-122-013</t>
  </si>
  <si>
    <t>Linda Robinson</t>
  </si>
  <si>
    <t>123-004-101-001</t>
  </si>
  <si>
    <t>Richard Garcia</t>
  </si>
  <si>
    <t>123-008-108-005</t>
  </si>
  <si>
    <t>Richard Nelson</t>
  </si>
  <si>
    <t>123-008-108-006</t>
  </si>
  <si>
    <t>James Gonzalez</t>
  </si>
  <si>
    <t>123-008-108-007</t>
  </si>
  <si>
    <t>123-002-124-001</t>
  </si>
  <si>
    <t>123-002-124-002</t>
  </si>
  <si>
    <t>Richard Diaz</t>
  </si>
  <si>
    <t>123-005-120-009</t>
  </si>
  <si>
    <t>Charlotte Ramirez</t>
  </si>
  <si>
    <t>123-005-120-010</t>
  </si>
  <si>
    <t>123-005-120-011</t>
  </si>
  <si>
    <t>Olivia Campbell</t>
  </si>
  <si>
    <t>123-005-120-012</t>
  </si>
  <si>
    <t>Christopher Smith</t>
  </si>
  <si>
    <t>123-005-120-013</t>
  </si>
  <si>
    <t>Andrew Phillips</t>
  </si>
  <si>
    <t>123-007-123-006</t>
  </si>
  <si>
    <t>David Perez</t>
  </si>
  <si>
    <t>123-008-101-001</t>
  </si>
  <si>
    <t>Mason Taylor</t>
  </si>
  <si>
    <t>123-008-101-002</t>
  </si>
  <si>
    <t>Nancy Turner</t>
  </si>
  <si>
    <t>123-008-101-003</t>
  </si>
  <si>
    <t>Charlotte Jones</t>
  </si>
  <si>
    <t>123-008-101-004</t>
  </si>
  <si>
    <t>123-003-126-008</t>
  </si>
  <si>
    <t>Patricia Martin</t>
  </si>
  <si>
    <t>123-001-118-004</t>
  </si>
  <si>
    <t>Michael Flores</t>
  </si>
  <si>
    <t>123-001-118-005</t>
  </si>
  <si>
    <t>Sandra Harris</t>
  </si>
  <si>
    <t>123-001-118-006</t>
  </si>
  <si>
    <t>Nancy Adams</t>
  </si>
  <si>
    <t>123-004-119-006</t>
  </si>
  <si>
    <t>Joshua Rivera</t>
  </si>
  <si>
    <t>123-010-129-001</t>
  </si>
  <si>
    <t>123-010-129-002</t>
  </si>
  <si>
    <t>William Phillips</t>
  </si>
  <si>
    <t>123-007-119-001</t>
  </si>
  <si>
    <t>Karen Nguyen</t>
  </si>
  <si>
    <t>123-007-119-002</t>
  </si>
  <si>
    <t>Charles White</t>
  </si>
  <si>
    <t>123-007-119-003</t>
  </si>
  <si>
    <t>Patricia Thomas</t>
  </si>
  <si>
    <t>123-007-119-004</t>
  </si>
  <si>
    <t>Margaret Thompson</t>
  </si>
  <si>
    <t>123-007-119-005</t>
  </si>
  <si>
    <t>Nancy Gonzalez</t>
  </si>
  <si>
    <t>123-006-120-007</t>
  </si>
  <si>
    <t>Michelle Martin</t>
  </si>
  <si>
    <t>123-006-120-008</t>
  </si>
  <si>
    <t>Olivia Gomez</t>
  </si>
  <si>
    <t>123-006-120-009</t>
  </si>
  <si>
    <t>123-006-120-010</t>
  </si>
  <si>
    <t>Michelle Wilson</t>
  </si>
  <si>
    <t>123-006-120-011</t>
  </si>
  <si>
    <t>123-001-127-001</t>
  </si>
  <si>
    <t>Barbara Anderson</t>
  </si>
  <si>
    <t>123-001-127-002</t>
  </si>
  <si>
    <t>Emily Davis</t>
  </si>
  <si>
    <t>123-001-127-003</t>
  </si>
  <si>
    <t>Robert Johnson</t>
  </si>
  <si>
    <t>123-009-111-006</t>
  </si>
  <si>
    <t>123-009-111-007</t>
  </si>
  <si>
    <t>Mason Baker</t>
  </si>
  <si>
    <t>123-004-111-006</t>
  </si>
  <si>
    <t>123-004-111-007</t>
  </si>
  <si>
    <t>123-004-111-008</t>
  </si>
  <si>
    <t>Sophia Gonzalez</t>
  </si>
  <si>
    <t>123-010-111-006</t>
  </si>
  <si>
    <t>123-010-111-007</t>
  </si>
  <si>
    <t>123-010-111-008</t>
  </si>
  <si>
    <t>Logan Rodriguez</t>
  </si>
  <si>
    <t>123-010-111-009</t>
  </si>
  <si>
    <t>123-009-125-013</t>
  </si>
  <si>
    <t>Barbara Lee</t>
  </si>
  <si>
    <t>123-009-125-014</t>
  </si>
  <si>
    <t>Donald Moore</t>
  </si>
  <si>
    <t>123-009-125-015</t>
  </si>
  <si>
    <t>Susan Anderson</t>
  </si>
  <si>
    <t>123-004-113-001</t>
  </si>
  <si>
    <t>Andrew Hernandez</t>
  </si>
  <si>
    <t>123-004-113-002</t>
  </si>
  <si>
    <t>Edward Garcia</t>
  </si>
  <si>
    <t>123-004-113-003</t>
  </si>
  <si>
    <t>Donna Williams</t>
  </si>
  <si>
    <t>123-008-114-004</t>
  </si>
  <si>
    <t>Ethan Young</t>
  </si>
  <si>
    <t>123-008-114-005</t>
  </si>
  <si>
    <t>Mark Anderson</t>
  </si>
  <si>
    <t>123-008-114-006</t>
  </si>
  <si>
    <t>123-008-114-007</t>
  </si>
  <si>
    <t>123-001-112-005</t>
  </si>
  <si>
    <t>Richard Baker</t>
  </si>
  <si>
    <t>123-001-112-006</t>
  </si>
  <si>
    <t>Isabella Roberts</t>
  </si>
  <si>
    <t>123-001-112-007</t>
  </si>
  <si>
    <t>123-001-112-008</t>
  </si>
  <si>
    <t>Isabella Thompson</t>
  </si>
  <si>
    <t>123-001-112-009</t>
  </si>
  <si>
    <t>Donald Adams</t>
  </si>
  <si>
    <t>123-004-108-006</t>
  </si>
  <si>
    <t>George Evans</t>
  </si>
  <si>
    <t>123-004-108-007</t>
  </si>
  <si>
    <t>Mia Gonzalez</t>
  </si>
  <si>
    <t>123-008-107-010</t>
  </si>
  <si>
    <t>Lisa Rodriguez</t>
  </si>
  <si>
    <t>123-008-107-011</t>
  </si>
  <si>
    <t>Ethan Nelson</t>
  </si>
  <si>
    <t>123-008-107-012</t>
  </si>
  <si>
    <t>Margaret Baker</t>
  </si>
  <si>
    <t>123-008-107-013</t>
  </si>
  <si>
    <t>Christopher Nguyen</t>
  </si>
  <si>
    <t>123-003-130-001</t>
  </si>
  <si>
    <t>Andrew Green</t>
  </si>
  <si>
    <t>123-003-130-002</t>
  </si>
  <si>
    <t>123-008-119-001</t>
  </si>
  <si>
    <t>123-008-119-002</t>
  </si>
  <si>
    <t>Emily Lopez</t>
  </si>
  <si>
    <t>123-008-119-003</t>
  </si>
  <si>
    <t>123-009-122-003</t>
  </si>
  <si>
    <t>Kimberly Smith</t>
  </si>
  <si>
    <t>123-003-113-004</t>
  </si>
  <si>
    <t>123-004-105-002</t>
  </si>
  <si>
    <t>123-004-105-003</t>
  </si>
  <si>
    <t>Sarah Gonzalez</t>
  </si>
  <si>
    <t>123-004-105-004</t>
  </si>
  <si>
    <t>Betty Hill</t>
  </si>
  <si>
    <t>123-010-130-003</t>
  </si>
  <si>
    <t>123-010-130-004</t>
  </si>
  <si>
    <t>123-010-130-005</t>
  </si>
  <si>
    <t>123-010-130-006</t>
  </si>
  <si>
    <t>123-001-113-001</t>
  </si>
  <si>
    <t>123-001-113-002</t>
  </si>
  <si>
    <t>George Campbell</t>
  </si>
  <si>
    <t>123-009-114-005</t>
  </si>
  <si>
    <t>Edward Miller</t>
  </si>
  <si>
    <t>123-008-114-008</t>
  </si>
  <si>
    <t>Steven Williams</t>
  </si>
  <si>
    <t>123-008-114-009</t>
  </si>
  <si>
    <t>123-006-113-007</t>
  </si>
  <si>
    <t>Robert Smith</t>
  </si>
  <si>
    <t>123-006-113-008</t>
  </si>
  <si>
    <t>Kevin Mitchell</t>
  </si>
  <si>
    <t>123-006-113-009</t>
  </si>
  <si>
    <t>Emily Nelson</t>
  </si>
  <si>
    <t>123-006-113-010</t>
  </si>
  <si>
    <t>Donald Evans</t>
  </si>
  <si>
    <t>123-001-127-004</t>
  </si>
  <si>
    <t>123-001-127-005</t>
  </si>
  <si>
    <t>123-001-127-006</t>
  </si>
  <si>
    <t>Elizabeth Lewis</t>
  </si>
  <si>
    <t>123-001-127-007</t>
  </si>
  <si>
    <t>Mark Hall</t>
  </si>
  <si>
    <t>123-001-127-008</t>
  </si>
  <si>
    <t>Matthew Hall</t>
  </si>
  <si>
    <t>123-004-125-012</t>
  </si>
  <si>
    <t>123-004-125-013</t>
  </si>
  <si>
    <t>Nancy Evans</t>
  </si>
  <si>
    <t>123-002-108-006</t>
  </si>
  <si>
    <t>123-002-108-007</t>
  </si>
  <si>
    <t>123-002-107-001</t>
  </si>
  <si>
    <t>James Sanchez</t>
  </si>
  <si>
    <t>123-002-107-002</t>
  </si>
  <si>
    <t>Sandra Anderson</t>
  </si>
  <si>
    <t>123-002-107-003</t>
  </si>
  <si>
    <t>Robert Jones</t>
  </si>
  <si>
    <t>123-009-104-005</t>
  </si>
  <si>
    <t>Michael Hill</t>
  </si>
  <si>
    <t>123-009-104-006</t>
  </si>
  <si>
    <t>Nancy Lopez</t>
  </si>
  <si>
    <t>123-009-104-007</t>
  </si>
  <si>
    <t>Mary Hill</t>
  </si>
  <si>
    <t>123-009-104-008</t>
  </si>
  <si>
    <t>Steven Nguyen</t>
  </si>
  <si>
    <t>123-009-104-009</t>
  </si>
  <si>
    <t>123-003-102-001</t>
  </si>
  <si>
    <t>Elizabeth Harris</t>
  </si>
  <si>
    <t>123-003-102-002</t>
  </si>
  <si>
    <t>George Hill</t>
  </si>
  <si>
    <t>123-003-102-003</t>
  </si>
  <si>
    <t>Sarah Lee</t>
  </si>
  <si>
    <t>123-005-121-005</t>
  </si>
  <si>
    <t>George Perez</t>
  </si>
  <si>
    <t>123-001-118-007</t>
  </si>
  <si>
    <t>Joshua Parker</t>
  </si>
  <si>
    <t>123-001-118-008</t>
  </si>
  <si>
    <t>Kenneth Smith</t>
  </si>
  <si>
    <t>123-004-103-006</t>
  </si>
  <si>
    <t>Charlotte Wilson</t>
  </si>
  <si>
    <t>123-009-108-007</t>
  </si>
  <si>
    <t>Karen Hernandez</t>
  </si>
  <si>
    <t>123-004-120-008</t>
  </si>
  <si>
    <t>123-004-120-009</t>
  </si>
  <si>
    <t>123-004-120-010</t>
  </si>
  <si>
    <t>Steven Flores</t>
  </si>
  <si>
    <t>123-007-101-006</t>
  </si>
  <si>
    <t>Joshua Wright</t>
  </si>
  <si>
    <t>123-007-101-007</t>
  </si>
  <si>
    <t>Matthew Robinson</t>
  </si>
  <si>
    <t>123-007-101-008</t>
  </si>
  <si>
    <t>Emily Hill</t>
  </si>
  <si>
    <t>123-007-101-009</t>
  </si>
  <si>
    <t>123-006-124-001</t>
  </si>
  <si>
    <t>Charlotte Sanchez</t>
  </si>
  <si>
    <t>123-006-124-002</t>
  </si>
  <si>
    <t>Anthony Cruz</t>
  </si>
  <si>
    <t>123-006-124-003</t>
  </si>
  <si>
    <t>Richard Carter</t>
  </si>
  <si>
    <t>123-006-124-004</t>
  </si>
  <si>
    <t>123-001-123-001</t>
  </si>
  <si>
    <t>123-001-123-002</t>
  </si>
  <si>
    <t>123-001-123-003</t>
  </si>
  <si>
    <t>Thomas Thomas</t>
  </si>
  <si>
    <t>123-001-123-004</t>
  </si>
  <si>
    <t>123-007-129-006</t>
  </si>
  <si>
    <t>Brian Martin</t>
  </si>
  <si>
    <t>123-007-129-007</t>
  </si>
  <si>
    <t>George Clark</t>
  </si>
  <si>
    <t>123-003-127-001</t>
  </si>
  <si>
    <t>123-003-127-002</t>
  </si>
  <si>
    <t>123-003-127-003</t>
  </si>
  <si>
    <t>123-008-107-014</t>
  </si>
  <si>
    <t>Mark Torres</t>
  </si>
  <si>
    <t>123-008-107-015</t>
  </si>
  <si>
    <t>Barbara Phillips</t>
  </si>
  <si>
    <t>123-010-115-017</t>
  </si>
  <si>
    <t>Jennifer Jackson</t>
  </si>
  <si>
    <t>123-006-103-003</t>
  </si>
  <si>
    <t>Ashley Baker</t>
  </si>
  <si>
    <t>123-001-125-002</t>
  </si>
  <si>
    <t>Michael Wilson</t>
  </si>
  <si>
    <t>123-001-125-003</t>
  </si>
  <si>
    <t>123-001-125-004</t>
  </si>
  <si>
    <t>123-001-125-005</t>
  </si>
  <si>
    <t>Lisa Nelson</t>
  </si>
  <si>
    <t>123-001-125-006</t>
  </si>
  <si>
    <t>Logan Perez</t>
  </si>
  <si>
    <t>123-003-124-001</t>
  </si>
  <si>
    <t>Charlotte Hall</t>
  </si>
  <si>
    <t>123-007-117-003</t>
  </si>
  <si>
    <t>123-007-117-004</t>
  </si>
  <si>
    <t>Mary Green</t>
  </si>
  <si>
    <t>123-010-108-001</t>
  </si>
  <si>
    <t>Daniel Ramirez</t>
  </si>
  <si>
    <t>123-010-108-002</t>
  </si>
  <si>
    <t>George Harris</t>
  </si>
  <si>
    <t>123-010-108-003</t>
  </si>
  <si>
    <t>123-010-108-004</t>
  </si>
  <si>
    <t>David Edwards</t>
  </si>
  <si>
    <t>123-004-108-008</t>
  </si>
  <si>
    <t>123-004-108-009</t>
  </si>
  <si>
    <t>Deborah Moore</t>
  </si>
  <si>
    <t>123-002-129-003</t>
  </si>
  <si>
    <t>Jennifer Gomez</t>
  </si>
  <si>
    <t>123-002-129-004</t>
  </si>
  <si>
    <t>123-009-121-011</t>
  </si>
  <si>
    <t>Thomas Davis</t>
  </si>
  <si>
    <t>123-009-121-012</t>
  </si>
  <si>
    <t>123-009-121-013</t>
  </si>
  <si>
    <t>123-009-121-014</t>
  </si>
  <si>
    <t>123-006-111-008</t>
  </si>
  <si>
    <t>Michael Sanchez</t>
  </si>
  <si>
    <t>123-006-111-009</t>
  </si>
  <si>
    <t>Isabella Jackson</t>
  </si>
  <si>
    <t>123-010-105-001</t>
  </si>
  <si>
    <t>123-010-105-002</t>
  </si>
  <si>
    <t>Steven Hall</t>
  </si>
  <si>
    <t>123-010-105-003</t>
  </si>
  <si>
    <t>Kenneth Turner</t>
  </si>
  <si>
    <t>123-006-102-006</t>
  </si>
  <si>
    <t>Mia Campbell</t>
  </si>
  <si>
    <t>123-006-102-007</t>
  </si>
  <si>
    <t>123-007-124-005</t>
  </si>
  <si>
    <t>Mary Scott</t>
  </si>
  <si>
    <t>123-007-124-006</t>
  </si>
  <si>
    <t>123-007-124-007</t>
  </si>
  <si>
    <t>Brian Gonzalez</t>
  </si>
  <si>
    <t>123-010-125-001</t>
  </si>
  <si>
    <t>123-008-123-010</t>
  </si>
  <si>
    <t>Susan Phillips</t>
  </si>
  <si>
    <t>123-008-123-011</t>
  </si>
  <si>
    <t>George Diaz</t>
  </si>
  <si>
    <t>123-008-123-012</t>
  </si>
  <si>
    <t>Matthew Ramirez</t>
  </si>
  <si>
    <t>123-008-112-005</t>
  </si>
  <si>
    <t>123-008-112-006</t>
  </si>
  <si>
    <t>123-010-110-001</t>
  </si>
  <si>
    <t>123-010-110-002</t>
  </si>
  <si>
    <t>Sarah Green</t>
  </si>
  <si>
    <t>123-002-104-005</t>
  </si>
  <si>
    <t>123-010-126-003</t>
  </si>
  <si>
    <t>123-010-126-004</t>
  </si>
  <si>
    <t>123-009-113-001</t>
  </si>
  <si>
    <t>123-009-113-002</t>
  </si>
  <si>
    <t>123-009-113-003</t>
  </si>
  <si>
    <t>James Scott</t>
  </si>
  <si>
    <t>123-009-113-004</t>
  </si>
  <si>
    <t>123-009-113-005</t>
  </si>
  <si>
    <t>Emily Taylor</t>
  </si>
  <si>
    <t>123-005-117-005</t>
  </si>
  <si>
    <t>123-005-117-006</t>
  </si>
  <si>
    <t>Charlotte King</t>
  </si>
  <si>
    <t>123-005-117-007</t>
  </si>
  <si>
    <t>Andrew Young</t>
  </si>
  <si>
    <t>123-009-120-005</t>
  </si>
  <si>
    <t>123-009-120-006</t>
  </si>
  <si>
    <t>Lucas Hernandez</t>
  </si>
  <si>
    <t>123-009-120-007</t>
  </si>
  <si>
    <t>123-009-120-008</t>
  </si>
  <si>
    <t>Donna Thompson</t>
  </si>
  <si>
    <t>123-009-120-009</t>
  </si>
  <si>
    <t>123-007-109-001</t>
  </si>
  <si>
    <t>Kenneth Campbell</t>
  </si>
  <si>
    <t>123-007-109-002</t>
  </si>
  <si>
    <t>Andrew Nelson</t>
  </si>
  <si>
    <t>123-003-127-004</t>
  </si>
  <si>
    <t>Matthew Johnson</t>
  </si>
  <si>
    <t>123-003-127-005</t>
  </si>
  <si>
    <t>123-003-127-006</t>
  </si>
  <si>
    <t>Lisa Collins</t>
  </si>
  <si>
    <t>123-004-128-001</t>
  </si>
  <si>
    <t>123-004-128-002</t>
  </si>
  <si>
    <t>123-004-128-003</t>
  </si>
  <si>
    <t>Kimberly Campbell</t>
  </si>
  <si>
    <t>123-010-123-001</t>
  </si>
  <si>
    <t>Lucas Brown</t>
  </si>
  <si>
    <t>123-010-123-002</t>
  </si>
  <si>
    <t>123-010-123-003</t>
  </si>
  <si>
    <t>Donald Nguyen</t>
  </si>
  <si>
    <t>123-003-123-003</t>
  </si>
  <si>
    <t>Andrew Mitchell</t>
  </si>
  <si>
    <t>123-003-123-004</t>
  </si>
  <si>
    <t>123-008-123-013</t>
  </si>
  <si>
    <t>Ethan Robinson</t>
  </si>
  <si>
    <t>123-008-123-014</t>
  </si>
  <si>
    <t>Karen Green</t>
  </si>
  <si>
    <t>123-002-128-005</t>
  </si>
  <si>
    <t>123-003-103-006</t>
  </si>
  <si>
    <t>Kevin Collins</t>
  </si>
  <si>
    <t>123-003-103-007</t>
  </si>
  <si>
    <t>Ethan Parker</t>
  </si>
  <si>
    <t>123-003-103-008</t>
  </si>
  <si>
    <t>Donald Young</t>
  </si>
  <si>
    <t>123-003-103-009</t>
  </si>
  <si>
    <t>Betty Smith</t>
  </si>
  <si>
    <t>123-003-103-010</t>
  </si>
  <si>
    <t>Brian Wright</t>
  </si>
  <si>
    <t>123-008-120-001</t>
  </si>
  <si>
    <t>Barbara Jones</t>
  </si>
  <si>
    <t>123-008-120-002</t>
  </si>
  <si>
    <t>Margaret Young</t>
  </si>
  <si>
    <t>123-004-111-009</t>
  </si>
  <si>
    <t>Charles Martin</t>
  </si>
  <si>
    <t>123-004-111-010</t>
  </si>
  <si>
    <t>Melissa Green</t>
  </si>
  <si>
    <t>123-004-111-011</t>
  </si>
  <si>
    <t>Jackson Robinson</t>
  </si>
  <si>
    <t>123-004-111-012</t>
  </si>
  <si>
    <t>Sandra Perez</t>
  </si>
  <si>
    <t>123-004-111-013</t>
  </si>
  <si>
    <t>Daniel Cruz</t>
  </si>
  <si>
    <t>123-002-101-006</t>
  </si>
  <si>
    <t>123-002-101-007</t>
  </si>
  <si>
    <t>123-002-101-008</t>
  </si>
  <si>
    <t>123-002-101-009</t>
  </si>
  <si>
    <t>Mark Nelson</t>
  </si>
  <si>
    <t>123-007-112-022</t>
  </si>
  <si>
    <t>123-001-110-007</t>
  </si>
  <si>
    <t>123-001-110-008</t>
  </si>
  <si>
    <t>Kevin Moore</t>
  </si>
  <si>
    <t>123-003-126-009</t>
  </si>
  <si>
    <t>123-003-126-010</t>
  </si>
  <si>
    <t>William Martinez</t>
  </si>
  <si>
    <t>123-003-126-011</t>
  </si>
  <si>
    <t>123-008-114-010</t>
  </si>
  <si>
    <t>123-008-114-011</t>
  </si>
  <si>
    <t>123-008-114-012</t>
  </si>
  <si>
    <t>123-009-123-004</t>
  </si>
  <si>
    <t>Mia Nguyen</t>
  </si>
  <si>
    <t>123-009-123-005</t>
  </si>
  <si>
    <t>Betty Williams</t>
  </si>
  <si>
    <t>123-009-123-006</t>
  </si>
  <si>
    <t>123-009-123-007</t>
  </si>
  <si>
    <t>Anthony King</t>
  </si>
  <si>
    <t>123-009-123-008</t>
  </si>
  <si>
    <t>123-001-114-001</t>
  </si>
  <si>
    <t>Lisa Moore</t>
  </si>
  <si>
    <t>123-001-114-002</t>
  </si>
  <si>
    <t>123-001-114-003</t>
  </si>
  <si>
    <t>123-010-109-002</t>
  </si>
  <si>
    <t>123-001-104-004</t>
  </si>
  <si>
    <t>Nancy White</t>
  </si>
  <si>
    <t>123-001-104-005</t>
  </si>
  <si>
    <t>123-001-104-006</t>
  </si>
  <si>
    <t>123-001-104-007</t>
  </si>
  <si>
    <t>Richard Rivera</t>
  </si>
  <si>
    <t>123-001-104-008</t>
  </si>
  <si>
    <t>Paul Flores</t>
  </si>
  <si>
    <t>123-004-125-014</t>
  </si>
  <si>
    <t>123-004-125-015</t>
  </si>
  <si>
    <t>Olivia Carter</t>
  </si>
  <si>
    <t>123-004-125-016</t>
  </si>
  <si>
    <t>123-004-125-017</t>
  </si>
  <si>
    <t>123-004-125-018</t>
  </si>
  <si>
    <t>Andrew Brown</t>
  </si>
  <si>
    <t>123-009-116-014</t>
  </si>
  <si>
    <t>Mark Carter</t>
  </si>
  <si>
    <t>123-009-116-015</t>
  </si>
  <si>
    <t>Joshua Moore</t>
  </si>
  <si>
    <t>123-009-116-016</t>
  </si>
  <si>
    <t>123-009-116-017</t>
  </si>
  <si>
    <t>123-009-116-018</t>
  </si>
  <si>
    <t>123-004-118-007</t>
  </si>
  <si>
    <t>James Adams</t>
  </si>
  <si>
    <t>123-004-118-008</t>
  </si>
  <si>
    <t>Olivia Moore</t>
  </si>
  <si>
    <t>123-004-118-009</t>
  </si>
  <si>
    <t>Carol Thomas</t>
  </si>
  <si>
    <t>123-002-111-011</t>
  </si>
  <si>
    <t>William Clark</t>
  </si>
  <si>
    <t>123-002-111-012</t>
  </si>
  <si>
    <t>123-002-111-013</t>
  </si>
  <si>
    <t>123-002-111-014</t>
  </si>
  <si>
    <t>Charlotte Adams</t>
  </si>
  <si>
    <t>123-002-111-015</t>
  </si>
  <si>
    <t>Isabella Lewis</t>
  </si>
  <si>
    <t>123-007-119-006</t>
  </si>
  <si>
    <t>Lisa Martinez</t>
  </si>
  <si>
    <t>123-007-119-007</t>
  </si>
  <si>
    <t>Barbara Evans</t>
  </si>
  <si>
    <t>123-003-124-002</t>
  </si>
  <si>
    <t>Ava Adams</t>
  </si>
  <si>
    <t>123-003-124-003</t>
  </si>
  <si>
    <t>123-003-124-004</t>
  </si>
  <si>
    <t>Elizabeth Jones</t>
  </si>
  <si>
    <t>123-001-105-002</t>
  </si>
  <si>
    <t>Lucas Lewis</t>
  </si>
  <si>
    <t>123-001-105-003</t>
  </si>
  <si>
    <t>Linda Evans</t>
  </si>
  <si>
    <t>123-001-105-004</t>
  </si>
  <si>
    <t>William Thomas</t>
  </si>
  <si>
    <t>123-001-105-005</t>
  </si>
  <si>
    <t>Sophia Smith</t>
  </si>
  <si>
    <t>123-001-105-006</t>
  </si>
  <si>
    <t>Richard Rodriguez</t>
  </si>
  <si>
    <t>123-003-116-003</t>
  </si>
  <si>
    <t>123-003-116-004</t>
  </si>
  <si>
    <t>Mary Evans</t>
  </si>
  <si>
    <t>123-001-105-007</t>
  </si>
  <si>
    <t>123-001-105-008</t>
  </si>
  <si>
    <t>Daniel Adams</t>
  </si>
  <si>
    <t>123-003-116-005</t>
  </si>
  <si>
    <t>123-006-104-005</t>
  </si>
  <si>
    <t>Barbara Ramirez</t>
  </si>
  <si>
    <t>123-007-122-008</t>
  </si>
  <si>
    <t>Michelle Evans</t>
  </si>
  <si>
    <t>123-007-122-009</t>
  </si>
  <si>
    <t>Ava Young</t>
  </si>
  <si>
    <t>123-002-126-001</t>
  </si>
  <si>
    <t>123-008-115-009</t>
  </si>
  <si>
    <t>Margaret Campbell</t>
  </si>
  <si>
    <t>123-003-111-006</t>
  </si>
  <si>
    <t>123-003-111-007</t>
  </si>
  <si>
    <t>123-009-118-006</t>
  </si>
  <si>
    <t>Matthew Garcia</t>
  </si>
  <si>
    <t>123-009-118-007</t>
  </si>
  <si>
    <t>Brian Garcia</t>
  </si>
  <si>
    <t>123-009-118-008</t>
  </si>
  <si>
    <t>Mia Johnson</t>
  </si>
  <si>
    <t>123-009-118-009</t>
  </si>
  <si>
    <t>Ava Davis</t>
  </si>
  <si>
    <t>123-003-128-005</t>
  </si>
  <si>
    <t>Jessica Wilson</t>
  </si>
  <si>
    <t>123-003-128-006</t>
  </si>
  <si>
    <t>123-003-128-007</t>
  </si>
  <si>
    <t>Lisa Brown</t>
  </si>
  <si>
    <t>123-010-116-008</t>
  </si>
  <si>
    <t>123-010-116-009</t>
  </si>
  <si>
    <t>Jennifer Thomas</t>
  </si>
  <si>
    <t>123-003-105-003</t>
  </si>
  <si>
    <t>Donald Clark</t>
  </si>
  <si>
    <t>123-003-105-004</t>
  </si>
  <si>
    <t>123-003-105-005</t>
  </si>
  <si>
    <t>Steven Hernandez</t>
  </si>
  <si>
    <t>123-003-105-006</t>
  </si>
  <si>
    <t>Emily Rivera</t>
  </si>
  <si>
    <t>123-004-110-003</t>
  </si>
  <si>
    <t>Jennifer King</t>
  </si>
  <si>
    <t>123-004-110-004</t>
  </si>
  <si>
    <t>Michelle Brown</t>
  </si>
  <si>
    <t>123-004-110-005</t>
  </si>
  <si>
    <t>123-004-110-006</t>
  </si>
  <si>
    <t>123-006-102-008</t>
  </si>
  <si>
    <t>123-006-102-009</t>
  </si>
  <si>
    <t>Mary Thomas</t>
  </si>
  <si>
    <t>123-006-102-010</t>
  </si>
  <si>
    <t>Susan Hill</t>
  </si>
  <si>
    <t>123-006-102-011</t>
  </si>
  <si>
    <t>Emily Gonzalez</t>
  </si>
  <si>
    <t>123-010-119-009</t>
  </si>
  <si>
    <t>123-005-112-008</t>
  </si>
  <si>
    <t>123-005-112-009</t>
  </si>
  <si>
    <t>123-005-112-010</t>
  </si>
  <si>
    <t>123-005-112-011</t>
  </si>
  <si>
    <t>Charles Hernandez</t>
  </si>
  <si>
    <t>123-002-129-005</t>
  </si>
  <si>
    <t>Deborah Rivera</t>
  </si>
  <si>
    <t>123-002-129-006</t>
  </si>
  <si>
    <t>Mark Gomez</t>
  </si>
  <si>
    <t>123-007-120-003</t>
  </si>
  <si>
    <t>123-001-104-009</t>
  </si>
  <si>
    <t>123-001-104-010</t>
  </si>
  <si>
    <t>Jackson Jackson</t>
  </si>
  <si>
    <t>123-002-112-001</t>
  </si>
  <si>
    <t>123-008-125-011</t>
  </si>
  <si>
    <t>Robert White</t>
  </si>
  <si>
    <t>123-008-125-012</t>
  </si>
  <si>
    <t>123-002-112-002</t>
  </si>
  <si>
    <t>Olivia Cruz</t>
  </si>
  <si>
    <t>123-002-112-003</t>
  </si>
  <si>
    <t>123-002-112-004</t>
  </si>
  <si>
    <t>Matthew Hernandez</t>
  </si>
  <si>
    <t>123-002-112-005</t>
  </si>
  <si>
    <t>123-009-115-004</t>
  </si>
  <si>
    <t>Barbara Campbell</t>
  </si>
  <si>
    <t>123-009-115-005</t>
  </si>
  <si>
    <t>Deborah Ramirez</t>
  </si>
  <si>
    <t>123-009-115-006</t>
  </si>
  <si>
    <t>Nancy Hill</t>
  </si>
  <si>
    <t>123-009-115-007</t>
  </si>
  <si>
    <t>Linda Moore</t>
  </si>
  <si>
    <t>123-003-116-006</t>
  </si>
  <si>
    <t>Robert Hill</t>
  </si>
  <si>
    <t>123-003-116-007</t>
  </si>
  <si>
    <t>123-001-128-001</t>
  </si>
  <si>
    <t>Kenneth Lopez</t>
  </si>
  <si>
    <t>123-001-128-002</t>
  </si>
  <si>
    <t>Lucas Ramirez</t>
  </si>
  <si>
    <t>123-001-128-003</t>
  </si>
  <si>
    <t>123-001-128-004</t>
  </si>
  <si>
    <t>123-004-106-006</t>
  </si>
  <si>
    <t>Donald Wright</t>
  </si>
  <si>
    <t>123-004-106-007</t>
  </si>
  <si>
    <t>Isabella Smith</t>
  </si>
  <si>
    <t>123-004-106-008</t>
  </si>
  <si>
    <t>123-003-130-003</t>
  </si>
  <si>
    <t>123-003-130-004</t>
  </si>
  <si>
    <t>Charlotte Turner</t>
  </si>
  <si>
    <t>123-003-130-005</t>
  </si>
  <si>
    <t>Robert Wilson</t>
  </si>
  <si>
    <t>123-003-130-006</t>
  </si>
  <si>
    <t>Joshua Harris</t>
  </si>
  <si>
    <t>123-010-122-001</t>
  </si>
  <si>
    <t>Lisa Johnson</t>
  </si>
  <si>
    <t>123-002-117-008</t>
  </si>
  <si>
    <t>123-002-117-009</t>
  </si>
  <si>
    <t>Linda Lopez</t>
  </si>
  <si>
    <t>123-002-117-010</t>
  </si>
  <si>
    <t>Joshua Hernandez</t>
  </si>
  <si>
    <t>123-002-117-011</t>
  </si>
  <si>
    <t>Kevin Hall</t>
  </si>
  <si>
    <t>123-010-123-004</t>
  </si>
  <si>
    <t>123-008-104-001</t>
  </si>
  <si>
    <t>123-008-104-002</t>
  </si>
  <si>
    <t>Charles Diaz</t>
  </si>
  <si>
    <t>123-008-104-003</t>
  </si>
  <si>
    <t>Sandra Scott</t>
  </si>
  <si>
    <t>123-008-104-004</t>
  </si>
  <si>
    <t>Donald Davis</t>
  </si>
  <si>
    <t>123-008-104-005</t>
  </si>
  <si>
    <t>Ava Evans</t>
  </si>
  <si>
    <t>123-005-117-008</t>
  </si>
  <si>
    <t>Karen Turner</t>
  </si>
  <si>
    <t>123-005-117-009</t>
  </si>
  <si>
    <t>123-005-117-010</t>
  </si>
  <si>
    <t>123-003-111-008</t>
  </si>
  <si>
    <t>123-003-111-009</t>
  </si>
  <si>
    <t>Ethan Torres</t>
  </si>
  <si>
    <t>123-003-111-010</t>
  </si>
  <si>
    <t>Betty Edwards</t>
  </si>
  <si>
    <t>123-003-111-011</t>
  </si>
  <si>
    <t>Dorothy Phillips</t>
  </si>
  <si>
    <t>123-003-111-012</t>
  </si>
  <si>
    <t>123-004-111-014</t>
  </si>
  <si>
    <t>123-010-101-001</t>
  </si>
  <si>
    <t>William Robinson</t>
  </si>
  <si>
    <t>123-010-101-002</t>
  </si>
  <si>
    <t>123-004-121-004</t>
  </si>
  <si>
    <t>Mason Thomas</t>
  </si>
  <si>
    <t>123-004-121-005</t>
  </si>
  <si>
    <t>123-004-121-006</t>
  </si>
  <si>
    <t>123-010-130-007</t>
  </si>
  <si>
    <t>Charles Taylor</t>
  </si>
  <si>
    <t>123-006-116-006</t>
  </si>
  <si>
    <t>Ashley Gomez</t>
  </si>
  <si>
    <t>123-006-116-007</t>
  </si>
  <si>
    <t>123-007-107-005</t>
  </si>
  <si>
    <t>Ethan Hernandez</t>
  </si>
  <si>
    <t>123-007-107-006</t>
  </si>
  <si>
    <t>Linda Perez</t>
  </si>
  <si>
    <t>123-007-107-007</t>
  </si>
  <si>
    <t>David King</t>
  </si>
  <si>
    <t>123-007-107-008</t>
  </si>
  <si>
    <t>123-003-125-008</t>
  </si>
  <si>
    <t>Lucas Wilson</t>
  </si>
  <si>
    <t>123-003-125-009</t>
  </si>
  <si>
    <t>George Hall</t>
  </si>
  <si>
    <t>123-004-116-001</t>
  </si>
  <si>
    <t>123-009-114-006</t>
  </si>
  <si>
    <t>123-009-114-007</t>
  </si>
  <si>
    <t>123-009-114-008</t>
  </si>
  <si>
    <t>123-009-114-009</t>
  </si>
  <si>
    <t>Margaret Gonzalez</t>
  </si>
  <si>
    <t>123-003-115-003</t>
  </si>
  <si>
    <t>Donna Clark</t>
  </si>
  <si>
    <t>123-007-112-023</t>
  </si>
  <si>
    <t>123-004-112-006</t>
  </si>
  <si>
    <t>Lisa White</t>
  </si>
  <si>
    <t>123-001-104-011</t>
  </si>
  <si>
    <t>Susan Robinson</t>
  </si>
  <si>
    <t>123-001-104-012</t>
  </si>
  <si>
    <t>123-001-104-013</t>
  </si>
  <si>
    <t>Sarah Rivera</t>
  </si>
  <si>
    <t>123-007-122-010</t>
  </si>
  <si>
    <t>Richard Brown</t>
  </si>
  <si>
    <t>123-007-122-011</t>
  </si>
  <si>
    <t>Linda Davis</t>
  </si>
  <si>
    <t>123-007-122-012</t>
  </si>
  <si>
    <t>123-008-130-007</t>
  </si>
  <si>
    <t>123-008-130-008</t>
  </si>
  <si>
    <t>Mary Jones</t>
  </si>
  <si>
    <t>123-008-130-009</t>
  </si>
  <si>
    <t>George Martin</t>
  </si>
  <si>
    <t>123-002-113-001</t>
  </si>
  <si>
    <t>123-002-113-002</t>
  </si>
  <si>
    <t>Mia Adams</t>
  </si>
  <si>
    <t>123-002-113-003</t>
  </si>
  <si>
    <t>Mary Anderson</t>
  </si>
  <si>
    <t>123-002-113-004</t>
  </si>
  <si>
    <t>123-002-113-005</t>
  </si>
  <si>
    <t>123-001-130-001</t>
  </si>
  <si>
    <t>Linda Brown</t>
  </si>
  <si>
    <t>123-001-130-002</t>
  </si>
  <si>
    <t>123-001-130-003</t>
  </si>
  <si>
    <t>William Lee</t>
  </si>
  <si>
    <t>123-008-121-010</t>
  </si>
  <si>
    <t>Andrew Walker</t>
  </si>
  <si>
    <t>123-002-108-008</t>
  </si>
  <si>
    <t>Daniel Scott</t>
  </si>
  <si>
    <t>123-002-108-009</t>
  </si>
  <si>
    <t>123-002-108-010</t>
  </si>
  <si>
    <t>Kevin Wilson</t>
  </si>
  <si>
    <t>123-008-107-016</t>
  </si>
  <si>
    <t>Isabella Nguyen</t>
  </si>
  <si>
    <t>123-005-125-012</t>
  </si>
  <si>
    <t>Ava Rodriguez</t>
  </si>
  <si>
    <t>123-005-125-013</t>
  </si>
  <si>
    <t>Logan Flores</t>
  </si>
  <si>
    <t>123-005-125-014</t>
  </si>
  <si>
    <t>Sarah Ramirez</t>
  </si>
  <si>
    <t>123-005-125-015</t>
  </si>
  <si>
    <t>Elizabeth Robinson</t>
  </si>
  <si>
    <t>123-008-101-005</t>
  </si>
  <si>
    <t>123-008-101-006</t>
  </si>
  <si>
    <t>Linda Scott</t>
  </si>
  <si>
    <t>123-003-107-013</t>
  </si>
  <si>
    <t>123-003-107-014</t>
  </si>
  <si>
    <t>Matthew Campbell</t>
  </si>
  <si>
    <t>123-003-107-015</t>
  </si>
  <si>
    <t>Betty Lopez</t>
  </si>
  <si>
    <t>123-003-107-016</t>
  </si>
  <si>
    <t>123-002-108-011</t>
  </si>
  <si>
    <t>Jessica Jones</t>
  </si>
  <si>
    <t>123-010-129-003</t>
  </si>
  <si>
    <t>Michael Anderson</t>
  </si>
  <si>
    <t>123-010-129-004</t>
  </si>
  <si>
    <t>Sophia Wilson</t>
  </si>
  <si>
    <t>123-010-129-005</t>
  </si>
  <si>
    <t>Joshua Jackson</t>
  </si>
  <si>
    <t>123-010-129-006</t>
  </si>
  <si>
    <t>123-004-128-004</t>
  </si>
  <si>
    <t>John Hernandez</t>
  </si>
  <si>
    <t>123-004-128-005</t>
  </si>
  <si>
    <t>James Nelson</t>
  </si>
  <si>
    <t>123-005-106-011</t>
  </si>
  <si>
    <t>Edward Diaz</t>
  </si>
  <si>
    <t>123-010-116-010</t>
  </si>
  <si>
    <t>123-004-127-001</t>
  </si>
  <si>
    <t>Deborah Miller</t>
  </si>
  <si>
    <t>123-004-127-002</t>
  </si>
  <si>
    <t>Ashley Mitchell</t>
  </si>
  <si>
    <t>123-004-127-003</t>
  </si>
  <si>
    <t>123-004-127-004</t>
  </si>
  <si>
    <t>Lucas King</t>
  </si>
  <si>
    <t>123-004-127-005</t>
  </si>
  <si>
    <t>Elizabeth Clark</t>
  </si>
  <si>
    <t>123-001-116-011</t>
  </si>
  <si>
    <t>Lisa Wilson</t>
  </si>
  <si>
    <t>123-001-116-012</t>
  </si>
  <si>
    <t>123-006-109-005</t>
  </si>
  <si>
    <t>Anthony Moore</t>
  </si>
  <si>
    <t>123-006-109-006</t>
  </si>
  <si>
    <t>Sandra Torres</t>
  </si>
  <si>
    <t>123-006-109-007</t>
  </si>
  <si>
    <t>Mason Flores</t>
  </si>
  <si>
    <t>123-008-101-007</t>
  </si>
  <si>
    <t>Kimberly Jackson</t>
  </si>
  <si>
    <t>123-008-101-008</t>
  </si>
  <si>
    <t>Ethan Jackson</t>
  </si>
  <si>
    <t>123-005-107-007</t>
  </si>
  <si>
    <t>Ashley Martin</t>
  </si>
  <si>
    <t>123-005-107-008</t>
  </si>
  <si>
    <t>Mason Smith</t>
  </si>
  <si>
    <t>123-005-107-009</t>
  </si>
  <si>
    <t>Olivia Jackson</t>
  </si>
  <si>
    <t>123-005-107-010</t>
  </si>
  <si>
    <t>Jennifer Rivera</t>
  </si>
  <si>
    <t>123-005-107-011</t>
  </si>
  <si>
    <t>123-008-102-009</t>
  </si>
  <si>
    <t>Amanda Green</t>
  </si>
  <si>
    <t>123-008-102-010</t>
  </si>
  <si>
    <t>Lucas Miller</t>
  </si>
  <si>
    <t>123-008-102-011</t>
  </si>
  <si>
    <t>Karen Lopez</t>
  </si>
  <si>
    <t>123-010-126-005</t>
  </si>
  <si>
    <t>123-010-126-006</t>
  </si>
  <si>
    <t>123-007-126-010</t>
  </si>
  <si>
    <t>123-006-115-012</t>
  </si>
  <si>
    <t>Sandra Johnson</t>
  </si>
  <si>
    <t>123-006-115-013</t>
  </si>
  <si>
    <t>William Flores</t>
  </si>
  <si>
    <t>123-006-115-014</t>
  </si>
  <si>
    <t>Steven White</t>
  </si>
  <si>
    <t>123-006-115-015</t>
  </si>
  <si>
    <t>Patricia Carter</t>
  </si>
  <si>
    <t>123-009-115-008</t>
  </si>
  <si>
    <t>123-009-115-009</t>
  </si>
  <si>
    <t>Charles Torres</t>
  </si>
  <si>
    <t>123-009-115-010</t>
  </si>
  <si>
    <t>Linda Mitchell</t>
  </si>
  <si>
    <t>123-009-115-011</t>
  </si>
  <si>
    <t>123-004-105-005</t>
  </si>
  <si>
    <t>Karen Campbell</t>
  </si>
  <si>
    <t>123-004-105-006</t>
  </si>
  <si>
    <t>Linda Jones</t>
  </si>
  <si>
    <t>123-002-117-012</t>
  </si>
  <si>
    <t>123-002-117-013</t>
  </si>
  <si>
    <t>Jackson Davis</t>
  </si>
  <si>
    <t>123-004-106-009</t>
  </si>
  <si>
    <t>Michelle Baker</t>
  </si>
  <si>
    <t>123-004-106-010</t>
  </si>
  <si>
    <t>Margaret Martinez</t>
  </si>
  <si>
    <t>123-004-106-011</t>
  </si>
  <si>
    <t>David Allen</t>
  </si>
  <si>
    <t>123-004-106-012</t>
  </si>
  <si>
    <t>Kevin Miller</t>
  </si>
  <si>
    <t>123-004-106-013</t>
  </si>
  <si>
    <t>123-001-105-009</t>
  </si>
  <si>
    <t>James Nguyen</t>
  </si>
  <si>
    <t>123-001-105-010</t>
  </si>
  <si>
    <t>Robert Collins</t>
  </si>
  <si>
    <t>123-001-105-011</t>
  </si>
  <si>
    <t>Sarah Smith</t>
  </si>
  <si>
    <t>123-006-107-001</t>
  </si>
  <si>
    <t>123-006-107-002</t>
  </si>
  <si>
    <t>123-006-107-003</t>
  </si>
  <si>
    <t>123-006-107-004</t>
  </si>
  <si>
    <t>123-006-107-005</t>
  </si>
  <si>
    <t>William Hall</t>
  </si>
  <si>
    <t>123-010-119-010</t>
  </si>
  <si>
    <t>Olivia Lopez</t>
  </si>
  <si>
    <t>123-010-119-011</t>
  </si>
  <si>
    <t>Anthony Jones</t>
  </si>
  <si>
    <t>123-010-119-012</t>
  </si>
  <si>
    <t>123-010-119-013</t>
  </si>
  <si>
    <t>Edward Anderson</t>
  </si>
  <si>
    <t>123-001-104-014</t>
  </si>
  <si>
    <t>Joshua Green</t>
  </si>
  <si>
    <t>123-008-104-006</t>
  </si>
  <si>
    <t>Kenneth Torres</t>
  </si>
  <si>
    <t>123-008-104-007</t>
  </si>
  <si>
    <t>Mark Baker</t>
  </si>
  <si>
    <t>123-008-104-008</t>
  </si>
  <si>
    <t>123-008-104-009</t>
  </si>
  <si>
    <t>Donna Johnson</t>
  </si>
  <si>
    <t>123-001-129-005</t>
  </si>
  <si>
    <t>123-001-129-006</t>
  </si>
  <si>
    <t>123-001-129-007</t>
  </si>
  <si>
    <t>Ethan Jones</t>
  </si>
  <si>
    <t>123-002-128-006</t>
  </si>
  <si>
    <t>Jackson Flores</t>
  </si>
  <si>
    <t>123-002-128-007</t>
  </si>
  <si>
    <t>Michael Davis</t>
  </si>
  <si>
    <t>123-002-128-008</t>
  </si>
  <si>
    <t>123-002-128-009</t>
  </si>
  <si>
    <t>Dorothy Thompson</t>
  </si>
  <si>
    <t>123-002-128-010</t>
  </si>
  <si>
    <t>John Wright</t>
  </si>
  <si>
    <t>123-001-120-008</t>
  </si>
  <si>
    <t>Donna Walker</t>
  </si>
  <si>
    <t>123-001-120-009</t>
  </si>
  <si>
    <t>Anthony Taylor</t>
  </si>
  <si>
    <t>123-001-120-010</t>
  </si>
  <si>
    <t>123-001-120-011</t>
  </si>
  <si>
    <t>123-001-120-012</t>
  </si>
  <si>
    <t>Daniel Jones</t>
  </si>
  <si>
    <t>123-009-129-013</t>
  </si>
  <si>
    <t>123-009-129-014</t>
  </si>
  <si>
    <t>Margaret Walker</t>
  </si>
  <si>
    <t>123-009-129-015</t>
  </si>
  <si>
    <t>Mary Brown</t>
  </si>
  <si>
    <t>123-009-129-016</t>
  </si>
  <si>
    <t>Amanda Baker</t>
  </si>
  <si>
    <t>123-007-113-015</t>
  </si>
  <si>
    <t>Emily Rodriguez</t>
  </si>
  <si>
    <t>123-007-113-016</t>
  </si>
  <si>
    <t>Daniel Gonzalez</t>
  </si>
  <si>
    <t>123-004-108-010</t>
  </si>
  <si>
    <t>Anthony Mitchell</t>
  </si>
  <si>
    <t>123-001-127-009</t>
  </si>
  <si>
    <t>123-005-106-012</t>
  </si>
  <si>
    <t>Joshua Adams</t>
  </si>
  <si>
    <t>123-007-120-004</t>
  </si>
  <si>
    <t>123-007-120-005</t>
  </si>
  <si>
    <t>Lucas Collins</t>
  </si>
  <si>
    <t>123-007-120-006</t>
  </si>
  <si>
    <t>123-007-120-007</t>
  </si>
  <si>
    <t>Lucas Moore</t>
  </si>
  <si>
    <t>123-001-104-015</t>
  </si>
  <si>
    <t>Sarah Garcia</t>
  </si>
  <si>
    <t>123-001-104-016</t>
  </si>
  <si>
    <t>Karen Mitchell</t>
  </si>
  <si>
    <t>123-001-104-017</t>
  </si>
  <si>
    <t>Robert Thomas</t>
  </si>
  <si>
    <t>123-001-104-018</t>
  </si>
  <si>
    <t>Sarah Nguyen</t>
  </si>
  <si>
    <t>123-001-104-019</t>
  </si>
  <si>
    <t>Sarah Diaz</t>
  </si>
  <si>
    <t>123-001-104-020</t>
  </si>
  <si>
    <t>123-001-104-021</t>
  </si>
  <si>
    <t>Margaret Wright</t>
  </si>
  <si>
    <t>123-009-102-001</t>
  </si>
  <si>
    <t>Jackson Turner</t>
  </si>
  <si>
    <t>123-009-102-002</t>
  </si>
  <si>
    <t>Nancy Campbell</t>
  </si>
  <si>
    <t>123-009-102-003</t>
  </si>
  <si>
    <t>Ethan Miller</t>
  </si>
  <si>
    <t>123-009-128-001</t>
  </si>
  <si>
    <t>123-009-128-002</t>
  </si>
  <si>
    <t>Ava Smith</t>
  </si>
  <si>
    <t>123-009-128-003</t>
  </si>
  <si>
    <t>123-009-128-004</t>
  </si>
  <si>
    <t>123-005-104-011</t>
  </si>
  <si>
    <t>Mia Lopez</t>
  </si>
  <si>
    <t>123-005-104-012</t>
  </si>
  <si>
    <t>Robert Thompson</t>
  </si>
  <si>
    <t>123-005-104-013</t>
  </si>
  <si>
    <t>123-005-104-014</t>
  </si>
  <si>
    <t>John Lewis</t>
  </si>
  <si>
    <t>123-005-104-015</t>
  </si>
  <si>
    <t>Logan Young</t>
  </si>
  <si>
    <t>123-010-105-004</t>
  </si>
  <si>
    <t>Carol Williams</t>
  </si>
  <si>
    <t>123-008-128-007</t>
  </si>
  <si>
    <t>123-008-128-008</t>
  </si>
  <si>
    <t>Thomas Johnson</t>
  </si>
  <si>
    <t>123-008-128-009</t>
  </si>
  <si>
    <t>Jessica Thompson</t>
  </si>
  <si>
    <t>123-008-128-010</t>
  </si>
  <si>
    <t>Steven Jones</t>
  </si>
  <si>
    <t>123-008-128-011</t>
  </si>
  <si>
    <t>John Adams</t>
  </si>
  <si>
    <t>123-006-101-003</t>
  </si>
  <si>
    <t>123-006-101-004</t>
  </si>
  <si>
    <t>Lisa Williams</t>
  </si>
  <si>
    <t>123-006-101-005</t>
  </si>
  <si>
    <t>123-006-101-006</t>
  </si>
  <si>
    <t>123-006-101-007</t>
  </si>
  <si>
    <t>George Martinez</t>
  </si>
  <si>
    <t>123-004-103-007</t>
  </si>
  <si>
    <t>Paul Campbell</t>
  </si>
  <si>
    <t>123-004-103-008</t>
  </si>
  <si>
    <t>123-004-103-009</t>
  </si>
  <si>
    <t>Mason Torres</t>
  </si>
  <si>
    <t>123-004-103-010</t>
  </si>
  <si>
    <t>Joseph Robinson</t>
  </si>
  <si>
    <t>123-004-103-011</t>
  </si>
  <si>
    <t>123-009-118-010</t>
  </si>
  <si>
    <t>123-003-119-001</t>
  </si>
  <si>
    <t>123-003-119-002</t>
  </si>
  <si>
    <t>Charles Perez</t>
  </si>
  <si>
    <t>123-003-119-003</t>
  </si>
  <si>
    <t>123-003-119-004</t>
  </si>
  <si>
    <t>123-003-119-005</t>
  </si>
  <si>
    <t>David Davis</t>
  </si>
  <si>
    <t>123-001-105-012</t>
  </si>
  <si>
    <t>Isabella Edwards</t>
  </si>
  <si>
    <t>123-001-105-013</t>
  </si>
  <si>
    <t>John Rodriguez</t>
  </si>
  <si>
    <t>123-001-105-014</t>
  </si>
  <si>
    <t>123-001-105-015</t>
  </si>
  <si>
    <t>Dorothy Jackson</t>
  </si>
  <si>
    <t>123-001-124-003</t>
  </si>
  <si>
    <t>Charlotte Lewis</t>
  </si>
  <si>
    <t>123-008-110-014</t>
  </si>
  <si>
    <t>Elizabeth Edwards</t>
  </si>
  <si>
    <t>123-008-110-015</t>
  </si>
  <si>
    <t>Matthew Lee</t>
  </si>
  <si>
    <t>123-002-125-012</t>
  </si>
  <si>
    <t>Nancy Brown</t>
  </si>
  <si>
    <t>123-002-125-013</t>
  </si>
  <si>
    <t>123-001-105-016</t>
  </si>
  <si>
    <t>Andrew Cruz</t>
  </si>
  <si>
    <t>123-001-105-017</t>
  </si>
  <si>
    <t>Linda Jackson</t>
  </si>
  <si>
    <t>123-003-108-007</t>
  </si>
  <si>
    <t>Joshua Carter</t>
  </si>
  <si>
    <t>123-003-108-008</t>
  </si>
  <si>
    <t>123-003-108-009</t>
  </si>
  <si>
    <t>Lucas Williams</t>
  </si>
  <si>
    <t>123-001-127-010</t>
  </si>
  <si>
    <t>123-001-127-011</t>
  </si>
  <si>
    <t>123-001-127-012</t>
  </si>
  <si>
    <t>123-003-128-008</t>
  </si>
  <si>
    <t>Daniel Phillips</t>
  </si>
  <si>
    <t>123-003-128-009</t>
  </si>
  <si>
    <t>John Lee</t>
  </si>
  <si>
    <t>123-003-128-010</t>
  </si>
  <si>
    <t>Kenneth Mitchell</t>
  </si>
  <si>
    <t>123-006-123-009</t>
  </si>
  <si>
    <t>Richard Turner</t>
  </si>
  <si>
    <t>123-003-108-010</t>
  </si>
  <si>
    <t>Charlotte Anderson</t>
  </si>
  <si>
    <t>123-003-108-011</t>
  </si>
  <si>
    <t>123-003-108-012</t>
  </si>
  <si>
    <t>Olivia Garcia</t>
  </si>
  <si>
    <t>123-003-108-013</t>
  </si>
  <si>
    <t>James Ramirez</t>
  </si>
  <si>
    <t>123-003-108-014</t>
  </si>
  <si>
    <t>Robert Clark</t>
  </si>
  <si>
    <t>123-006-121-007</t>
  </si>
  <si>
    <t>Olivia Martin</t>
  </si>
  <si>
    <t>123-006-121-008</t>
  </si>
  <si>
    <t>Sophia Green</t>
  </si>
  <si>
    <t>123-006-121-009</t>
  </si>
  <si>
    <t>123-006-121-010</t>
  </si>
  <si>
    <t>Anthony Lewis</t>
  </si>
  <si>
    <t>123-003-104-001</t>
  </si>
  <si>
    <t>123-003-104-002</t>
  </si>
  <si>
    <t>123-003-104-003</t>
  </si>
  <si>
    <t>Charles Moore</t>
  </si>
  <si>
    <t>123-003-104-004</t>
  </si>
  <si>
    <t>Patricia Scott</t>
  </si>
  <si>
    <t>123-007-114-002</t>
  </si>
  <si>
    <t>Ava Brown</t>
  </si>
  <si>
    <t>123-007-114-003</t>
  </si>
  <si>
    <t>123-007-114-004</t>
  </si>
  <si>
    <t>123-007-114-005</t>
  </si>
  <si>
    <t>123-001-124-004</t>
  </si>
  <si>
    <t>Nancy Clark</t>
  </si>
  <si>
    <t>123-001-124-005</t>
  </si>
  <si>
    <t>Deborah Roberts</t>
  </si>
  <si>
    <t>123-001-124-006</t>
  </si>
  <si>
    <t>Paul Gonzalez</t>
  </si>
  <si>
    <t>123-001-124-007</t>
  </si>
  <si>
    <t>Charles Phillips</t>
  </si>
  <si>
    <t>123-001-101-013</t>
  </si>
  <si>
    <t>Steven Sanchez</t>
  </si>
  <si>
    <t>123-001-110-009</t>
  </si>
  <si>
    <t>Robert Moore</t>
  </si>
  <si>
    <t>123-001-110-010</t>
  </si>
  <si>
    <t>William Evans</t>
  </si>
  <si>
    <t>123-009-103-008</t>
  </si>
  <si>
    <t>Thomas Adams</t>
  </si>
  <si>
    <t>123-009-103-009</t>
  </si>
  <si>
    <t>Michael Mitchell</t>
  </si>
  <si>
    <t>123-009-103-010</t>
  </si>
  <si>
    <t>123-009-103-011</t>
  </si>
  <si>
    <t>Sarah Robinson</t>
  </si>
  <si>
    <t>123-002-114-006</t>
  </si>
  <si>
    <t>Donald Jackson</t>
  </si>
  <si>
    <t>123-002-114-007</t>
  </si>
  <si>
    <t>Ashley Campbell</t>
  </si>
  <si>
    <t>123-004-115-003</t>
  </si>
  <si>
    <t>123-004-115-004</t>
  </si>
  <si>
    <t>Nancy Martinez</t>
  </si>
  <si>
    <t>123-004-115-005</t>
  </si>
  <si>
    <t>123-004-115-006</t>
  </si>
  <si>
    <t>Michelle Turner</t>
  </si>
  <si>
    <t>123-004-115-007</t>
  </si>
  <si>
    <t>Patricia Roberts</t>
  </si>
  <si>
    <t>123-006-124-005</t>
  </si>
  <si>
    <t>Edward Scott</t>
  </si>
  <si>
    <t>123-006-124-006</t>
  </si>
  <si>
    <t>Logan Smith</t>
  </si>
  <si>
    <t>123-004-111-015</t>
  </si>
  <si>
    <t>Steven Scott</t>
  </si>
  <si>
    <t>123-004-111-016</t>
  </si>
  <si>
    <t>Matthew Rodriguez</t>
  </si>
  <si>
    <t>123-004-111-017</t>
  </si>
  <si>
    <t>123-003-116-008</t>
  </si>
  <si>
    <t>123-003-116-009</t>
  </si>
  <si>
    <t>123-003-116-010</t>
  </si>
  <si>
    <t>Charles King</t>
  </si>
  <si>
    <t>123-003-116-011</t>
  </si>
  <si>
    <t>Kimberly Hill</t>
  </si>
  <si>
    <t>123-003-116-012</t>
  </si>
  <si>
    <t>Nancy Mitchell</t>
  </si>
  <si>
    <t>123-008-123-015</t>
  </si>
  <si>
    <t>Barbara Martinez</t>
  </si>
  <si>
    <t>123-004-110-007</t>
  </si>
  <si>
    <t>Nancy Miller</t>
  </si>
  <si>
    <t>123-004-110-008</t>
  </si>
  <si>
    <t>123-004-130-009</t>
  </si>
  <si>
    <t>123-004-130-010</t>
  </si>
  <si>
    <t>123-004-130-011</t>
  </si>
  <si>
    <t>123-003-109-003</t>
  </si>
  <si>
    <t>Ethan King</t>
  </si>
  <si>
    <t>123-003-109-004</t>
  </si>
  <si>
    <t>123-003-109-005</t>
  </si>
  <si>
    <t>Joseph Wilson</t>
  </si>
  <si>
    <t>123-003-105-007</t>
  </si>
  <si>
    <t>John Edwards</t>
  </si>
  <si>
    <t>123-003-105-008</t>
  </si>
  <si>
    <t>Kevin Walker</t>
  </si>
  <si>
    <t>123-003-105-009</t>
  </si>
  <si>
    <t>123-003-105-010</t>
  </si>
  <si>
    <t>123-010-129-007</t>
  </si>
  <si>
    <t>Dorothy Martinez</t>
  </si>
  <si>
    <t>123-010-129-008</t>
  </si>
  <si>
    <t>Amanda Davis</t>
  </si>
  <si>
    <t>123-006-101-008</t>
  </si>
  <si>
    <t>123-006-101-009</t>
  </si>
  <si>
    <t>Matthew White</t>
  </si>
  <si>
    <t>123-006-101-010</t>
  </si>
  <si>
    <t>123-006-101-011</t>
  </si>
  <si>
    <t>Michael Collins</t>
  </si>
  <si>
    <t>123-001-130-004</t>
  </si>
  <si>
    <t>Carol Moore</t>
  </si>
  <si>
    <t>123-001-130-005</t>
  </si>
  <si>
    <t>123-001-130-006</t>
  </si>
  <si>
    <t>123-001-130-007</t>
  </si>
  <si>
    <t>Dorothy Walker</t>
  </si>
  <si>
    <t>123-001-130-008</t>
  </si>
  <si>
    <t>123-003-128-011</t>
  </si>
  <si>
    <t>123-004-128-006</t>
  </si>
  <si>
    <t>123-004-128-007</t>
  </si>
  <si>
    <t>Donna Campbell</t>
  </si>
  <si>
    <t>123-004-128-008</t>
  </si>
  <si>
    <t>Kevin Sanchez</t>
  </si>
  <si>
    <t>123-004-128-009</t>
  </si>
  <si>
    <t>123-004-128-010</t>
  </si>
  <si>
    <t>123-009-123-009</t>
  </si>
  <si>
    <t>123-009-123-010</t>
  </si>
  <si>
    <t>Daniel Davis</t>
  </si>
  <si>
    <t>123-009-123-011</t>
  </si>
  <si>
    <t>Andrew Robinson</t>
  </si>
  <si>
    <t>123-009-123-012</t>
  </si>
  <si>
    <t>George Garcia</t>
  </si>
  <si>
    <t>123-003-125-010</t>
  </si>
  <si>
    <t>123-004-110-009</t>
  </si>
  <si>
    <t>Matthew Rivera</t>
  </si>
  <si>
    <t>123-004-110-010</t>
  </si>
  <si>
    <t>Andrew Lee</t>
  </si>
  <si>
    <t>123-004-109-005</t>
  </si>
  <si>
    <t>123-004-109-006</t>
  </si>
  <si>
    <t>Daniel Roberts</t>
  </si>
  <si>
    <t>123-010-102-003</t>
  </si>
  <si>
    <t>Andrew Wilson</t>
  </si>
  <si>
    <t>123-010-102-004</t>
  </si>
  <si>
    <t>123-010-102-005</t>
  </si>
  <si>
    <t>Jennifer Allen</t>
  </si>
  <si>
    <t>123-010-102-006</t>
  </si>
  <si>
    <t>123-003-116-013</t>
  </si>
  <si>
    <t>123-003-116-014</t>
  </si>
  <si>
    <t>Daniel Parker</t>
  </si>
  <si>
    <t>123-003-116-015</t>
  </si>
  <si>
    <t>123-003-116-016</t>
  </si>
  <si>
    <t>Sandra Wright</t>
  </si>
  <si>
    <t>123-010-126-007</t>
  </si>
  <si>
    <t>George Sanchez</t>
  </si>
  <si>
    <t>123-010-126-008</t>
  </si>
  <si>
    <t>Lisa Hill</t>
  </si>
  <si>
    <t>123-010-126-009</t>
  </si>
  <si>
    <t>Robert Cruz</t>
  </si>
  <si>
    <t>123-010-126-010</t>
  </si>
  <si>
    <t>Anthony Ramirez</t>
  </si>
  <si>
    <t>123-009-106-001</t>
  </si>
  <si>
    <t>123-009-106-002</t>
  </si>
  <si>
    <t>Jennifer Martin</t>
  </si>
  <si>
    <t>123-003-113-005</t>
  </si>
  <si>
    <t>123-003-113-006</t>
  </si>
  <si>
    <t>123-003-113-007</t>
  </si>
  <si>
    <t>123-003-113-008</t>
  </si>
  <si>
    <t>123-009-105-006</t>
  </si>
  <si>
    <t>123-009-105-007</t>
  </si>
  <si>
    <t>Michael Walker</t>
  </si>
  <si>
    <t>123-009-105-008</t>
  </si>
  <si>
    <t>123-004-123-004</t>
  </si>
  <si>
    <t>Christopher Carter</t>
  </si>
  <si>
    <t>123-005-129-004</t>
  </si>
  <si>
    <t>Daniel Young</t>
  </si>
  <si>
    <t>123-005-129-005</t>
  </si>
  <si>
    <t>123-005-129-006</t>
  </si>
  <si>
    <t>123-005-129-007</t>
  </si>
  <si>
    <t>Joseph Rodriguez</t>
  </si>
  <si>
    <t>123-005-107-012</t>
  </si>
  <si>
    <t>123-005-107-013</t>
  </si>
  <si>
    <t>123-005-107-014</t>
  </si>
  <si>
    <t>Amanda Evans</t>
  </si>
  <si>
    <t>123-005-107-015</t>
  </si>
  <si>
    <t>123-002-127-009</t>
  </si>
  <si>
    <t>123-002-127-010</t>
  </si>
  <si>
    <t>David Lee</t>
  </si>
  <si>
    <t>123-002-127-011</t>
  </si>
  <si>
    <t>123-002-127-012</t>
  </si>
  <si>
    <t>123-006-117-006</t>
  </si>
  <si>
    <t>Linda Gomez</t>
  </si>
  <si>
    <t>123-006-117-007</t>
  </si>
  <si>
    <t>Elizabeth Smith</t>
  </si>
  <si>
    <t>123-006-117-008</t>
  </si>
  <si>
    <t>Steven Evans</t>
  </si>
  <si>
    <t>123-006-117-009</t>
  </si>
  <si>
    <t>123-010-129-009</t>
  </si>
  <si>
    <t>Nancy Baker</t>
  </si>
  <si>
    <t>123-010-129-010</t>
  </si>
  <si>
    <t>Barbara Jackson</t>
  </si>
  <si>
    <t>123-010-129-011</t>
  </si>
  <si>
    <t>Kenneth Williams</t>
  </si>
  <si>
    <t>123-007-118-004</t>
  </si>
  <si>
    <t>Paul Miller</t>
  </si>
  <si>
    <t>123-007-118-005</t>
  </si>
  <si>
    <t>Ashley Ramirez</t>
  </si>
  <si>
    <t>123-010-123-005</t>
  </si>
  <si>
    <t>123-010-123-006</t>
  </si>
  <si>
    <t>George Green</t>
  </si>
  <si>
    <t>123-002-124-003</t>
  </si>
  <si>
    <t>Margaret Sanchez</t>
  </si>
  <si>
    <t>123-002-124-004</t>
  </si>
  <si>
    <t>Carol Mitchell</t>
  </si>
  <si>
    <t>123-002-124-005</t>
  </si>
  <si>
    <t>123-004-118-010</t>
  </si>
  <si>
    <t>123-009-109-001</t>
  </si>
  <si>
    <t>Amanda Jackson</t>
  </si>
  <si>
    <t>123-007-101-010</t>
  </si>
  <si>
    <t>Sandra Hill</t>
  </si>
  <si>
    <t>123-007-101-011</t>
  </si>
  <si>
    <t>Mary Rivera</t>
  </si>
  <si>
    <t>123-005-120-014</t>
  </si>
  <si>
    <t>123-005-120-015</t>
  </si>
  <si>
    <t>Nancy Perez</t>
  </si>
  <si>
    <t>123-005-120-016</t>
  </si>
  <si>
    <t>Mia Mitchell</t>
  </si>
  <si>
    <t>123-005-120-017</t>
  </si>
  <si>
    <t>Thomas Sanchez</t>
  </si>
  <si>
    <t>123-005-120-018</t>
  </si>
  <si>
    <t>Kenneth Young</t>
  </si>
  <si>
    <t>123-005-112-012</t>
  </si>
  <si>
    <t>Amanda Robinson</t>
  </si>
  <si>
    <t>123-005-112-013</t>
  </si>
  <si>
    <t>Andrew Ramirez</t>
  </si>
  <si>
    <t>123-005-112-014</t>
  </si>
  <si>
    <t>123-010-113-001</t>
  </si>
  <si>
    <t>123-002-107-004</t>
  </si>
  <si>
    <t>123-002-107-005</t>
  </si>
  <si>
    <t>123-002-107-006</t>
  </si>
  <si>
    <t>123-002-107-007</t>
  </si>
  <si>
    <t>Mia Sanchez</t>
  </si>
  <si>
    <t>123-002-107-008</t>
  </si>
  <si>
    <t>Jackson Lewis</t>
  </si>
  <si>
    <t>123-005-113-001</t>
  </si>
  <si>
    <t>123-010-113-002</t>
  </si>
  <si>
    <t>Richard Green</t>
  </si>
  <si>
    <t>123-010-113-003</t>
  </si>
  <si>
    <t>Michelle Allen</t>
  </si>
  <si>
    <t>123-010-113-004</t>
  </si>
  <si>
    <t>Charlotte Johnson</t>
  </si>
  <si>
    <t>123-010-113-005</t>
  </si>
  <si>
    <t>Kenneth Walker</t>
  </si>
  <si>
    <t>123-010-124-008</t>
  </si>
  <si>
    <t>123-010-124-009</t>
  </si>
  <si>
    <t>Barbara Walker</t>
  </si>
  <si>
    <t>123-010-124-010</t>
  </si>
  <si>
    <t>Lucas Johnson</t>
  </si>
  <si>
    <t>123-010-124-011</t>
  </si>
  <si>
    <t>Amanda Hill</t>
  </si>
  <si>
    <t>123-009-115-012</t>
  </si>
  <si>
    <t>123-001-101-014</t>
  </si>
  <si>
    <t>Logan Harris</t>
  </si>
  <si>
    <t>123-001-101-015</t>
  </si>
  <si>
    <t>123-001-101-016</t>
  </si>
  <si>
    <t>123-001-101-017</t>
  </si>
  <si>
    <t>Lisa Sanchez</t>
  </si>
  <si>
    <t>123-002-114-008</t>
  </si>
  <si>
    <t>Thomas Carter</t>
  </si>
  <si>
    <t>123-007-112-024</t>
  </si>
  <si>
    <t>Jessica Gomez</t>
  </si>
  <si>
    <t>123-007-112-025</t>
  </si>
  <si>
    <t>123-007-112-026</t>
  </si>
  <si>
    <t>123-008-111-002</t>
  </si>
  <si>
    <t>123-008-111-003</t>
  </si>
  <si>
    <t>Olivia White</t>
  </si>
  <si>
    <t>123-008-111-004</t>
  </si>
  <si>
    <t>123-008-116-010</t>
  </si>
  <si>
    <t>Ethan Hall</t>
  </si>
  <si>
    <t>123-008-116-011</t>
  </si>
  <si>
    <t>Thomas Green</t>
  </si>
  <si>
    <t>123-008-116-012</t>
  </si>
  <si>
    <t>Karen Martinez</t>
  </si>
  <si>
    <t>123-009-124-005</t>
  </si>
  <si>
    <t>123-009-124-006</t>
  </si>
  <si>
    <t>123-009-124-007</t>
  </si>
  <si>
    <t>123-009-124-008</t>
  </si>
  <si>
    <t>Joseph Martin</t>
  </si>
  <si>
    <t>123-009-124-009</t>
  </si>
  <si>
    <t>Deborah Campbell</t>
  </si>
  <si>
    <t>123-008-112-007</t>
  </si>
  <si>
    <t>123-008-112-008</t>
  </si>
  <si>
    <t>123-008-112-009</t>
  </si>
  <si>
    <t>123-008-112-010</t>
  </si>
  <si>
    <t>Jessica Taylor</t>
  </si>
  <si>
    <t>123-008-108-008</t>
  </si>
  <si>
    <t>Ava Jones</t>
  </si>
  <si>
    <t>123-008-108-009</t>
  </si>
  <si>
    <t>Jennifer Mitchell</t>
  </si>
  <si>
    <t>123-004-102-004</t>
  </si>
  <si>
    <t>123-004-102-005</t>
  </si>
  <si>
    <t>123-002-111-016</t>
  </si>
  <si>
    <t>Jennifer Walker</t>
  </si>
  <si>
    <t>123-002-111-017</t>
  </si>
  <si>
    <t>123-008-124-010</t>
  </si>
  <si>
    <t>123-008-124-011</t>
  </si>
  <si>
    <t>Nancy Allen</t>
  </si>
  <si>
    <t>123-009-109-002</t>
  </si>
  <si>
    <t>123-009-109-003</t>
  </si>
  <si>
    <t>Edward Lopez</t>
  </si>
  <si>
    <t>123-008-116-013</t>
  </si>
  <si>
    <t>123-008-116-014</t>
  </si>
  <si>
    <t>Nancy Green</t>
  </si>
  <si>
    <t>123-004-125-019</t>
  </si>
  <si>
    <t>123-004-125-020</t>
  </si>
  <si>
    <t>123-003-111-013</t>
  </si>
  <si>
    <t>Mia Hernandez</t>
  </si>
  <si>
    <t>123-003-111-014</t>
  </si>
  <si>
    <t>123-005-116-013</t>
  </si>
  <si>
    <t>123-005-116-014</t>
  </si>
  <si>
    <t>Karen Ramirez</t>
  </si>
  <si>
    <t>123-005-116-015</t>
  </si>
  <si>
    <t>123-003-121-005</t>
  </si>
  <si>
    <t>123-003-121-006</t>
  </si>
  <si>
    <t>123-003-121-007</t>
  </si>
  <si>
    <t>123-003-121-008</t>
  </si>
  <si>
    <t>Mia Moore</t>
  </si>
  <si>
    <t>123-008-111-005</t>
  </si>
  <si>
    <t>Deborah Nelson</t>
  </si>
  <si>
    <t>123-008-111-006</t>
  </si>
  <si>
    <t>Sarah Hill</t>
  </si>
  <si>
    <t>123-008-111-007</t>
  </si>
  <si>
    <t>123-008-111-008</t>
  </si>
  <si>
    <t>Donald Rodriguez</t>
  </si>
  <si>
    <t>123-008-111-009</t>
  </si>
  <si>
    <t>123-004-115-008</t>
  </si>
  <si>
    <t>123-004-115-009</t>
  </si>
  <si>
    <t>Deborah Jones</t>
  </si>
  <si>
    <t>123-004-115-010</t>
  </si>
  <si>
    <t>Melissa Cruz</t>
  </si>
  <si>
    <t>123-008-108-010</t>
  </si>
  <si>
    <t>Amanda Rivera</t>
  </si>
  <si>
    <t>123-008-108-011</t>
  </si>
  <si>
    <t>William Davis</t>
  </si>
  <si>
    <t>123-008-108-012</t>
  </si>
  <si>
    <t>Mason King</t>
  </si>
  <si>
    <t>123-010-101-003</t>
  </si>
  <si>
    <t>Sophia Wright</t>
  </si>
  <si>
    <t>123-010-101-004</t>
  </si>
  <si>
    <t>123-010-101-005</t>
  </si>
  <si>
    <t>123-010-101-006</t>
  </si>
  <si>
    <t>123-005-127-004</t>
  </si>
  <si>
    <t>123-005-127-005</t>
  </si>
  <si>
    <t>123-005-127-006</t>
  </si>
  <si>
    <t>James Flores</t>
  </si>
  <si>
    <t>123-005-127-007</t>
  </si>
  <si>
    <t>123-006-119-006</t>
  </si>
  <si>
    <t>Deborah Evans</t>
  </si>
  <si>
    <t>123-006-119-007</t>
  </si>
  <si>
    <t>Richard Roberts</t>
  </si>
  <si>
    <t>123-006-119-008</t>
  </si>
  <si>
    <t>123-006-119-009</t>
  </si>
  <si>
    <t>123-006-119-010</t>
  </si>
  <si>
    <t>123-004-109-007</t>
  </si>
  <si>
    <t>123-004-109-008</t>
  </si>
  <si>
    <t>123-007-115-009</t>
  </si>
  <si>
    <t>Matthew Nguyen</t>
  </si>
  <si>
    <t>123-007-115-010</t>
  </si>
  <si>
    <t>David Carter</t>
  </si>
  <si>
    <t>123-006-124-007</t>
  </si>
  <si>
    <t>Jennifer Phillips</t>
  </si>
  <si>
    <t>123-006-124-008</t>
  </si>
  <si>
    <t>Charlotte Robinson</t>
  </si>
  <si>
    <t>123-006-124-009</t>
  </si>
  <si>
    <t>Mia Miller</t>
  </si>
  <si>
    <t>123-006-124-010</t>
  </si>
  <si>
    <t>123-007-121-006</t>
  </si>
  <si>
    <t>Kevin Jackson</t>
  </si>
  <si>
    <t>123-007-121-007</t>
  </si>
  <si>
    <t>Robert Martinez</t>
  </si>
  <si>
    <t>123-007-121-008</t>
  </si>
  <si>
    <t>123-007-121-009</t>
  </si>
  <si>
    <t>Patricia Hill</t>
  </si>
  <si>
    <t>123-003-127-007</t>
  </si>
  <si>
    <t>Jackson King</t>
  </si>
  <si>
    <t>123-003-127-008</t>
  </si>
  <si>
    <t>Lisa Cruz</t>
  </si>
  <si>
    <t>123-003-127-009</t>
  </si>
  <si>
    <t>Susan Martin</t>
  </si>
  <si>
    <t>123-003-127-010</t>
  </si>
  <si>
    <t>123-008-101-009</t>
  </si>
  <si>
    <t>123-003-106-001</t>
  </si>
  <si>
    <t>123-007-103-008</t>
  </si>
  <si>
    <t>123-010-105-005</t>
  </si>
  <si>
    <t>Donald Edwards</t>
  </si>
  <si>
    <t>123-009-122-004</t>
  </si>
  <si>
    <t>123-009-122-005</t>
  </si>
  <si>
    <t>123-009-122-006</t>
  </si>
  <si>
    <t>Olivia Flores</t>
  </si>
  <si>
    <t>123-005-106-013</t>
  </si>
  <si>
    <t>Kevin Nguyen</t>
  </si>
  <si>
    <t>123-005-106-014</t>
  </si>
  <si>
    <t>123-005-106-015</t>
  </si>
  <si>
    <t>123-001-121-002</t>
  </si>
  <si>
    <t>Elizabeth Green</t>
  </si>
  <si>
    <t>123-001-121-003</t>
  </si>
  <si>
    <t>Betty Lee</t>
  </si>
  <si>
    <t>123-006-116-008</t>
  </si>
  <si>
    <t>Mark Wilson</t>
  </si>
  <si>
    <t>123-006-116-009</t>
  </si>
  <si>
    <t>Melissa Moore</t>
  </si>
  <si>
    <t>123-003-129-010</t>
  </si>
  <si>
    <t>123-003-129-011</t>
  </si>
  <si>
    <t>123-003-129-012</t>
  </si>
  <si>
    <t>John Gomez</t>
  </si>
  <si>
    <t>123-002-115-013</t>
  </si>
  <si>
    <t>William Parker</t>
  </si>
  <si>
    <t>123-002-118-001</t>
  </si>
  <si>
    <t>Isabella Cruz</t>
  </si>
  <si>
    <t>123-002-118-002</t>
  </si>
  <si>
    <t>123-002-118-003</t>
  </si>
  <si>
    <t>123-002-118-004</t>
  </si>
  <si>
    <t>Ethan Wright</t>
  </si>
  <si>
    <t>123-002-118-005</t>
  </si>
  <si>
    <t>123-003-127-011</t>
  </si>
  <si>
    <t>123-003-127-012</t>
  </si>
  <si>
    <t>123-003-127-013</t>
  </si>
  <si>
    <t>William Campbell</t>
  </si>
  <si>
    <t>123-003-127-014</t>
  </si>
  <si>
    <t>123-003-127-015</t>
  </si>
  <si>
    <t>123-003-127-016</t>
  </si>
  <si>
    <t>David Adams</t>
  </si>
  <si>
    <t>123-003-127-017</t>
  </si>
  <si>
    <t>Mason Thompson</t>
  </si>
  <si>
    <t>123-007-129-008</t>
  </si>
  <si>
    <t>Susan Lewis</t>
  </si>
  <si>
    <t>123-002-101-010</t>
  </si>
  <si>
    <t>Michael Roberts</t>
  </si>
  <si>
    <t>123-002-101-011</t>
  </si>
  <si>
    <t>Isabella Davis</t>
  </si>
  <si>
    <t>123-002-101-012</t>
  </si>
  <si>
    <t>123-002-101-013</t>
  </si>
  <si>
    <t>Kenneth Robinson</t>
  </si>
  <si>
    <t>123-002-101-014</t>
  </si>
  <si>
    <t>Edward Jackson</t>
  </si>
  <si>
    <t>123-010-124-012</t>
  </si>
  <si>
    <t>123-010-124-013</t>
  </si>
  <si>
    <t>123-010-124-014</t>
  </si>
  <si>
    <t>123-010-124-015</t>
  </si>
  <si>
    <t>123-010-124-016</t>
  </si>
  <si>
    <t>123-010-108-005</t>
  </si>
  <si>
    <t>123-010-108-006</t>
  </si>
  <si>
    <t>123-010-108-007</t>
  </si>
  <si>
    <t>123-010-108-008</t>
  </si>
  <si>
    <t>123-010-119-014</t>
  </si>
  <si>
    <t>123-010-119-015</t>
  </si>
  <si>
    <t>123-010-119-016</t>
  </si>
  <si>
    <t>Andrew Lopez</t>
  </si>
  <si>
    <t>123-010-119-017</t>
  </si>
  <si>
    <t>Charles Collins</t>
  </si>
  <si>
    <t>123-005-128-001</t>
  </si>
  <si>
    <t>Daniel Thomas</t>
  </si>
  <si>
    <t>123-005-128-002</t>
  </si>
  <si>
    <t>123-005-128-003</t>
  </si>
  <si>
    <t>Emily Roberts</t>
  </si>
  <si>
    <t>123-003-125-011</t>
  </si>
  <si>
    <t>123-003-125-012</t>
  </si>
  <si>
    <t>Kenneth Sanchez</t>
  </si>
  <si>
    <t>123-003-125-013</t>
  </si>
  <si>
    <t>Richard Taylor</t>
  </si>
  <si>
    <t>123-003-125-014</t>
  </si>
  <si>
    <t>Edward Hernandez</t>
  </si>
  <si>
    <t>123-010-107-004</t>
  </si>
  <si>
    <t>123-010-107-005</t>
  </si>
  <si>
    <t>Jennifer Garcia</t>
  </si>
  <si>
    <t>123-010-107-006</t>
  </si>
  <si>
    <t>Nancy Wright</t>
  </si>
  <si>
    <t>123-007-130-002</t>
  </si>
  <si>
    <t>123-001-127-013</t>
  </si>
  <si>
    <t>Mary Young</t>
  </si>
  <si>
    <t>123-001-127-014</t>
  </si>
  <si>
    <t>Olivia Anderson</t>
  </si>
  <si>
    <t>123-001-105-018</t>
  </si>
  <si>
    <t>Mary Diaz</t>
  </si>
  <si>
    <t>123-001-105-019</t>
  </si>
  <si>
    <t>123-001-105-020</t>
  </si>
  <si>
    <t>Melissa Taylor</t>
  </si>
  <si>
    <t>123-006-114-004</t>
  </si>
  <si>
    <t>Christopher Wright</t>
  </si>
  <si>
    <t>123-006-114-005</t>
  </si>
  <si>
    <t>Logan Evans</t>
  </si>
  <si>
    <t>123-006-114-006</t>
  </si>
  <si>
    <t>123-002-111-018</t>
  </si>
  <si>
    <t>Sandra Moore</t>
  </si>
  <si>
    <t>123-002-111-019</t>
  </si>
  <si>
    <t>123-006-129-001</t>
  </si>
  <si>
    <t>123-006-129-002</t>
  </si>
  <si>
    <t>Thomas Edwards</t>
  </si>
  <si>
    <t>Is Hired</t>
  </si>
  <si>
    <t>Is Declination</t>
  </si>
  <si>
    <t>Is Rescinded</t>
  </si>
  <si>
    <t>Is Cancelled</t>
  </si>
  <si>
    <t>Is Transfer</t>
  </si>
  <si>
    <t>Is New to Org</t>
  </si>
  <si>
    <t>Is Promotion</t>
  </si>
  <si>
    <t>Grand Total</t>
  </si>
  <si>
    <t>Count of Is Hired</t>
  </si>
  <si>
    <t>TRUE</t>
  </si>
  <si>
    <t>Count of Is Declination</t>
  </si>
  <si>
    <t>Count of Is Promotion</t>
  </si>
  <si>
    <t>Number of Hires</t>
  </si>
  <si>
    <t>Number of Declinations</t>
  </si>
  <si>
    <t>Number of Rescinded</t>
  </si>
  <si>
    <t>Number of Transfers</t>
  </si>
  <si>
    <t>Number of Promotions</t>
  </si>
  <si>
    <t>Declination Rate</t>
  </si>
  <si>
    <t>Promotion Rate</t>
  </si>
  <si>
    <t>Count of Is Rescinded</t>
  </si>
  <si>
    <t>Count of Is Transfer</t>
  </si>
  <si>
    <t>Number of Offers</t>
  </si>
  <si>
    <t>Sum of Declination Rate</t>
  </si>
  <si>
    <t>Sum of Promotion Rate</t>
  </si>
  <si>
    <t>2022</t>
  </si>
  <si>
    <t>2023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</si>
  <si>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</si>
  <si>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</si>
  <si>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</si>
  <si>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</si>
  <si>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</si>
  <si>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</si>
  <si>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</si>
  <si>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</si>
  <si>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</si>
  <si>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</si>
  <si>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</si>
  <si>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</si>
  <si>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(Effective Date)</t>
  </si>
  <si>
    <t>Months (Effective Date)</t>
  </si>
  <si>
    <t>Years</t>
  </si>
  <si>
    <t>Months</t>
  </si>
  <si>
    <t>Time</t>
  </si>
  <si>
    <t>Hires</t>
  </si>
  <si>
    <t>MM-YYYY</t>
  </si>
  <si>
    <t>Split Set</t>
  </si>
  <si>
    <t>Train</t>
  </si>
  <si>
    <t>Test</t>
  </si>
  <si>
    <t>Time Index</t>
  </si>
  <si>
    <t>Sine Component</t>
  </si>
  <si>
    <t>Cosine Component</t>
  </si>
  <si>
    <t>Parameters</t>
  </si>
  <si>
    <t>Values</t>
  </si>
  <si>
    <t>Beta0</t>
  </si>
  <si>
    <t>Beta1</t>
  </si>
  <si>
    <t>Beta2</t>
  </si>
  <si>
    <t>Beta3</t>
  </si>
  <si>
    <t>Lambda</t>
  </si>
  <si>
    <t>Log-Likelihood</t>
  </si>
  <si>
    <t>Forecasted Hires</t>
  </si>
  <si>
    <t>Total Negative Log Likelihood</t>
  </si>
  <si>
    <t>Actual Hires</t>
  </si>
  <si>
    <t>Error</t>
  </si>
  <si>
    <t>Squared Error</t>
  </si>
  <si>
    <t>MSE</t>
  </si>
  <si>
    <t>RMSE</t>
  </si>
  <si>
    <t>MAE</t>
  </si>
  <si>
    <t>MAPE</t>
  </si>
  <si>
    <t>Absolute Percentage Error</t>
  </si>
  <si>
    <t>Metric</t>
  </si>
  <si>
    <t>r</t>
  </si>
  <si>
    <t>Constraint Value</t>
  </si>
  <si>
    <t>Absolute Error</t>
  </si>
  <si>
    <t>ETS Forecast</t>
  </si>
  <si>
    <t>NB Forecast</t>
  </si>
  <si>
    <t>Future</t>
  </si>
  <si>
    <t>Past</t>
  </si>
  <si>
    <t>Could be improved with lag variables, but we don't have a lot of data points and lags would introduce null values</t>
  </si>
  <si>
    <t>Model</t>
  </si>
  <si>
    <t>ETS</t>
  </si>
  <si>
    <t>Poisson</t>
  </si>
  <si>
    <t>NB</t>
  </si>
  <si>
    <t>MAPE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</si>
</sst>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-yyyy"/>
    <numFmt numFmtId="165" formatCode="[$-409]mmm\-yy;@"/>
    <numFmt numFmtId="166" formatCode="0.000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0"/>
      <name val="Aptos Narrow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theme="7"/>
      </patternFill>
    </fill>
    <fill>
      <patternFill patternType="solid">
        <fgColor rgb="FF0E9ED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7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0" fillId="0" borderId="0" xfId="0" pivotButton="1"/>
    <xf numFmtId="10" fontId="0" fillId="0" borderId="0" xfId="42" applyNumberFormat="1" applyFont="1"/>
    <xf numFmtId="0" fontId="0" fillId="0" borderId="10" xfId="0" pivotButton="1" applyBorder="1"/>
    <xf numFmtId="0" fontId="0" fillId="0" borderId="11" xfId="0" applyBorder="1"/>
    <xf numFmtId="0" fontId="0" fillId="0" borderId="12" xfId="0" applyBorder="1"/>
    <xf numFmtId="10" fontId="0" fillId="0" borderId="13" xfId="0" applyNumberFormat="1" applyBorder="1"/>
    <xf numFmtId="0" fontId="0" fillId="0" borderId="14" xfId="0" applyBorder="1"/>
    <xf numFmtId="10" fontId="0" fillId="0" borderId="15" xfId="0" applyNumberFormat="1" applyBorder="1"/>
    <xf numFmtId="10" fontId="0" fillId="0" borderId="17" xfId="0" applyNumberFormat="1" applyBorder="1"/>
    <xf numFmtId="10" fontId="0" fillId="0" borderId="18" xfId="0" applyNumberFormat="1" applyBorder="1"/>
    <xf numFmtId="10" fontId="0" fillId="0" borderId="19" xfId="0" applyNumberFormat="1" applyBorder="1"/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0" fillId="0" borderId="20" xfId="0" applyBorder="1"/>
    <xf numFmtId="14" fontId="0" fillId="0" borderId="20" xfId="0" applyNumberFormat="1" applyBorder="1"/>
    <xf numFmtId="0" fontId="13" fillId="33" borderId="0" xfId="0" applyFont="1" applyFill="1"/>
    <xf numFmtId="0" fontId="0" fillId="0" borderId="21" xfId="0" pivotButton="1" applyBorder="1"/>
    <xf numFmtId="0" fontId="0" fillId="0" borderId="13" xfId="0" applyBorder="1"/>
    <xf numFmtId="0" fontId="0" fillId="0" borderId="22" xfId="0" applyBorder="1"/>
    <xf numFmtId="0" fontId="0" fillId="0" borderId="15" xfId="0" applyBorder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2" fontId="19" fillId="34" borderId="17" xfId="0" applyNumberFormat="1" applyFont="1" applyFill="1" applyBorder="1"/>
    <xf numFmtId="2" fontId="0" fillId="35" borderId="19" xfId="0" applyNumberFormat="1" applyFill="1" applyBorder="1"/>
    <xf numFmtId="1" fontId="0" fillId="0" borderId="20" xfId="0" applyNumberFormat="1" applyBorder="1"/>
    <xf numFmtId="164" fontId="0" fillId="0" borderId="20" xfId="0" applyNumberFormat="1" applyBorder="1"/>
    <xf numFmtId="165" fontId="13" fillId="33" borderId="0" xfId="0" applyNumberFormat="1" applyFont="1" applyFill="1"/>
    <xf numFmtId="1" fontId="13" fillId="33" borderId="0" xfId="0" applyNumberFormat="1" applyFont="1" applyFill="1"/>
    <xf numFmtId="0" fontId="0" fillId="36" borderId="0" xfId="0" applyFill="1"/>
    <xf numFmtId="166" fontId="0" fillId="0" borderId="0" xfId="0" applyNumberFormat="1"/>
    <xf numFmtId="164" fontId="0" fillId="37" borderId="21" xfId="0" applyNumberFormat="1" applyFill="1" applyBorder="1"/>
    <xf numFmtId="1" fontId="0" fillId="37" borderId="21" xfId="0" applyNumberFormat="1" applyFill="1" applyBorder="1"/>
    <xf numFmtId="0" fontId="0" fillId="37" borderId="21" xfId="0" applyFill="1" applyBorder="1"/>
    <xf numFmtId="2" fontId="0" fillId="37" borderId="21" xfId="0" applyNumberFormat="1" applyFill="1" applyBorder="1"/>
    <xf numFmtId="164" fontId="0" fillId="37" borderId="0" xfId="0" applyNumberFormat="1" applyFill="1"/>
    <xf numFmtId="1" fontId="0" fillId="37" borderId="0" xfId="0" applyNumberFormat="1" applyFill="1"/>
    <xf numFmtId="0" fontId="0" fillId="37" borderId="0" xfId="0" applyFill="1"/>
    <xf numFmtId="2" fontId="0" fillId="37" borderId="0" xfId="0" applyNumberFormat="1" applyFill="1"/>
    <xf numFmtId="2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5">
    <dxf>
      <numFmt numFmtId="1" formatCode="0"/>
    </dxf>
    <dxf>
      <numFmt numFmtId="164" formatCode="mm\-yyyy"/>
    </dxf>
    <dxf>
      <numFmt numFmtId="164" formatCode="mm\-yyyy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mm\-yyyy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top style="thin">
          <color theme="7"/>
        </top>
        <bottom style="thin">
          <color theme="7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7"/>
          <bgColor theme="7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4" formatCode="0.00%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color rgb="FF9C0006"/>
      </font>
    </dxf>
  </dxfs>
  <tableStyles count="0" defaultTableStyle="TableStyleMedium2" defaultPivotStyle="PivotStyleLight16"/>
  <colors>
    <mruColors>
      <color rgb="FFDA222B"/>
      <color rgb="FFFFDF37"/>
      <color rgb="FF0E9E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7-9B4C-B239-E133FB6E3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3862160"/>
        <c:axId val="1856048000"/>
      </c:barChart>
      <c:catAx>
        <c:axId val="55386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48000"/>
        <c:crosses val="autoZero"/>
        <c:auto val="1"/>
        <c:lblAlgn val="ctr"/>
        <c:lblOffset val="100"/>
        <c:noMultiLvlLbl val="0"/>
      </c:catAx>
      <c:valAx>
        <c:axId val="185604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bg2">
              <a:lumMod val="9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76C-164A-92CE-8D512881E1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90-3D4F-B1DC-F71259CB11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90-3D4F-B1DC-F71259CB1106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6C-164A-92CE-8D512881E1FC}"/>
              </c:ext>
            </c:extLst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6C-164A-92CE-8D512881E1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990-3D4F-B1DC-F71259CB1106}"/>
              </c:ext>
            </c:extLst>
          </c:dPt>
          <c:dPt>
            <c:idx val="6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76C-164A-92CE-8D512881E1F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76C-164A-92CE-8D512881E1FC}"/>
              </c:ext>
            </c:extLst>
          </c:dPt>
          <c:dPt>
            <c:idx val="8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76C-164A-92CE-8D512881E1FC}"/>
              </c:ext>
            </c:extLst>
          </c:dPt>
          <c:dPt>
            <c:idx val="9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6C-164A-92CE-8D512881E1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C-164A-92CE-8D512881E1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259060511271707"/>
          <c:y val="0.1775281720024518"/>
          <c:w val="0.31713542228454322"/>
          <c:h val="0.615272997312461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</a:t>
            </a:r>
            <a:r>
              <a:rPr lang="en-US" baseline="0"/>
              <a:t>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C-8646-98A1-3FD7779C5E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367552"/>
        <c:axId val="2121369264"/>
      </c:barChart>
      <c:catAx>
        <c:axId val="212136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9264"/>
        <c:crosses val="autoZero"/>
        <c:auto val="1"/>
        <c:lblAlgn val="ctr"/>
        <c:lblOffset val="100"/>
        <c:noMultiLvlLbl val="0"/>
      </c:catAx>
      <c:valAx>
        <c:axId val="212136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Declinations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F6C-0745-B6F7-619D53EBB3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10-F24C-ADBC-7A861FF63A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10-F24C-ADBC-7A861FF63A3F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F6C-0745-B6F7-619D53EBB32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10-F24C-ADBC-7A861FF63A3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B10-F24C-ADBC-7A861FF63A3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B10-F24C-ADBC-7A861FF63A3F}"/>
              </c:ext>
            </c:extLst>
          </c:dPt>
          <c:dPt>
            <c:idx val="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6C-0745-B6F7-619D53EBB32F}"/>
              </c:ext>
            </c:extLst>
          </c:dPt>
          <c:dPt>
            <c:idx val="8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C-0745-B6F7-619D53EBB32F}"/>
              </c:ext>
            </c:extLst>
          </c:dPt>
          <c:dPt>
            <c:idx val="9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F6C-0745-B6F7-619D53EBB3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0745-B6F7-619D53EBB3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Dept!PivotTable4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A222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A222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Dept'!$A$4:$A$14</c:f>
              <c:strCache>
                <c:ptCount val="10"/>
                <c:pt idx="0">
                  <c:v>Finance</c:v>
                </c:pt>
                <c:pt idx="1">
                  <c:v>Legal</c:v>
                </c:pt>
                <c:pt idx="2">
                  <c:v>Research and Development</c:v>
                </c:pt>
                <c:pt idx="3">
                  <c:v>Marketing</c:v>
                </c:pt>
                <c:pt idx="4">
                  <c:v>Engineering</c:v>
                </c:pt>
                <c:pt idx="5">
                  <c:v>Information Technology</c:v>
                </c:pt>
                <c:pt idx="6">
                  <c:v>Customer Service</c:v>
                </c:pt>
                <c:pt idx="7">
                  <c:v>Human Resources</c:v>
                </c:pt>
                <c:pt idx="8">
                  <c:v>Sales</c:v>
                </c:pt>
                <c:pt idx="9">
                  <c:v>Operations</c:v>
                </c:pt>
              </c:strCache>
            </c:strRef>
          </c:cat>
          <c:val>
            <c:numRef>
              <c:f>'Rescinded by Dept'!$B$4:$B$14</c:f>
              <c:numCache>
                <c:formatCode>General</c:formatCode>
                <c:ptCount val="10"/>
                <c:pt idx="0">
                  <c:v>30</c:v>
                </c:pt>
                <c:pt idx="1">
                  <c:v>26</c:v>
                </c:pt>
                <c:pt idx="2">
                  <c:v>26</c:v>
                </c:pt>
                <c:pt idx="3">
                  <c:v>25</c:v>
                </c:pt>
                <c:pt idx="4">
                  <c:v>23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A-A54B-B21F-1514939CB7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32543"/>
        <c:axId val="30534271"/>
      </c:barChart>
      <c:catAx>
        <c:axId val="30532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4271"/>
        <c:crosses val="autoZero"/>
        <c:auto val="1"/>
        <c:lblAlgn val="ctr"/>
        <c:lblOffset val="100"/>
        <c:noMultiLvlLbl val="0"/>
      </c:catAx>
      <c:valAx>
        <c:axId val="3053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Dept!PivotTable5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Human Resources</c:v>
                </c:pt>
                <c:pt idx="3">
                  <c:v>Operations</c:v>
                </c:pt>
                <c:pt idx="4">
                  <c:v>Marketing</c:v>
                </c:pt>
                <c:pt idx="5">
                  <c:v>Engineering</c:v>
                </c:pt>
                <c:pt idx="6">
                  <c:v>Finance</c:v>
                </c:pt>
                <c:pt idx="7">
                  <c:v>Legal</c:v>
                </c:pt>
                <c:pt idx="8">
                  <c:v>Sales</c:v>
                </c:pt>
                <c:pt idx="9">
                  <c:v>Customer Service</c:v>
                </c:pt>
              </c:strCache>
            </c:strRef>
          </c:cat>
          <c:val>
            <c:numRef>
              <c:f>'Transfers by Dept'!$B$4:$B$14</c:f>
              <c:numCache>
                <c:formatCode>General</c:formatCode>
                <c:ptCount val="10"/>
                <c:pt idx="0">
                  <c:v>44</c:v>
                </c:pt>
                <c:pt idx="1">
                  <c:v>43</c:v>
                </c:pt>
                <c:pt idx="2">
                  <c:v>40</c:v>
                </c:pt>
                <c:pt idx="3">
                  <c:v>36</c:v>
                </c:pt>
                <c:pt idx="4">
                  <c:v>34</c:v>
                </c:pt>
                <c:pt idx="5">
                  <c:v>32</c:v>
                </c:pt>
                <c:pt idx="6">
                  <c:v>32</c:v>
                </c:pt>
                <c:pt idx="7">
                  <c:v>31</c:v>
                </c:pt>
                <c:pt idx="8">
                  <c:v>28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A-4044-934A-48E922F7A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4483056"/>
        <c:axId val="1874602720"/>
      </c:barChart>
      <c:catAx>
        <c:axId val="1874483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602720"/>
        <c:crosses val="autoZero"/>
        <c:auto val="1"/>
        <c:lblAlgn val="ctr"/>
        <c:lblOffset val="100"/>
        <c:noMultiLvlLbl val="0"/>
      </c:catAx>
      <c:valAx>
        <c:axId val="187460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Dept!PivotTable3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Dept'!$A$4:$A$14</c:f>
              <c:strCache>
                <c:ptCount val="10"/>
                <c:pt idx="0">
                  <c:v>Customer Service</c:v>
                </c:pt>
                <c:pt idx="1">
                  <c:v>Sales</c:v>
                </c:pt>
                <c:pt idx="2">
                  <c:v>Information Technology</c:v>
                </c:pt>
                <c:pt idx="3">
                  <c:v>Research and Development</c:v>
                </c:pt>
                <c:pt idx="4">
                  <c:v>Operations</c:v>
                </c:pt>
                <c:pt idx="5">
                  <c:v>Human Resources</c:v>
                </c:pt>
                <c:pt idx="6">
                  <c:v>Marketing</c:v>
                </c:pt>
                <c:pt idx="7">
                  <c:v>Engineering</c:v>
                </c:pt>
                <c:pt idx="8">
                  <c:v>Finance</c:v>
                </c:pt>
                <c:pt idx="9">
                  <c:v>Legal</c:v>
                </c:pt>
              </c:strCache>
            </c:strRef>
          </c:cat>
          <c:val>
            <c:numRef>
              <c:f>'Promos by Dept'!$B$4:$B$14</c:f>
              <c:numCache>
                <c:formatCode>General</c:formatCode>
                <c:ptCount val="10"/>
                <c:pt idx="0">
                  <c:v>46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35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0-FA4A-9B49-88D1077397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092000"/>
        <c:axId val="2116093712"/>
      </c:barChart>
      <c:catAx>
        <c:axId val="211609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3712"/>
        <c:crosses val="autoZero"/>
        <c:auto val="1"/>
        <c:lblAlgn val="ctr"/>
        <c:lblOffset val="100"/>
        <c:noMultiLvlLbl val="0"/>
      </c:catAx>
      <c:valAx>
        <c:axId val="21160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Table'!$A$16:$A$25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Engineering</c:v>
                </c:pt>
                <c:pt idx="3">
                  <c:v>Research and Development</c:v>
                </c:pt>
                <c:pt idx="4">
                  <c:v>Legal</c:v>
                </c:pt>
                <c:pt idx="5">
                  <c:v>Sales</c:v>
                </c:pt>
                <c:pt idx="6">
                  <c:v>Information Technology</c:v>
                </c:pt>
                <c:pt idx="7">
                  <c:v>Human Resources</c:v>
                </c:pt>
                <c:pt idx="8">
                  <c:v>Finance</c:v>
                </c:pt>
                <c:pt idx="9">
                  <c:v>Customer Service</c:v>
                </c:pt>
              </c:strCache>
            </c:strRef>
          </c:cat>
          <c:val>
            <c:numRef>
              <c:f>'Dept Analysis Table'!$B$16:$B$25</c:f>
              <c:numCache>
                <c:formatCode>0.00%</c:formatCode>
                <c:ptCount val="10"/>
                <c:pt idx="0">
                  <c:v>0.26785714285714285</c:v>
                </c:pt>
                <c:pt idx="1">
                  <c:v>0.26200873362445415</c:v>
                </c:pt>
                <c:pt idx="2">
                  <c:v>0.23423423423423423</c:v>
                </c:pt>
                <c:pt idx="3">
                  <c:v>0.23200000000000001</c:v>
                </c:pt>
                <c:pt idx="4">
                  <c:v>0.23076923076923078</c:v>
                </c:pt>
                <c:pt idx="5">
                  <c:v>0.21904761904761905</c:v>
                </c:pt>
                <c:pt idx="6">
                  <c:v>0.21645021645021645</c:v>
                </c:pt>
                <c:pt idx="7">
                  <c:v>0.20967741935483872</c:v>
                </c:pt>
                <c:pt idx="8">
                  <c:v>0.2</c:v>
                </c:pt>
                <c:pt idx="9">
                  <c:v>0.1941747572815534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7-3341-934A-C9A9EFB80C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69456"/>
        <c:axId val="2116171168"/>
      </c:barChart>
      <c:catAx>
        <c:axId val="211616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71168"/>
        <c:crosses val="autoZero"/>
        <c:auto val="1"/>
        <c:lblAlgn val="ctr"/>
        <c:lblOffset val="100"/>
        <c:noMultiLvlLbl val="0"/>
      </c:catAx>
      <c:valAx>
        <c:axId val="211617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</a:t>
                </a:r>
                <a:r>
                  <a:rPr lang="en-US" sz="1200" baseline="0"/>
                  <a:t> Rate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6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Table'!$E$15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Table'!$D$16:$D$25</c:f>
              <c:strCache>
                <c:ptCount val="10"/>
                <c:pt idx="0">
                  <c:v>Customer Service</c:v>
                </c:pt>
                <c:pt idx="1">
                  <c:v>Human Resources</c:v>
                </c:pt>
                <c:pt idx="2">
                  <c:v>Sales</c:v>
                </c:pt>
                <c:pt idx="3">
                  <c:v>Information Technology</c:v>
                </c:pt>
                <c:pt idx="4">
                  <c:v>Marketing</c:v>
                </c:pt>
                <c:pt idx="5">
                  <c:v>Operations</c:v>
                </c:pt>
                <c:pt idx="6">
                  <c:v>Legal</c:v>
                </c:pt>
                <c:pt idx="7">
                  <c:v>Research and Development</c:v>
                </c:pt>
                <c:pt idx="8">
                  <c:v>Engineering</c:v>
                </c:pt>
                <c:pt idx="9">
                  <c:v>Finance</c:v>
                </c:pt>
              </c:strCache>
            </c:strRef>
          </c:cat>
          <c:val>
            <c:numRef>
              <c:f>'Dept Analysis Table'!$E$16:$E$25</c:f>
              <c:numCache>
                <c:formatCode>0.00%</c:formatCode>
                <c:ptCount val="10"/>
                <c:pt idx="0">
                  <c:v>0.31506849315068491</c:v>
                </c:pt>
                <c:pt idx="1">
                  <c:v>0.26923076923076922</c:v>
                </c:pt>
                <c:pt idx="2">
                  <c:v>0.26845637583892618</c:v>
                </c:pt>
                <c:pt idx="3">
                  <c:v>0.24683544303797469</c:v>
                </c:pt>
                <c:pt idx="4">
                  <c:v>0.2361111111111111</c:v>
                </c:pt>
                <c:pt idx="5">
                  <c:v>0.2348993288590604</c:v>
                </c:pt>
                <c:pt idx="6">
                  <c:v>0.23387096774193547</c:v>
                </c:pt>
                <c:pt idx="7">
                  <c:v>0.2289156626506024</c:v>
                </c:pt>
                <c:pt idx="8">
                  <c:v>0.22448979591836735</c:v>
                </c:pt>
                <c:pt idx="9">
                  <c:v>0.20547945205479451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4-9E48-8E4D-700D978314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463952"/>
        <c:axId val="2121465664"/>
      </c:barChart>
      <c:catAx>
        <c:axId val="212146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5664"/>
        <c:crosses val="autoZero"/>
        <c:auto val="1"/>
        <c:lblAlgn val="ctr"/>
        <c:lblOffset val="100"/>
        <c:noMultiLvlLbl val="0"/>
      </c:catAx>
      <c:valAx>
        <c:axId val="21214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Classification!PivotTable8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Classification'!$A$4:$A$34</c:f>
              <c:strCache>
                <c:ptCount val="30"/>
                <c:pt idx="0">
                  <c:v>Security Analyst</c:v>
                </c:pt>
                <c:pt idx="1">
                  <c:v>Product Manager</c:v>
                </c:pt>
                <c:pt idx="2">
                  <c:v>HR Specialist</c:v>
                </c:pt>
                <c:pt idx="3">
                  <c:v>Content Writer</c:v>
                </c:pt>
                <c:pt idx="4">
                  <c:v>Executive Assistant</c:v>
                </c:pt>
                <c:pt idx="5">
                  <c:v>Graphic Designer</c:v>
                </c:pt>
                <c:pt idx="6">
                  <c:v>Business Analyst</c:v>
                </c:pt>
                <c:pt idx="7">
                  <c:v>UX Designer</c:v>
                </c:pt>
                <c:pt idx="8">
                  <c:v>Customer Support Rep</c:v>
                </c:pt>
                <c:pt idx="9">
                  <c:v>Software Engineer</c:v>
                </c:pt>
                <c:pt idx="10">
                  <c:v>Supply Chain Manager</c:v>
                </c:pt>
                <c:pt idx="11">
                  <c:v>Biomedical Engineer</c:v>
                </c:pt>
                <c:pt idx="12">
                  <c:v>Training Coordinator</c:v>
                </c:pt>
                <c:pt idx="13">
                  <c:v>Sales Associate</c:v>
                </c:pt>
                <c:pt idx="14">
                  <c:v>Financial Analyst</c:v>
                </c:pt>
                <c:pt idx="15">
                  <c:v>Compliance Officer</c:v>
                </c:pt>
                <c:pt idx="16">
                  <c:v>Legal Advisor</c:v>
                </c:pt>
                <c:pt idx="17">
                  <c:v>Data Engineer</c:v>
                </c:pt>
                <c:pt idx="18">
                  <c:v>Marketing Coordinator</c:v>
                </c:pt>
                <c:pt idx="19">
                  <c:v>Project Manager</c:v>
                </c:pt>
                <c:pt idx="20">
                  <c:v>DevOps Engineer</c:v>
                </c:pt>
                <c:pt idx="21">
                  <c:v>Operations Supervisor</c:v>
                </c:pt>
                <c:pt idx="22">
                  <c:v>Recruiter</c:v>
                </c:pt>
                <c:pt idx="23">
                  <c:v>Quality Assurance</c:v>
                </c:pt>
                <c:pt idx="24">
                  <c:v>Account Manager</c:v>
                </c:pt>
                <c:pt idx="25">
                  <c:v>Payroll Specialist</c:v>
                </c:pt>
                <c:pt idx="26">
                  <c:v>Network Engineer</c:v>
                </c:pt>
                <c:pt idx="27">
                  <c:v>Data Scientist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'Hires by Classification'!$B$4:$B$34</c:f>
              <c:numCache>
                <c:formatCode>General</c:formatCode>
                <c:ptCount val="30"/>
                <c:pt idx="0">
                  <c:v>79</c:v>
                </c:pt>
                <c:pt idx="1">
                  <c:v>77</c:v>
                </c:pt>
                <c:pt idx="2">
                  <c:v>65</c:v>
                </c:pt>
                <c:pt idx="3">
                  <c:v>63</c:v>
                </c:pt>
                <c:pt idx="4">
                  <c:v>63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57</c:v>
                </c:pt>
                <c:pt idx="9">
                  <c:v>55</c:v>
                </c:pt>
                <c:pt idx="10">
                  <c:v>53</c:v>
                </c:pt>
                <c:pt idx="11">
                  <c:v>52</c:v>
                </c:pt>
                <c:pt idx="12">
                  <c:v>51</c:v>
                </c:pt>
                <c:pt idx="13">
                  <c:v>51</c:v>
                </c:pt>
                <c:pt idx="14">
                  <c:v>49</c:v>
                </c:pt>
                <c:pt idx="15">
                  <c:v>47</c:v>
                </c:pt>
                <c:pt idx="16">
                  <c:v>46</c:v>
                </c:pt>
                <c:pt idx="17">
                  <c:v>43</c:v>
                </c:pt>
                <c:pt idx="18">
                  <c:v>43</c:v>
                </c:pt>
                <c:pt idx="19">
                  <c:v>42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40</c:v>
                </c:pt>
                <c:pt idx="24">
                  <c:v>39</c:v>
                </c:pt>
                <c:pt idx="25">
                  <c:v>37</c:v>
                </c:pt>
                <c:pt idx="26">
                  <c:v>31</c:v>
                </c:pt>
                <c:pt idx="27">
                  <c:v>29</c:v>
                </c:pt>
                <c:pt idx="28">
                  <c:v>29</c:v>
                </c:pt>
                <c:pt idx="2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1-E04D-ABFC-1C79568F3F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4175"/>
        <c:axId val="275805887"/>
      </c:barChart>
      <c:catAx>
        <c:axId val="275804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5887"/>
        <c:crosses val="autoZero"/>
        <c:auto val="1"/>
        <c:lblAlgn val="ctr"/>
        <c:lblOffset val="100"/>
        <c:noMultiLvlLbl val="0"/>
      </c:catAx>
      <c:valAx>
        <c:axId val="2758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Classification!PivotTable9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Classification'!$A$4:$A$34</c:f>
              <c:strCache>
                <c:ptCount val="30"/>
                <c:pt idx="0">
                  <c:v>Graphic Designer</c:v>
                </c:pt>
                <c:pt idx="1">
                  <c:v>Security Analyst</c:v>
                </c:pt>
                <c:pt idx="2">
                  <c:v>Content Writer</c:v>
                </c:pt>
                <c:pt idx="3">
                  <c:v>HR Specialist</c:v>
                </c:pt>
                <c:pt idx="4">
                  <c:v>Account Manager</c:v>
                </c:pt>
                <c:pt idx="5">
                  <c:v>Business Analyst</c:v>
                </c:pt>
                <c:pt idx="6">
                  <c:v>Customer Support Rep</c:v>
                </c:pt>
                <c:pt idx="7">
                  <c:v>Research Analyst</c:v>
                </c:pt>
                <c:pt idx="8">
                  <c:v>Supply Chain Manager</c:v>
                </c:pt>
                <c:pt idx="9">
                  <c:v>Sales Associate</c:v>
                </c:pt>
                <c:pt idx="10">
                  <c:v>Data Engineer</c:v>
                </c:pt>
                <c:pt idx="11">
                  <c:v>Financial Analyst</c:v>
                </c:pt>
                <c:pt idx="12">
                  <c:v>Training Coordinator</c:v>
                </c:pt>
                <c:pt idx="13">
                  <c:v>Quality Assurance</c:v>
                </c:pt>
                <c:pt idx="14">
                  <c:v>Project Manager</c:v>
                </c:pt>
                <c:pt idx="15">
                  <c:v>Product Manager</c:v>
                </c:pt>
                <c:pt idx="16">
                  <c:v>Network Engineer</c:v>
                </c:pt>
                <c:pt idx="17">
                  <c:v>Operations Supervisor</c:v>
                </c:pt>
                <c:pt idx="18">
                  <c:v>UX Designer</c:v>
                </c:pt>
                <c:pt idx="19">
                  <c:v>Executive Assistant</c:v>
                </c:pt>
                <c:pt idx="20">
                  <c:v>Data Scientist</c:v>
                </c:pt>
                <c:pt idx="21">
                  <c:v>Marketing Coordinator</c:v>
                </c:pt>
                <c:pt idx="22">
                  <c:v>Software Engineer</c:v>
                </c:pt>
                <c:pt idx="23">
                  <c:v>Payroll Specialist</c:v>
                </c:pt>
                <c:pt idx="24">
                  <c:v>Biomedical Engineer</c:v>
                </c:pt>
                <c:pt idx="25">
                  <c:v>Legal Advisor</c:v>
                </c:pt>
                <c:pt idx="26">
                  <c:v>Compliance Officer</c:v>
                </c:pt>
                <c:pt idx="27">
                  <c:v>Recruiter</c:v>
                </c:pt>
                <c:pt idx="28">
                  <c:v>DevOps Engineer</c:v>
                </c:pt>
                <c:pt idx="29">
                  <c:v>IT Technician</c:v>
                </c:pt>
              </c:strCache>
            </c:strRef>
          </c:cat>
          <c:val>
            <c:numRef>
              <c:f>'Declinations by Classification'!$B$4:$B$34</c:f>
              <c:numCache>
                <c:formatCode>General</c:formatCode>
                <c:ptCount val="30"/>
                <c:pt idx="0">
                  <c:v>29</c:v>
                </c:pt>
                <c:pt idx="1">
                  <c:v>23</c:v>
                </c:pt>
                <c:pt idx="2">
                  <c:v>23</c:v>
                </c:pt>
                <c:pt idx="3">
                  <c:v>22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17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12</c:v>
                </c:pt>
                <c:pt idx="27">
                  <c:v>11</c:v>
                </c:pt>
                <c:pt idx="28">
                  <c:v>7</c:v>
                </c:pt>
                <c:pt idx="2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D-534A-8094-2972ABD350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977743"/>
        <c:axId val="372192671"/>
      </c:barChart>
      <c:catAx>
        <c:axId val="356977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92671"/>
        <c:crosses val="autoZero"/>
        <c:auto val="1"/>
        <c:lblAlgn val="ctr"/>
        <c:lblOffset val="100"/>
        <c:noMultiLvlLbl val="0"/>
      </c:catAx>
      <c:valAx>
        <c:axId val="3721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97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Classification!PivotTable10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Classification'!$A$4:$A$34</c:f>
              <c:strCache>
                <c:ptCount val="30"/>
                <c:pt idx="0">
                  <c:v>Security Analyst</c:v>
                </c:pt>
                <c:pt idx="1">
                  <c:v>Sales Associate</c:v>
                </c:pt>
                <c:pt idx="2">
                  <c:v>Software Engineer</c:v>
                </c:pt>
                <c:pt idx="3">
                  <c:v>Content Writer</c:v>
                </c:pt>
                <c:pt idx="4">
                  <c:v>Legal Advisor</c:v>
                </c:pt>
                <c:pt idx="5">
                  <c:v>HR Specialist</c:v>
                </c:pt>
                <c:pt idx="6">
                  <c:v>Payroll Specialist</c:v>
                </c:pt>
                <c:pt idx="7">
                  <c:v>Compliance Officer</c:v>
                </c:pt>
                <c:pt idx="8">
                  <c:v>Business Analyst</c:v>
                </c:pt>
                <c:pt idx="9">
                  <c:v>Financial Analyst</c:v>
                </c:pt>
                <c:pt idx="10">
                  <c:v>DevOps Engineer</c:v>
                </c:pt>
                <c:pt idx="11">
                  <c:v>Training Coordinator</c:v>
                </c:pt>
                <c:pt idx="12">
                  <c:v>Executive Assistant</c:v>
                </c:pt>
                <c:pt idx="13">
                  <c:v>Customer Support Rep</c:v>
                </c:pt>
                <c:pt idx="14">
                  <c:v>Graphic Designer</c:v>
                </c:pt>
                <c:pt idx="15">
                  <c:v>Marketing Coordinator</c:v>
                </c:pt>
                <c:pt idx="16">
                  <c:v>Supply Chain Manager</c:v>
                </c:pt>
                <c:pt idx="17">
                  <c:v>Data Engineer</c:v>
                </c:pt>
                <c:pt idx="18">
                  <c:v>Data Scientist</c:v>
                </c:pt>
                <c:pt idx="19">
                  <c:v>Product Manager</c:v>
                </c:pt>
                <c:pt idx="20">
                  <c:v>Biomedical Engineer</c:v>
                </c:pt>
                <c:pt idx="21">
                  <c:v>Project Manager</c:v>
                </c:pt>
                <c:pt idx="22">
                  <c:v>Recruiter</c:v>
                </c:pt>
                <c:pt idx="23">
                  <c:v>UX Designer</c:v>
                </c:pt>
                <c:pt idx="24">
                  <c:v>Network Engineer</c:v>
                </c:pt>
                <c:pt idx="25">
                  <c:v>Quality Assurance</c:v>
                </c:pt>
                <c:pt idx="26">
                  <c:v>Account Manager</c:v>
                </c:pt>
                <c:pt idx="27">
                  <c:v>Operations Supervisor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'Rescinded by Classification'!$B$4:$B$34</c:f>
              <c:numCache>
                <c:formatCode>General</c:formatCode>
                <c:ptCount val="30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5-C749-B604-9A31D9667E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94911"/>
        <c:axId val="30596623"/>
      </c:barChart>
      <c:catAx>
        <c:axId val="30594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6623"/>
        <c:crosses val="autoZero"/>
        <c:auto val="1"/>
        <c:lblAlgn val="ctr"/>
        <c:lblOffset val="100"/>
        <c:noMultiLvlLbl val="0"/>
      </c:catAx>
      <c:valAx>
        <c:axId val="305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Classification!PivotTable11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Classification'!$A$4:$A$34</c:f>
              <c:strCache>
                <c:ptCount val="30"/>
                <c:pt idx="0">
                  <c:v>Security Analyst</c:v>
                </c:pt>
                <c:pt idx="1">
                  <c:v>Software Engineer</c:v>
                </c:pt>
                <c:pt idx="2">
                  <c:v>Product Manager</c:v>
                </c:pt>
                <c:pt idx="3">
                  <c:v>Customer Support Rep</c:v>
                </c:pt>
                <c:pt idx="4">
                  <c:v>Executive Assistant</c:v>
                </c:pt>
                <c:pt idx="5">
                  <c:v>Account Manager</c:v>
                </c:pt>
                <c:pt idx="6">
                  <c:v>Business Analyst</c:v>
                </c:pt>
                <c:pt idx="7">
                  <c:v>Marketing Coordinator</c:v>
                </c:pt>
                <c:pt idx="8">
                  <c:v>Graphic Designer</c:v>
                </c:pt>
                <c:pt idx="9">
                  <c:v>HR Specialist</c:v>
                </c:pt>
                <c:pt idx="10">
                  <c:v>Training Coordinator</c:v>
                </c:pt>
                <c:pt idx="11">
                  <c:v>Supply Chain Manager</c:v>
                </c:pt>
                <c:pt idx="12">
                  <c:v>UX Designer</c:v>
                </c:pt>
                <c:pt idx="13">
                  <c:v>Biomedical Engineer</c:v>
                </c:pt>
                <c:pt idx="14">
                  <c:v>Financial Analyst</c:v>
                </c:pt>
                <c:pt idx="15">
                  <c:v>Sales Associate</c:v>
                </c:pt>
                <c:pt idx="16">
                  <c:v>Legal Advisor</c:v>
                </c:pt>
                <c:pt idx="17">
                  <c:v>Content Writer</c:v>
                </c:pt>
                <c:pt idx="18">
                  <c:v>Data Engineer</c:v>
                </c:pt>
                <c:pt idx="19">
                  <c:v>Project Manager</c:v>
                </c:pt>
                <c:pt idx="20">
                  <c:v>Recruiter</c:v>
                </c:pt>
                <c:pt idx="21">
                  <c:v>Data Scientist</c:v>
                </c:pt>
                <c:pt idx="22">
                  <c:v>Compliance Officer</c:v>
                </c:pt>
                <c:pt idx="23">
                  <c:v>Operations Supervisor</c:v>
                </c:pt>
                <c:pt idx="24">
                  <c:v>Payroll Specialist</c:v>
                </c:pt>
                <c:pt idx="25">
                  <c:v>DevOps Engineer</c:v>
                </c:pt>
                <c:pt idx="26">
                  <c:v>Quality Assurance</c:v>
                </c:pt>
                <c:pt idx="27">
                  <c:v>Network Engineer</c:v>
                </c:pt>
                <c:pt idx="28">
                  <c:v>IT Technician</c:v>
                </c:pt>
                <c:pt idx="29">
                  <c:v>Research Analyst</c:v>
                </c:pt>
              </c:strCache>
            </c:strRef>
          </c:cat>
          <c:val>
            <c:numRef>
              <c:f>'Transfers by Classification'!$B$4:$B$34</c:f>
              <c:numCache>
                <c:formatCode>General</c:formatCode>
                <c:ptCount val="30"/>
                <c:pt idx="0">
                  <c:v>28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11</c:v>
                </c:pt>
                <c:pt idx="14">
                  <c:v>11</c:v>
                </c:pt>
                <c:pt idx="15">
                  <c:v>10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1-0A4A-9285-88B0DD98DA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98160"/>
        <c:axId val="2116192224"/>
      </c:barChart>
      <c:catAx>
        <c:axId val="211619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2224"/>
        <c:crosses val="autoZero"/>
        <c:auto val="1"/>
        <c:lblAlgn val="ctr"/>
        <c:lblOffset val="100"/>
        <c:noMultiLvlLbl val="0"/>
      </c:catAx>
      <c:valAx>
        <c:axId val="21161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Classification!PivotTable12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Classification'!$A$4:$A$34</c:f>
              <c:strCache>
                <c:ptCount val="30"/>
                <c:pt idx="0">
                  <c:v>Product Manager</c:v>
                </c:pt>
                <c:pt idx="1">
                  <c:v>Customer Support Rep</c:v>
                </c:pt>
                <c:pt idx="2">
                  <c:v>Content Writer</c:v>
                </c:pt>
                <c:pt idx="3">
                  <c:v>Marketing Coordinator</c:v>
                </c:pt>
                <c:pt idx="4">
                  <c:v>HR Specialist</c:v>
                </c:pt>
                <c:pt idx="5">
                  <c:v>Supply Chain Manager</c:v>
                </c:pt>
                <c:pt idx="6">
                  <c:v>Quality Assurance</c:v>
                </c:pt>
                <c:pt idx="7">
                  <c:v>Training Coordinator</c:v>
                </c:pt>
                <c:pt idx="8">
                  <c:v>Graphic Designer</c:v>
                </c:pt>
                <c:pt idx="9">
                  <c:v>Security Analyst</c:v>
                </c:pt>
                <c:pt idx="10">
                  <c:v>Data Scientist</c:v>
                </c:pt>
                <c:pt idx="11">
                  <c:v>Financial Analyst</c:v>
                </c:pt>
                <c:pt idx="12">
                  <c:v>UX Designer</c:v>
                </c:pt>
                <c:pt idx="13">
                  <c:v>Sales Associate</c:v>
                </c:pt>
                <c:pt idx="14">
                  <c:v>Data Engineer</c:v>
                </c:pt>
                <c:pt idx="15">
                  <c:v>Account Manager</c:v>
                </c:pt>
                <c:pt idx="16">
                  <c:v>DevOps Engineer</c:v>
                </c:pt>
                <c:pt idx="17">
                  <c:v>Recruiter</c:v>
                </c:pt>
                <c:pt idx="18">
                  <c:v>Business Analyst</c:v>
                </c:pt>
                <c:pt idx="19">
                  <c:v>Software Engineer</c:v>
                </c:pt>
                <c:pt idx="20">
                  <c:v>Project Manager</c:v>
                </c:pt>
                <c:pt idx="21">
                  <c:v>Compliance Officer</c:v>
                </c:pt>
                <c:pt idx="22">
                  <c:v>Operations Supervisor</c:v>
                </c:pt>
                <c:pt idx="23">
                  <c:v>Legal Advisor</c:v>
                </c:pt>
                <c:pt idx="24">
                  <c:v>Executive Assistant</c:v>
                </c:pt>
                <c:pt idx="25">
                  <c:v>Biomedical Engineer</c:v>
                </c:pt>
                <c:pt idx="26">
                  <c:v>Research Analyst</c:v>
                </c:pt>
                <c:pt idx="27">
                  <c:v>Network Engineer</c:v>
                </c:pt>
                <c:pt idx="28">
                  <c:v>Payroll Specialist</c:v>
                </c:pt>
                <c:pt idx="29">
                  <c:v>IT Technician</c:v>
                </c:pt>
              </c:strCache>
            </c:strRef>
          </c:cat>
          <c:val>
            <c:numRef>
              <c:f>'Promos by Classification'!$B$4:$B$34</c:f>
              <c:numCache>
                <c:formatCode>General</c:formatCode>
                <c:ptCount val="30"/>
                <c:pt idx="0">
                  <c:v>25</c:v>
                </c:pt>
                <c:pt idx="1">
                  <c:v>20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11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5</c:v>
                </c:pt>
                <c:pt idx="2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E-614D-A2B6-08623152CB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8463"/>
        <c:axId val="275810175"/>
      </c:barChart>
      <c:catAx>
        <c:axId val="275808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0175"/>
        <c:crosses val="autoZero"/>
        <c:auto val="1"/>
        <c:lblAlgn val="ctr"/>
        <c:lblOffset val="100"/>
        <c:noMultiLvlLbl val="0"/>
      </c:catAx>
      <c:valAx>
        <c:axId val="27581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Table'!$A$36:$A$65</c:f>
              <c:strCache>
                <c:ptCount val="30"/>
                <c:pt idx="0">
                  <c:v>Research Analyst</c:v>
                </c:pt>
                <c:pt idx="1">
                  <c:v>Account Manager</c:v>
                </c:pt>
                <c:pt idx="2">
                  <c:v>Graphic Designer</c:v>
                </c:pt>
                <c:pt idx="3">
                  <c:v>Network Engineer</c:v>
                </c:pt>
                <c:pt idx="4">
                  <c:v>Data Scientist</c:v>
                </c:pt>
                <c:pt idx="5">
                  <c:v>Data Engineer</c:v>
                </c:pt>
                <c:pt idx="6">
                  <c:v>Quality Assurance</c:v>
                </c:pt>
                <c:pt idx="7">
                  <c:v>Project Manager</c:v>
                </c:pt>
                <c:pt idx="8">
                  <c:v>Operations Supervisor</c:v>
                </c:pt>
                <c:pt idx="9">
                  <c:v>Supply Chain Manager</c:v>
                </c:pt>
                <c:pt idx="10">
                  <c:v>Customer Support Rep</c:v>
                </c:pt>
                <c:pt idx="11">
                  <c:v>Content Writer</c:v>
                </c:pt>
                <c:pt idx="12">
                  <c:v>IT Technician</c:v>
                </c:pt>
                <c:pt idx="13">
                  <c:v>Business Analyst</c:v>
                </c:pt>
                <c:pt idx="14">
                  <c:v>HR Specialist</c:v>
                </c:pt>
                <c:pt idx="15">
                  <c:v>Financial Analyst</c:v>
                </c:pt>
                <c:pt idx="16">
                  <c:v>Sales Associate</c:v>
                </c:pt>
                <c:pt idx="17">
                  <c:v>Training Coordinator</c:v>
                </c:pt>
                <c:pt idx="18">
                  <c:v>Marketing Coordinator</c:v>
                </c:pt>
                <c:pt idx="19">
                  <c:v>Payroll Specialist</c:v>
                </c:pt>
                <c:pt idx="20">
                  <c:v>Security Analyst</c:v>
                </c:pt>
                <c:pt idx="21">
                  <c:v>Recruiter</c:v>
                </c:pt>
                <c:pt idx="22">
                  <c:v>UX Designer</c:v>
                </c:pt>
                <c:pt idx="23">
                  <c:v>Biomedical Engineer</c:v>
                </c:pt>
                <c:pt idx="24">
                  <c:v>Legal Advisor</c:v>
                </c:pt>
                <c:pt idx="25">
                  <c:v>Executive Assistant</c:v>
                </c:pt>
                <c:pt idx="26">
                  <c:v>Compliance Officer</c:v>
                </c:pt>
                <c:pt idx="27">
                  <c:v>Product Manager</c:v>
                </c:pt>
                <c:pt idx="28">
                  <c:v>Software Engineer</c:v>
                </c:pt>
                <c:pt idx="29">
                  <c:v>DevOps Engineer</c:v>
                </c:pt>
              </c:strCache>
            </c:strRef>
          </c:cat>
          <c:val>
            <c:numRef>
              <c:f>'Classification Analysis Table'!$B$36:$B$65</c:f>
              <c:numCache>
                <c:formatCode>0.00%</c:formatCode>
                <c:ptCount val="30"/>
                <c:pt idx="0">
                  <c:v>0.38</c:v>
                </c:pt>
                <c:pt idx="1">
                  <c:v>0.33846153846153848</c:v>
                </c:pt>
                <c:pt idx="2">
                  <c:v>0.31182795698924731</c:v>
                </c:pt>
                <c:pt idx="3">
                  <c:v>0.30769230769230771</c:v>
                </c:pt>
                <c:pt idx="4">
                  <c:v>0.29166666666666669</c:v>
                </c:pt>
                <c:pt idx="5">
                  <c:v>0.27272727272727271</c:v>
                </c:pt>
                <c:pt idx="6">
                  <c:v>0.26666666666666666</c:v>
                </c:pt>
                <c:pt idx="7">
                  <c:v>0.25396825396825395</c:v>
                </c:pt>
                <c:pt idx="8">
                  <c:v>0.25</c:v>
                </c:pt>
                <c:pt idx="9">
                  <c:v>0.24675324675324675</c:v>
                </c:pt>
                <c:pt idx="10">
                  <c:v>0.23809523809523808</c:v>
                </c:pt>
                <c:pt idx="11">
                  <c:v>0.23469387755102042</c:v>
                </c:pt>
                <c:pt idx="12">
                  <c:v>0.23333333333333334</c:v>
                </c:pt>
                <c:pt idx="13">
                  <c:v>0.22988505747126436</c:v>
                </c:pt>
                <c:pt idx="14">
                  <c:v>0.22680412371134021</c:v>
                </c:pt>
                <c:pt idx="15">
                  <c:v>0.22666666666666666</c:v>
                </c:pt>
                <c:pt idx="16">
                  <c:v>0.22619047619047619</c:v>
                </c:pt>
                <c:pt idx="17">
                  <c:v>0.22368421052631579</c:v>
                </c:pt>
                <c:pt idx="18">
                  <c:v>0.22222222222222221</c:v>
                </c:pt>
                <c:pt idx="19">
                  <c:v>0.21666666666666667</c:v>
                </c:pt>
                <c:pt idx="20">
                  <c:v>0.19491525423728814</c:v>
                </c:pt>
                <c:pt idx="21">
                  <c:v>0.19298245614035087</c:v>
                </c:pt>
                <c:pt idx="22">
                  <c:v>0.19230769230769232</c:v>
                </c:pt>
                <c:pt idx="23">
                  <c:v>0.18571428571428572</c:v>
                </c:pt>
                <c:pt idx="24">
                  <c:v>0.18571428571428572</c:v>
                </c:pt>
                <c:pt idx="25">
                  <c:v>0.1744186046511628</c:v>
                </c:pt>
                <c:pt idx="26">
                  <c:v>0.17391304347826086</c:v>
                </c:pt>
                <c:pt idx="27">
                  <c:v>0.16326530612244897</c:v>
                </c:pt>
                <c:pt idx="28">
                  <c:v>0.15853658536585366</c:v>
                </c:pt>
                <c:pt idx="29">
                  <c:v>0.12280701754385964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8-C24B-8EC6-0747FC9B08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9571631"/>
        <c:axId val="440003391"/>
      </c:barChart>
      <c:catAx>
        <c:axId val="439571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03391"/>
        <c:crosses val="autoZero"/>
        <c:auto val="1"/>
        <c:lblAlgn val="ctr"/>
        <c:lblOffset val="100"/>
        <c:noMultiLvlLbl val="0"/>
      </c:catAx>
      <c:valAx>
        <c:axId val="4400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57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Table'!$E$35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Table'!$D$36:$D$65</c:f>
              <c:strCache>
                <c:ptCount val="30"/>
                <c:pt idx="0">
                  <c:v>Data Scientist</c:v>
                </c:pt>
                <c:pt idx="1">
                  <c:v>Quality Assurance</c:v>
                </c:pt>
                <c:pt idx="2">
                  <c:v>Marketing Coordinator</c:v>
                </c:pt>
                <c:pt idx="3">
                  <c:v>Customer Support Rep</c:v>
                </c:pt>
                <c:pt idx="4">
                  <c:v>Product Manager</c:v>
                </c:pt>
                <c:pt idx="5">
                  <c:v>Account Manager</c:v>
                </c:pt>
                <c:pt idx="6">
                  <c:v>Content Writer</c:v>
                </c:pt>
                <c:pt idx="7">
                  <c:v>Supply Chain Manager</c:v>
                </c:pt>
                <c:pt idx="8">
                  <c:v>Data Engineer</c:v>
                </c:pt>
                <c:pt idx="9">
                  <c:v>Training Coordinator</c:v>
                </c:pt>
                <c:pt idx="10">
                  <c:v>Recruiter</c:v>
                </c:pt>
                <c:pt idx="11">
                  <c:v>DevOps Engineer</c:v>
                </c:pt>
                <c:pt idx="12">
                  <c:v>Financial Analyst</c:v>
                </c:pt>
                <c:pt idx="13">
                  <c:v>HR Specialist</c:v>
                </c:pt>
                <c:pt idx="14">
                  <c:v>Operations Supervisor</c:v>
                </c:pt>
                <c:pt idx="15">
                  <c:v>Research Analyst</c:v>
                </c:pt>
                <c:pt idx="16">
                  <c:v>Project Manager</c:v>
                </c:pt>
                <c:pt idx="17">
                  <c:v>Sales Associate</c:v>
                </c:pt>
                <c:pt idx="18">
                  <c:v>Network Engineer</c:v>
                </c:pt>
                <c:pt idx="19">
                  <c:v>Graphic Designer</c:v>
                </c:pt>
                <c:pt idx="20">
                  <c:v>Legal Advisor</c:v>
                </c:pt>
                <c:pt idx="21">
                  <c:v>Compliance Officer</c:v>
                </c:pt>
                <c:pt idx="22">
                  <c:v>UX Designer</c:v>
                </c:pt>
                <c:pt idx="23">
                  <c:v>Software Engineer</c:v>
                </c:pt>
                <c:pt idx="24">
                  <c:v>Business Analyst</c:v>
                </c:pt>
                <c:pt idx="25">
                  <c:v>Security Analyst</c:v>
                </c:pt>
                <c:pt idx="26">
                  <c:v>Biomedical Engineer</c:v>
                </c:pt>
                <c:pt idx="27">
                  <c:v>IT Technician</c:v>
                </c:pt>
                <c:pt idx="28">
                  <c:v>Payroll Specialist</c:v>
                </c:pt>
                <c:pt idx="29">
                  <c:v>Executive Assistant</c:v>
                </c:pt>
              </c:strCache>
            </c:strRef>
          </c:cat>
          <c:val>
            <c:numRef>
              <c:f>'Classification Analysis Table'!$E$36:$E$65</c:f>
              <c:numCache>
                <c:formatCode>0.00%</c:formatCode>
                <c:ptCount val="30"/>
                <c:pt idx="0">
                  <c:v>0.44827586206896552</c:v>
                </c:pt>
                <c:pt idx="1">
                  <c:v>0.375</c:v>
                </c:pt>
                <c:pt idx="2">
                  <c:v>0.37209302325581395</c:v>
                </c:pt>
                <c:pt idx="3">
                  <c:v>0.35087719298245612</c:v>
                </c:pt>
                <c:pt idx="4">
                  <c:v>0.32467532467532467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0.28301886792452829</c:v>
                </c:pt>
                <c:pt idx="8">
                  <c:v>0.27906976744186046</c:v>
                </c:pt>
                <c:pt idx="9">
                  <c:v>0.27450980392156865</c:v>
                </c:pt>
                <c:pt idx="10">
                  <c:v>0.26829268292682928</c:v>
                </c:pt>
                <c:pt idx="11">
                  <c:v>0.26829268292682928</c:v>
                </c:pt>
                <c:pt idx="12">
                  <c:v>0.26530612244897961</c:v>
                </c:pt>
                <c:pt idx="13">
                  <c:v>0.24615384615384617</c:v>
                </c:pt>
                <c:pt idx="14">
                  <c:v>0.24390243902439024</c:v>
                </c:pt>
                <c:pt idx="15">
                  <c:v>0.2413793103448276</c:v>
                </c:pt>
                <c:pt idx="16">
                  <c:v>0.23809523809523808</c:v>
                </c:pt>
                <c:pt idx="17">
                  <c:v>0.23529411764705882</c:v>
                </c:pt>
                <c:pt idx="18">
                  <c:v>0.22580645161290322</c:v>
                </c:pt>
                <c:pt idx="19">
                  <c:v>0.22413793103448276</c:v>
                </c:pt>
                <c:pt idx="20">
                  <c:v>0.21739130434782608</c:v>
                </c:pt>
                <c:pt idx="21">
                  <c:v>0.21276595744680851</c:v>
                </c:pt>
                <c:pt idx="22">
                  <c:v>0.20689655172413793</c:v>
                </c:pt>
                <c:pt idx="23">
                  <c:v>0.18181818181818182</c:v>
                </c:pt>
                <c:pt idx="24">
                  <c:v>0.17241379310344829</c:v>
                </c:pt>
                <c:pt idx="25">
                  <c:v>0.16455696202531644</c:v>
                </c:pt>
                <c:pt idx="26">
                  <c:v>0.15384615384615385</c:v>
                </c:pt>
                <c:pt idx="27">
                  <c:v>0.14285714285714285</c:v>
                </c:pt>
                <c:pt idx="28">
                  <c:v>0.13513513513513514</c:v>
                </c:pt>
                <c:pt idx="29">
                  <c:v>0.12698412698412698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0-6C4B-ACE3-34151EACFB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8253167"/>
        <c:axId val="437883615"/>
      </c:barChart>
      <c:catAx>
        <c:axId val="438253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83615"/>
        <c:crosses val="autoZero"/>
        <c:auto val="1"/>
        <c:lblAlgn val="ctr"/>
        <c:lblOffset val="100"/>
        <c:noMultiLvlLbl val="0"/>
      </c:catAx>
      <c:valAx>
        <c:axId val="43788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5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'Hires by Month'!$G$3</c:f>
              <c:strCache>
                <c:ptCount val="1"/>
                <c:pt idx="0">
                  <c:v>Number of Hires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'Hires by Month'!$E$4:$F$23</c:f>
              <c:multiLvlStrCache>
                <c:ptCount val="2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Month'!$G$4:$G$23</c:f>
              <c:numCache>
                <c:formatCode>General</c:formatCode>
                <c:ptCount val="20"/>
                <c:pt idx="0">
                  <c:v>8</c:v>
                </c:pt>
                <c:pt idx="1">
                  <c:v>35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73</c:v>
                </c:pt>
                <c:pt idx="6">
                  <c:v>83</c:v>
                </c:pt>
                <c:pt idx="7">
                  <c:v>76</c:v>
                </c:pt>
                <c:pt idx="8">
                  <c:v>94</c:v>
                </c:pt>
                <c:pt idx="9">
                  <c:v>59</c:v>
                </c:pt>
                <c:pt idx="10">
                  <c:v>73</c:v>
                </c:pt>
                <c:pt idx="11">
                  <c:v>90</c:v>
                </c:pt>
                <c:pt idx="12">
                  <c:v>86</c:v>
                </c:pt>
                <c:pt idx="13">
                  <c:v>75</c:v>
                </c:pt>
                <c:pt idx="14">
                  <c:v>88</c:v>
                </c:pt>
                <c:pt idx="15">
                  <c:v>82</c:v>
                </c:pt>
                <c:pt idx="16">
                  <c:v>96</c:v>
                </c:pt>
                <c:pt idx="17">
                  <c:v>79</c:v>
                </c:pt>
                <c:pt idx="18">
                  <c:v>71</c:v>
                </c:pt>
                <c:pt idx="19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5-5A4B-BA96-3D05585F70B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8485839"/>
        <c:axId val="398865023"/>
      </c:lineChart>
      <c:catAx>
        <c:axId val="398485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65023"/>
        <c:crosses val="autoZero"/>
        <c:auto val="1"/>
        <c:lblAlgn val="ctr"/>
        <c:lblOffset val="100"/>
        <c:noMultiLvlLbl val="0"/>
      </c:catAx>
      <c:valAx>
        <c:axId val="3988650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398485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Performance Comparison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'Metrics Comparison'!$C$1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Comparison'!$C$2:$C$4</c:f>
              <c:numCache>
                <c:formatCode>0.00</c:formatCode>
                <c:ptCount val="3"/>
                <c:pt idx="0">
                  <c:v>22.934689882359429</c:v>
                </c:pt>
                <c:pt idx="1">
                  <c:v>40.075750253428716</c:v>
                </c:pt>
                <c:pt idx="2">
                  <c:v>17.341900837923344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6-9A46-B34B-B3ABCC3F1636}"/>
            </c:ext>
          </c:extLst>
        </c:ser>
        <c:ser>
          <c:idx val="2"/>
          <c:order val="1"/>
          <c:tx>
            <c:strRef>
              <c:f>'Metrics Comparison'!$D$1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Comparison'!$D$2:$D$4</c:f>
              <c:numCache>
                <c:formatCode>0.00</c:formatCode>
                <c:ptCount val="3"/>
                <c:pt idx="0">
                  <c:v>22</c:v>
                </c:pt>
                <c:pt idx="1">
                  <c:v>37.550626404997153</c:v>
                </c:pt>
                <c:pt idx="2">
                  <c:v>13.064698733139721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6-9A46-B34B-B3ABCC3F1636}"/>
            </c:ext>
          </c:extLst>
        </c:ser>
        <c:ser>
          <c:idx val="3"/>
          <c:order val="2"/>
          <c:tx>
            <c:strRef>
              <c:f>'Metrics Comparison'!$E$1</c:f>
              <c:strCache>
                <c:ptCount val="1"/>
                <c:pt idx="0">
                  <c:v>MAPE 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Comparison'!$E$2:$E$4</c:f>
              <c:numCache>
                <c:formatCode>0.00</c:formatCode>
                <c:ptCount val="3"/>
                <c:pt idx="0">
                  <c:v>35.02547007224463</c:v>
                </c:pt>
                <c:pt idx="1">
                  <c:v>60.77663425852041</c:v>
                </c:pt>
                <c:pt idx="2">
                  <c:v>22.891599090181117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6-9A46-B34B-B3ABCC3F16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83104"/>
        <c:axId val="610084816"/>
      </c:barChart>
      <c:catAx>
        <c:axId val="61008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Model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4816"/>
        <c:crosses val="autoZero"/>
        <c:auto val="1"/>
        <c:lblAlgn val="ctr"/>
        <c:lblOffset val="100"/>
        <c:noMultiLvlLbl val="0"/>
      </c:catAx>
      <c:valAx>
        <c:axId val="610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Forecasted Number of Hires for 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'Future Forecasts'!$E$1</c:f>
              <c:strCache>
                <c:ptCount val="1"/>
                <c:pt idx="0">
                  <c:v>ETS Forecast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Forecasts'!$E$2:$E$5</c:f>
              <c:numCache>
                <c:formatCode>General</c:formatCode>
                <c:ptCount val="4"/>
                <c:pt idx="0">
                  <c:v>60</c:v>
                </c:pt>
                <c:pt idx="1">
                  <c:v>62</c:v>
                </c:pt>
                <c:pt idx="2">
                  <c:v>63</c:v>
                </c:pt>
                <c:pt idx="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E-AC42-8EA5-7BEA3547C031}"/>
            </c:ext>
          </c:extLst>
        </c:ser>
        <c:ser>
          <c:idx val="1"/>
          <c:order val="1"/>
          <c:tx>
            <c:strRef>
              <c:f>'Future Forecasts'!$F$1</c:f>
              <c:strCache>
                <c:ptCount val="1"/>
                <c:pt idx="0">
                  <c:v>NB Forecast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Forecasts'!$F$2:$F$5</c:f>
              <c:numCache>
                <c:formatCode>0</c:formatCode>
                <c:ptCount val="4"/>
                <c:pt idx="0">
                  <c:v>68.084686667880035</c:v>
                </c:pt>
                <c:pt idx="1">
                  <c:v>69.378397618194796</c:v>
                </c:pt>
                <c:pt idx="2">
                  <c:v>70.971442987386638</c:v>
                </c:pt>
                <c:pt idx="3">
                  <c:v>72.763834967488876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E-AC42-8EA5-7BEA3547C03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679583"/>
        <c:axId val="203485599"/>
      </c:lineChart>
      <c:dateAx>
        <c:axId val="20367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85599"/>
        <c:crosses val="autoZero"/>
        <c:auto val="1"/>
        <c:lblOffset val="100"/>
        <c:baseTimeUnit val="months"/>
      </c:dateAx>
      <c:valAx>
        <c:axId val="2034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7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12</xdr:col>
      <xdr:colOff>12700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578E09-079B-C304-B36A-293E6AD23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27</xdr:row>
      <xdr:rowOff>12700</xdr:rowOff>
    </xdr:from>
    <xdr:to>
      <xdr:col>11</xdr:col>
      <xdr:colOff>812800</xdr:colOff>
      <xdr:row>47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FFF5A4-B8A9-373D-CE17-CF31E6E80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533400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4FA5E2-627A-E552-24F1-8666DC089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12</xdr:col>
      <xdr:colOff>0</xdr:colOff>
      <xdr:row>46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BB3B93-9F73-52E9-4DFC-799F24898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190500</xdr:rowOff>
    </xdr:from>
    <xdr:to>
      <xdr:col>11</xdr:col>
      <xdr:colOff>812800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BCFCF7-E86E-D129-3C14-F023F3F93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11</xdr:col>
      <xdr:colOff>812800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7DF090-DC15-B9EE-2818-4FCB7C2EB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12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650A03-789E-5E54-1D3C-5006BAE71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27</xdr:row>
      <xdr:rowOff>190500</xdr:rowOff>
    </xdr:from>
    <xdr:to>
      <xdr:col>4</xdr:col>
      <xdr:colOff>12700</xdr:colOff>
      <xdr:row>50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3F279A-EF1B-6F16-92DD-A2D9DDBB0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457200</xdr:colOff>
      <xdr:row>28</xdr:row>
      <xdr:rowOff>0</xdr:rowOff>
    </xdr:from>
    <xdr:to>
      <xdr:col>9</xdr:col>
      <xdr:colOff>12700</xdr:colOff>
      <xdr:row>50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EBC639-CEA8-F811-E259-139C16B99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13</xdr:col>
      <xdr:colOff>800100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87188-CA7B-9BDA-9D87-D8315215B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13</xdr:col>
      <xdr:colOff>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AE756-9351-ED4E-1535-068168075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812800</xdr:colOff>
      <xdr:row>28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4D528D-EC12-3ECD-1453-7247863B6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941E94-87D8-1C30-C30C-C1DB2D893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13</xdr:col>
      <xdr:colOff>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B7F884-05BA-18C9-9C18-9F4C95C00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70</xdr:row>
      <xdr:rowOff>0</xdr:rowOff>
    </xdr:from>
    <xdr:to>
      <xdr:col>6</xdr:col>
      <xdr:colOff>0</xdr:colOff>
      <xdr:row>101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257ADE-9D06-FE9F-1F10-084BABCE5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69</xdr:row>
      <xdr:rowOff>190500</xdr:rowOff>
    </xdr:from>
    <xdr:to>
      <xdr:col>17</xdr:col>
      <xdr:colOff>38100</xdr:colOff>
      <xdr:row>101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BAAD60-133C-550D-2DA6-3B971A294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26</xdr:row>
      <xdr:rowOff>12700</xdr:rowOff>
    </xdr:from>
    <xdr:to>
      <xdr:col>8</xdr:col>
      <xdr:colOff>0</xdr:colOff>
      <xdr:row>54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458FE0-E314-FDEE-D17A-88C86F14D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12700</xdr:rowOff>
    </xdr:from>
    <xdr:to>
      <xdr:col>12</xdr:col>
      <xdr:colOff>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51D9B9-7A5D-AD80-16B5-18591C334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819150</xdr:colOff>
      <xdr:row>7</xdr:row>
      <xdr:rowOff>0</xdr:rowOff>
    </xdr:from>
    <xdr:to>
      <xdr:col>14</xdr:col>
      <xdr:colOff>12700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7B01E0-C5EF-5138-57B3-4160FAD20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4.994760300928" createdVersion="8" refreshedVersion="8" minRefreshableVersion="3" recordCount="2200" xr:uid="{3FFDBE98-9C8F-3947-B85C-B1AC310FDD2D}">
  <cacheSource type="worksheet">
    <worksheetSource name="OriginalTable"/>
  </cacheSource>
  <cacheFields count="16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 count="30">
        <s v="Software Engineer"/>
        <s v="Network Engineer"/>
        <s v="Account Manager"/>
        <s v="Security Analyst"/>
        <s v="Marketing Coordinator"/>
        <s v="Recruiter"/>
        <s v="Operations Supervisor"/>
        <s v="Financial Analyst"/>
        <s v="Project Manager"/>
        <s v="Quality Assurance"/>
        <s v="Payroll Specialist"/>
        <s v="Customer Support Rep"/>
        <s v="Legal Advisor"/>
        <s v="Executive Assistant"/>
        <s v="Supply Chain Manager"/>
        <s v="Compliance Officer"/>
        <s v="Training Coordinator"/>
        <s v="DevOps Engineer"/>
        <s v="HR Specialist"/>
        <s v="Data Engineer"/>
        <s v="UX Designer"/>
        <s v="IT Technician"/>
        <s v="Graphic Designer"/>
        <s v="Biomedical Engineer"/>
        <s v="Research Analyst"/>
        <s v="Content Writer"/>
        <s v="Sales Associate"/>
        <s v="Data Scientist"/>
        <s v="Business Analyst"/>
        <s v="Product Manager"/>
      </sharedItems>
    </cacheField>
    <cacheField name="Department" numFmtId="0">
      <sharedItems count="10">
        <s v="Sales"/>
        <s v="Marketing"/>
        <s v="Customer Service"/>
        <s v="Human Resources"/>
        <s v="Information Technology"/>
        <s v="Research and Development"/>
        <s v="Legal"/>
        <s v="Finance"/>
        <s v="Operations"/>
        <s v="Engineering"/>
      </sharedItems>
    </cacheField>
    <cacheField name="Interview Date" numFmtId="0">
      <sharedItems containsNonDate="0" containsDate="1" containsString="0" containsBlank="1" minDate="2022-01-01T00:00:00" maxDate="2023-07-01T00:00:00"/>
    </cacheField>
    <cacheField name="Selection" numFmtId="0">
      <sharedItems containsBlank="1"/>
    </cacheField>
    <cacheField name="Job Offer Date" numFmtId="0">
      <sharedItems containsNonDate="0" containsDate="1" containsString="0" containsBlank="1" minDate="2022-01-06T00:00:00" maxDate="2023-07-30T00:00:00"/>
    </cacheField>
    <cacheField name="Effective Date" numFmtId="0">
      <sharedItems containsNonDate="0" containsDate="1" containsString="0" containsBlank="1" minDate="2022-01-20T00:00:00" maxDate="2023-09-10T00:00:00"/>
    </cacheField>
    <cacheField name="Comments" numFmtId="0">
      <sharedItems containsBlank="1"/>
    </cacheField>
    <cacheField name="Is Hired" numFmtId="14">
      <sharedItems containsNonDate="0" count="2">
        <b v="0"/>
        <b v="1"/>
      </sharedItems>
    </cacheField>
    <cacheField name="Is Declination" numFmtId="14">
      <sharedItems containsNonDate="0" count="2">
        <b v="1"/>
        <b v="0"/>
      </sharedItems>
    </cacheField>
    <cacheField name="Is Rescinded" numFmtId="14">
      <sharedItems containsNonDate="0" count="2">
        <b v="0"/>
        <b v="1"/>
      </sharedItems>
    </cacheField>
    <cacheField name="Is Cancelled" numFmtId="14">
      <sharedItems containsNonDate="0"/>
    </cacheField>
    <cacheField name="Is Transfer" numFmtId="14">
      <sharedItems containsNonDate="0" count="2">
        <b v="0"/>
        <b v="1"/>
      </sharedItems>
    </cacheField>
    <cacheField name="Is Promotion" numFmtId="14">
      <sharedItems containsNonDate="0" count="2">
        <b v="0"/>
        <b v="1"/>
      </sharedItems>
    </cacheField>
    <cacheField name="Is New to Org" numFmtId="14">
      <sharedItems containsNonDat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013955555558" createdVersion="8" refreshedVersion="8" minRefreshableVersion="3" recordCount="10" xr:uid="{08C86F31-6860-B944-883A-C95A5625250E}">
  <cacheSource type="worksheet">
    <worksheetSource name="DeptTable"/>
  </cacheSource>
  <cacheFields count="9">
    <cacheField name="Department" numFmtId="0">
      <sharedItems count="10">
        <s v="Customer Service"/>
        <s v="Engineering"/>
        <s v="Finance"/>
        <s v="Human Resources"/>
        <s v="Information Technology"/>
        <s v="Legal"/>
        <s v="Marketing"/>
        <s v="Operations"/>
        <s v="Research and Development"/>
        <s v="Sales"/>
      </sharedItems>
    </cacheField>
    <cacheField name="Number of Hires" numFmtId="0">
      <sharedItems containsSemiMixedTypes="0" containsString="0" containsNumber="1" containsInteger="1" minValue="124" maxValue="166"/>
    </cacheField>
    <cacheField name="Number of Declinations" numFmtId="0">
      <sharedItems containsSemiMixedTypes="0" containsString="0" containsNumber="1" containsInteger="1" minValue="39" maxValue="60"/>
    </cacheField>
    <cacheField name="Number of Rescinded" numFmtId="0">
      <sharedItems containsSemiMixedTypes="0" containsString="0" containsNumber="1" containsInteger="1" minValue="15" maxValue="30"/>
    </cacheField>
    <cacheField name="Number of Transfers" numFmtId="0">
      <sharedItems containsSemiMixedTypes="0" containsString="0" containsNumber="1" containsInteger="1" minValue="22" maxValue="44"/>
    </cacheField>
    <cacheField name="Number of Promotions" numFmtId="0">
      <sharedItems containsSemiMixedTypes="0" containsString="0" containsNumber="1" containsInteger="1" minValue="29" maxValue="46"/>
    </cacheField>
    <cacheField name="Number of Offers" numFmtId="0">
      <sharedItems containsSemiMixedTypes="0" containsString="0" containsNumber="1" containsInteger="1" minValue="186" maxValue="250"/>
    </cacheField>
    <cacheField name="Declination Rate" numFmtId="10">
      <sharedItems containsSemiMixedTypes="0" containsString="0" containsNumber="1" minValue="0.1941747572815534" maxValue="0.26785714285714285"/>
    </cacheField>
    <cacheField name="Promotion Rate" numFmtId="10">
      <sharedItems containsSemiMixedTypes="0" containsString="0" containsNumber="1" minValue="0.20547945205479451" maxValue="0.315068493150684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340063310185" createdVersion="8" refreshedVersion="8" minRefreshableVersion="3" recordCount="30" xr:uid="{BF0F0651-DBEF-234F-BB82-B8B40FC79715}">
  <cacheSource type="worksheet">
    <worksheetSource name="ClassificationAnalysisTable"/>
  </cacheSource>
  <cacheFields count="9">
    <cacheField name="Classification" numFmtId="0">
      <sharedItems count="30">
        <s v="Account Manager"/>
        <s v="Biomedical Engineer"/>
        <s v="Business Analyst"/>
        <s v="Compliance Officer"/>
        <s v="Content Writer"/>
        <s v="Customer Support Rep"/>
        <s v="Data Engineer"/>
        <s v="Data Scientist"/>
        <s v="DevOps Engineer"/>
        <s v="Executive Assistant"/>
        <s v="Financial Analyst"/>
        <s v="Graphic Designer"/>
        <s v="HR Specialist"/>
        <s v="IT Technician"/>
        <s v="Legal Advisor"/>
        <s v="Marketing Coordinator"/>
        <s v="Network Engineer"/>
        <s v="Operations Supervisor"/>
        <s v="Payroll Specialist"/>
        <s v="Product Manager"/>
        <s v="Project Manager"/>
        <s v="Quality Assurance"/>
        <s v="Recruiter"/>
        <s v="Research Analyst"/>
        <s v="Sales Associate"/>
        <s v="Security Analyst"/>
        <s v="Software Engineer"/>
        <s v="Supply Chain Manager"/>
        <s v="Training Coordinator"/>
        <s v="UX Designer"/>
      </sharedItems>
    </cacheField>
    <cacheField name="Number of Hires" numFmtId="0">
      <sharedItems containsSemiMixedTypes="0" containsString="0" containsNumber="1" containsInteger="1" minValue="21" maxValue="79"/>
    </cacheField>
    <cacheField name="Number of Declinations" numFmtId="0">
      <sharedItems containsSemiMixedTypes="0" containsString="0" containsNumber="1" containsInteger="1" minValue="7" maxValue="29"/>
    </cacheField>
    <cacheField name="Number of Rescinded" numFmtId="0">
      <sharedItems containsSemiMixedTypes="0" containsString="0" containsNumber="1" containsInteger="1" minValue="2" maxValue="16"/>
    </cacheField>
    <cacheField name="Number of Offers" numFmtId="0">
      <sharedItems containsSemiMixedTypes="0" containsString="0" containsNumber="1" containsInteger="1" minValue="30" maxValue="118"/>
    </cacheField>
    <cacheField name="Number of Transfers" numFmtId="0">
      <sharedItems containsSemiMixedTypes="0" containsString="0" containsNumber="1" containsInteger="1" minValue="5" maxValue="28"/>
    </cacheField>
    <cacheField name="Number of Promotions" numFmtId="0">
      <sharedItems containsSemiMixedTypes="0" containsString="0" containsNumber="1" containsInteger="1" minValue="3" maxValue="25"/>
    </cacheField>
    <cacheField name="Declination Rate" numFmtId="10">
      <sharedItems containsSemiMixedTypes="0" containsString="0" containsNumber="1" minValue="0.12280701754385964" maxValue="0.38"/>
    </cacheField>
    <cacheField name="Promotion Rate" numFmtId="10">
      <sharedItems containsSemiMixedTypes="0" containsString="0" containsNumber="1" minValue="0.12698412698412698" maxValue="0.448275862068965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508954398145" createdVersion="8" refreshedVersion="8" minRefreshableVersion="3" recordCount="1459" xr:uid="{CF7DC46D-F01A-AE4C-9FAF-B47D3AC48E94}">
  <cacheSource type="worksheet">
    <worksheetSource name="HiresOnlyTable"/>
  </cacheSource>
  <cacheFields count="19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/>
    </cacheField>
    <cacheField name="Department" numFmtId="0">
      <sharedItems count="10">
        <s v="Sales"/>
        <s v="Marketing"/>
        <s v="Customer Service"/>
        <s v="Information Technology"/>
        <s v="Research and Development"/>
        <s v="Legal"/>
        <s v="Finance"/>
        <s v="Operations"/>
        <s v="Engineering"/>
        <s v="Human Resources"/>
      </sharedItems>
    </cacheField>
    <cacheField name="Interview Date" numFmtId="14">
      <sharedItems containsSemiMixedTypes="0" containsNonDate="0" containsDate="1" containsString="0" minDate="2022-01-01T00:00:00" maxDate="2023-07-01T00:00:00"/>
    </cacheField>
    <cacheField name="Selection" numFmtId="0">
      <sharedItems/>
    </cacheField>
    <cacheField name="Job Offer Date" numFmtId="14">
      <sharedItems containsSemiMixedTypes="0" containsNonDate="0" containsDate="1" containsString="0" minDate="2022-01-06T00:00:00" maxDate="2023-07-30T00:00:00"/>
    </cacheField>
    <cacheField name="Effective Date" numFmtId="14">
      <sharedItems containsSemiMixedTypes="0" containsNonDate="0" containsDate="1" containsString="0" minDate="2022-01-20T00:00:00" maxDate="2023-09-10T00:00:00" count="534">
        <d v="2022-10-22T00:00:00"/>
        <d v="2022-03-25T00:00:00"/>
        <d v="2022-10-27T00:00:00"/>
        <d v="2022-04-28T00:00:00"/>
        <d v="2023-06-24T00:00:00"/>
        <d v="2023-04-03T00:00:00"/>
        <d v="2022-04-29T00:00:00"/>
        <d v="2023-05-07T00:00:00"/>
        <d v="2022-07-10T00:00:00"/>
        <d v="2022-03-22T00:00:00"/>
        <d v="2022-06-27T00:00:00"/>
        <d v="2022-09-16T00:00:00"/>
        <d v="2023-05-25T00:00:00"/>
        <d v="2022-11-09T00:00:00"/>
        <d v="2023-05-31T00:00:00"/>
        <d v="2023-04-18T00:00:00"/>
        <d v="2022-09-13T00:00:00"/>
        <d v="2022-09-04T00:00:00"/>
        <d v="2022-04-30T00:00:00"/>
        <d v="2023-03-06T00:00:00"/>
        <d v="2022-03-20T00:00:00"/>
        <d v="2023-06-12T00:00:00"/>
        <d v="2022-02-02T00:00:00"/>
        <d v="2022-11-11T00:00:00"/>
        <d v="2022-04-09T00:00:00"/>
        <d v="2022-05-03T00:00:00"/>
        <d v="2022-10-05T00:00:00"/>
        <d v="2022-12-10T00:00:00"/>
        <d v="2022-05-21T00:00:00"/>
        <d v="2023-01-15T00:00:00"/>
        <d v="2022-12-12T00:00:00"/>
        <d v="2022-06-24T00:00:00"/>
        <d v="2023-01-21T00:00:00"/>
        <d v="2022-09-11T00:00:00"/>
        <d v="2023-04-30T00:00:00"/>
        <d v="2023-03-03T00:00:00"/>
        <d v="2023-05-19T00:00:00"/>
        <d v="2022-12-15T00:00:00"/>
        <d v="2022-10-08T00:00:00"/>
        <d v="2023-01-10T00:00:00"/>
        <d v="2022-06-02T00:00:00"/>
        <d v="2022-07-29T00:00:00"/>
        <d v="2023-01-28T00:00:00"/>
        <d v="2022-01-30T00:00:00"/>
        <d v="2022-07-21T00:00:00"/>
        <d v="2022-09-27T00:00:00"/>
        <d v="2022-09-25T00:00:00"/>
        <d v="2023-06-16T00:00:00"/>
        <d v="2023-05-12T00:00:00"/>
        <d v="2022-11-18T00:00:00"/>
        <d v="2023-01-22T00:00:00"/>
        <d v="2023-04-23T00:00:00"/>
        <d v="2023-05-01T00:00:00"/>
        <d v="2022-09-14T00:00:00"/>
        <d v="2023-06-02T00:00:00"/>
        <d v="2023-05-15T00:00:00"/>
        <d v="2023-01-08T00:00:00"/>
        <d v="2023-05-10T00:00:00"/>
        <d v="2022-05-31T00:00:00"/>
        <d v="2022-03-18T00:00:00"/>
        <d v="2022-09-02T00:00:00"/>
        <d v="2023-03-26T00:00:00"/>
        <d v="2023-07-28T00:00:00"/>
        <d v="2022-12-07T00:00:00"/>
        <d v="2023-02-06T00:00:00"/>
        <d v="2022-10-09T00:00:00"/>
        <d v="2023-03-30T00:00:00"/>
        <d v="2023-08-07T00:00:00"/>
        <d v="2023-05-09T00:00:00"/>
        <d v="2022-08-12T00:00:00"/>
        <d v="2022-04-03T00:00:00"/>
        <d v="2023-04-20T00:00:00"/>
        <d v="2022-03-11T00:00:00"/>
        <d v="2022-10-18T00:00:00"/>
        <d v="2022-05-10T00:00:00"/>
        <d v="2022-12-14T00:00:00"/>
        <d v="2022-09-19T00:00:00"/>
        <d v="2022-08-04T00:00:00"/>
        <d v="2023-07-17T00:00:00"/>
        <d v="2023-01-03T00:00:00"/>
        <d v="2022-08-18T00:00:00"/>
        <d v="2023-06-22T00:00:00"/>
        <d v="2022-05-27T00:00:00"/>
        <d v="2022-02-28T00:00:00"/>
        <d v="2022-12-25T00:00:00"/>
        <d v="2023-08-05T00:00:00"/>
        <d v="2023-05-22T00:00:00"/>
        <d v="2022-08-21T00:00:00"/>
        <d v="2023-03-20T00:00:00"/>
        <d v="2023-03-11T00:00:00"/>
        <d v="2022-12-04T00:00:00"/>
        <d v="2023-04-01T00:00:00"/>
        <d v="2022-07-13T00:00:00"/>
        <d v="2022-09-29T00:00:00"/>
        <d v="2023-02-10T00:00:00"/>
        <d v="2023-02-20T00:00:00"/>
        <d v="2023-08-17T00:00:00"/>
        <d v="2022-11-24T00:00:00"/>
        <d v="2022-04-12T00:00:00"/>
        <d v="2022-05-22T00:00:00"/>
        <d v="2022-07-16T00:00:00"/>
        <d v="2022-11-14T00:00:00"/>
        <d v="2023-05-08T00:00:00"/>
        <d v="2023-05-02T00:00:00"/>
        <d v="2022-09-15T00:00:00"/>
        <d v="2022-09-10T00:00:00"/>
        <d v="2022-12-24T00:00:00"/>
        <d v="2022-08-03T00:00:00"/>
        <d v="2022-11-30T00:00:00"/>
        <d v="2023-02-24T00:00:00"/>
        <d v="2023-07-07T00:00:00"/>
        <d v="2022-09-07T00:00:00"/>
        <d v="2022-03-06T00:00:00"/>
        <d v="2023-08-08T00:00:00"/>
        <d v="2023-01-20T00:00:00"/>
        <d v="2023-05-11T00:00:00"/>
        <d v="2022-04-27T00:00:00"/>
        <d v="2022-12-05T00:00:00"/>
        <d v="2023-07-11T00:00:00"/>
        <d v="2022-10-14T00:00:00"/>
        <d v="2023-01-30T00:00:00"/>
        <d v="2023-07-06T00:00:00"/>
        <d v="2023-03-05T00:00:00"/>
        <d v="2022-03-01T00:00:00"/>
        <d v="2023-03-22T00:00:00"/>
        <d v="2023-06-28T00:00:00"/>
        <d v="2022-05-25T00:00:00"/>
        <d v="2022-07-28T00:00:00"/>
        <d v="2023-02-21T00:00:00"/>
        <d v="2022-06-21T00:00:00"/>
        <d v="2023-02-28T00:00:00"/>
        <d v="2022-08-31T00:00:00"/>
        <d v="2022-07-09T00:00:00"/>
        <d v="2022-07-14T00:00:00"/>
        <d v="2022-07-18T00:00:00"/>
        <d v="2023-02-12T00:00:00"/>
        <d v="2022-12-03T00:00:00"/>
        <d v="2022-03-24T00:00:00"/>
        <d v="2022-12-31T00:00:00"/>
        <d v="2023-01-29T00:00:00"/>
        <d v="2023-06-01T00:00:00"/>
        <d v="2022-07-06T00:00:00"/>
        <d v="2022-07-22T00:00:00"/>
        <d v="2022-05-19T00:00:00"/>
        <d v="2023-03-29T00:00:00"/>
        <d v="2022-12-30T00:00:00"/>
        <d v="2022-06-11T00:00:00"/>
        <d v="2022-08-02T00:00:00"/>
        <d v="2022-02-12T00:00:00"/>
        <d v="2022-05-23T00:00:00"/>
        <d v="2023-07-21T00:00:00"/>
        <d v="2022-05-09T00:00:00"/>
        <d v="2023-06-09T00:00:00"/>
        <d v="2022-03-21T00:00:00"/>
        <d v="2023-02-05T00:00:00"/>
        <d v="2023-06-14T00:00:00"/>
        <d v="2022-09-17T00:00:00"/>
        <d v="2023-05-18T00:00:00"/>
        <d v="2023-04-04T00:00:00"/>
        <d v="2022-05-14T00:00:00"/>
        <d v="2022-04-15T00:00:00"/>
        <d v="2023-04-05T00:00:00"/>
        <d v="2023-04-06T00:00:00"/>
        <d v="2022-11-15T00:00:00"/>
        <d v="2023-06-21T00:00:00"/>
        <d v="2023-03-21T00:00:00"/>
        <d v="2022-04-22T00:00:00"/>
        <d v="2023-07-05T00:00:00"/>
        <d v="2023-06-04T00:00:00"/>
        <d v="2022-11-25T00:00:00"/>
        <d v="2022-11-21T00:00:00"/>
        <d v="2023-03-09T00:00:00"/>
        <d v="2022-11-03T00:00:00"/>
        <d v="2023-07-09T00:00:00"/>
        <d v="2023-02-11T00:00:00"/>
        <d v="2023-01-02T00:00:00"/>
        <d v="2022-07-31T00:00:00"/>
        <d v="2022-02-13T00:00:00"/>
        <d v="2022-04-18T00:00:00"/>
        <d v="2023-07-22T00:00:00"/>
        <d v="2023-07-08T00:00:00"/>
        <d v="2023-01-11T00:00:00"/>
        <d v="2022-10-15T00:00:00"/>
        <d v="2023-05-05T00:00:00"/>
        <d v="2022-04-06T00:00:00"/>
        <d v="2023-03-12T00:00:00"/>
        <d v="2023-06-30T00:00:00"/>
        <d v="2022-09-08T00:00:00"/>
        <d v="2023-05-17T00:00:00"/>
        <d v="2023-05-23T00:00:00"/>
        <d v="2023-01-01T00:00:00"/>
        <d v="2023-04-16T00:00:00"/>
        <d v="2022-04-23T00:00:00"/>
        <d v="2022-12-21T00:00:00"/>
        <d v="2022-06-20T00:00:00"/>
        <d v="2022-06-30T00:00:00"/>
        <d v="2022-10-19T00:00:00"/>
        <d v="2022-02-08T00:00:00"/>
        <d v="2022-03-29T00:00:00"/>
        <d v="2022-11-16T00:00:00"/>
        <d v="2023-05-03T00:00:00"/>
        <d v="2022-07-23T00:00:00"/>
        <d v="2023-07-27T00:00:00"/>
        <d v="2023-03-24T00:00:00"/>
        <d v="2023-02-14T00:00:00"/>
        <d v="2023-01-09T00:00:00"/>
        <d v="2023-03-19T00:00:00"/>
        <d v="2023-07-14T00:00:00"/>
        <d v="2023-04-08T00:00:00"/>
        <d v="2023-02-08T00:00:00"/>
        <d v="2022-03-17T00:00:00"/>
        <d v="2023-04-28T00:00:00"/>
        <d v="2023-06-10T00:00:00"/>
        <d v="2023-04-13T00:00:00"/>
        <d v="2022-06-10T00:00:00"/>
        <d v="2023-05-14T00:00:00"/>
        <d v="2022-04-10T00:00:00"/>
        <d v="2022-08-14T00:00:00"/>
        <d v="2022-12-11T00:00:00"/>
        <d v="2023-04-09T00:00:00"/>
        <d v="2022-04-24T00:00:00"/>
        <d v="2022-05-20T00:00:00"/>
        <d v="2022-10-31T00:00:00"/>
        <d v="2022-11-13T00:00:00"/>
        <d v="2023-06-05T00:00:00"/>
        <d v="2023-02-27T00:00:00"/>
        <d v="2023-08-31T00:00:00"/>
        <d v="2023-04-11T00:00:00"/>
        <d v="2022-12-28T00:00:00"/>
        <d v="2022-10-06T00:00:00"/>
        <d v="2022-08-24T00:00:00"/>
        <d v="2022-09-26T00:00:00"/>
        <d v="2022-08-13T00:00:00"/>
        <d v="2023-05-16T00:00:00"/>
        <d v="2023-04-27T00:00:00"/>
        <d v="2023-04-29T00:00:00"/>
        <d v="2022-06-03T00:00:00"/>
        <d v="2022-12-22T00:00:00"/>
        <d v="2023-02-04T00:00:00"/>
        <d v="2023-06-29T00:00:00"/>
        <d v="2023-04-25T00:00:00"/>
        <d v="2022-01-28T00:00:00"/>
        <d v="2023-01-17T00:00:00"/>
        <d v="2022-06-06T00:00:00"/>
        <d v="2022-05-11T00:00:00"/>
        <d v="2022-04-21T00:00:00"/>
        <d v="2023-07-31T00:00:00"/>
        <d v="2022-07-24T00:00:00"/>
        <d v="2023-06-11T00:00:00"/>
        <d v="2022-04-17T00:00:00"/>
        <d v="2023-02-23T00:00:00"/>
        <d v="2023-06-08T00:00:00"/>
        <d v="2023-08-04T00:00:00"/>
        <d v="2022-12-13T00:00:00"/>
        <d v="2022-07-01T00:00:00"/>
        <d v="2022-08-07T00:00:00"/>
        <d v="2022-11-05T00:00:00"/>
        <d v="2022-07-19T00:00:00"/>
        <d v="2022-04-07T00:00:00"/>
        <d v="2023-06-27T00:00:00"/>
        <d v="2023-01-19T00:00:00"/>
        <d v="2022-08-05T00:00:00"/>
        <d v="2022-08-26T00:00:00"/>
        <d v="2022-08-01T00:00:00"/>
        <d v="2022-12-09T00:00:00"/>
        <d v="2023-04-19T00:00:00"/>
        <d v="2022-02-14T00:00:00"/>
        <d v="2022-06-29T00:00:00"/>
        <d v="2022-10-26T00:00:00"/>
        <d v="2022-09-12T00:00:00"/>
        <d v="2023-05-04T00:00:00"/>
        <d v="2023-04-22T00:00:00"/>
        <d v="2023-04-26T00:00:00"/>
        <d v="2022-12-01T00:00:00"/>
        <d v="2022-07-15T00:00:00"/>
        <d v="2023-02-13T00:00:00"/>
        <d v="2022-04-16T00:00:00"/>
        <d v="2022-07-05T00:00:00"/>
        <d v="2023-08-26T00:00:00"/>
        <d v="2023-06-03T00:00:00"/>
        <d v="2022-09-24T00:00:00"/>
        <d v="2022-06-18T00:00:00"/>
        <d v="2022-03-09T00:00:00"/>
        <d v="2023-07-25T00:00:00"/>
        <d v="2022-06-19T00:00:00"/>
        <d v="2023-02-09T00:00:00"/>
        <d v="2023-06-20T00:00:00"/>
        <d v="2023-01-07T00:00:00"/>
        <d v="2022-03-31T00:00:00"/>
        <d v="2022-05-16T00:00:00"/>
        <d v="2022-03-14T00:00:00"/>
        <d v="2022-07-26T00:00:00"/>
        <d v="2022-04-19T00:00:00"/>
        <d v="2022-06-09T00:00:00"/>
        <d v="2022-11-08T00:00:00"/>
        <d v="2023-01-18T00:00:00"/>
        <d v="2022-08-06T00:00:00"/>
        <d v="2022-04-26T00:00:00"/>
        <d v="2023-02-02T00:00:00"/>
        <d v="2022-10-21T00:00:00"/>
        <d v="2023-06-25T00:00:00"/>
        <d v="2022-02-03T00:00:00"/>
        <d v="2023-03-01T00:00:00"/>
        <d v="2023-02-17T00:00:00"/>
        <d v="2022-08-29T00:00:00"/>
        <d v="2023-03-23T00:00:00"/>
        <d v="2023-08-12T00:00:00"/>
        <d v="2022-09-01T00:00:00"/>
        <d v="2022-07-20T00:00:00"/>
        <d v="2023-01-12T00:00:00"/>
        <d v="2022-02-18T00:00:00"/>
        <d v="2022-12-27T00:00:00"/>
        <d v="2022-02-24T00:00:00"/>
        <d v="2023-07-10T00:00:00"/>
        <d v="2023-03-16T00:00:00"/>
        <d v="2023-08-19T00:00:00"/>
        <d v="2023-08-30T00:00:00"/>
        <d v="2022-05-05T00:00:00"/>
        <d v="2022-03-05T00:00:00"/>
        <d v="2023-07-13T00:00:00"/>
        <d v="2023-05-28T00:00:00"/>
        <d v="2023-05-13T00:00:00"/>
        <d v="2022-11-20T00:00:00"/>
        <d v="2023-03-07T00:00:00"/>
        <d v="2023-02-25T00:00:00"/>
        <d v="2023-02-15T00:00:00"/>
        <d v="2022-05-04T00:00:00"/>
        <d v="2023-06-13T00:00:00"/>
        <d v="2023-08-13T00:00:00"/>
        <d v="2022-11-27T00:00:00"/>
        <d v="2022-01-26T00:00:00"/>
        <d v="2023-07-02T00:00:00"/>
        <d v="2023-03-13T00:00:00"/>
        <d v="2023-06-23T00:00:00"/>
        <d v="2022-03-28T00:00:00"/>
        <d v="2022-08-08T00:00:00"/>
        <d v="2023-02-26T00:00:00"/>
        <d v="2022-03-15T00:00:00"/>
        <d v="2022-02-23T00:00:00"/>
        <d v="2022-10-23T00:00:00"/>
        <d v="2022-07-17T00:00:00"/>
        <d v="2022-08-10T00:00:00"/>
        <d v="2022-12-19T00:00:00"/>
        <d v="2022-07-03T00:00:00"/>
        <d v="2023-03-25T00:00:00"/>
        <d v="2022-08-11T00:00:00"/>
        <d v="2022-12-06T00:00:00"/>
        <d v="2022-07-25T00:00:00"/>
        <d v="2023-03-18T00:00:00"/>
        <d v="2022-02-19T00:00:00"/>
        <d v="2022-01-29T00:00:00"/>
        <d v="2022-03-13T00:00:00"/>
        <d v="2022-08-19T00:00:00"/>
        <d v="2023-07-03T00:00:00"/>
        <d v="2022-10-13T00:00:00"/>
        <d v="2022-07-12T00:00:00"/>
        <d v="2023-08-02T00:00:00"/>
        <d v="2022-05-29T00:00:00"/>
        <d v="2022-10-20T00:00:00"/>
        <d v="2022-10-29T00:00:00"/>
        <d v="2022-03-26T00:00:00"/>
        <d v="2022-05-18T00:00:00"/>
        <d v="2023-02-18T00:00:00"/>
        <d v="2023-04-12T00:00:00"/>
        <d v="2022-10-25T00:00:00"/>
        <d v="2022-08-22T00:00:00"/>
        <d v="2022-03-27T00:00:00"/>
        <d v="2023-07-18T00:00:00"/>
        <d v="2023-07-01T00:00:00"/>
        <d v="2023-08-01T00:00:00"/>
        <d v="2023-06-15T00:00:00"/>
        <d v="2023-08-18T00:00:00"/>
        <d v="2023-04-02T00:00:00"/>
        <d v="2022-06-28T00:00:00"/>
        <d v="2022-09-06T00:00:00"/>
        <d v="2022-04-11T00:00:00"/>
        <d v="2023-01-14T00:00:00"/>
        <d v="2022-09-21T00:00:00"/>
        <d v="2022-03-08T00:00:00"/>
        <d v="2022-08-16T00:00:00"/>
        <d v="2022-12-17T00:00:00"/>
        <d v="2022-03-19T00:00:00"/>
        <d v="2023-02-03T00:00:00"/>
        <d v="2023-02-01T00:00:00"/>
        <d v="2022-04-14T00:00:00"/>
        <d v="2023-05-20T00:00:00"/>
        <d v="2023-06-06T00:00:00"/>
        <d v="2022-03-10T00:00:00"/>
        <d v="2023-01-16T00:00:00"/>
        <d v="2023-09-09T00:00:00"/>
        <d v="2022-11-19T00:00:00"/>
        <d v="2022-02-16T00:00:00"/>
        <d v="2022-08-27T00:00:00"/>
        <d v="2023-08-09T00:00:00"/>
        <d v="2022-06-05T00:00:00"/>
        <d v="2022-05-15T00:00:00"/>
        <d v="2022-05-28T00:00:00"/>
        <d v="2023-08-24T00:00:00"/>
        <d v="2022-05-06T00:00:00"/>
        <d v="2022-10-01T00:00:00"/>
        <d v="2022-03-12T00:00:00"/>
        <d v="2022-08-15T00:00:00"/>
        <d v="2023-02-19T00:00:00"/>
        <d v="2023-01-27T00:00:00"/>
        <d v="2022-05-24T00:00:00"/>
        <d v="2022-05-13T00:00:00"/>
        <d v="2022-09-22T00:00:00"/>
        <d v="2023-08-29T00:00:00"/>
        <d v="2023-01-06T00:00:00"/>
        <d v="2022-05-12T00:00:00"/>
        <d v="2022-04-20T00:00:00"/>
        <d v="2022-11-10T00:00:00"/>
        <d v="2023-05-21T00:00:00"/>
        <d v="2023-01-24T00:00:00"/>
        <d v="2022-01-25T00:00:00"/>
        <d v="2022-12-23T00:00:00"/>
        <d v="2022-02-22T00:00:00"/>
        <d v="2022-05-07T00:00:00"/>
        <d v="2022-02-05T00:00:00"/>
        <d v="2023-01-31T00:00:00"/>
        <d v="2023-03-31T00:00:00"/>
        <d v="2023-05-06T00:00:00"/>
        <d v="2022-12-26T00:00:00"/>
        <d v="2022-02-20T00:00:00"/>
        <d v="2023-06-18T00:00:00"/>
        <d v="2022-11-29T00:00:00"/>
        <d v="2023-03-08T00:00:00"/>
        <d v="2022-06-22T00:00:00"/>
        <d v="2023-08-11T00:00:00"/>
        <d v="2023-07-23T00:00:00"/>
        <d v="2022-04-02T00:00:00"/>
        <d v="2022-02-25T00:00:00"/>
        <d v="2022-05-02T00:00:00"/>
        <d v="2022-09-23T00:00:00"/>
        <d v="2022-02-27T00:00:00"/>
        <d v="2022-06-16T00:00:00"/>
        <d v="2023-06-19T00:00:00"/>
        <d v="2022-09-03T00:00:00"/>
        <d v="2023-06-26T00:00:00"/>
        <d v="2023-07-16T00:00:00"/>
        <d v="2022-01-20T00:00:00"/>
        <d v="2022-05-30T00:00:00"/>
        <d v="2022-07-30T00:00:00"/>
        <d v="2022-03-03T00:00:00"/>
        <d v="2023-03-27T00:00:00"/>
        <d v="2022-02-07T00:00:00"/>
        <d v="2023-07-24T00:00:00"/>
        <d v="2022-08-25T00:00:00"/>
        <d v="2022-06-17T00:00:00"/>
        <d v="2023-08-22T00:00:00"/>
        <d v="2023-02-07T00:00:00"/>
        <d v="2022-10-02T00:00:00"/>
        <d v="2023-07-04T00:00:00"/>
        <d v="2023-03-14T00:00:00"/>
        <d v="2022-04-01T00:00:00"/>
        <d v="2022-04-13T00:00:00"/>
        <d v="2022-12-29T00:00:00"/>
        <d v="2022-10-16T00:00:00"/>
        <d v="2022-02-26T00:00:00"/>
        <d v="2023-02-22T00:00:00"/>
        <d v="2022-08-28T00:00:00"/>
        <d v="2023-08-20T00:00:00"/>
        <d v="2022-04-04T00:00:00"/>
        <d v="2023-03-04T00:00:00"/>
        <d v="2022-12-16T00:00:00"/>
        <d v="2022-02-11T00:00:00"/>
        <d v="2022-09-05T00:00:00"/>
        <d v="2023-08-15T00:00:00"/>
        <d v="2022-06-08T00:00:00"/>
        <d v="2022-01-24T00:00:00"/>
        <d v="2023-04-24T00:00:00"/>
        <d v="2022-05-17T00:00:00"/>
        <d v="2022-03-07T00:00:00"/>
        <d v="2023-04-17T00:00:00"/>
        <d v="2023-07-19T00:00:00"/>
        <d v="2022-10-12T00:00:00"/>
        <d v="2023-03-17T00:00:00"/>
        <d v="2023-04-14T00:00:00"/>
        <d v="2022-12-08T00:00:00"/>
        <d v="2022-08-23T00:00:00"/>
        <d v="2023-08-25T00:00:00"/>
        <d v="2023-02-16T00:00:00"/>
        <d v="2022-06-12T00:00:00"/>
        <d v="2022-06-13T00:00:00"/>
        <d v="2022-08-30T00:00:00"/>
        <d v="2022-04-25T00:00:00"/>
        <d v="2022-10-07T00:00:00"/>
        <d v="2022-11-28T00:00:00"/>
        <d v="2022-11-26T00:00:00"/>
        <d v="2022-07-27T00:00:00"/>
        <d v="2022-06-14T00:00:00"/>
        <d v="2023-08-16T00:00:00"/>
        <d v="2022-12-02T00:00:00"/>
        <d v="2022-09-09T00:00:00"/>
        <d v="2023-08-10T00:00:00"/>
        <d v="2022-12-20T00:00:00"/>
        <d v="2022-06-04T00:00:00"/>
        <d v="2022-11-04T00:00:00"/>
        <d v="2022-11-23T00:00:00"/>
        <d v="2023-05-24T00:00:00"/>
        <d v="2022-06-25T00:00:00"/>
        <d v="2023-08-06T00:00:00"/>
        <d v="2022-03-30T00:00:00"/>
        <d v="2022-06-07T00:00:00"/>
        <d v="2023-03-10T00:00:00"/>
        <d v="2022-06-01T00:00:00"/>
        <d v="2022-07-04T00:00:00"/>
        <d v="2022-11-01T00:00:00"/>
        <d v="2023-06-07T00:00:00"/>
        <d v="2022-11-06T00:00:00"/>
        <d v="2022-09-30T00:00:00"/>
        <d v="2023-01-05T00:00:00"/>
        <d v="2023-03-02T00:00:00"/>
        <d v="2022-09-28T00:00:00"/>
        <d v="2023-04-21T00:00:00"/>
        <d v="2023-08-21T00:00:00"/>
        <d v="2022-05-01T00:00:00"/>
        <d v="2022-11-07T00:00:00"/>
        <d v="2023-04-07T00:00:00"/>
        <d v="2023-01-13T00:00:00"/>
        <d v="2023-08-03T00:00:00"/>
        <d v="2022-03-23T00:00:00"/>
        <d v="2023-07-20T00:00:00"/>
        <d v="2022-11-02T00:00:00"/>
        <d v="2023-08-28T00:00:00"/>
        <d v="2022-11-17T00:00:00"/>
        <d v="2022-06-23T00:00:00"/>
        <d v="2023-01-04T00:00:00"/>
        <d v="2023-05-29T00:00:00"/>
        <d v="2022-10-24T00:00:00"/>
        <d v="2022-07-07T00:00:00"/>
        <d v="2022-10-17T00:00:00"/>
        <d v="2022-08-09T00:00:00"/>
        <d v="2023-03-15T00:00:00"/>
      </sharedItems>
      <fieldGroup par="18"/>
    </cacheField>
    <cacheField name="Comments" numFmtId="0">
      <sharedItems containsBlank="1"/>
    </cacheField>
    <cacheField name="Is Hired" numFmtId="14">
      <sharedItems containsNonDate="0" count="1">
        <b v="1"/>
      </sharedItems>
    </cacheField>
    <cacheField name="Is Declination" numFmtId="14">
      <sharedItems containsNonDate="0"/>
    </cacheField>
    <cacheField name="Is Rescinded" numFmtId="14">
      <sharedItems containsNonDate="0"/>
    </cacheField>
    <cacheField name="Is Cancelled" numFmtId="14">
      <sharedItems containsNonDate="0"/>
    </cacheField>
    <cacheField name="Is Transfer" numFmtId="14">
      <sharedItems containsNonDate="0"/>
    </cacheField>
    <cacheField name="Is Promotion" numFmtId="14">
      <sharedItems containsNonDate="0"/>
    </cacheField>
    <cacheField name="Is New to Org" numFmtId="14">
      <sharedItems containsNonDate="0"/>
    </cacheField>
    <cacheField name="Months (Effective Date)" numFmtId="0" databaseField="0">
      <fieldGroup base="7">
        <rangePr groupBy="months" startDate="2022-01-20T00:00:00" endDate="2023-09-10T00:00:00"/>
        <groupItems count="14">
          <s v="&lt;1/20/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0/23"/>
        </groupItems>
      </fieldGroup>
    </cacheField>
    <cacheField name="Quarters (Effective Date)" numFmtId="0" databaseField="0">
      <fieldGroup base="7">
        <rangePr groupBy="quarters" startDate="2022-01-20T00:00:00" endDate="2023-09-10T00:00:00"/>
        <groupItems count="6">
          <s v="&lt;1/20/22"/>
          <s v="Qtr1"/>
          <s v="Qtr2"/>
          <s v="Qtr3"/>
          <s v="Qtr4"/>
          <s v="&gt;9/10/23"/>
        </groupItems>
      </fieldGroup>
    </cacheField>
    <cacheField name="Years (Effective Date)" numFmtId="0" databaseField="0">
      <fieldGroup base="7">
        <rangePr groupBy="years" startDate="2022-01-20T00:00:00" endDate="2023-09-10T00:00:00"/>
        <groupItems count="4">
          <s v="&lt;1/20/22"/>
          <s v="2022"/>
          <s v="2023"/>
          <s v="&gt;9/10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0">
  <r>
    <n v="2867825"/>
    <s v="123-005-101-001"/>
    <x v="0"/>
    <x v="0"/>
    <d v="2022-03-31T00:00:00"/>
    <s v="Melissa Miller"/>
    <d v="2022-04-19T00:00:00"/>
    <m/>
    <s v="declined"/>
    <x v="0"/>
    <x v="0"/>
    <x v="0"/>
    <b v="0"/>
    <x v="0"/>
    <x v="0"/>
    <b v="0"/>
  </r>
  <r>
    <n v="2867825"/>
    <s v="123-005-101-002"/>
    <x v="0"/>
    <x v="0"/>
    <d v="2022-08-27T00:00:00"/>
    <s v="Jennifer Wilson"/>
    <d v="2022-09-13T00:00:00"/>
    <d v="2022-10-22T00:00:00"/>
    <s v="transfer"/>
    <x v="1"/>
    <x v="1"/>
    <x v="0"/>
    <b v="0"/>
    <x v="1"/>
    <x v="0"/>
    <b v="0"/>
  </r>
  <r>
    <n v="1445199"/>
    <s v="123-004-118-001"/>
    <x v="1"/>
    <x v="1"/>
    <d v="2022-01-07T00:00:00"/>
    <s v="Donna Moore"/>
    <d v="2022-02-01T00:00:00"/>
    <d v="2022-03-25T00:00:00"/>
    <m/>
    <x v="1"/>
    <x v="1"/>
    <x v="0"/>
    <b v="0"/>
    <x v="0"/>
    <x v="0"/>
    <b v="0"/>
  </r>
  <r>
    <n v="1445199"/>
    <s v="123-004-118-002"/>
    <x v="1"/>
    <x v="1"/>
    <d v="2022-10-12T00:00:00"/>
    <s v="Margaret Perez"/>
    <d v="2022-10-17T00:00:00"/>
    <m/>
    <s v="declined"/>
    <x v="0"/>
    <x v="0"/>
    <x v="0"/>
    <b v="0"/>
    <x v="0"/>
    <x v="0"/>
    <b v="0"/>
  </r>
  <r>
    <n v="1445199"/>
    <s v="123-004-118-003"/>
    <x v="1"/>
    <x v="1"/>
    <d v="2022-04-15T00:00:00"/>
    <s v="Edward Perez"/>
    <d v="2022-04-18T00:00:00"/>
    <m/>
    <s v="rescinded"/>
    <x v="0"/>
    <x v="1"/>
    <x v="1"/>
    <b v="0"/>
    <x v="0"/>
    <x v="0"/>
    <b v="0"/>
  </r>
  <r>
    <n v="1445199"/>
    <s v="123-004-118-004"/>
    <x v="1"/>
    <x v="1"/>
    <d v="2022-09-28T00:00:00"/>
    <s v="Mia Thompson"/>
    <d v="2022-10-24T00:00:00"/>
    <d v="2022-10-27T00:00:00"/>
    <s v="new to org"/>
    <x v="1"/>
    <x v="1"/>
    <x v="0"/>
    <b v="0"/>
    <x v="0"/>
    <x v="0"/>
    <b v="1"/>
  </r>
  <r>
    <n v="1445199"/>
    <s v="123-004-118-005"/>
    <x v="1"/>
    <x v="1"/>
    <d v="2022-03-22T00:00:00"/>
    <s v="Jackson Harris"/>
    <d v="2022-04-09T00:00:00"/>
    <d v="2022-04-28T00:00:00"/>
    <s v="transfer"/>
    <x v="1"/>
    <x v="1"/>
    <x v="0"/>
    <b v="0"/>
    <x v="1"/>
    <x v="0"/>
    <b v="0"/>
  </r>
  <r>
    <n v="7067228"/>
    <s v="123-004-119-001"/>
    <x v="2"/>
    <x v="1"/>
    <m/>
    <m/>
    <m/>
    <m/>
    <s v="cancelled"/>
    <x v="0"/>
    <x v="1"/>
    <x v="0"/>
    <b v="1"/>
    <x v="0"/>
    <x v="0"/>
    <b v="0"/>
  </r>
  <r>
    <n v="4823498"/>
    <s v="123-005-125-001"/>
    <x v="3"/>
    <x v="0"/>
    <d v="2023-04-10T00:00:00"/>
    <s v="Matthew Moore"/>
    <d v="2023-05-01T00:00:00"/>
    <d v="2023-06-24T00:00:00"/>
    <s v="transfer"/>
    <x v="1"/>
    <x v="1"/>
    <x v="0"/>
    <b v="0"/>
    <x v="1"/>
    <x v="0"/>
    <b v="0"/>
  </r>
  <r>
    <n v="7120868"/>
    <s v="123-006-106-001"/>
    <x v="4"/>
    <x v="2"/>
    <d v="2022-03-15T00:00:00"/>
    <s v="Sarah Hall"/>
    <d v="2022-04-04T00:00:00"/>
    <m/>
    <s v="declined"/>
    <x v="0"/>
    <x v="0"/>
    <x v="0"/>
    <b v="0"/>
    <x v="0"/>
    <x v="0"/>
    <b v="0"/>
  </r>
  <r>
    <n v="7120868"/>
    <s v="123-006-106-002"/>
    <x v="4"/>
    <x v="2"/>
    <d v="2023-01-24T00:00:00"/>
    <s v="David Robinson"/>
    <d v="2023-02-02T00:00:00"/>
    <d v="2023-04-03T00:00:00"/>
    <s v="promo"/>
    <x v="1"/>
    <x v="1"/>
    <x v="0"/>
    <b v="0"/>
    <x v="0"/>
    <x v="1"/>
    <b v="0"/>
  </r>
  <r>
    <n v="7120868"/>
    <s v="123-006-106-003"/>
    <x v="4"/>
    <x v="2"/>
    <d v="2022-02-27T00:00:00"/>
    <s v="Amanda Lee"/>
    <d v="2022-03-07T00:00:00"/>
    <d v="2022-04-29T00:00:00"/>
    <s v="promo"/>
    <x v="1"/>
    <x v="1"/>
    <x v="0"/>
    <b v="0"/>
    <x v="0"/>
    <x v="1"/>
    <b v="0"/>
  </r>
  <r>
    <n v="1538552"/>
    <s v="123-006-126-001"/>
    <x v="5"/>
    <x v="2"/>
    <d v="2022-11-19T00:00:00"/>
    <s v="Susan Collins"/>
    <d v="2022-11-26T00:00:00"/>
    <m/>
    <s v="declined"/>
    <x v="0"/>
    <x v="0"/>
    <x v="0"/>
    <b v="0"/>
    <x v="0"/>
    <x v="0"/>
    <b v="0"/>
  </r>
  <r>
    <n v="1538552"/>
    <s v="123-006-126-002"/>
    <x v="5"/>
    <x v="2"/>
    <d v="2023-04-15T00:00:00"/>
    <s v="Olivia Collins"/>
    <d v="2023-04-20T00:00:00"/>
    <d v="2023-05-07T00:00:00"/>
    <m/>
    <x v="1"/>
    <x v="1"/>
    <x v="0"/>
    <b v="0"/>
    <x v="0"/>
    <x v="0"/>
    <b v="0"/>
  </r>
  <r>
    <n v="1538552"/>
    <s v="123-006-126-003"/>
    <x v="5"/>
    <x v="2"/>
    <d v="2022-09-27T00:00:00"/>
    <s v="Melissa Scott"/>
    <d v="2022-10-21T00:00:00"/>
    <m/>
    <s v="declined"/>
    <x v="0"/>
    <x v="0"/>
    <x v="0"/>
    <b v="0"/>
    <x v="0"/>
    <x v="0"/>
    <b v="0"/>
  </r>
  <r>
    <n v="1538552"/>
    <s v="123-006-126-004"/>
    <x v="5"/>
    <x v="2"/>
    <d v="2022-05-22T00:00:00"/>
    <s v="Lisa Anderson"/>
    <d v="2022-06-08T00:00:00"/>
    <d v="2022-07-10T00:00:00"/>
    <m/>
    <x v="1"/>
    <x v="1"/>
    <x v="0"/>
    <b v="0"/>
    <x v="0"/>
    <x v="0"/>
    <b v="0"/>
  </r>
  <r>
    <n v="2525206"/>
    <s v="123-001-125-001"/>
    <x v="3"/>
    <x v="3"/>
    <d v="2023-03-09T00:00:00"/>
    <s v="David Gomez"/>
    <d v="2023-03-29T00:00:00"/>
    <m/>
    <s v="declined"/>
    <x v="0"/>
    <x v="0"/>
    <x v="0"/>
    <b v="0"/>
    <x v="0"/>
    <x v="0"/>
    <b v="0"/>
  </r>
  <r>
    <n v="2065818"/>
    <s v="123-007-113-001"/>
    <x v="6"/>
    <x v="4"/>
    <d v="2022-01-12T00:00:00"/>
    <s v="Emily Parker"/>
    <d v="2022-02-03T00:00:00"/>
    <d v="2022-03-22T00:00:00"/>
    <s v="new to org"/>
    <x v="1"/>
    <x v="1"/>
    <x v="0"/>
    <b v="0"/>
    <x v="0"/>
    <x v="0"/>
    <b v="1"/>
  </r>
  <r>
    <n v="2065818"/>
    <s v="123-007-113-002"/>
    <x v="6"/>
    <x v="4"/>
    <d v="2022-10-01T00:00:00"/>
    <s v="Olivia Wright"/>
    <d v="2022-10-26T00:00:00"/>
    <m/>
    <s v="declined"/>
    <x v="0"/>
    <x v="0"/>
    <x v="0"/>
    <b v="0"/>
    <x v="0"/>
    <x v="0"/>
    <b v="0"/>
  </r>
  <r>
    <n v="2065818"/>
    <s v="123-007-113-003"/>
    <x v="6"/>
    <x v="4"/>
    <d v="2022-06-11T00:00:00"/>
    <s v="Charles Ramirez"/>
    <d v="2022-06-26T00:00:00"/>
    <d v="2022-06-27T00:00:00"/>
    <s v="transfer"/>
    <x v="1"/>
    <x v="1"/>
    <x v="0"/>
    <b v="0"/>
    <x v="1"/>
    <x v="0"/>
    <b v="0"/>
  </r>
  <r>
    <n v="2065818"/>
    <s v="123-007-113-004"/>
    <x v="6"/>
    <x v="4"/>
    <d v="2022-07-02T00:00:00"/>
    <s v="Steven Carter"/>
    <d v="2022-07-19T00:00:00"/>
    <d v="2022-09-16T00:00:00"/>
    <s v="new to org"/>
    <x v="1"/>
    <x v="1"/>
    <x v="0"/>
    <b v="0"/>
    <x v="0"/>
    <x v="0"/>
    <b v="1"/>
  </r>
  <r>
    <n v="2065818"/>
    <s v="123-007-113-005"/>
    <x v="6"/>
    <x v="4"/>
    <d v="2023-06-04T00:00:00"/>
    <s v="Kenneth Martin"/>
    <d v="2023-06-24T00:00:00"/>
    <m/>
    <s v="declined"/>
    <x v="0"/>
    <x v="0"/>
    <x v="0"/>
    <b v="0"/>
    <x v="0"/>
    <x v="0"/>
    <b v="0"/>
  </r>
  <r>
    <n v="4337174"/>
    <s v="123-006-105-001"/>
    <x v="7"/>
    <x v="2"/>
    <d v="2023-05-16T00:00:00"/>
    <s v="Joshua Lee"/>
    <d v="2023-05-17T00:00:00"/>
    <d v="2023-05-25T00:00:00"/>
    <s v="transfer"/>
    <x v="1"/>
    <x v="1"/>
    <x v="0"/>
    <b v="0"/>
    <x v="1"/>
    <x v="0"/>
    <b v="0"/>
  </r>
  <r>
    <n v="4337174"/>
    <s v="123-006-105-002"/>
    <x v="7"/>
    <x v="2"/>
    <d v="2022-09-04T00:00:00"/>
    <s v="Jessica Brown"/>
    <d v="2022-10-03T00:00:00"/>
    <d v="2022-11-09T00:00:00"/>
    <s v="new to org"/>
    <x v="1"/>
    <x v="1"/>
    <x v="0"/>
    <b v="0"/>
    <x v="0"/>
    <x v="0"/>
    <b v="1"/>
  </r>
  <r>
    <n v="2321324"/>
    <s v="123-008-103-001"/>
    <x v="8"/>
    <x v="5"/>
    <d v="2023-05-02T00:00:00"/>
    <s v="William Nelson"/>
    <d v="2023-05-20T00:00:00"/>
    <d v="2023-05-31T00:00:00"/>
    <s v="promo"/>
    <x v="1"/>
    <x v="1"/>
    <x v="0"/>
    <b v="0"/>
    <x v="0"/>
    <x v="1"/>
    <b v="0"/>
  </r>
  <r>
    <n v="5446912"/>
    <s v="123-010-117-001"/>
    <x v="9"/>
    <x v="6"/>
    <d v="2023-02-13T00:00:00"/>
    <s v="Dorothy Martin"/>
    <d v="2023-03-07T00:00:00"/>
    <d v="2023-04-18T00:00:00"/>
    <s v="promo"/>
    <x v="1"/>
    <x v="1"/>
    <x v="0"/>
    <b v="0"/>
    <x v="0"/>
    <x v="1"/>
    <b v="0"/>
  </r>
  <r>
    <n v="5446912"/>
    <s v="123-010-117-002"/>
    <x v="9"/>
    <x v="6"/>
    <d v="2022-08-19T00:00:00"/>
    <s v="Linda Thomas"/>
    <d v="2022-08-22T00:00:00"/>
    <d v="2022-09-13T00:00:00"/>
    <m/>
    <x v="1"/>
    <x v="1"/>
    <x v="0"/>
    <b v="0"/>
    <x v="0"/>
    <x v="0"/>
    <b v="0"/>
  </r>
  <r>
    <n v="5446912"/>
    <s v="123-010-117-003"/>
    <x v="9"/>
    <x v="6"/>
    <d v="2022-08-14T00:00:00"/>
    <s v="Emily Anderson"/>
    <d v="2022-08-15T00:00:00"/>
    <m/>
    <s v="declined"/>
    <x v="0"/>
    <x v="0"/>
    <x v="0"/>
    <b v="0"/>
    <x v="0"/>
    <x v="0"/>
    <b v="0"/>
  </r>
  <r>
    <n v="5446912"/>
    <s v="123-010-117-004"/>
    <x v="9"/>
    <x v="6"/>
    <d v="2022-08-23T00:00:00"/>
    <s v="Kenneth Brown"/>
    <d v="2022-08-26T00:00:00"/>
    <m/>
    <s v="declined"/>
    <x v="0"/>
    <x v="0"/>
    <x v="0"/>
    <b v="0"/>
    <x v="0"/>
    <x v="0"/>
    <b v="0"/>
  </r>
  <r>
    <n v="1527021"/>
    <s v="123-006-128-001"/>
    <x v="10"/>
    <x v="2"/>
    <d v="2022-08-08T00:00:00"/>
    <s v="Kevin Young"/>
    <d v="2022-08-26T00:00:00"/>
    <d v="2022-09-04T00:00:00"/>
    <s v="new to org"/>
    <x v="1"/>
    <x v="1"/>
    <x v="0"/>
    <b v="0"/>
    <x v="0"/>
    <x v="0"/>
    <b v="1"/>
  </r>
  <r>
    <n v="8930103"/>
    <s v="123-008-108-001"/>
    <x v="11"/>
    <x v="5"/>
    <d v="2023-03-18T00:00:00"/>
    <s v="Michael Nelson"/>
    <d v="2023-03-30T00:00:00"/>
    <m/>
    <s v="declined"/>
    <x v="0"/>
    <x v="0"/>
    <x v="0"/>
    <b v="0"/>
    <x v="0"/>
    <x v="0"/>
    <b v="0"/>
  </r>
  <r>
    <n v="8930103"/>
    <s v="123-008-108-002"/>
    <x v="11"/>
    <x v="5"/>
    <d v="2022-02-25T00:00:00"/>
    <s v="Logan Campbell"/>
    <d v="2022-03-19T00:00:00"/>
    <d v="2022-04-30T00:00:00"/>
    <m/>
    <x v="1"/>
    <x v="1"/>
    <x v="0"/>
    <b v="0"/>
    <x v="0"/>
    <x v="0"/>
    <b v="0"/>
  </r>
  <r>
    <n v="8930103"/>
    <s v="123-008-108-003"/>
    <x v="11"/>
    <x v="5"/>
    <d v="2022-12-14T00:00:00"/>
    <s v="Patricia Sanchez"/>
    <d v="2023-01-09T00:00:00"/>
    <d v="2023-03-06T00:00:00"/>
    <s v="transfer"/>
    <x v="1"/>
    <x v="1"/>
    <x v="0"/>
    <b v="0"/>
    <x v="1"/>
    <x v="0"/>
    <b v="0"/>
  </r>
  <r>
    <n v="8930103"/>
    <s v="123-008-108-004"/>
    <x v="11"/>
    <x v="5"/>
    <d v="2023-04-05T00:00:00"/>
    <s v="Richard Gonzalez"/>
    <d v="2023-04-10T00:00:00"/>
    <m/>
    <s v="declined"/>
    <x v="0"/>
    <x v="0"/>
    <x v="0"/>
    <b v="0"/>
    <x v="0"/>
    <x v="0"/>
    <b v="0"/>
  </r>
  <r>
    <n v="8077999"/>
    <s v="123-005-106-001"/>
    <x v="4"/>
    <x v="0"/>
    <d v="2023-03-30T00:00:00"/>
    <s v="Jackson Jones"/>
    <d v="2023-04-25T00:00:00"/>
    <m/>
    <s v="declined"/>
    <x v="0"/>
    <x v="0"/>
    <x v="0"/>
    <b v="0"/>
    <x v="0"/>
    <x v="0"/>
    <b v="0"/>
  </r>
  <r>
    <n v="8077999"/>
    <s v="123-005-106-002"/>
    <x v="4"/>
    <x v="0"/>
    <d v="2022-01-16T00:00:00"/>
    <s v="Patricia Adams"/>
    <d v="2022-01-19T00:00:00"/>
    <d v="2022-03-20T00:00:00"/>
    <s v="transfer"/>
    <x v="1"/>
    <x v="1"/>
    <x v="0"/>
    <b v="0"/>
    <x v="1"/>
    <x v="0"/>
    <b v="0"/>
  </r>
  <r>
    <n v="8077999"/>
    <s v="123-005-106-003"/>
    <x v="4"/>
    <x v="0"/>
    <d v="2023-05-13T00:00:00"/>
    <s v="David Clark"/>
    <d v="2023-05-29T00:00:00"/>
    <d v="2023-06-12T00:00:00"/>
    <s v="promo"/>
    <x v="1"/>
    <x v="1"/>
    <x v="0"/>
    <b v="0"/>
    <x v="0"/>
    <x v="1"/>
    <b v="0"/>
  </r>
  <r>
    <n v="8077999"/>
    <s v="123-005-106-004"/>
    <x v="4"/>
    <x v="0"/>
    <d v="2022-01-03T00:00:00"/>
    <s v="David Harris"/>
    <d v="2022-01-16T00:00:00"/>
    <d v="2022-02-02T00:00:00"/>
    <s v="transfer"/>
    <x v="1"/>
    <x v="1"/>
    <x v="0"/>
    <b v="0"/>
    <x v="1"/>
    <x v="0"/>
    <b v="0"/>
  </r>
  <r>
    <n v="8633773"/>
    <s v="123-007-110-001"/>
    <x v="12"/>
    <x v="4"/>
    <d v="2022-10-31T00:00:00"/>
    <s v="Elizabeth Gonzalez"/>
    <d v="2022-11-07T00:00:00"/>
    <d v="2022-11-11T00:00:00"/>
    <m/>
    <x v="1"/>
    <x v="1"/>
    <x v="0"/>
    <b v="0"/>
    <x v="0"/>
    <x v="0"/>
    <b v="0"/>
  </r>
  <r>
    <n v="8633773"/>
    <s v="123-007-110-002"/>
    <x v="12"/>
    <x v="4"/>
    <d v="2022-02-28T00:00:00"/>
    <s v="Melissa Lee"/>
    <d v="2022-03-02T00:00:00"/>
    <d v="2022-04-09T00:00:00"/>
    <s v="transfer"/>
    <x v="1"/>
    <x v="1"/>
    <x v="0"/>
    <b v="0"/>
    <x v="1"/>
    <x v="0"/>
    <b v="0"/>
  </r>
  <r>
    <n v="8633773"/>
    <s v="123-007-110-003"/>
    <x v="12"/>
    <x v="4"/>
    <d v="2022-03-24T00:00:00"/>
    <s v="Patricia Allen"/>
    <d v="2022-04-21T00:00:00"/>
    <d v="2022-05-03T00:00:00"/>
    <s v="promo"/>
    <x v="1"/>
    <x v="1"/>
    <x v="0"/>
    <b v="0"/>
    <x v="0"/>
    <x v="1"/>
    <b v="0"/>
  </r>
  <r>
    <n v="8633773"/>
    <s v="123-007-110-004"/>
    <x v="12"/>
    <x v="4"/>
    <d v="2022-08-29T00:00:00"/>
    <s v="John Baker"/>
    <d v="2022-09-11T00:00:00"/>
    <m/>
    <s v="declined"/>
    <x v="0"/>
    <x v="0"/>
    <x v="0"/>
    <b v="0"/>
    <x v="0"/>
    <x v="0"/>
    <b v="0"/>
  </r>
  <r>
    <n v="8633773"/>
    <s v="123-007-110-005"/>
    <x v="12"/>
    <x v="4"/>
    <d v="2022-09-10T00:00:00"/>
    <s v="Olivia Torres"/>
    <d v="2022-09-29T00:00:00"/>
    <m/>
    <s v="declined"/>
    <x v="0"/>
    <x v="0"/>
    <x v="0"/>
    <b v="0"/>
    <x v="0"/>
    <x v="0"/>
    <b v="0"/>
  </r>
  <r>
    <n v="1666754"/>
    <s v="123-002-120-001"/>
    <x v="13"/>
    <x v="7"/>
    <d v="2022-07-29T00:00:00"/>
    <s v="Jackson Taylor"/>
    <d v="2022-08-20T00:00:00"/>
    <d v="2022-10-05T00:00:00"/>
    <s v="new to org"/>
    <x v="1"/>
    <x v="1"/>
    <x v="0"/>
    <b v="0"/>
    <x v="0"/>
    <x v="0"/>
    <b v="1"/>
  </r>
  <r>
    <n v="1666754"/>
    <s v="123-002-120-002"/>
    <x v="13"/>
    <x v="7"/>
    <d v="2022-11-04T00:00:00"/>
    <s v="Betty Rodriguez"/>
    <d v="2022-11-19T00:00:00"/>
    <d v="2022-12-10T00:00:00"/>
    <s v="new to org"/>
    <x v="1"/>
    <x v="1"/>
    <x v="0"/>
    <b v="0"/>
    <x v="0"/>
    <x v="0"/>
    <b v="1"/>
  </r>
  <r>
    <n v="1666754"/>
    <s v="123-002-120-003"/>
    <x v="13"/>
    <x v="7"/>
    <d v="2022-04-13T00:00:00"/>
    <s v="James Robinson"/>
    <d v="2022-04-16T00:00:00"/>
    <d v="2022-05-21T00:00:00"/>
    <s v="transfer"/>
    <x v="1"/>
    <x v="1"/>
    <x v="0"/>
    <b v="0"/>
    <x v="1"/>
    <x v="0"/>
    <b v="0"/>
  </r>
  <r>
    <n v="1666754"/>
    <s v="123-002-120-004"/>
    <x v="13"/>
    <x v="7"/>
    <d v="2022-12-24T00:00:00"/>
    <s v="Thomas Rodriguez"/>
    <d v="2023-01-22T00:00:00"/>
    <m/>
    <s v="rescinded"/>
    <x v="0"/>
    <x v="1"/>
    <x v="1"/>
    <b v="0"/>
    <x v="0"/>
    <x v="0"/>
    <b v="0"/>
  </r>
  <r>
    <n v="2154126"/>
    <s v="123-004-129-001"/>
    <x v="14"/>
    <x v="1"/>
    <d v="2022-11-06T00:00:00"/>
    <s v="Mark Turner"/>
    <d v="2022-11-26T00:00:00"/>
    <m/>
    <s v="declined"/>
    <x v="0"/>
    <x v="0"/>
    <x v="0"/>
    <b v="0"/>
    <x v="0"/>
    <x v="0"/>
    <b v="0"/>
  </r>
  <r>
    <n v="2154126"/>
    <s v="123-004-129-002"/>
    <x v="14"/>
    <x v="1"/>
    <d v="2022-11-03T00:00:00"/>
    <s v="Kevin Evans"/>
    <d v="2022-12-03T00:00:00"/>
    <d v="2023-01-15T00:00:00"/>
    <s v="transfer"/>
    <x v="1"/>
    <x v="1"/>
    <x v="0"/>
    <b v="0"/>
    <x v="1"/>
    <x v="0"/>
    <b v="0"/>
  </r>
  <r>
    <n v="2154126"/>
    <s v="123-004-129-003"/>
    <x v="14"/>
    <x v="1"/>
    <d v="2022-09-28T00:00:00"/>
    <s v="Olivia Rodriguez"/>
    <d v="2022-10-02T00:00:00"/>
    <m/>
    <s v="declined"/>
    <x v="0"/>
    <x v="0"/>
    <x v="0"/>
    <b v="0"/>
    <x v="0"/>
    <x v="0"/>
    <b v="0"/>
  </r>
  <r>
    <n v="2795765"/>
    <s v="123-009-124-001"/>
    <x v="15"/>
    <x v="8"/>
    <d v="2022-12-18T00:00:00"/>
    <s v="Joshua Wilson"/>
    <d v="2022-12-25T00:00:00"/>
    <m/>
    <s v="declined"/>
    <x v="0"/>
    <x v="0"/>
    <x v="0"/>
    <b v="0"/>
    <x v="0"/>
    <x v="0"/>
    <b v="0"/>
  </r>
  <r>
    <n v="2795765"/>
    <s v="123-009-124-002"/>
    <x v="15"/>
    <x v="8"/>
    <d v="2022-09-15T00:00:00"/>
    <s v="Steven Young"/>
    <d v="2022-10-14T00:00:00"/>
    <d v="2022-12-12T00:00:00"/>
    <s v="new to org"/>
    <x v="1"/>
    <x v="1"/>
    <x v="0"/>
    <b v="0"/>
    <x v="0"/>
    <x v="0"/>
    <b v="1"/>
  </r>
  <r>
    <n v="1852264"/>
    <s v="123-007-103-001"/>
    <x v="8"/>
    <x v="4"/>
    <d v="2022-06-02T00:00:00"/>
    <s v="Brian Edwards"/>
    <d v="2022-06-20T00:00:00"/>
    <m/>
    <s v="declined"/>
    <x v="0"/>
    <x v="0"/>
    <x v="0"/>
    <b v="0"/>
    <x v="0"/>
    <x v="0"/>
    <b v="0"/>
  </r>
  <r>
    <n v="1852264"/>
    <s v="123-007-103-002"/>
    <x v="8"/>
    <x v="4"/>
    <d v="2022-09-26T00:00:00"/>
    <s v="William Green"/>
    <d v="2022-10-02T00:00:00"/>
    <m/>
    <s v="rescinded"/>
    <x v="0"/>
    <x v="1"/>
    <x v="1"/>
    <b v="0"/>
    <x v="0"/>
    <x v="0"/>
    <b v="0"/>
  </r>
  <r>
    <n v="1852264"/>
    <s v="123-007-103-003"/>
    <x v="8"/>
    <x v="4"/>
    <d v="2022-04-25T00:00:00"/>
    <s v="Emily Smith"/>
    <d v="2022-04-28T00:00:00"/>
    <d v="2022-06-24T00:00:00"/>
    <m/>
    <x v="1"/>
    <x v="1"/>
    <x v="0"/>
    <b v="0"/>
    <x v="0"/>
    <x v="0"/>
    <b v="0"/>
  </r>
  <r>
    <n v="1604451"/>
    <s v="123-006-127-001"/>
    <x v="16"/>
    <x v="2"/>
    <d v="2022-11-12T00:00:00"/>
    <s v="William Williams"/>
    <d v="2022-11-24T00:00:00"/>
    <d v="2023-01-21T00:00:00"/>
    <m/>
    <x v="1"/>
    <x v="1"/>
    <x v="0"/>
    <b v="0"/>
    <x v="0"/>
    <x v="0"/>
    <b v="0"/>
  </r>
  <r>
    <n v="1604451"/>
    <s v="123-006-127-002"/>
    <x v="16"/>
    <x v="2"/>
    <d v="2022-08-04T00:00:00"/>
    <s v="Lucas Thompson"/>
    <d v="2022-08-26T00:00:00"/>
    <d v="2022-09-11T00:00:00"/>
    <s v="transfer"/>
    <x v="1"/>
    <x v="1"/>
    <x v="0"/>
    <b v="0"/>
    <x v="1"/>
    <x v="0"/>
    <b v="0"/>
  </r>
  <r>
    <n v="1604451"/>
    <s v="123-006-127-003"/>
    <x v="16"/>
    <x v="2"/>
    <d v="2023-02-21T00:00:00"/>
    <s v="Deborah Scott"/>
    <d v="2023-03-13T00:00:00"/>
    <d v="2023-04-30T00:00:00"/>
    <s v="new to org"/>
    <x v="1"/>
    <x v="1"/>
    <x v="0"/>
    <b v="0"/>
    <x v="0"/>
    <x v="0"/>
    <b v="1"/>
  </r>
  <r>
    <n v="1604451"/>
    <s v="123-006-127-004"/>
    <x v="16"/>
    <x v="2"/>
    <d v="2022-06-16T00:00:00"/>
    <s v="Jackson Thomas"/>
    <d v="2022-07-12T00:00:00"/>
    <m/>
    <s v="declined"/>
    <x v="0"/>
    <x v="0"/>
    <x v="0"/>
    <b v="0"/>
    <x v="0"/>
    <x v="0"/>
    <b v="0"/>
  </r>
  <r>
    <n v="1604451"/>
    <s v="123-006-127-005"/>
    <x v="16"/>
    <x v="2"/>
    <d v="2022-12-07T00:00:00"/>
    <s v="Mary Lopez"/>
    <d v="2023-01-02T00:00:00"/>
    <d v="2023-03-03T00:00:00"/>
    <m/>
    <x v="1"/>
    <x v="1"/>
    <x v="0"/>
    <b v="0"/>
    <x v="0"/>
    <x v="0"/>
    <b v="0"/>
  </r>
  <r>
    <n v="7907400"/>
    <s v="123-004-126-001"/>
    <x v="5"/>
    <x v="1"/>
    <d v="2023-01-27T00:00:00"/>
    <s v="Brian Miller"/>
    <d v="2023-02-24T00:00:00"/>
    <m/>
    <s v="declined"/>
    <x v="0"/>
    <x v="0"/>
    <x v="0"/>
    <b v="0"/>
    <x v="0"/>
    <x v="0"/>
    <b v="0"/>
  </r>
  <r>
    <n v="7907400"/>
    <s v="123-004-126-002"/>
    <x v="5"/>
    <x v="1"/>
    <d v="2022-08-22T00:00:00"/>
    <s v="Isabella Gomez"/>
    <d v="2022-08-30T00:00:00"/>
    <m/>
    <s v="declined"/>
    <x v="0"/>
    <x v="0"/>
    <x v="0"/>
    <b v="0"/>
    <x v="0"/>
    <x v="0"/>
    <b v="0"/>
  </r>
  <r>
    <n v="7907400"/>
    <s v="123-004-126-003"/>
    <x v="5"/>
    <x v="1"/>
    <d v="2023-04-17T00:00:00"/>
    <s v="Isabella Collins"/>
    <d v="2023-04-29T00:00:00"/>
    <d v="2023-05-19T00:00:00"/>
    <s v="promo"/>
    <x v="1"/>
    <x v="1"/>
    <x v="0"/>
    <b v="0"/>
    <x v="0"/>
    <x v="1"/>
    <b v="0"/>
  </r>
  <r>
    <n v="1397023"/>
    <s v="123-004-122-001"/>
    <x v="17"/>
    <x v="1"/>
    <d v="2022-10-13T00:00:00"/>
    <s v="Logan Jones"/>
    <d v="2022-10-25T00:00:00"/>
    <m/>
    <s v="rescinded"/>
    <x v="0"/>
    <x v="1"/>
    <x v="1"/>
    <b v="0"/>
    <x v="0"/>
    <x v="0"/>
    <b v="0"/>
  </r>
  <r>
    <n v="1397023"/>
    <s v="123-004-122-002"/>
    <x v="17"/>
    <x v="1"/>
    <d v="2022-12-06T00:00:00"/>
    <s v="Amanda Turner"/>
    <d v="2022-12-07T00:00:00"/>
    <d v="2022-12-15T00:00:00"/>
    <m/>
    <x v="1"/>
    <x v="1"/>
    <x v="0"/>
    <b v="0"/>
    <x v="0"/>
    <x v="0"/>
    <b v="0"/>
  </r>
  <r>
    <n v="1397023"/>
    <s v="123-004-122-003"/>
    <x v="17"/>
    <x v="1"/>
    <d v="2022-09-29T00:00:00"/>
    <s v="Barbara Nguyen"/>
    <d v="2022-10-01T00:00:00"/>
    <d v="2022-10-08T00:00:00"/>
    <s v="new to org"/>
    <x v="1"/>
    <x v="1"/>
    <x v="0"/>
    <b v="0"/>
    <x v="0"/>
    <x v="0"/>
    <b v="1"/>
  </r>
  <r>
    <n v="1397023"/>
    <s v="123-004-122-004"/>
    <x v="17"/>
    <x v="1"/>
    <d v="2022-11-18T00:00:00"/>
    <s v="George Gomez"/>
    <d v="2022-12-02T00:00:00"/>
    <d v="2023-01-10T00:00:00"/>
    <s v="new to org"/>
    <x v="1"/>
    <x v="1"/>
    <x v="0"/>
    <b v="0"/>
    <x v="0"/>
    <x v="0"/>
    <b v="1"/>
  </r>
  <r>
    <n v="9580255"/>
    <s v="123-007-104-001"/>
    <x v="18"/>
    <x v="4"/>
    <d v="2023-03-23T00:00:00"/>
    <s v="Robert Rivera"/>
    <d v="2023-03-24T00:00:00"/>
    <m/>
    <s v="declined"/>
    <x v="0"/>
    <x v="0"/>
    <x v="0"/>
    <b v="0"/>
    <x v="0"/>
    <x v="0"/>
    <b v="0"/>
  </r>
  <r>
    <n v="9580255"/>
    <s v="123-007-104-002"/>
    <x v="18"/>
    <x v="4"/>
    <d v="2022-03-13T00:00:00"/>
    <s v="Lisa Ramirez"/>
    <d v="2022-04-04T00:00:00"/>
    <d v="2022-06-02T00:00:00"/>
    <s v="promo"/>
    <x v="1"/>
    <x v="1"/>
    <x v="0"/>
    <b v="0"/>
    <x v="0"/>
    <x v="1"/>
    <b v="0"/>
  </r>
  <r>
    <n v="9580255"/>
    <s v="123-007-104-003"/>
    <x v="18"/>
    <x v="4"/>
    <d v="2022-05-08T00:00:00"/>
    <s v="Kevin Diaz"/>
    <d v="2022-06-01T00:00:00"/>
    <d v="2022-07-29T00:00:00"/>
    <s v="new to org"/>
    <x v="1"/>
    <x v="1"/>
    <x v="0"/>
    <b v="0"/>
    <x v="0"/>
    <x v="0"/>
    <b v="1"/>
  </r>
  <r>
    <n v="9580255"/>
    <s v="123-007-104-004"/>
    <x v="18"/>
    <x v="4"/>
    <d v="2022-12-01T00:00:00"/>
    <s v="Kevin Clark"/>
    <d v="2022-12-14T00:00:00"/>
    <d v="2023-01-28T00:00:00"/>
    <s v="new to org"/>
    <x v="1"/>
    <x v="1"/>
    <x v="0"/>
    <b v="0"/>
    <x v="0"/>
    <x v="0"/>
    <b v="1"/>
  </r>
  <r>
    <n v="9580255"/>
    <s v="123-007-104-005"/>
    <x v="18"/>
    <x v="4"/>
    <d v="2023-03-07T00:00:00"/>
    <s v="William Gonzalez"/>
    <d v="2023-03-29T00:00:00"/>
    <m/>
    <s v="rescinded"/>
    <x v="0"/>
    <x v="1"/>
    <x v="1"/>
    <b v="0"/>
    <x v="0"/>
    <x v="0"/>
    <b v="0"/>
  </r>
  <r>
    <n v="7361002"/>
    <s v="123-003-122-001"/>
    <x v="17"/>
    <x v="9"/>
    <d v="2022-01-01T00:00:00"/>
    <s v="Emily Turner"/>
    <d v="2022-01-11T00:00:00"/>
    <d v="2022-01-30T00:00:00"/>
    <m/>
    <x v="1"/>
    <x v="1"/>
    <x v="0"/>
    <b v="0"/>
    <x v="0"/>
    <x v="0"/>
    <b v="0"/>
  </r>
  <r>
    <n v="7361002"/>
    <s v="123-003-122-002"/>
    <x v="17"/>
    <x v="9"/>
    <d v="2022-11-26T00:00:00"/>
    <s v="Sophia Nguyen"/>
    <d v="2022-12-11T00:00:00"/>
    <m/>
    <s v="rescinded"/>
    <x v="0"/>
    <x v="1"/>
    <x v="1"/>
    <b v="0"/>
    <x v="0"/>
    <x v="0"/>
    <b v="0"/>
  </r>
  <r>
    <n v="7361002"/>
    <s v="123-003-122-003"/>
    <x v="17"/>
    <x v="9"/>
    <d v="2022-06-23T00:00:00"/>
    <s v="Steven Walker"/>
    <d v="2022-07-15T00:00:00"/>
    <d v="2022-07-21T00:00:00"/>
    <s v="promo"/>
    <x v="1"/>
    <x v="1"/>
    <x v="0"/>
    <b v="0"/>
    <x v="0"/>
    <x v="1"/>
    <b v="0"/>
  </r>
  <r>
    <n v="7361002"/>
    <s v="123-003-122-004"/>
    <x v="17"/>
    <x v="9"/>
    <d v="2022-12-10T00:00:00"/>
    <s v="Kevin Green"/>
    <d v="2022-12-13T00:00:00"/>
    <m/>
    <s v="rescinded"/>
    <x v="0"/>
    <x v="1"/>
    <x v="1"/>
    <b v="0"/>
    <x v="0"/>
    <x v="0"/>
    <b v="0"/>
  </r>
  <r>
    <n v="7361002"/>
    <s v="123-003-122-005"/>
    <x v="17"/>
    <x v="9"/>
    <d v="2022-08-19T00:00:00"/>
    <s v="Amanda Martin"/>
    <d v="2022-09-14T00:00:00"/>
    <d v="2022-09-27T00:00:00"/>
    <s v="promo"/>
    <x v="1"/>
    <x v="1"/>
    <x v="0"/>
    <b v="0"/>
    <x v="0"/>
    <x v="1"/>
    <b v="0"/>
  </r>
  <r>
    <n v="3472189"/>
    <s v="123-001-101-001"/>
    <x v="0"/>
    <x v="3"/>
    <d v="2022-07-19T00:00:00"/>
    <s v="Sandra Clark"/>
    <d v="2022-08-11T00:00:00"/>
    <d v="2022-09-25T00:00:00"/>
    <s v="transfer"/>
    <x v="1"/>
    <x v="1"/>
    <x v="0"/>
    <b v="0"/>
    <x v="1"/>
    <x v="0"/>
    <b v="0"/>
  </r>
  <r>
    <n v="3472189"/>
    <s v="123-001-101-002"/>
    <x v="0"/>
    <x v="3"/>
    <d v="2022-01-06T00:00:00"/>
    <s v="Jessica Martinez"/>
    <d v="2022-02-04T00:00:00"/>
    <d v="2022-03-25T00:00:00"/>
    <m/>
    <x v="1"/>
    <x v="1"/>
    <x v="0"/>
    <b v="0"/>
    <x v="0"/>
    <x v="0"/>
    <b v="0"/>
  </r>
  <r>
    <n v="2788238"/>
    <s v="123-007-125-001"/>
    <x v="3"/>
    <x v="4"/>
    <d v="2023-04-21T00:00:00"/>
    <s v="Brian King"/>
    <d v="2023-04-23T00:00:00"/>
    <m/>
    <s v="declined"/>
    <x v="0"/>
    <x v="0"/>
    <x v="0"/>
    <b v="0"/>
    <x v="0"/>
    <x v="0"/>
    <b v="0"/>
  </r>
  <r>
    <n v="2788238"/>
    <s v="123-007-125-002"/>
    <x v="3"/>
    <x v="4"/>
    <d v="2023-04-21T00:00:00"/>
    <s v="Sandra Rodriguez"/>
    <d v="2023-05-13T00:00:00"/>
    <d v="2023-06-16T00:00:00"/>
    <s v="transfer"/>
    <x v="1"/>
    <x v="1"/>
    <x v="0"/>
    <b v="0"/>
    <x v="1"/>
    <x v="0"/>
    <b v="0"/>
  </r>
  <r>
    <n v="6323376"/>
    <s v="123-008-125-001"/>
    <x v="3"/>
    <x v="5"/>
    <d v="2023-04-02T00:00:00"/>
    <s v="Mason Collins"/>
    <d v="2023-05-01T00:00:00"/>
    <d v="2023-05-12T00:00:00"/>
    <m/>
    <x v="1"/>
    <x v="1"/>
    <x v="0"/>
    <b v="0"/>
    <x v="0"/>
    <x v="0"/>
    <b v="0"/>
  </r>
  <r>
    <n v="6323376"/>
    <s v="123-008-125-002"/>
    <x v="3"/>
    <x v="5"/>
    <d v="2022-09-11T00:00:00"/>
    <s v="Mark Taylor"/>
    <d v="2022-10-08T00:00:00"/>
    <d v="2022-11-18T00:00:00"/>
    <m/>
    <x v="1"/>
    <x v="1"/>
    <x v="0"/>
    <b v="0"/>
    <x v="0"/>
    <x v="0"/>
    <b v="0"/>
  </r>
  <r>
    <n v="6323376"/>
    <s v="123-008-125-003"/>
    <x v="3"/>
    <x v="5"/>
    <d v="2023-05-12T00:00:00"/>
    <s v="Deborah King"/>
    <d v="2023-06-02T00:00:00"/>
    <m/>
    <s v="rescinded"/>
    <x v="0"/>
    <x v="1"/>
    <x v="1"/>
    <b v="0"/>
    <x v="0"/>
    <x v="0"/>
    <b v="0"/>
  </r>
  <r>
    <n v="6323376"/>
    <s v="123-008-125-004"/>
    <x v="3"/>
    <x v="5"/>
    <d v="2022-10-20T00:00:00"/>
    <s v="Mark Jones"/>
    <d v="2022-10-28T00:00:00"/>
    <m/>
    <s v="rescinded"/>
    <x v="0"/>
    <x v="1"/>
    <x v="1"/>
    <b v="0"/>
    <x v="0"/>
    <x v="0"/>
    <b v="0"/>
  </r>
  <r>
    <n v="6323376"/>
    <s v="123-008-125-005"/>
    <x v="3"/>
    <x v="5"/>
    <d v="2022-03-24T00:00:00"/>
    <s v="Christopher Edwards"/>
    <d v="2022-03-29T00:00:00"/>
    <m/>
    <s v="rescinded"/>
    <x v="0"/>
    <x v="1"/>
    <x v="1"/>
    <b v="0"/>
    <x v="0"/>
    <x v="0"/>
    <b v="0"/>
  </r>
  <r>
    <n v="3530518"/>
    <s v="123-007-108-001"/>
    <x v="11"/>
    <x v="4"/>
    <d v="2022-12-05T00:00:00"/>
    <s v="Anthony Clark"/>
    <d v="2022-12-23T00:00:00"/>
    <d v="2023-01-22T00:00:00"/>
    <s v="transfer"/>
    <x v="1"/>
    <x v="1"/>
    <x v="0"/>
    <b v="0"/>
    <x v="1"/>
    <x v="0"/>
    <b v="0"/>
  </r>
  <r>
    <n v="3530518"/>
    <s v="123-007-108-002"/>
    <x v="11"/>
    <x v="4"/>
    <d v="2023-02-03T00:00:00"/>
    <s v="Mason Clark"/>
    <d v="2023-03-04T00:00:00"/>
    <d v="2023-04-23T00:00:00"/>
    <s v="promo"/>
    <x v="1"/>
    <x v="1"/>
    <x v="0"/>
    <b v="0"/>
    <x v="0"/>
    <x v="1"/>
    <b v="0"/>
  </r>
  <r>
    <n v="1327691"/>
    <s v="123-010-128-001"/>
    <x v="10"/>
    <x v="6"/>
    <d v="2023-02-04T00:00:00"/>
    <s v="Karen Carter"/>
    <d v="2023-03-04T00:00:00"/>
    <d v="2023-05-01T00:00:00"/>
    <s v="new to org"/>
    <x v="1"/>
    <x v="1"/>
    <x v="0"/>
    <b v="0"/>
    <x v="0"/>
    <x v="0"/>
    <b v="1"/>
  </r>
  <r>
    <n v="1327691"/>
    <s v="123-010-128-002"/>
    <x v="10"/>
    <x v="6"/>
    <d v="2022-08-14T00:00:00"/>
    <s v="Paul Mitchell"/>
    <d v="2022-08-30T00:00:00"/>
    <d v="2022-09-14T00:00:00"/>
    <m/>
    <x v="1"/>
    <x v="1"/>
    <x v="0"/>
    <b v="0"/>
    <x v="0"/>
    <x v="0"/>
    <b v="0"/>
  </r>
  <r>
    <n v="1327691"/>
    <s v="123-010-128-003"/>
    <x v="10"/>
    <x v="6"/>
    <d v="2023-02-03T00:00:00"/>
    <s v="Ashley Johnson"/>
    <d v="2023-02-14T00:00:00"/>
    <m/>
    <s v="rescinded"/>
    <x v="0"/>
    <x v="1"/>
    <x v="1"/>
    <b v="0"/>
    <x v="0"/>
    <x v="0"/>
    <b v="0"/>
  </r>
  <r>
    <n v="1327691"/>
    <s v="123-010-128-004"/>
    <x v="10"/>
    <x v="6"/>
    <d v="2023-04-24T00:00:00"/>
    <s v="George Hernandez"/>
    <d v="2023-05-24T00:00:00"/>
    <d v="2023-06-02T00:00:00"/>
    <m/>
    <x v="1"/>
    <x v="1"/>
    <x v="0"/>
    <b v="0"/>
    <x v="0"/>
    <x v="0"/>
    <b v="0"/>
  </r>
  <r>
    <n v="9961107"/>
    <s v="123-007-101-001"/>
    <x v="0"/>
    <x v="4"/>
    <d v="2023-03-15T00:00:00"/>
    <s v="Jennifer Adams"/>
    <d v="2023-03-20T00:00:00"/>
    <d v="2023-05-15T00:00:00"/>
    <s v="transfer"/>
    <x v="1"/>
    <x v="1"/>
    <x v="0"/>
    <b v="0"/>
    <x v="1"/>
    <x v="0"/>
    <b v="0"/>
  </r>
  <r>
    <n v="9961107"/>
    <s v="123-007-101-002"/>
    <x v="0"/>
    <x v="4"/>
    <d v="2022-12-02T00:00:00"/>
    <s v="Thomas Harris"/>
    <d v="2022-12-09T00:00:00"/>
    <d v="2023-01-08T00:00:00"/>
    <s v="transfer"/>
    <x v="1"/>
    <x v="1"/>
    <x v="0"/>
    <b v="0"/>
    <x v="1"/>
    <x v="0"/>
    <b v="0"/>
  </r>
  <r>
    <n v="9961107"/>
    <s v="123-007-101-003"/>
    <x v="0"/>
    <x v="4"/>
    <d v="2023-03-08T00:00:00"/>
    <s v="Sarah Carter"/>
    <d v="2023-03-17T00:00:00"/>
    <d v="2023-05-10T00:00:00"/>
    <m/>
    <x v="1"/>
    <x v="1"/>
    <x v="0"/>
    <b v="0"/>
    <x v="0"/>
    <x v="0"/>
    <b v="0"/>
  </r>
  <r>
    <n v="9961107"/>
    <s v="123-007-101-004"/>
    <x v="0"/>
    <x v="4"/>
    <d v="2022-02-23T00:00:00"/>
    <s v="Mary Mitchell"/>
    <d v="2022-03-07T00:00:00"/>
    <m/>
    <s v="declined"/>
    <x v="0"/>
    <x v="0"/>
    <x v="0"/>
    <b v="0"/>
    <x v="0"/>
    <x v="0"/>
    <b v="0"/>
  </r>
  <r>
    <n v="9961107"/>
    <s v="123-007-101-005"/>
    <x v="0"/>
    <x v="4"/>
    <d v="2022-02-11T00:00:00"/>
    <s v="John Roberts"/>
    <d v="2022-03-08T00:00:00"/>
    <m/>
    <s v="rescinded"/>
    <x v="0"/>
    <x v="1"/>
    <x v="1"/>
    <b v="0"/>
    <x v="0"/>
    <x v="0"/>
    <b v="0"/>
  </r>
  <r>
    <n v="1520596"/>
    <s v="123-004-108-001"/>
    <x v="11"/>
    <x v="1"/>
    <d v="2022-04-28T00:00:00"/>
    <s v="William Walker"/>
    <d v="2022-05-17T00:00:00"/>
    <d v="2022-05-31T00:00:00"/>
    <s v="promo"/>
    <x v="1"/>
    <x v="1"/>
    <x v="0"/>
    <b v="0"/>
    <x v="0"/>
    <x v="1"/>
    <b v="0"/>
  </r>
  <r>
    <n v="8801975"/>
    <s v="123-005-123-001"/>
    <x v="19"/>
    <x v="0"/>
    <d v="2022-04-28T00:00:00"/>
    <s v="Joshua Mitchell"/>
    <d v="2022-05-23T00:00:00"/>
    <m/>
    <s v="declined"/>
    <x v="0"/>
    <x v="0"/>
    <x v="0"/>
    <b v="0"/>
    <x v="0"/>
    <x v="0"/>
    <b v="0"/>
  </r>
  <r>
    <n v="8801975"/>
    <s v="123-005-123-002"/>
    <x v="19"/>
    <x v="0"/>
    <d v="2022-01-27T00:00:00"/>
    <s v="Michael Nguyen"/>
    <d v="2022-02-26T00:00:00"/>
    <d v="2022-03-18T00:00:00"/>
    <s v="new to org"/>
    <x v="1"/>
    <x v="1"/>
    <x v="0"/>
    <b v="0"/>
    <x v="0"/>
    <x v="0"/>
    <b v="1"/>
  </r>
  <r>
    <n v="8801975"/>
    <s v="123-005-123-003"/>
    <x v="19"/>
    <x v="0"/>
    <d v="2022-07-23T00:00:00"/>
    <s v="Betty Rivera"/>
    <d v="2022-07-26T00:00:00"/>
    <d v="2022-09-02T00:00:00"/>
    <m/>
    <x v="1"/>
    <x v="1"/>
    <x v="0"/>
    <b v="0"/>
    <x v="0"/>
    <x v="0"/>
    <b v="0"/>
  </r>
  <r>
    <n v="5074336"/>
    <s v="123-005-104-001"/>
    <x v="18"/>
    <x v="0"/>
    <d v="2023-03-15T00:00:00"/>
    <s v="Daniel Wright"/>
    <d v="2023-04-06T00:00:00"/>
    <d v="2023-04-30T00:00:00"/>
    <s v="transfer"/>
    <x v="1"/>
    <x v="1"/>
    <x v="0"/>
    <b v="0"/>
    <x v="1"/>
    <x v="0"/>
    <b v="0"/>
  </r>
  <r>
    <n v="5074336"/>
    <s v="123-005-104-002"/>
    <x v="18"/>
    <x v="0"/>
    <d v="2022-01-13T00:00:00"/>
    <s v="Carol Perez"/>
    <d v="2022-02-10T00:00:00"/>
    <m/>
    <s v="declined"/>
    <x v="0"/>
    <x v="0"/>
    <x v="0"/>
    <b v="0"/>
    <x v="0"/>
    <x v="0"/>
    <b v="0"/>
  </r>
  <r>
    <n v="5074336"/>
    <s v="123-005-104-003"/>
    <x v="18"/>
    <x v="0"/>
    <d v="2023-01-06T00:00:00"/>
    <s v="Michael Ramirez"/>
    <d v="2023-01-27T00:00:00"/>
    <d v="2023-03-26T00:00:00"/>
    <m/>
    <x v="1"/>
    <x v="1"/>
    <x v="0"/>
    <b v="0"/>
    <x v="0"/>
    <x v="0"/>
    <b v="0"/>
  </r>
  <r>
    <n v="5074336"/>
    <s v="123-005-104-004"/>
    <x v="18"/>
    <x v="0"/>
    <d v="2023-06-19T00:00:00"/>
    <s v="Margaret Lopez"/>
    <d v="2023-07-10T00:00:00"/>
    <d v="2023-07-28T00:00:00"/>
    <s v="promo"/>
    <x v="1"/>
    <x v="1"/>
    <x v="0"/>
    <b v="0"/>
    <x v="0"/>
    <x v="1"/>
    <b v="0"/>
  </r>
  <r>
    <n v="5074336"/>
    <s v="123-005-104-005"/>
    <x v="18"/>
    <x v="0"/>
    <d v="2022-10-02T00:00:00"/>
    <s v="Sandra Ramirez"/>
    <d v="2022-10-13T00:00:00"/>
    <d v="2022-12-07T00:00:00"/>
    <m/>
    <x v="1"/>
    <x v="1"/>
    <x v="0"/>
    <b v="0"/>
    <x v="0"/>
    <x v="0"/>
    <b v="0"/>
  </r>
  <r>
    <n v="5118725"/>
    <s v="123-002-127-001"/>
    <x v="16"/>
    <x v="7"/>
    <d v="2023-01-24T00:00:00"/>
    <s v="Edward Robinson"/>
    <d v="2023-02-04T00:00:00"/>
    <d v="2023-02-06T00:00:00"/>
    <s v="promo"/>
    <x v="1"/>
    <x v="1"/>
    <x v="0"/>
    <b v="0"/>
    <x v="0"/>
    <x v="1"/>
    <b v="0"/>
  </r>
  <r>
    <n v="5118725"/>
    <s v="123-002-127-002"/>
    <x v="16"/>
    <x v="7"/>
    <d v="2022-08-06T00:00:00"/>
    <s v="Barbara Young"/>
    <d v="2022-08-18T00:00:00"/>
    <d v="2022-10-09T00:00:00"/>
    <s v="new to org"/>
    <x v="1"/>
    <x v="1"/>
    <x v="0"/>
    <b v="0"/>
    <x v="0"/>
    <x v="0"/>
    <b v="1"/>
  </r>
  <r>
    <n v="5118725"/>
    <s v="123-002-127-003"/>
    <x v="16"/>
    <x v="7"/>
    <d v="2022-10-10T00:00:00"/>
    <s v="Sarah Cruz"/>
    <d v="2022-10-28T00:00:00"/>
    <m/>
    <s v="rescinded"/>
    <x v="0"/>
    <x v="1"/>
    <x v="1"/>
    <b v="0"/>
    <x v="0"/>
    <x v="0"/>
    <b v="0"/>
  </r>
  <r>
    <n v="1170307"/>
    <s v="123-004-117-001"/>
    <x v="9"/>
    <x v="1"/>
    <d v="2022-09-04T00:00:00"/>
    <s v="Anthony Young"/>
    <d v="2022-09-27T00:00:00"/>
    <m/>
    <s v="declined"/>
    <x v="0"/>
    <x v="0"/>
    <x v="0"/>
    <b v="0"/>
    <x v="0"/>
    <x v="0"/>
    <b v="0"/>
  </r>
  <r>
    <n v="8987516"/>
    <s v="123-008-121-001"/>
    <x v="20"/>
    <x v="5"/>
    <d v="2023-02-19T00:00:00"/>
    <s v="Charles Anderson"/>
    <d v="2023-03-14T00:00:00"/>
    <d v="2023-03-30T00:00:00"/>
    <s v="transfer"/>
    <x v="1"/>
    <x v="1"/>
    <x v="0"/>
    <b v="0"/>
    <x v="1"/>
    <x v="0"/>
    <b v="0"/>
  </r>
  <r>
    <n v="8987516"/>
    <s v="123-008-121-002"/>
    <x v="20"/>
    <x v="5"/>
    <d v="2023-06-28T00:00:00"/>
    <s v="Donald Scott"/>
    <d v="2023-07-10T00:00:00"/>
    <d v="2023-08-07T00:00:00"/>
    <s v="new to org"/>
    <x v="1"/>
    <x v="1"/>
    <x v="0"/>
    <b v="0"/>
    <x v="0"/>
    <x v="0"/>
    <b v="1"/>
  </r>
  <r>
    <n v="8987516"/>
    <s v="123-008-121-003"/>
    <x v="20"/>
    <x v="5"/>
    <d v="2023-04-10T00:00:00"/>
    <s v="Daniel Hall"/>
    <d v="2023-04-19T00:00:00"/>
    <d v="2023-05-09T00:00:00"/>
    <s v="new to org"/>
    <x v="1"/>
    <x v="1"/>
    <x v="0"/>
    <b v="0"/>
    <x v="0"/>
    <x v="0"/>
    <b v="1"/>
  </r>
  <r>
    <n v="8987516"/>
    <s v="123-008-121-004"/>
    <x v="20"/>
    <x v="5"/>
    <d v="2022-07-17T00:00:00"/>
    <s v="Linda Campbell"/>
    <d v="2022-07-28T00:00:00"/>
    <m/>
    <s v="rescinded"/>
    <x v="0"/>
    <x v="1"/>
    <x v="1"/>
    <b v="0"/>
    <x v="0"/>
    <x v="0"/>
    <b v="0"/>
  </r>
  <r>
    <n v="3005795"/>
    <s v="123-009-124-003"/>
    <x v="15"/>
    <x v="8"/>
    <d v="2022-10-11T00:00:00"/>
    <s v="Melissa Walker"/>
    <d v="2022-11-04T00:00:00"/>
    <m/>
    <s v="declined"/>
    <x v="0"/>
    <x v="0"/>
    <x v="0"/>
    <b v="0"/>
    <x v="0"/>
    <x v="0"/>
    <b v="0"/>
  </r>
  <r>
    <n v="3005795"/>
    <s v="123-009-124-004"/>
    <x v="15"/>
    <x v="8"/>
    <d v="2022-07-18T00:00:00"/>
    <s v="Michael Turner"/>
    <d v="2022-07-28T00:00:00"/>
    <d v="2022-08-12T00:00:00"/>
    <s v="new to org"/>
    <x v="1"/>
    <x v="1"/>
    <x v="0"/>
    <b v="0"/>
    <x v="0"/>
    <x v="0"/>
    <b v="1"/>
  </r>
  <r>
    <n v="7054579"/>
    <s v="123-005-106-005"/>
    <x v="4"/>
    <x v="0"/>
    <d v="2022-02-25T00:00:00"/>
    <s v="Sarah Williams"/>
    <d v="2022-03-15T00:00:00"/>
    <d v="2022-04-03T00:00:00"/>
    <s v="promo"/>
    <x v="1"/>
    <x v="1"/>
    <x v="0"/>
    <b v="0"/>
    <x v="0"/>
    <x v="1"/>
    <b v="0"/>
  </r>
  <r>
    <n v="3118618"/>
    <s v="123-008-121-005"/>
    <x v="20"/>
    <x v="5"/>
    <d v="2023-03-28T00:00:00"/>
    <s v="Donald Walker"/>
    <d v="2023-04-08T00:00:00"/>
    <d v="2023-04-20T00:00:00"/>
    <s v="new to org"/>
    <x v="1"/>
    <x v="1"/>
    <x v="0"/>
    <b v="0"/>
    <x v="0"/>
    <x v="0"/>
    <b v="1"/>
  </r>
  <r>
    <n v="1861958"/>
    <s v="123-008-109-001"/>
    <x v="21"/>
    <x v="5"/>
    <d v="2022-02-24T00:00:00"/>
    <s v="Ashley Jones"/>
    <d v="2022-03-01T00:00:00"/>
    <d v="2022-03-11T00:00:00"/>
    <m/>
    <x v="1"/>
    <x v="1"/>
    <x v="0"/>
    <b v="0"/>
    <x v="0"/>
    <x v="0"/>
    <b v="0"/>
  </r>
  <r>
    <n v="6097514"/>
    <s v="123-004-103-001"/>
    <x v="8"/>
    <x v="1"/>
    <d v="2022-08-20T00:00:00"/>
    <s v="Joshua Hill"/>
    <d v="2022-09-14T00:00:00"/>
    <d v="2022-10-18T00:00:00"/>
    <m/>
    <x v="1"/>
    <x v="1"/>
    <x v="0"/>
    <b v="0"/>
    <x v="0"/>
    <x v="0"/>
    <b v="0"/>
  </r>
  <r>
    <n v="7381684"/>
    <s v="123-008-115-001"/>
    <x v="22"/>
    <x v="5"/>
    <d v="2022-03-03T00:00:00"/>
    <s v="Karen Torres"/>
    <d v="2022-03-23T00:00:00"/>
    <d v="2022-05-10T00:00:00"/>
    <m/>
    <x v="1"/>
    <x v="1"/>
    <x v="0"/>
    <b v="0"/>
    <x v="0"/>
    <x v="0"/>
    <b v="0"/>
  </r>
  <r>
    <n v="7381684"/>
    <s v="123-008-115-002"/>
    <x v="22"/>
    <x v="5"/>
    <d v="2022-08-05T00:00:00"/>
    <s v="Edward Wilson"/>
    <d v="2022-08-14T00:00:00"/>
    <m/>
    <s v="declined"/>
    <x v="0"/>
    <x v="0"/>
    <x v="0"/>
    <b v="0"/>
    <x v="0"/>
    <x v="0"/>
    <b v="0"/>
  </r>
  <r>
    <n v="7381684"/>
    <s v="123-008-115-003"/>
    <x v="22"/>
    <x v="5"/>
    <d v="2022-03-18T00:00:00"/>
    <s v="Jessica Lopez"/>
    <d v="2022-03-24T00:00:00"/>
    <d v="2022-03-25T00:00:00"/>
    <s v="promo"/>
    <x v="1"/>
    <x v="1"/>
    <x v="0"/>
    <b v="0"/>
    <x v="0"/>
    <x v="1"/>
    <b v="0"/>
  </r>
  <r>
    <n v="7853787"/>
    <s v="123-010-115-001"/>
    <x v="22"/>
    <x v="6"/>
    <d v="2022-10-17T00:00:00"/>
    <s v="Joseph Jackson"/>
    <d v="2022-11-09T00:00:00"/>
    <m/>
    <s v="declined"/>
    <x v="0"/>
    <x v="0"/>
    <x v="0"/>
    <b v="0"/>
    <x v="0"/>
    <x v="0"/>
    <b v="0"/>
  </r>
  <r>
    <n v="7853787"/>
    <s v="123-010-115-002"/>
    <x v="22"/>
    <x v="6"/>
    <d v="2022-09-28T00:00:00"/>
    <s v="Amanda Anderson"/>
    <d v="2022-10-24T00:00:00"/>
    <d v="2022-12-14T00:00:00"/>
    <s v="transfer"/>
    <x v="1"/>
    <x v="1"/>
    <x v="0"/>
    <b v="0"/>
    <x v="1"/>
    <x v="0"/>
    <b v="0"/>
  </r>
  <r>
    <n v="7853787"/>
    <s v="123-010-115-003"/>
    <x v="22"/>
    <x v="6"/>
    <d v="2022-08-19T00:00:00"/>
    <s v="Margaret Davis"/>
    <d v="2022-09-09T00:00:00"/>
    <d v="2022-09-19T00:00:00"/>
    <s v="promo"/>
    <x v="1"/>
    <x v="1"/>
    <x v="0"/>
    <b v="0"/>
    <x v="0"/>
    <x v="1"/>
    <b v="0"/>
  </r>
  <r>
    <n v="7853787"/>
    <s v="123-010-115-004"/>
    <x v="22"/>
    <x v="6"/>
    <d v="2022-06-19T00:00:00"/>
    <s v="John Brown"/>
    <d v="2022-07-15T00:00:00"/>
    <d v="2022-08-04T00:00:00"/>
    <s v="promo"/>
    <x v="1"/>
    <x v="1"/>
    <x v="0"/>
    <b v="0"/>
    <x v="0"/>
    <x v="1"/>
    <b v="0"/>
  </r>
  <r>
    <n v="5842082"/>
    <s v="123-002-115-001"/>
    <x v="22"/>
    <x v="7"/>
    <d v="2023-05-28T00:00:00"/>
    <s v="Charlotte Moore"/>
    <d v="2023-06-15T00:00:00"/>
    <d v="2023-07-17T00:00:00"/>
    <m/>
    <x v="1"/>
    <x v="1"/>
    <x v="0"/>
    <b v="0"/>
    <x v="0"/>
    <x v="0"/>
    <b v="0"/>
  </r>
  <r>
    <n v="5842082"/>
    <s v="123-002-115-002"/>
    <x v="22"/>
    <x v="7"/>
    <d v="2022-11-27T00:00:00"/>
    <s v="Olivia Ramirez"/>
    <d v="2022-12-17T00:00:00"/>
    <d v="2023-01-03T00:00:00"/>
    <s v="transfer"/>
    <x v="1"/>
    <x v="1"/>
    <x v="0"/>
    <b v="0"/>
    <x v="1"/>
    <x v="0"/>
    <b v="0"/>
  </r>
  <r>
    <n v="5842082"/>
    <s v="123-002-115-003"/>
    <x v="22"/>
    <x v="7"/>
    <d v="2022-01-22T00:00:00"/>
    <s v="Joseph Baker"/>
    <d v="2022-02-16T00:00:00"/>
    <m/>
    <s v="declined"/>
    <x v="0"/>
    <x v="0"/>
    <x v="0"/>
    <b v="0"/>
    <x v="0"/>
    <x v="0"/>
    <b v="0"/>
  </r>
  <r>
    <n v="5842082"/>
    <s v="123-002-115-004"/>
    <x v="22"/>
    <x v="7"/>
    <d v="2022-06-29T00:00:00"/>
    <s v="Andrew Williams"/>
    <d v="2022-07-15T00:00:00"/>
    <d v="2022-08-18T00:00:00"/>
    <s v="new to org"/>
    <x v="1"/>
    <x v="1"/>
    <x v="0"/>
    <b v="0"/>
    <x v="0"/>
    <x v="0"/>
    <b v="1"/>
  </r>
  <r>
    <n v="8419378"/>
    <s v="123-005-130-001"/>
    <x v="23"/>
    <x v="0"/>
    <d v="2023-05-19T00:00:00"/>
    <s v="Kenneth Evans"/>
    <d v="2023-05-22T00:00:00"/>
    <d v="2023-06-22T00:00:00"/>
    <m/>
    <x v="1"/>
    <x v="1"/>
    <x v="0"/>
    <b v="0"/>
    <x v="0"/>
    <x v="0"/>
    <b v="0"/>
  </r>
  <r>
    <n v="8419378"/>
    <s v="123-005-130-002"/>
    <x v="23"/>
    <x v="0"/>
    <d v="2022-04-18T00:00:00"/>
    <s v="Christopher Nelson"/>
    <d v="2022-05-16T00:00:00"/>
    <d v="2022-05-27T00:00:00"/>
    <s v="new to org"/>
    <x v="1"/>
    <x v="1"/>
    <x v="0"/>
    <b v="0"/>
    <x v="0"/>
    <x v="0"/>
    <b v="1"/>
  </r>
  <r>
    <n v="6533187"/>
    <s v="123-008-114-001"/>
    <x v="24"/>
    <x v="5"/>
    <d v="2022-02-07T00:00:00"/>
    <s v="Isabella Carter"/>
    <d v="2022-02-22T00:00:00"/>
    <d v="2022-02-28T00:00:00"/>
    <m/>
    <x v="1"/>
    <x v="1"/>
    <x v="0"/>
    <b v="0"/>
    <x v="0"/>
    <x v="0"/>
    <b v="0"/>
  </r>
  <r>
    <n v="6533187"/>
    <s v="123-008-114-002"/>
    <x v="24"/>
    <x v="5"/>
    <d v="2023-02-18T00:00:00"/>
    <s v="Linda Roberts"/>
    <d v="2023-03-18T00:00:00"/>
    <d v="2023-04-20T00:00:00"/>
    <s v="new to org"/>
    <x v="1"/>
    <x v="1"/>
    <x v="0"/>
    <b v="0"/>
    <x v="0"/>
    <x v="0"/>
    <b v="1"/>
  </r>
  <r>
    <n v="6533187"/>
    <s v="123-008-114-003"/>
    <x v="24"/>
    <x v="5"/>
    <d v="2023-04-19T00:00:00"/>
    <s v="Kevin Parker"/>
    <d v="2023-05-03T00:00:00"/>
    <d v="2023-05-07T00:00:00"/>
    <s v="transfer"/>
    <x v="1"/>
    <x v="1"/>
    <x v="0"/>
    <b v="0"/>
    <x v="1"/>
    <x v="0"/>
    <b v="0"/>
  </r>
  <r>
    <n v="4147112"/>
    <s v="123-006-117-001"/>
    <x v="9"/>
    <x v="2"/>
    <d v="2022-07-28T00:00:00"/>
    <s v="Edward Brown"/>
    <d v="2022-08-06T00:00:00"/>
    <d v="2022-09-11T00:00:00"/>
    <m/>
    <x v="1"/>
    <x v="1"/>
    <x v="0"/>
    <b v="0"/>
    <x v="0"/>
    <x v="0"/>
    <b v="0"/>
  </r>
  <r>
    <n v="4147112"/>
    <s v="123-006-117-002"/>
    <x v="9"/>
    <x v="2"/>
    <d v="2023-05-12T00:00:00"/>
    <s v="Charles Lewis"/>
    <d v="2023-05-16T00:00:00"/>
    <m/>
    <s v="declined"/>
    <x v="0"/>
    <x v="0"/>
    <x v="0"/>
    <b v="0"/>
    <x v="0"/>
    <x v="0"/>
    <b v="0"/>
  </r>
  <r>
    <n v="4147112"/>
    <s v="123-006-117-003"/>
    <x v="9"/>
    <x v="2"/>
    <d v="2022-09-03T00:00:00"/>
    <s v="Kenneth Hill"/>
    <d v="2022-09-26T00:00:00"/>
    <m/>
    <s v="declined"/>
    <x v="0"/>
    <x v="0"/>
    <x v="0"/>
    <b v="0"/>
    <x v="0"/>
    <x v="0"/>
    <b v="0"/>
  </r>
  <r>
    <n v="4147112"/>
    <s v="123-006-117-004"/>
    <x v="9"/>
    <x v="2"/>
    <d v="2023-02-22T00:00:00"/>
    <s v="Emily Smith"/>
    <d v="2023-02-25T00:00:00"/>
    <m/>
    <s v="declined"/>
    <x v="0"/>
    <x v="0"/>
    <x v="0"/>
    <b v="0"/>
    <x v="0"/>
    <x v="0"/>
    <b v="0"/>
  </r>
  <r>
    <n v="4147112"/>
    <s v="123-006-117-005"/>
    <x v="9"/>
    <x v="2"/>
    <d v="2022-04-27T00:00:00"/>
    <s v="Mason Collins"/>
    <d v="2022-05-12T00:00:00"/>
    <m/>
    <s v="rescinded"/>
    <x v="0"/>
    <x v="1"/>
    <x v="1"/>
    <b v="0"/>
    <x v="0"/>
    <x v="0"/>
    <b v="0"/>
  </r>
  <r>
    <n v="2970754"/>
    <s v="123-003-121-001"/>
    <x v="20"/>
    <x v="9"/>
    <d v="2022-10-07T00:00:00"/>
    <s v="Steven Rivera"/>
    <d v="2022-10-21T00:00:00"/>
    <d v="2022-12-14T00:00:00"/>
    <s v="new to org"/>
    <x v="1"/>
    <x v="1"/>
    <x v="0"/>
    <b v="0"/>
    <x v="0"/>
    <x v="0"/>
    <b v="1"/>
  </r>
  <r>
    <n v="2970754"/>
    <s v="123-003-121-002"/>
    <x v="20"/>
    <x v="9"/>
    <d v="2022-05-29T00:00:00"/>
    <s v="Jessica Robinson"/>
    <d v="2022-06-11T00:00:00"/>
    <d v="2022-06-24T00:00:00"/>
    <m/>
    <x v="1"/>
    <x v="1"/>
    <x v="0"/>
    <b v="0"/>
    <x v="0"/>
    <x v="0"/>
    <b v="0"/>
  </r>
  <r>
    <n v="2970754"/>
    <s v="123-003-121-003"/>
    <x v="20"/>
    <x v="9"/>
    <d v="2022-10-10T00:00:00"/>
    <s v="Logan Jones"/>
    <d v="2022-11-04T00:00:00"/>
    <d v="2022-12-25T00:00:00"/>
    <s v="promo"/>
    <x v="1"/>
    <x v="1"/>
    <x v="0"/>
    <b v="0"/>
    <x v="0"/>
    <x v="1"/>
    <b v="0"/>
  </r>
  <r>
    <n v="2970754"/>
    <s v="123-003-121-004"/>
    <x v="20"/>
    <x v="9"/>
    <d v="2023-06-04T00:00:00"/>
    <s v="Jackson Gomez"/>
    <d v="2023-06-13T00:00:00"/>
    <d v="2023-08-05T00:00:00"/>
    <s v="new to org"/>
    <x v="1"/>
    <x v="1"/>
    <x v="0"/>
    <b v="0"/>
    <x v="0"/>
    <x v="0"/>
    <b v="1"/>
  </r>
  <r>
    <n v="1043037"/>
    <s v="123-005-110-001"/>
    <x v="12"/>
    <x v="0"/>
    <d v="2023-04-03T00:00:00"/>
    <s v="Logan Martinez"/>
    <d v="2023-04-21T00:00:00"/>
    <d v="2023-05-22T00:00:00"/>
    <m/>
    <x v="1"/>
    <x v="1"/>
    <x v="0"/>
    <b v="0"/>
    <x v="0"/>
    <x v="0"/>
    <b v="0"/>
  </r>
  <r>
    <n v="1043037"/>
    <s v="123-005-110-002"/>
    <x v="12"/>
    <x v="0"/>
    <d v="2022-07-13T00:00:00"/>
    <s v="Sandra Lee"/>
    <d v="2022-08-05T00:00:00"/>
    <d v="2022-08-21T00:00:00"/>
    <m/>
    <x v="1"/>
    <x v="1"/>
    <x v="0"/>
    <b v="0"/>
    <x v="0"/>
    <x v="0"/>
    <b v="0"/>
  </r>
  <r>
    <n v="1043037"/>
    <s v="123-005-110-003"/>
    <x v="12"/>
    <x v="0"/>
    <d v="2023-02-25T00:00:00"/>
    <s v="Mia Roberts"/>
    <d v="2023-02-27T00:00:00"/>
    <d v="2023-03-20T00:00:00"/>
    <s v="promo"/>
    <x v="1"/>
    <x v="1"/>
    <x v="0"/>
    <b v="0"/>
    <x v="0"/>
    <x v="1"/>
    <b v="0"/>
  </r>
  <r>
    <n v="1043037"/>
    <s v="123-005-110-004"/>
    <x v="12"/>
    <x v="0"/>
    <d v="2022-06-05T00:00:00"/>
    <s v="Matthew Nelson"/>
    <d v="2022-06-21T00:00:00"/>
    <d v="2022-06-24T00:00:00"/>
    <m/>
    <x v="1"/>
    <x v="1"/>
    <x v="0"/>
    <b v="0"/>
    <x v="0"/>
    <x v="0"/>
    <b v="0"/>
  </r>
  <r>
    <n v="1043037"/>
    <s v="123-005-110-005"/>
    <x v="12"/>
    <x v="0"/>
    <d v="2022-04-13T00:00:00"/>
    <s v="Donna Perez"/>
    <d v="2022-05-11T00:00:00"/>
    <m/>
    <s v="declined"/>
    <x v="0"/>
    <x v="0"/>
    <x v="0"/>
    <b v="0"/>
    <x v="0"/>
    <x v="0"/>
    <b v="0"/>
  </r>
  <r>
    <n v="8387112"/>
    <s v="123-009-104-001"/>
    <x v="18"/>
    <x v="8"/>
    <d v="2022-03-12T00:00:00"/>
    <s v="Robert Flores"/>
    <d v="2022-03-20T00:00:00"/>
    <m/>
    <s v="declined"/>
    <x v="0"/>
    <x v="0"/>
    <x v="0"/>
    <b v="0"/>
    <x v="0"/>
    <x v="0"/>
    <b v="0"/>
  </r>
  <r>
    <n v="8387112"/>
    <s v="123-009-104-002"/>
    <x v="18"/>
    <x v="8"/>
    <d v="2022-06-08T00:00:00"/>
    <s v="Logan Adams"/>
    <d v="2022-06-11T00:00:00"/>
    <m/>
    <s v="declined"/>
    <x v="0"/>
    <x v="0"/>
    <x v="0"/>
    <b v="0"/>
    <x v="0"/>
    <x v="0"/>
    <b v="0"/>
  </r>
  <r>
    <n v="8387112"/>
    <s v="123-009-104-003"/>
    <x v="18"/>
    <x v="8"/>
    <d v="2023-02-12T00:00:00"/>
    <s v="Nancy Flores"/>
    <d v="2023-03-05T00:00:00"/>
    <d v="2023-03-11T00:00:00"/>
    <s v="new to org"/>
    <x v="1"/>
    <x v="1"/>
    <x v="0"/>
    <b v="0"/>
    <x v="0"/>
    <x v="0"/>
    <b v="1"/>
  </r>
  <r>
    <n v="8387112"/>
    <s v="123-009-104-004"/>
    <x v="18"/>
    <x v="8"/>
    <d v="2023-05-15T00:00:00"/>
    <s v="Christopher Green"/>
    <d v="2023-06-12T00:00:00"/>
    <d v="2023-07-17T00:00:00"/>
    <m/>
    <x v="1"/>
    <x v="1"/>
    <x v="0"/>
    <b v="0"/>
    <x v="0"/>
    <x v="0"/>
    <b v="0"/>
  </r>
  <r>
    <n v="5821419"/>
    <s v="123-002-108-001"/>
    <x v="11"/>
    <x v="7"/>
    <d v="2022-11-03T00:00:00"/>
    <s v="Mark Hernandez"/>
    <d v="2022-12-02T00:00:00"/>
    <d v="2022-12-04T00:00:00"/>
    <s v="transfer"/>
    <x v="1"/>
    <x v="1"/>
    <x v="0"/>
    <b v="0"/>
    <x v="1"/>
    <x v="0"/>
    <b v="0"/>
  </r>
  <r>
    <n v="5821419"/>
    <s v="123-002-108-002"/>
    <x v="11"/>
    <x v="7"/>
    <d v="2022-10-28T00:00:00"/>
    <s v="Sophia Brown"/>
    <d v="2022-11-09T00:00:00"/>
    <m/>
    <s v="declined"/>
    <x v="0"/>
    <x v="0"/>
    <x v="0"/>
    <b v="0"/>
    <x v="0"/>
    <x v="0"/>
    <b v="0"/>
  </r>
  <r>
    <n v="5821419"/>
    <s v="123-002-108-003"/>
    <x v="11"/>
    <x v="7"/>
    <d v="2023-02-26T00:00:00"/>
    <s v="Jessica King"/>
    <d v="2023-03-17T00:00:00"/>
    <d v="2023-04-30T00:00:00"/>
    <s v="promo"/>
    <x v="1"/>
    <x v="1"/>
    <x v="0"/>
    <b v="0"/>
    <x v="0"/>
    <x v="1"/>
    <b v="0"/>
  </r>
  <r>
    <n v="5821419"/>
    <s v="123-002-108-004"/>
    <x v="11"/>
    <x v="7"/>
    <d v="2023-01-27T00:00:00"/>
    <s v="Barbara Garcia"/>
    <d v="2023-02-16T00:00:00"/>
    <d v="2023-04-01T00:00:00"/>
    <s v="promo"/>
    <x v="1"/>
    <x v="1"/>
    <x v="0"/>
    <b v="0"/>
    <x v="0"/>
    <x v="1"/>
    <b v="0"/>
  </r>
  <r>
    <n v="5040453"/>
    <s v="123-010-116-001"/>
    <x v="25"/>
    <x v="6"/>
    <d v="2023-04-16T00:00:00"/>
    <s v="Kenneth Taylor"/>
    <d v="2023-04-25T00:00:00"/>
    <m/>
    <s v="declined"/>
    <x v="0"/>
    <x v="0"/>
    <x v="0"/>
    <b v="0"/>
    <x v="0"/>
    <x v="0"/>
    <b v="0"/>
  </r>
  <r>
    <n v="5040453"/>
    <s v="123-010-116-002"/>
    <x v="25"/>
    <x v="6"/>
    <d v="2022-06-11T00:00:00"/>
    <s v="Lucas Jackson"/>
    <d v="2022-06-14T00:00:00"/>
    <d v="2022-07-13T00:00:00"/>
    <m/>
    <x v="1"/>
    <x v="1"/>
    <x v="0"/>
    <b v="0"/>
    <x v="0"/>
    <x v="0"/>
    <b v="0"/>
  </r>
  <r>
    <n v="6797629"/>
    <s v="123-005-119-001"/>
    <x v="2"/>
    <x v="0"/>
    <d v="2022-07-23T00:00:00"/>
    <s v="Mia Martin"/>
    <d v="2022-08-05T00:00:00"/>
    <d v="2022-09-29T00:00:00"/>
    <m/>
    <x v="1"/>
    <x v="1"/>
    <x v="0"/>
    <b v="0"/>
    <x v="0"/>
    <x v="0"/>
    <b v="0"/>
  </r>
  <r>
    <n v="6797629"/>
    <s v="123-005-119-002"/>
    <x v="2"/>
    <x v="0"/>
    <d v="2023-01-03T00:00:00"/>
    <s v="Matthew Torres"/>
    <d v="2023-01-22T00:00:00"/>
    <d v="2023-02-10T00:00:00"/>
    <s v="promo"/>
    <x v="1"/>
    <x v="1"/>
    <x v="0"/>
    <b v="0"/>
    <x v="0"/>
    <x v="1"/>
    <b v="0"/>
  </r>
  <r>
    <n v="6797629"/>
    <s v="123-005-119-003"/>
    <x v="2"/>
    <x v="0"/>
    <d v="2023-02-10T00:00:00"/>
    <s v="Mary Turner"/>
    <d v="2023-02-19T00:00:00"/>
    <d v="2023-02-20T00:00:00"/>
    <s v="new to org"/>
    <x v="1"/>
    <x v="1"/>
    <x v="0"/>
    <b v="0"/>
    <x v="0"/>
    <x v="0"/>
    <b v="1"/>
  </r>
  <r>
    <n v="6797629"/>
    <s v="123-005-119-004"/>
    <x v="2"/>
    <x v="0"/>
    <d v="2023-05-24T00:00:00"/>
    <s v="Ava Hill"/>
    <d v="2023-06-20T00:00:00"/>
    <d v="2023-08-17T00:00:00"/>
    <s v="transfer"/>
    <x v="1"/>
    <x v="1"/>
    <x v="0"/>
    <b v="0"/>
    <x v="1"/>
    <x v="0"/>
    <b v="0"/>
  </r>
  <r>
    <n v="5801541"/>
    <s v="123-004-125-001"/>
    <x v="3"/>
    <x v="1"/>
    <d v="2022-09-14T00:00:00"/>
    <s v="Kenneth Gonzalez"/>
    <d v="2022-10-06T00:00:00"/>
    <d v="2022-11-24T00:00:00"/>
    <s v="promo"/>
    <x v="1"/>
    <x v="1"/>
    <x v="0"/>
    <b v="0"/>
    <x v="0"/>
    <x v="1"/>
    <b v="0"/>
  </r>
  <r>
    <n v="5801541"/>
    <s v="123-004-125-002"/>
    <x v="3"/>
    <x v="1"/>
    <d v="2022-02-10T00:00:00"/>
    <s v="Kenneth Miller"/>
    <d v="2022-02-20T00:00:00"/>
    <d v="2022-04-12T00:00:00"/>
    <s v="promo"/>
    <x v="1"/>
    <x v="1"/>
    <x v="0"/>
    <b v="0"/>
    <x v="0"/>
    <x v="1"/>
    <b v="0"/>
  </r>
  <r>
    <n v="5801541"/>
    <s v="123-004-125-003"/>
    <x v="3"/>
    <x v="1"/>
    <d v="2022-04-03T00:00:00"/>
    <s v="George Rodriguez"/>
    <d v="2022-05-03T00:00:00"/>
    <d v="2022-05-22T00:00:00"/>
    <s v="new to org"/>
    <x v="1"/>
    <x v="1"/>
    <x v="0"/>
    <b v="0"/>
    <x v="0"/>
    <x v="0"/>
    <b v="1"/>
  </r>
  <r>
    <n v="5801541"/>
    <s v="123-004-125-004"/>
    <x v="3"/>
    <x v="1"/>
    <d v="2022-05-16T00:00:00"/>
    <s v="Barbara Gonzalez"/>
    <d v="2022-06-11T00:00:00"/>
    <d v="2022-07-16T00:00:00"/>
    <m/>
    <x v="1"/>
    <x v="1"/>
    <x v="0"/>
    <b v="0"/>
    <x v="0"/>
    <x v="0"/>
    <b v="0"/>
  </r>
  <r>
    <n v="5801541"/>
    <s v="123-004-125-005"/>
    <x v="3"/>
    <x v="1"/>
    <d v="2022-10-07T00:00:00"/>
    <s v="Kimberly Allen"/>
    <d v="2022-11-03T00:00:00"/>
    <d v="2022-11-14T00:00:00"/>
    <s v="new to org"/>
    <x v="1"/>
    <x v="1"/>
    <x v="0"/>
    <b v="0"/>
    <x v="0"/>
    <x v="0"/>
    <b v="1"/>
  </r>
  <r>
    <n v="5311242"/>
    <s v="123-008-130-001"/>
    <x v="23"/>
    <x v="5"/>
    <d v="2023-04-25T00:00:00"/>
    <s v="Ethan Davis"/>
    <d v="2023-04-28T00:00:00"/>
    <d v="2023-05-08T00:00:00"/>
    <s v="new to org"/>
    <x v="1"/>
    <x v="1"/>
    <x v="0"/>
    <b v="0"/>
    <x v="0"/>
    <x v="0"/>
    <b v="1"/>
  </r>
  <r>
    <n v="5311242"/>
    <s v="123-008-130-002"/>
    <x v="23"/>
    <x v="5"/>
    <d v="2023-02-11T00:00:00"/>
    <s v="Logan Baker"/>
    <d v="2023-03-11T00:00:00"/>
    <d v="2023-05-02T00:00:00"/>
    <s v="promo"/>
    <x v="1"/>
    <x v="1"/>
    <x v="0"/>
    <b v="0"/>
    <x v="0"/>
    <x v="1"/>
    <b v="0"/>
  </r>
  <r>
    <n v="5311242"/>
    <s v="123-008-130-003"/>
    <x v="23"/>
    <x v="5"/>
    <d v="2022-01-15T00:00:00"/>
    <s v="Sophia Sanchez"/>
    <d v="2022-01-24T00:00:00"/>
    <d v="2022-02-28T00:00:00"/>
    <s v="transfer"/>
    <x v="1"/>
    <x v="1"/>
    <x v="0"/>
    <b v="0"/>
    <x v="1"/>
    <x v="0"/>
    <b v="0"/>
  </r>
  <r>
    <n v="3073474"/>
    <s v="123-006-115-001"/>
    <x v="22"/>
    <x v="2"/>
    <d v="2022-08-28T00:00:00"/>
    <s v="Michael Baker"/>
    <d v="2022-09-13T00:00:00"/>
    <d v="2022-09-15T00:00:00"/>
    <s v="new to org"/>
    <x v="1"/>
    <x v="1"/>
    <x v="0"/>
    <b v="0"/>
    <x v="0"/>
    <x v="0"/>
    <b v="1"/>
  </r>
  <r>
    <n v="3073474"/>
    <s v="123-006-115-002"/>
    <x v="22"/>
    <x v="2"/>
    <d v="2022-08-15T00:00:00"/>
    <s v="Ava Flores"/>
    <d v="2022-09-05T00:00:00"/>
    <d v="2022-09-10T00:00:00"/>
    <s v="new to org"/>
    <x v="1"/>
    <x v="1"/>
    <x v="0"/>
    <b v="0"/>
    <x v="0"/>
    <x v="0"/>
    <b v="1"/>
  </r>
  <r>
    <n v="3073474"/>
    <s v="123-006-115-003"/>
    <x v="22"/>
    <x v="2"/>
    <d v="2022-11-06T00:00:00"/>
    <s v="Ava Hall"/>
    <d v="2022-11-27T00:00:00"/>
    <d v="2022-12-24T00:00:00"/>
    <m/>
    <x v="1"/>
    <x v="1"/>
    <x v="0"/>
    <b v="0"/>
    <x v="0"/>
    <x v="0"/>
    <b v="0"/>
  </r>
  <r>
    <n v="2957497"/>
    <s v="123-001-105-001"/>
    <x v="7"/>
    <x v="3"/>
    <d v="2022-04-10T00:00:00"/>
    <s v="Ashley Davis"/>
    <d v="2022-04-18T00:00:00"/>
    <m/>
    <s v="rescinded"/>
    <x v="0"/>
    <x v="1"/>
    <x v="1"/>
    <b v="0"/>
    <x v="0"/>
    <x v="0"/>
    <b v="0"/>
  </r>
  <r>
    <n v="3276065"/>
    <s v="123-008-113-001"/>
    <x v="6"/>
    <x v="5"/>
    <d v="2022-06-08T00:00:00"/>
    <s v="Donna Mitchell"/>
    <d v="2022-07-07T00:00:00"/>
    <d v="2022-08-03T00:00:00"/>
    <m/>
    <x v="1"/>
    <x v="1"/>
    <x v="0"/>
    <b v="0"/>
    <x v="0"/>
    <x v="0"/>
    <b v="0"/>
  </r>
  <r>
    <n v="3276065"/>
    <s v="123-008-113-002"/>
    <x v="6"/>
    <x v="5"/>
    <d v="2022-10-14T00:00:00"/>
    <s v="Michelle Clark"/>
    <d v="2022-10-16T00:00:00"/>
    <d v="2022-11-30T00:00:00"/>
    <m/>
    <x v="1"/>
    <x v="1"/>
    <x v="0"/>
    <b v="0"/>
    <x v="0"/>
    <x v="0"/>
    <b v="0"/>
  </r>
  <r>
    <n v="3276065"/>
    <s v="123-008-113-003"/>
    <x v="6"/>
    <x v="5"/>
    <d v="2023-01-07T00:00:00"/>
    <s v="Mark Thomas"/>
    <d v="2023-01-11T00:00:00"/>
    <d v="2023-02-24T00:00:00"/>
    <m/>
    <x v="1"/>
    <x v="1"/>
    <x v="0"/>
    <b v="0"/>
    <x v="0"/>
    <x v="0"/>
    <b v="0"/>
  </r>
  <r>
    <n v="7162857"/>
    <s v="123-006-118-001"/>
    <x v="1"/>
    <x v="2"/>
    <d v="2023-04-11T00:00:00"/>
    <s v="Richard Davis"/>
    <d v="2023-04-14T00:00:00"/>
    <m/>
    <s v="rescinded"/>
    <x v="0"/>
    <x v="1"/>
    <x v="1"/>
    <b v="0"/>
    <x v="0"/>
    <x v="0"/>
    <b v="0"/>
  </r>
  <r>
    <n v="4558545"/>
    <s v="123-010-121-001"/>
    <x v="20"/>
    <x v="6"/>
    <m/>
    <m/>
    <m/>
    <m/>
    <s v="cancelled"/>
    <x v="0"/>
    <x v="1"/>
    <x v="0"/>
    <b v="1"/>
    <x v="0"/>
    <x v="0"/>
    <b v="0"/>
  </r>
  <r>
    <n v="6595355"/>
    <s v="123-003-108-001"/>
    <x v="11"/>
    <x v="9"/>
    <d v="2022-08-01T00:00:00"/>
    <s v="Mason Carter"/>
    <d v="2022-08-20T00:00:00"/>
    <m/>
    <s v="declined"/>
    <x v="0"/>
    <x v="0"/>
    <x v="0"/>
    <b v="0"/>
    <x v="0"/>
    <x v="0"/>
    <b v="0"/>
  </r>
  <r>
    <n v="6595355"/>
    <s v="123-003-108-002"/>
    <x v="11"/>
    <x v="9"/>
    <d v="2022-12-03T00:00:00"/>
    <s v="Logan Anderson"/>
    <d v="2022-12-28T00:00:00"/>
    <m/>
    <s v="declined"/>
    <x v="0"/>
    <x v="0"/>
    <x v="0"/>
    <b v="0"/>
    <x v="0"/>
    <x v="0"/>
    <b v="0"/>
  </r>
  <r>
    <n v="6595355"/>
    <s v="123-003-108-003"/>
    <x v="11"/>
    <x v="9"/>
    <d v="2022-01-03T00:00:00"/>
    <s v="Lucas Hill"/>
    <d v="2022-01-12T00:00:00"/>
    <m/>
    <s v="declined"/>
    <x v="0"/>
    <x v="0"/>
    <x v="0"/>
    <b v="0"/>
    <x v="0"/>
    <x v="0"/>
    <b v="0"/>
  </r>
  <r>
    <n v="6595355"/>
    <s v="123-003-108-004"/>
    <x v="11"/>
    <x v="9"/>
    <d v="2022-09-14T00:00:00"/>
    <s v="William Wright"/>
    <d v="2022-10-10T00:00:00"/>
    <d v="2022-10-22T00:00:00"/>
    <s v="promo"/>
    <x v="1"/>
    <x v="1"/>
    <x v="0"/>
    <b v="0"/>
    <x v="0"/>
    <x v="1"/>
    <b v="0"/>
  </r>
  <r>
    <n v="6595355"/>
    <s v="123-003-108-005"/>
    <x v="11"/>
    <x v="9"/>
    <d v="2022-05-15T00:00:00"/>
    <s v="Logan Johnson"/>
    <d v="2022-05-16T00:00:00"/>
    <m/>
    <s v="declined"/>
    <x v="0"/>
    <x v="0"/>
    <x v="0"/>
    <b v="0"/>
    <x v="0"/>
    <x v="0"/>
    <b v="0"/>
  </r>
  <r>
    <n v="7010308"/>
    <s v="123-004-126-004"/>
    <x v="5"/>
    <x v="1"/>
    <d v="2022-02-23T00:00:00"/>
    <s v="Barbara Taylor"/>
    <d v="2022-02-28T00:00:00"/>
    <m/>
    <s v="rescinded"/>
    <x v="0"/>
    <x v="1"/>
    <x v="1"/>
    <b v="0"/>
    <x v="0"/>
    <x v="0"/>
    <b v="0"/>
  </r>
  <r>
    <n v="7010308"/>
    <s v="123-004-126-005"/>
    <x v="5"/>
    <x v="1"/>
    <d v="2023-05-03T00:00:00"/>
    <s v="Melissa Jones"/>
    <d v="2023-05-18T00:00:00"/>
    <d v="2023-07-07T00:00:00"/>
    <s v="transfer"/>
    <x v="1"/>
    <x v="1"/>
    <x v="0"/>
    <b v="0"/>
    <x v="1"/>
    <x v="0"/>
    <b v="0"/>
  </r>
  <r>
    <n v="7010308"/>
    <s v="123-004-126-006"/>
    <x v="5"/>
    <x v="1"/>
    <d v="2022-08-15T00:00:00"/>
    <s v="Mark Allen"/>
    <d v="2022-09-04T00:00:00"/>
    <d v="2022-09-07T00:00:00"/>
    <s v="transfer"/>
    <x v="1"/>
    <x v="1"/>
    <x v="0"/>
    <b v="0"/>
    <x v="1"/>
    <x v="0"/>
    <b v="0"/>
  </r>
  <r>
    <n v="7010308"/>
    <s v="123-004-126-007"/>
    <x v="5"/>
    <x v="1"/>
    <d v="2022-02-01T00:00:00"/>
    <s v="Sandra Adams"/>
    <d v="2022-02-03T00:00:00"/>
    <d v="2022-03-06T00:00:00"/>
    <s v="new to org"/>
    <x v="1"/>
    <x v="1"/>
    <x v="0"/>
    <b v="0"/>
    <x v="0"/>
    <x v="0"/>
    <b v="1"/>
  </r>
  <r>
    <n v="7010308"/>
    <s v="123-004-126-008"/>
    <x v="5"/>
    <x v="1"/>
    <d v="2023-05-18T00:00:00"/>
    <s v="Amanda Miller"/>
    <d v="2023-06-10T00:00:00"/>
    <d v="2023-08-08T00:00:00"/>
    <m/>
    <x v="1"/>
    <x v="1"/>
    <x v="0"/>
    <b v="0"/>
    <x v="0"/>
    <x v="0"/>
    <b v="0"/>
  </r>
  <r>
    <n v="8441741"/>
    <s v="123-002-103-001"/>
    <x v="8"/>
    <x v="7"/>
    <d v="2022-11-29T00:00:00"/>
    <s v="William Moore"/>
    <d v="2022-12-12T00:00:00"/>
    <d v="2023-01-20T00:00:00"/>
    <s v="transfer"/>
    <x v="1"/>
    <x v="1"/>
    <x v="0"/>
    <b v="0"/>
    <x v="1"/>
    <x v="0"/>
    <b v="0"/>
  </r>
  <r>
    <n v="8441741"/>
    <s v="123-002-103-002"/>
    <x v="8"/>
    <x v="7"/>
    <d v="2023-03-17T00:00:00"/>
    <s v="Steven Hill"/>
    <d v="2023-03-21T00:00:00"/>
    <d v="2023-05-11T00:00:00"/>
    <m/>
    <x v="1"/>
    <x v="1"/>
    <x v="0"/>
    <b v="0"/>
    <x v="0"/>
    <x v="0"/>
    <b v="0"/>
  </r>
  <r>
    <n v="8441741"/>
    <s v="123-002-103-003"/>
    <x v="8"/>
    <x v="7"/>
    <d v="2022-08-22T00:00:00"/>
    <s v="Margaret Lewis"/>
    <d v="2022-09-05T00:00:00"/>
    <d v="2022-09-27T00:00:00"/>
    <s v="promo"/>
    <x v="1"/>
    <x v="1"/>
    <x v="0"/>
    <b v="0"/>
    <x v="0"/>
    <x v="1"/>
    <b v="0"/>
  </r>
  <r>
    <n v="8608449"/>
    <s v="123-007-113-006"/>
    <x v="6"/>
    <x v="4"/>
    <d v="2022-09-19T00:00:00"/>
    <s v="Christopher Nelson"/>
    <d v="2022-10-01T00:00:00"/>
    <m/>
    <s v="rescinded"/>
    <x v="0"/>
    <x v="1"/>
    <x v="1"/>
    <b v="0"/>
    <x v="0"/>
    <x v="0"/>
    <b v="0"/>
  </r>
  <r>
    <n v="3560856"/>
    <s v="123-008-122-001"/>
    <x v="17"/>
    <x v="5"/>
    <m/>
    <m/>
    <m/>
    <m/>
    <s v="cancelled"/>
    <x v="0"/>
    <x v="1"/>
    <x v="0"/>
    <b v="1"/>
    <x v="0"/>
    <x v="0"/>
    <b v="0"/>
  </r>
  <r>
    <n v="2432176"/>
    <s v="123-007-103-004"/>
    <x v="8"/>
    <x v="4"/>
    <d v="2022-03-03T00:00:00"/>
    <s v="Ethan Rodriguez"/>
    <d v="2022-03-22T00:00:00"/>
    <d v="2022-04-27T00:00:00"/>
    <s v="new to org"/>
    <x v="1"/>
    <x v="1"/>
    <x v="0"/>
    <b v="0"/>
    <x v="0"/>
    <x v="0"/>
    <b v="1"/>
  </r>
  <r>
    <n v="6530541"/>
    <s v="123-002-122-001"/>
    <x v="17"/>
    <x v="7"/>
    <d v="2023-03-10T00:00:00"/>
    <s v="Kevin Carter"/>
    <d v="2023-04-07T00:00:00"/>
    <m/>
    <s v="rescinded"/>
    <x v="0"/>
    <x v="1"/>
    <x v="1"/>
    <b v="0"/>
    <x v="0"/>
    <x v="0"/>
    <b v="0"/>
  </r>
  <r>
    <n v="6530541"/>
    <s v="123-002-122-002"/>
    <x v="17"/>
    <x v="7"/>
    <d v="2022-11-16T00:00:00"/>
    <s v="Charles Hill"/>
    <d v="2022-11-28T00:00:00"/>
    <d v="2022-12-05T00:00:00"/>
    <s v="transfer"/>
    <x v="1"/>
    <x v="1"/>
    <x v="0"/>
    <b v="0"/>
    <x v="1"/>
    <x v="0"/>
    <b v="0"/>
  </r>
  <r>
    <n v="6530541"/>
    <s v="123-002-122-003"/>
    <x v="17"/>
    <x v="7"/>
    <d v="2023-05-09T00:00:00"/>
    <s v="Elizabeth Nelson"/>
    <d v="2023-05-17T00:00:00"/>
    <d v="2023-07-11T00:00:00"/>
    <s v="promo"/>
    <x v="1"/>
    <x v="1"/>
    <x v="0"/>
    <b v="0"/>
    <x v="0"/>
    <x v="1"/>
    <b v="0"/>
  </r>
  <r>
    <n v="6530541"/>
    <s v="123-002-122-004"/>
    <x v="17"/>
    <x v="7"/>
    <d v="2023-01-12T00:00:00"/>
    <s v="Mia Scott"/>
    <d v="2023-01-16T00:00:00"/>
    <m/>
    <s v="declined"/>
    <x v="0"/>
    <x v="0"/>
    <x v="0"/>
    <b v="0"/>
    <x v="0"/>
    <x v="0"/>
    <b v="0"/>
  </r>
  <r>
    <n v="5673599"/>
    <s v="123-004-119-002"/>
    <x v="2"/>
    <x v="1"/>
    <d v="2022-10-01T00:00:00"/>
    <s v="Joshua Nelson"/>
    <d v="2022-10-02T00:00:00"/>
    <d v="2022-10-14T00:00:00"/>
    <s v="transfer"/>
    <x v="1"/>
    <x v="1"/>
    <x v="0"/>
    <b v="0"/>
    <x v="1"/>
    <x v="0"/>
    <b v="0"/>
  </r>
  <r>
    <n v="5673599"/>
    <s v="123-004-119-003"/>
    <x v="2"/>
    <x v="1"/>
    <d v="2022-12-14T00:00:00"/>
    <s v="Edward Martin"/>
    <d v="2022-12-26T00:00:00"/>
    <m/>
    <s v="rescinded"/>
    <x v="0"/>
    <x v="1"/>
    <x v="1"/>
    <b v="0"/>
    <x v="0"/>
    <x v="0"/>
    <b v="0"/>
  </r>
  <r>
    <n v="5673599"/>
    <s v="123-004-119-004"/>
    <x v="2"/>
    <x v="1"/>
    <d v="2023-02-15T00:00:00"/>
    <s v="Logan Martinez"/>
    <d v="2023-02-18T00:00:00"/>
    <m/>
    <s v="declined"/>
    <x v="0"/>
    <x v="0"/>
    <x v="0"/>
    <b v="0"/>
    <x v="0"/>
    <x v="0"/>
    <b v="0"/>
  </r>
  <r>
    <n v="5673599"/>
    <s v="123-004-119-005"/>
    <x v="2"/>
    <x v="1"/>
    <d v="2022-04-04T00:00:00"/>
    <s v="Kenneth Johnson"/>
    <d v="2022-04-28T00:00:00"/>
    <m/>
    <s v="declined"/>
    <x v="0"/>
    <x v="0"/>
    <x v="0"/>
    <b v="0"/>
    <x v="0"/>
    <x v="0"/>
    <b v="0"/>
  </r>
  <r>
    <n v="9900022"/>
    <s v="123-007-107-001"/>
    <x v="26"/>
    <x v="4"/>
    <d v="2022-11-29T00:00:00"/>
    <s v="Lisa Martin"/>
    <d v="2022-12-24T00:00:00"/>
    <d v="2023-01-30T00:00:00"/>
    <s v="promo"/>
    <x v="1"/>
    <x v="1"/>
    <x v="0"/>
    <b v="0"/>
    <x v="0"/>
    <x v="1"/>
    <b v="0"/>
  </r>
  <r>
    <n v="9900022"/>
    <s v="123-007-107-002"/>
    <x v="26"/>
    <x v="4"/>
    <d v="2022-02-20T00:00:00"/>
    <s v="Elizabeth Hernandez"/>
    <d v="2022-03-14T00:00:00"/>
    <d v="2022-03-20T00:00:00"/>
    <s v="transfer"/>
    <x v="1"/>
    <x v="1"/>
    <x v="0"/>
    <b v="0"/>
    <x v="1"/>
    <x v="0"/>
    <b v="0"/>
  </r>
  <r>
    <n v="9900022"/>
    <s v="123-007-107-003"/>
    <x v="26"/>
    <x v="4"/>
    <d v="2023-05-13T00:00:00"/>
    <s v="Kevin Ramirez"/>
    <d v="2023-06-02T00:00:00"/>
    <m/>
    <s v="rescinded"/>
    <x v="0"/>
    <x v="1"/>
    <x v="1"/>
    <b v="0"/>
    <x v="0"/>
    <x v="0"/>
    <b v="0"/>
  </r>
  <r>
    <n v="9900022"/>
    <s v="123-007-107-004"/>
    <x v="26"/>
    <x v="4"/>
    <d v="2023-06-09T00:00:00"/>
    <s v="Susan Carter"/>
    <d v="2023-06-13T00:00:00"/>
    <d v="2023-07-06T00:00:00"/>
    <s v="new to org"/>
    <x v="1"/>
    <x v="1"/>
    <x v="0"/>
    <b v="0"/>
    <x v="0"/>
    <x v="0"/>
    <b v="1"/>
  </r>
  <r>
    <n v="8212753"/>
    <s v="123-005-104-006"/>
    <x v="18"/>
    <x v="0"/>
    <d v="2023-02-09T00:00:00"/>
    <s v="Robert Anderson"/>
    <d v="2023-03-01T00:00:00"/>
    <d v="2023-03-05T00:00:00"/>
    <s v="new to org"/>
    <x v="1"/>
    <x v="1"/>
    <x v="0"/>
    <b v="0"/>
    <x v="0"/>
    <x v="0"/>
    <b v="1"/>
  </r>
  <r>
    <n v="8212753"/>
    <s v="123-005-104-007"/>
    <x v="18"/>
    <x v="0"/>
    <d v="2022-05-21T00:00:00"/>
    <s v="Karen Wilson"/>
    <d v="2022-06-15T00:00:00"/>
    <m/>
    <s v="declined"/>
    <x v="0"/>
    <x v="0"/>
    <x v="0"/>
    <b v="0"/>
    <x v="0"/>
    <x v="0"/>
    <b v="0"/>
  </r>
  <r>
    <n v="8212753"/>
    <s v="123-005-104-008"/>
    <x v="18"/>
    <x v="0"/>
    <d v="2022-01-08T00:00:00"/>
    <s v="Christopher Davis"/>
    <d v="2022-01-24T00:00:00"/>
    <m/>
    <s v="rescinded"/>
    <x v="0"/>
    <x v="1"/>
    <x v="1"/>
    <b v="0"/>
    <x v="0"/>
    <x v="0"/>
    <b v="0"/>
  </r>
  <r>
    <n v="8212753"/>
    <s v="123-005-104-009"/>
    <x v="18"/>
    <x v="0"/>
    <d v="2023-06-30T00:00:00"/>
    <s v="William Harris"/>
    <d v="2023-07-23T00:00:00"/>
    <d v="2023-08-07T00:00:00"/>
    <s v="promo"/>
    <x v="1"/>
    <x v="1"/>
    <x v="0"/>
    <b v="0"/>
    <x v="0"/>
    <x v="1"/>
    <b v="0"/>
  </r>
  <r>
    <n v="8212753"/>
    <s v="123-005-104-010"/>
    <x v="18"/>
    <x v="0"/>
    <d v="2022-02-13T00:00:00"/>
    <s v="John Sanchez"/>
    <d v="2022-02-27T00:00:00"/>
    <d v="2022-03-01T00:00:00"/>
    <s v="new to org"/>
    <x v="1"/>
    <x v="1"/>
    <x v="0"/>
    <b v="0"/>
    <x v="0"/>
    <x v="0"/>
    <b v="1"/>
  </r>
  <r>
    <n v="8713396"/>
    <s v="123-002-130-001"/>
    <x v="23"/>
    <x v="7"/>
    <d v="2023-03-04T00:00:00"/>
    <s v="Dorothy Green"/>
    <d v="2023-03-14T00:00:00"/>
    <d v="2023-03-22T00:00:00"/>
    <m/>
    <x v="1"/>
    <x v="1"/>
    <x v="0"/>
    <b v="0"/>
    <x v="0"/>
    <x v="0"/>
    <b v="0"/>
  </r>
  <r>
    <n v="8713396"/>
    <s v="123-002-130-002"/>
    <x v="23"/>
    <x v="7"/>
    <d v="2023-04-17T00:00:00"/>
    <s v="David Phillips"/>
    <d v="2023-05-14T00:00:00"/>
    <d v="2023-06-28T00:00:00"/>
    <s v="new to org"/>
    <x v="1"/>
    <x v="1"/>
    <x v="0"/>
    <b v="0"/>
    <x v="0"/>
    <x v="0"/>
    <b v="1"/>
  </r>
  <r>
    <n v="8713396"/>
    <s v="123-002-130-003"/>
    <x v="23"/>
    <x v="7"/>
    <d v="2022-04-19T00:00:00"/>
    <s v="Margaret Diaz"/>
    <d v="2022-04-27T00:00:00"/>
    <d v="2022-05-25T00:00:00"/>
    <s v="transfer"/>
    <x v="1"/>
    <x v="1"/>
    <x v="0"/>
    <b v="0"/>
    <x v="1"/>
    <x v="0"/>
    <b v="0"/>
  </r>
  <r>
    <n v="7718433"/>
    <s v="123-002-117-001"/>
    <x v="9"/>
    <x v="7"/>
    <d v="2022-06-22T00:00:00"/>
    <s v="Joseph Perez"/>
    <d v="2022-06-25T00:00:00"/>
    <d v="2022-07-28T00:00:00"/>
    <s v="new to org"/>
    <x v="1"/>
    <x v="1"/>
    <x v="0"/>
    <b v="0"/>
    <x v="0"/>
    <x v="0"/>
    <b v="1"/>
  </r>
  <r>
    <n v="7718433"/>
    <s v="123-002-117-002"/>
    <x v="9"/>
    <x v="7"/>
    <d v="2022-12-24T00:00:00"/>
    <s v="Lucas Roberts"/>
    <d v="2023-01-05T00:00:00"/>
    <d v="2023-02-21T00:00:00"/>
    <s v="promo"/>
    <x v="1"/>
    <x v="1"/>
    <x v="0"/>
    <b v="0"/>
    <x v="0"/>
    <x v="1"/>
    <b v="0"/>
  </r>
  <r>
    <n v="7718433"/>
    <s v="123-002-117-003"/>
    <x v="9"/>
    <x v="7"/>
    <d v="2022-05-30T00:00:00"/>
    <s v="Jessica Miller"/>
    <d v="2022-06-08T00:00:00"/>
    <d v="2022-06-21T00:00:00"/>
    <s v="promo"/>
    <x v="1"/>
    <x v="1"/>
    <x v="0"/>
    <b v="0"/>
    <x v="0"/>
    <x v="1"/>
    <b v="0"/>
  </r>
  <r>
    <n v="7718433"/>
    <s v="123-002-117-004"/>
    <x v="9"/>
    <x v="7"/>
    <d v="2022-03-19T00:00:00"/>
    <s v="Elizabeth Carter"/>
    <d v="2022-03-25T00:00:00"/>
    <m/>
    <s v="declined"/>
    <x v="0"/>
    <x v="0"/>
    <x v="0"/>
    <b v="0"/>
    <x v="0"/>
    <x v="0"/>
    <b v="0"/>
  </r>
  <r>
    <n v="9289908"/>
    <s v="123-010-115-005"/>
    <x v="22"/>
    <x v="6"/>
    <d v="2022-11-20T00:00:00"/>
    <s v="Logan Green"/>
    <d v="2022-11-25T00:00:00"/>
    <d v="2022-12-24T00:00:00"/>
    <s v="new to org"/>
    <x v="1"/>
    <x v="1"/>
    <x v="0"/>
    <b v="0"/>
    <x v="0"/>
    <x v="0"/>
    <b v="1"/>
  </r>
  <r>
    <n v="9289908"/>
    <s v="123-010-115-006"/>
    <x v="22"/>
    <x v="6"/>
    <d v="2022-11-07T00:00:00"/>
    <s v="Mark Green"/>
    <d v="2022-12-03T00:00:00"/>
    <m/>
    <s v="declined"/>
    <x v="0"/>
    <x v="0"/>
    <x v="0"/>
    <b v="0"/>
    <x v="0"/>
    <x v="0"/>
    <b v="0"/>
  </r>
  <r>
    <n v="9289908"/>
    <s v="123-010-115-007"/>
    <x v="22"/>
    <x v="6"/>
    <d v="2023-06-04T00:00:00"/>
    <s v="Patricia Thompson"/>
    <d v="2023-06-07T00:00:00"/>
    <m/>
    <s v="rescinded"/>
    <x v="0"/>
    <x v="1"/>
    <x v="1"/>
    <b v="0"/>
    <x v="0"/>
    <x v="0"/>
    <b v="0"/>
  </r>
  <r>
    <n v="9289908"/>
    <s v="123-010-115-008"/>
    <x v="22"/>
    <x v="6"/>
    <d v="2023-01-13T00:00:00"/>
    <s v="Robert Brown"/>
    <d v="2023-02-09T00:00:00"/>
    <d v="2023-02-28T00:00:00"/>
    <m/>
    <x v="1"/>
    <x v="1"/>
    <x v="0"/>
    <b v="0"/>
    <x v="0"/>
    <x v="0"/>
    <b v="0"/>
  </r>
  <r>
    <n v="9289908"/>
    <s v="123-010-115-009"/>
    <x v="22"/>
    <x v="6"/>
    <d v="2022-04-03T00:00:00"/>
    <s v="Logan Diaz"/>
    <d v="2022-04-23T00:00:00"/>
    <m/>
    <s v="declined"/>
    <x v="0"/>
    <x v="0"/>
    <x v="0"/>
    <b v="0"/>
    <x v="0"/>
    <x v="0"/>
    <b v="0"/>
  </r>
  <r>
    <n v="9507186"/>
    <s v="123-008-113-004"/>
    <x v="6"/>
    <x v="5"/>
    <d v="2022-07-12T00:00:00"/>
    <s v="Mark Collins"/>
    <d v="2022-07-23T00:00:00"/>
    <d v="2022-08-31T00:00:00"/>
    <s v="transfer"/>
    <x v="1"/>
    <x v="1"/>
    <x v="0"/>
    <b v="0"/>
    <x v="1"/>
    <x v="0"/>
    <b v="0"/>
  </r>
  <r>
    <n v="9507186"/>
    <s v="123-008-113-005"/>
    <x v="6"/>
    <x v="5"/>
    <d v="2022-04-16T00:00:00"/>
    <s v="Patricia Lewis"/>
    <d v="2022-05-12T00:00:00"/>
    <d v="2022-07-09T00:00:00"/>
    <s v="promo"/>
    <x v="1"/>
    <x v="1"/>
    <x v="0"/>
    <b v="0"/>
    <x v="0"/>
    <x v="1"/>
    <b v="0"/>
  </r>
  <r>
    <n v="9507186"/>
    <s v="123-008-113-006"/>
    <x v="6"/>
    <x v="5"/>
    <d v="2022-06-26T00:00:00"/>
    <s v="Steven Adams"/>
    <d v="2022-06-28T00:00:00"/>
    <d v="2022-07-14T00:00:00"/>
    <s v="transfer"/>
    <x v="1"/>
    <x v="1"/>
    <x v="0"/>
    <b v="0"/>
    <x v="1"/>
    <x v="0"/>
    <b v="0"/>
  </r>
  <r>
    <n v="9507186"/>
    <s v="123-008-113-007"/>
    <x v="6"/>
    <x v="5"/>
    <d v="2022-06-12T00:00:00"/>
    <s v="Kimberly King"/>
    <d v="2022-06-24T00:00:00"/>
    <d v="2022-07-18T00:00:00"/>
    <m/>
    <x v="1"/>
    <x v="1"/>
    <x v="0"/>
    <b v="0"/>
    <x v="0"/>
    <x v="0"/>
    <b v="0"/>
  </r>
  <r>
    <n v="9507186"/>
    <s v="123-008-113-008"/>
    <x v="6"/>
    <x v="5"/>
    <d v="2022-12-13T00:00:00"/>
    <s v="Anthony Roberts"/>
    <d v="2023-01-04T00:00:00"/>
    <d v="2023-02-12T00:00:00"/>
    <m/>
    <x v="1"/>
    <x v="1"/>
    <x v="0"/>
    <b v="0"/>
    <x v="0"/>
    <x v="0"/>
    <b v="0"/>
  </r>
  <r>
    <n v="1878547"/>
    <s v="123-006-126-005"/>
    <x v="5"/>
    <x v="2"/>
    <d v="2023-01-31T00:00:00"/>
    <s v="Emily Baker"/>
    <d v="2023-02-10T00:00:00"/>
    <m/>
    <s v="rescinded"/>
    <x v="0"/>
    <x v="1"/>
    <x v="1"/>
    <b v="0"/>
    <x v="0"/>
    <x v="0"/>
    <b v="0"/>
  </r>
  <r>
    <n v="5227787"/>
    <s v="123-010-124-001"/>
    <x v="15"/>
    <x v="6"/>
    <d v="2022-05-25T00:00:00"/>
    <s v="Donna Nelson"/>
    <d v="2022-06-24T00:00:00"/>
    <m/>
    <s v="rescinded"/>
    <x v="0"/>
    <x v="1"/>
    <x v="1"/>
    <b v="0"/>
    <x v="0"/>
    <x v="0"/>
    <b v="0"/>
  </r>
  <r>
    <n v="5227787"/>
    <s v="123-010-124-002"/>
    <x v="15"/>
    <x v="6"/>
    <d v="2023-02-06T00:00:00"/>
    <s v="Carol Hall"/>
    <d v="2023-02-11T00:00:00"/>
    <m/>
    <s v="rescinded"/>
    <x v="0"/>
    <x v="1"/>
    <x v="1"/>
    <b v="0"/>
    <x v="0"/>
    <x v="0"/>
    <b v="0"/>
  </r>
  <r>
    <n v="2421349"/>
    <s v="123-009-110-001"/>
    <x v="12"/>
    <x v="8"/>
    <d v="2023-06-24T00:00:00"/>
    <s v="Isabella Rodriguez"/>
    <d v="2023-06-27T00:00:00"/>
    <d v="2023-08-08T00:00:00"/>
    <s v="new to org"/>
    <x v="1"/>
    <x v="1"/>
    <x v="0"/>
    <b v="0"/>
    <x v="0"/>
    <x v="0"/>
    <b v="1"/>
  </r>
  <r>
    <n v="2421349"/>
    <s v="123-009-110-002"/>
    <x v="12"/>
    <x v="8"/>
    <d v="2022-11-13T00:00:00"/>
    <s v="Mary White"/>
    <d v="2022-11-19T00:00:00"/>
    <d v="2022-12-03T00:00:00"/>
    <s v="new to org"/>
    <x v="1"/>
    <x v="1"/>
    <x v="0"/>
    <b v="0"/>
    <x v="0"/>
    <x v="0"/>
    <b v="1"/>
  </r>
  <r>
    <n v="2421349"/>
    <s v="123-009-110-003"/>
    <x v="12"/>
    <x v="8"/>
    <d v="2022-05-21T00:00:00"/>
    <s v="Richard Anderson"/>
    <d v="2022-05-26T00:00:00"/>
    <d v="2022-05-31T00:00:00"/>
    <m/>
    <x v="1"/>
    <x v="1"/>
    <x v="0"/>
    <b v="0"/>
    <x v="0"/>
    <x v="0"/>
    <b v="0"/>
  </r>
  <r>
    <n v="2421349"/>
    <s v="123-009-110-004"/>
    <x v="12"/>
    <x v="8"/>
    <d v="2023-06-04T00:00:00"/>
    <s v="Sophia Miller"/>
    <d v="2023-06-29T00:00:00"/>
    <m/>
    <s v="rescinded"/>
    <x v="0"/>
    <x v="1"/>
    <x v="1"/>
    <b v="0"/>
    <x v="0"/>
    <x v="0"/>
    <b v="0"/>
  </r>
  <r>
    <n v="9833734"/>
    <s v="123-006-102-001"/>
    <x v="27"/>
    <x v="2"/>
    <d v="2022-06-16T00:00:00"/>
    <s v="Matthew Martinez"/>
    <d v="2022-06-22T00:00:00"/>
    <m/>
    <s v="declined"/>
    <x v="0"/>
    <x v="0"/>
    <x v="0"/>
    <b v="0"/>
    <x v="0"/>
    <x v="0"/>
    <b v="0"/>
  </r>
  <r>
    <n v="9833734"/>
    <s v="123-006-102-002"/>
    <x v="27"/>
    <x v="2"/>
    <d v="2022-02-14T00:00:00"/>
    <s v="George Lewis"/>
    <d v="2022-02-28T00:00:00"/>
    <d v="2022-03-24T00:00:00"/>
    <s v="promo"/>
    <x v="1"/>
    <x v="1"/>
    <x v="0"/>
    <b v="0"/>
    <x v="0"/>
    <x v="1"/>
    <b v="0"/>
  </r>
  <r>
    <n v="9833734"/>
    <s v="123-006-102-003"/>
    <x v="27"/>
    <x v="2"/>
    <d v="2022-10-19T00:00:00"/>
    <s v="Mark Flores"/>
    <d v="2022-11-13T00:00:00"/>
    <d v="2022-12-31T00:00:00"/>
    <s v="promo"/>
    <x v="1"/>
    <x v="1"/>
    <x v="0"/>
    <b v="0"/>
    <x v="0"/>
    <x v="1"/>
    <b v="0"/>
  </r>
  <r>
    <n v="9833734"/>
    <s v="123-006-102-004"/>
    <x v="27"/>
    <x v="2"/>
    <d v="2022-11-13T00:00:00"/>
    <s v="Paul Thomas"/>
    <d v="2022-12-09T00:00:00"/>
    <d v="2023-01-29T00:00:00"/>
    <s v="promo"/>
    <x v="1"/>
    <x v="1"/>
    <x v="0"/>
    <b v="0"/>
    <x v="0"/>
    <x v="1"/>
    <b v="0"/>
  </r>
  <r>
    <n v="9833734"/>
    <s v="123-006-102-005"/>
    <x v="27"/>
    <x v="2"/>
    <d v="2023-03-28T00:00:00"/>
    <s v="Lisa Baker"/>
    <d v="2023-04-12T00:00:00"/>
    <d v="2023-06-01T00:00:00"/>
    <s v="promo"/>
    <x v="1"/>
    <x v="1"/>
    <x v="0"/>
    <b v="0"/>
    <x v="0"/>
    <x v="1"/>
    <b v="0"/>
  </r>
  <r>
    <n v="5727345"/>
    <s v="123-007-125-003"/>
    <x v="3"/>
    <x v="4"/>
    <d v="2022-05-22T00:00:00"/>
    <s v="Isabella Gonzalez"/>
    <d v="2022-06-19T00:00:00"/>
    <d v="2022-07-06T00:00:00"/>
    <s v="promo"/>
    <x v="1"/>
    <x v="1"/>
    <x v="0"/>
    <b v="0"/>
    <x v="0"/>
    <x v="1"/>
    <b v="0"/>
  </r>
  <r>
    <n v="5727345"/>
    <s v="123-007-125-004"/>
    <x v="3"/>
    <x v="4"/>
    <d v="2023-01-16T00:00:00"/>
    <s v="Donald Parker"/>
    <d v="2023-02-03T00:00:00"/>
    <m/>
    <s v="declined"/>
    <x v="0"/>
    <x v="0"/>
    <x v="0"/>
    <b v="0"/>
    <x v="0"/>
    <x v="0"/>
    <b v="0"/>
  </r>
  <r>
    <n v="5727345"/>
    <s v="123-007-125-005"/>
    <x v="3"/>
    <x v="4"/>
    <d v="2022-06-14T00:00:00"/>
    <s v="Charles Garcia"/>
    <d v="2022-06-23T00:00:00"/>
    <d v="2022-07-22T00:00:00"/>
    <s v="transfer"/>
    <x v="1"/>
    <x v="1"/>
    <x v="0"/>
    <b v="0"/>
    <x v="1"/>
    <x v="0"/>
    <b v="0"/>
  </r>
  <r>
    <n v="5727345"/>
    <s v="123-007-125-006"/>
    <x v="3"/>
    <x v="4"/>
    <d v="2022-04-04T00:00:00"/>
    <s v="Mason Ramirez"/>
    <d v="2022-05-04T00:00:00"/>
    <d v="2022-05-19T00:00:00"/>
    <s v="promo"/>
    <x v="1"/>
    <x v="1"/>
    <x v="0"/>
    <b v="0"/>
    <x v="0"/>
    <x v="1"/>
    <b v="0"/>
  </r>
  <r>
    <n v="5727345"/>
    <s v="123-007-125-007"/>
    <x v="3"/>
    <x v="4"/>
    <d v="2023-03-01T00:00:00"/>
    <s v="Jackson Johnson"/>
    <d v="2023-03-03T00:00:00"/>
    <d v="2023-03-29T00:00:00"/>
    <s v="new to org"/>
    <x v="1"/>
    <x v="1"/>
    <x v="0"/>
    <b v="0"/>
    <x v="0"/>
    <x v="0"/>
    <b v="1"/>
  </r>
  <r>
    <n v="9422281"/>
    <s v="123-004-112-001"/>
    <x v="28"/>
    <x v="1"/>
    <d v="2022-11-23T00:00:00"/>
    <s v="Joseph Johnson"/>
    <d v="2022-12-23T00:00:00"/>
    <d v="2022-12-30T00:00:00"/>
    <s v="new to org"/>
    <x v="1"/>
    <x v="1"/>
    <x v="0"/>
    <b v="0"/>
    <x v="0"/>
    <x v="0"/>
    <b v="1"/>
  </r>
  <r>
    <n v="9422281"/>
    <s v="123-004-112-002"/>
    <x v="28"/>
    <x v="1"/>
    <d v="2022-05-21T00:00:00"/>
    <s v="Sophia Martinez"/>
    <d v="2022-05-23T00:00:00"/>
    <d v="2022-06-11T00:00:00"/>
    <s v="new to org"/>
    <x v="1"/>
    <x v="1"/>
    <x v="0"/>
    <b v="0"/>
    <x v="0"/>
    <x v="0"/>
    <b v="1"/>
  </r>
  <r>
    <n v="9422281"/>
    <s v="123-004-112-003"/>
    <x v="28"/>
    <x v="1"/>
    <d v="2022-05-23T00:00:00"/>
    <s v="Brian Turner"/>
    <d v="2022-06-17T00:00:00"/>
    <d v="2022-08-02T00:00:00"/>
    <m/>
    <x v="1"/>
    <x v="1"/>
    <x v="0"/>
    <b v="0"/>
    <x v="0"/>
    <x v="0"/>
    <b v="0"/>
  </r>
  <r>
    <n v="9422281"/>
    <s v="123-004-112-004"/>
    <x v="28"/>
    <x v="1"/>
    <d v="2022-01-20T00:00:00"/>
    <s v="Lucas Garcia"/>
    <d v="2022-01-29T00:00:00"/>
    <d v="2022-02-12T00:00:00"/>
    <s v="transfer"/>
    <x v="1"/>
    <x v="1"/>
    <x v="0"/>
    <b v="0"/>
    <x v="1"/>
    <x v="0"/>
    <b v="0"/>
  </r>
  <r>
    <n v="3508522"/>
    <s v="123-010-118-001"/>
    <x v="1"/>
    <x v="6"/>
    <d v="2022-05-05T00:00:00"/>
    <s v="Jessica Martin"/>
    <d v="2022-05-07T00:00:00"/>
    <d v="2022-05-23T00:00:00"/>
    <s v="new to org"/>
    <x v="1"/>
    <x v="1"/>
    <x v="0"/>
    <b v="0"/>
    <x v="0"/>
    <x v="0"/>
    <b v="1"/>
  </r>
  <r>
    <n v="3508522"/>
    <s v="123-010-118-002"/>
    <x v="1"/>
    <x v="6"/>
    <d v="2023-05-27T00:00:00"/>
    <s v="John Davis"/>
    <d v="2023-06-16T00:00:00"/>
    <d v="2023-07-21T00:00:00"/>
    <m/>
    <x v="1"/>
    <x v="1"/>
    <x v="0"/>
    <b v="0"/>
    <x v="0"/>
    <x v="0"/>
    <b v="0"/>
  </r>
  <r>
    <n v="3508522"/>
    <s v="123-010-118-003"/>
    <x v="1"/>
    <x v="6"/>
    <d v="2022-09-05T00:00:00"/>
    <s v="Steven Torres"/>
    <d v="2022-09-28T00:00:00"/>
    <m/>
    <s v="declined"/>
    <x v="0"/>
    <x v="0"/>
    <x v="0"/>
    <b v="0"/>
    <x v="0"/>
    <x v="0"/>
    <b v="0"/>
  </r>
  <r>
    <n v="3508522"/>
    <s v="123-010-118-004"/>
    <x v="1"/>
    <x v="6"/>
    <d v="2022-12-28T00:00:00"/>
    <s v="Margaret Smith"/>
    <d v="2023-01-05T00:00:00"/>
    <m/>
    <s v="declined"/>
    <x v="0"/>
    <x v="0"/>
    <x v="0"/>
    <b v="0"/>
    <x v="0"/>
    <x v="0"/>
    <b v="0"/>
  </r>
  <r>
    <n v="3508522"/>
    <s v="123-010-118-005"/>
    <x v="1"/>
    <x v="6"/>
    <d v="2022-03-29T00:00:00"/>
    <s v="Kevin Nelson"/>
    <d v="2022-04-15T00:00:00"/>
    <d v="2022-05-09T00:00:00"/>
    <s v="promo"/>
    <x v="1"/>
    <x v="1"/>
    <x v="0"/>
    <b v="0"/>
    <x v="0"/>
    <x v="1"/>
    <b v="0"/>
  </r>
  <r>
    <n v="2135470"/>
    <s v="123-009-117-001"/>
    <x v="9"/>
    <x v="8"/>
    <d v="2023-04-27T00:00:00"/>
    <s v="Matthew Parker"/>
    <d v="2023-04-29T00:00:00"/>
    <d v="2023-06-09T00:00:00"/>
    <s v="transfer"/>
    <x v="1"/>
    <x v="1"/>
    <x v="0"/>
    <b v="0"/>
    <x v="1"/>
    <x v="0"/>
    <b v="0"/>
  </r>
  <r>
    <n v="2135470"/>
    <s v="123-009-117-002"/>
    <x v="9"/>
    <x v="8"/>
    <d v="2022-01-17T00:00:00"/>
    <s v="Thomas Mitchell"/>
    <d v="2022-01-29T00:00:00"/>
    <d v="2022-03-21T00:00:00"/>
    <s v="new to org"/>
    <x v="1"/>
    <x v="1"/>
    <x v="0"/>
    <b v="0"/>
    <x v="0"/>
    <x v="0"/>
    <b v="1"/>
  </r>
  <r>
    <n v="2135470"/>
    <s v="123-009-117-003"/>
    <x v="9"/>
    <x v="8"/>
    <d v="2022-04-17T00:00:00"/>
    <s v="Jessica Campbell"/>
    <d v="2022-05-12T00:00:00"/>
    <m/>
    <s v="declined"/>
    <x v="0"/>
    <x v="0"/>
    <x v="0"/>
    <b v="0"/>
    <x v="0"/>
    <x v="0"/>
    <b v="0"/>
  </r>
  <r>
    <n v="2135470"/>
    <s v="123-009-117-004"/>
    <x v="9"/>
    <x v="8"/>
    <d v="2022-12-27T00:00:00"/>
    <s v="William Williams"/>
    <d v="2023-01-14T00:00:00"/>
    <d v="2023-02-05T00:00:00"/>
    <s v="new to org"/>
    <x v="1"/>
    <x v="1"/>
    <x v="0"/>
    <b v="0"/>
    <x v="0"/>
    <x v="0"/>
    <b v="1"/>
  </r>
  <r>
    <n v="2135470"/>
    <s v="123-009-117-005"/>
    <x v="9"/>
    <x v="8"/>
    <d v="2023-04-21T00:00:00"/>
    <s v="Mason Roberts"/>
    <d v="2023-05-14T00:00:00"/>
    <d v="2023-06-14T00:00:00"/>
    <s v="promo"/>
    <x v="1"/>
    <x v="1"/>
    <x v="0"/>
    <b v="0"/>
    <x v="0"/>
    <x v="1"/>
    <b v="0"/>
  </r>
  <r>
    <n v="4058117"/>
    <s v="123-003-126-001"/>
    <x v="5"/>
    <x v="9"/>
    <d v="2022-07-26T00:00:00"/>
    <s v="Robert Jackson"/>
    <d v="2022-07-28T00:00:00"/>
    <d v="2022-09-17T00:00:00"/>
    <m/>
    <x v="1"/>
    <x v="1"/>
    <x v="0"/>
    <b v="0"/>
    <x v="0"/>
    <x v="0"/>
    <b v="0"/>
  </r>
  <r>
    <n v="4346548"/>
    <s v="123-001-129-001"/>
    <x v="14"/>
    <x v="3"/>
    <d v="2023-04-30T00:00:00"/>
    <s v="Isabella Wright"/>
    <d v="2023-05-09T00:00:00"/>
    <d v="2023-05-12T00:00:00"/>
    <m/>
    <x v="1"/>
    <x v="1"/>
    <x v="0"/>
    <b v="0"/>
    <x v="0"/>
    <x v="0"/>
    <b v="0"/>
  </r>
  <r>
    <n v="4346548"/>
    <s v="123-001-129-002"/>
    <x v="14"/>
    <x v="3"/>
    <d v="2022-02-18T00:00:00"/>
    <s v="Charles Thompson"/>
    <d v="2022-03-18T00:00:00"/>
    <d v="2022-04-29T00:00:00"/>
    <s v="promo"/>
    <x v="1"/>
    <x v="1"/>
    <x v="0"/>
    <b v="0"/>
    <x v="0"/>
    <x v="1"/>
    <b v="0"/>
  </r>
  <r>
    <n v="4346548"/>
    <s v="123-001-129-003"/>
    <x v="14"/>
    <x v="3"/>
    <d v="2023-03-24T00:00:00"/>
    <s v="Ethan White"/>
    <d v="2023-04-22T00:00:00"/>
    <d v="2023-05-18T00:00:00"/>
    <s v="transfer"/>
    <x v="1"/>
    <x v="1"/>
    <x v="0"/>
    <b v="0"/>
    <x v="1"/>
    <x v="0"/>
    <b v="0"/>
  </r>
  <r>
    <n v="8377556"/>
    <s v="123-007-129-001"/>
    <x v="14"/>
    <x v="4"/>
    <d v="2023-01-12T00:00:00"/>
    <s v="Brian Young"/>
    <d v="2023-02-11T00:00:00"/>
    <d v="2023-04-04T00:00:00"/>
    <m/>
    <x v="1"/>
    <x v="1"/>
    <x v="0"/>
    <b v="0"/>
    <x v="0"/>
    <x v="0"/>
    <b v="0"/>
  </r>
  <r>
    <n v="8377556"/>
    <s v="123-007-129-002"/>
    <x v="14"/>
    <x v="4"/>
    <d v="2022-03-22T00:00:00"/>
    <s v="George Ramirez"/>
    <d v="2022-04-05T00:00:00"/>
    <d v="2022-05-14T00:00:00"/>
    <s v="transfer"/>
    <x v="1"/>
    <x v="1"/>
    <x v="0"/>
    <b v="0"/>
    <x v="1"/>
    <x v="0"/>
    <b v="0"/>
  </r>
  <r>
    <n v="8377556"/>
    <s v="123-007-129-003"/>
    <x v="14"/>
    <x v="4"/>
    <d v="2022-11-25T00:00:00"/>
    <s v="Paul Jackson"/>
    <d v="2022-11-29T00:00:00"/>
    <d v="2022-12-05T00:00:00"/>
    <s v="promo"/>
    <x v="1"/>
    <x v="1"/>
    <x v="0"/>
    <b v="0"/>
    <x v="0"/>
    <x v="1"/>
    <b v="0"/>
  </r>
  <r>
    <n v="6501583"/>
    <s v="123-005-122-001"/>
    <x v="17"/>
    <x v="0"/>
    <d v="2023-03-31T00:00:00"/>
    <s v="David Hall"/>
    <d v="2023-04-12T00:00:00"/>
    <d v="2023-05-11T00:00:00"/>
    <m/>
    <x v="1"/>
    <x v="1"/>
    <x v="0"/>
    <b v="0"/>
    <x v="0"/>
    <x v="0"/>
    <b v="0"/>
  </r>
  <r>
    <n v="6501583"/>
    <s v="123-005-122-002"/>
    <x v="17"/>
    <x v="0"/>
    <d v="2022-12-28T00:00:00"/>
    <s v="Logan Collins"/>
    <d v="2023-01-17T00:00:00"/>
    <m/>
    <s v="declined"/>
    <x v="0"/>
    <x v="0"/>
    <x v="0"/>
    <b v="0"/>
    <x v="0"/>
    <x v="0"/>
    <b v="0"/>
  </r>
  <r>
    <n v="6501583"/>
    <s v="123-005-122-003"/>
    <x v="17"/>
    <x v="0"/>
    <d v="2022-02-28T00:00:00"/>
    <s v="Kenneth Gomez"/>
    <d v="2022-03-03T00:00:00"/>
    <d v="2022-04-15T00:00:00"/>
    <s v="new to org"/>
    <x v="1"/>
    <x v="1"/>
    <x v="0"/>
    <b v="0"/>
    <x v="0"/>
    <x v="0"/>
    <b v="1"/>
  </r>
  <r>
    <n v="7815076"/>
    <s v="123-009-112-001"/>
    <x v="28"/>
    <x v="8"/>
    <d v="2023-03-25T00:00:00"/>
    <s v="Mia Hill"/>
    <d v="2023-03-27T00:00:00"/>
    <d v="2023-04-05T00:00:00"/>
    <s v="promo"/>
    <x v="1"/>
    <x v="1"/>
    <x v="0"/>
    <b v="0"/>
    <x v="0"/>
    <x v="1"/>
    <b v="0"/>
  </r>
  <r>
    <n v="7815076"/>
    <s v="123-009-112-002"/>
    <x v="28"/>
    <x v="8"/>
    <d v="2023-01-11T00:00:00"/>
    <s v="Deborah Adams"/>
    <d v="2023-01-23T00:00:00"/>
    <m/>
    <s v="declined"/>
    <x v="0"/>
    <x v="0"/>
    <x v="0"/>
    <b v="0"/>
    <x v="0"/>
    <x v="0"/>
    <b v="0"/>
  </r>
  <r>
    <n v="7423230"/>
    <s v="123-001-119-001"/>
    <x v="2"/>
    <x v="3"/>
    <d v="2023-01-16T00:00:00"/>
    <s v="Mark White"/>
    <d v="2023-01-31T00:00:00"/>
    <m/>
    <s v="declined"/>
    <x v="0"/>
    <x v="0"/>
    <x v="0"/>
    <b v="0"/>
    <x v="0"/>
    <x v="0"/>
    <b v="0"/>
  </r>
  <r>
    <n v="7423230"/>
    <s v="123-001-119-002"/>
    <x v="2"/>
    <x v="3"/>
    <d v="2023-02-12T00:00:00"/>
    <s v="Kimberly White"/>
    <d v="2023-02-23T00:00:00"/>
    <d v="2023-04-06T00:00:00"/>
    <s v="promo"/>
    <x v="1"/>
    <x v="1"/>
    <x v="0"/>
    <b v="0"/>
    <x v="0"/>
    <x v="1"/>
    <b v="0"/>
  </r>
  <r>
    <n v="7423230"/>
    <s v="123-001-119-003"/>
    <x v="2"/>
    <x v="3"/>
    <d v="2022-07-10T00:00:00"/>
    <s v="Linda Johnson"/>
    <d v="2022-07-26T00:00:00"/>
    <m/>
    <s v="rescinded"/>
    <x v="0"/>
    <x v="1"/>
    <x v="1"/>
    <b v="0"/>
    <x v="0"/>
    <x v="0"/>
    <b v="0"/>
  </r>
  <r>
    <n v="7423230"/>
    <s v="123-001-119-004"/>
    <x v="2"/>
    <x v="3"/>
    <d v="2022-09-24T00:00:00"/>
    <s v="Thomas Roberts"/>
    <d v="2022-10-17T00:00:00"/>
    <d v="2022-11-15T00:00:00"/>
    <s v="transfer"/>
    <x v="1"/>
    <x v="1"/>
    <x v="0"/>
    <b v="0"/>
    <x v="1"/>
    <x v="0"/>
    <b v="0"/>
  </r>
  <r>
    <n v="7423230"/>
    <s v="123-001-119-005"/>
    <x v="2"/>
    <x v="3"/>
    <d v="2023-05-18T00:00:00"/>
    <s v="Michelle Jackson"/>
    <d v="2023-05-25T00:00:00"/>
    <m/>
    <s v="rescinded"/>
    <x v="0"/>
    <x v="1"/>
    <x v="1"/>
    <b v="0"/>
    <x v="0"/>
    <x v="0"/>
    <b v="0"/>
  </r>
  <r>
    <n v="3057514"/>
    <s v="123-002-105-001"/>
    <x v="7"/>
    <x v="7"/>
    <d v="2022-03-31T00:00:00"/>
    <s v="Dorothy Lewis"/>
    <d v="2022-04-26T00:00:00"/>
    <m/>
    <s v="declined"/>
    <x v="0"/>
    <x v="0"/>
    <x v="0"/>
    <b v="0"/>
    <x v="0"/>
    <x v="0"/>
    <b v="0"/>
  </r>
  <r>
    <n v="3057514"/>
    <s v="123-002-105-002"/>
    <x v="7"/>
    <x v="7"/>
    <d v="2022-03-08T00:00:00"/>
    <s v="Kevin Thompson"/>
    <d v="2022-03-26T00:00:00"/>
    <d v="2022-04-30T00:00:00"/>
    <s v="new to org"/>
    <x v="1"/>
    <x v="1"/>
    <x v="0"/>
    <b v="0"/>
    <x v="0"/>
    <x v="0"/>
    <b v="1"/>
  </r>
  <r>
    <n v="3057514"/>
    <s v="123-002-105-003"/>
    <x v="7"/>
    <x v="7"/>
    <d v="2022-06-11T00:00:00"/>
    <s v="Karen Diaz"/>
    <d v="2022-07-04T00:00:00"/>
    <m/>
    <s v="rescinded"/>
    <x v="0"/>
    <x v="1"/>
    <x v="1"/>
    <b v="0"/>
    <x v="0"/>
    <x v="0"/>
    <b v="0"/>
  </r>
  <r>
    <n v="3057514"/>
    <s v="123-002-105-004"/>
    <x v="7"/>
    <x v="7"/>
    <d v="2023-06-05T00:00:00"/>
    <s v="Sophia White"/>
    <d v="2023-06-13T00:00:00"/>
    <d v="2023-06-21T00:00:00"/>
    <s v="promo"/>
    <x v="1"/>
    <x v="1"/>
    <x v="0"/>
    <b v="0"/>
    <x v="0"/>
    <x v="1"/>
    <b v="0"/>
  </r>
  <r>
    <n v="4371891"/>
    <s v="123-003-126-002"/>
    <x v="5"/>
    <x v="9"/>
    <d v="2023-01-13T00:00:00"/>
    <s v="Lisa Scott"/>
    <d v="2023-01-28T00:00:00"/>
    <d v="2023-03-21T00:00:00"/>
    <s v="transfer"/>
    <x v="1"/>
    <x v="1"/>
    <x v="0"/>
    <b v="0"/>
    <x v="1"/>
    <x v="0"/>
    <b v="0"/>
  </r>
  <r>
    <n v="4371891"/>
    <s v="123-003-126-003"/>
    <x v="5"/>
    <x v="9"/>
    <d v="2022-03-30T00:00:00"/>
    <s v="Michelle Cruz"/>
    <d v="2022-04-02T00:00:00"/>
    <d v="2022-04-22T00:00:00"/>
    <s v="promo"/>
    <x v="1"/>
    <x v="1"/>
    <x v="0"/>
    <b v="0"/>
    <x v="0"/>
    <x v="1"/>
    <b v="0"/>
  </r>
  <r>
    <n v="7680015"/>
    <s v="123-008-123-001"/>
    <x v="19"/>
    <x v="5"/>
    <d v="2022-03-17T00:00:00"/>
    <s v="Isabella Torres"/>
    <d v="2022-03-22T00:00:00"/>
    <d v="2022-04-12T00:00:00"/>
    <m/>
    <x v="1"/>
    <x v="1"/>
    <x v="0"/>
    <b v="0"/>
    <x v="0"/>
    <x v="0"/>
    <b v="0"/>
  </r>
  <r>
    <n v="7680015"/>
    <s v="123-008-123-002"/>
    <x v="19"/>
    <x v="5"/>
    <d v="2023-06-14T00:00:00"/>
    <s v="Sandra Baker"/>
    <d v="2023-06-26T00:00:00"/>
    <d v="2023-07-05T00:00:00"/>
    <m/>
    <x v="1"/>
    <x v="1"/>
    <x v="0"/>
    <b v="0"/>
    <x v="0"/>
    <x v="0"/>
    <b v="0"/>
  </r>
  <r>
    <n v="7680015"/>
    <s v="123-008-123-003"/>
    <x v="19"/>
    <x v="5"/>
    <d v="2023-03-20T00:00:00"/>
    <s v="Deborah Rodriguez"/>
    <d v="2023-04-06T00:00:00"/>
    <d v="2023-06-04T00:00:00"/>
    <s v="promo"/>
    <x v="1"/>
    <x v="1"/>
    <x v="0"/>
    <b v="0"/>
    <x v="0"/>
    <x v="1"/>
    <b v="0"/>
  </r>
  <r>
    <n v="7680015"/>
    <s v="123-008-123-004"/>
    <x v="19"/>
    <x v="5"/>
    <d v="2022-11-08T00:00:00"/>
    <s v="Kimberly Martinez"/>
    <d v="2022-11-14T00:00:00"/>
    <d v="2022-11-25T00:00:00"/>
    <s v="transfer"/>
    <x v="1"/>
    <x v="1"/>
    <x v="0"/>
    <b v="0"/>
    <x v="1"/>
    <x v="0"/>
    <b v="0"/>
  </r>
  <r>
    <n v="7680015"/>
    <s v="123-008-123-005"/>
    <x v="19"/>
    <x v="5"/>
    <d v="2022-10-18T00:00:00"/>
    <s v="Daniel King"/>
    <d v="2022-11-15T00:00:00"/>
    <d v="2022-11-21T00:00:00"/>
    <s v="promo"/>
    <x v="1"/>
    <x v="1"/>
    <x v="0"/>
    <b v="0"/>
    <x v="0"/>
    <x v="1"/>
    <b v="0"/>
  </r>
  <r>
    <n v="5204459"/>
    <s v="123-009-107-001"/>
    <x v="26"/>
    <x v="8"/>
    <d v="2022-04-06T00:00:00"/>
    <s v="Karen Flores"/>
    <d v="2022-04-23T00:00:00"/>
    <m/>
    <s v="declined"/>
    <x v="0"/>
    <x v="0"/>
    <x v="0"/>
    <b v="0"/>
    <x v="0"/>
    <x v="0"/>
    <b v="0"/>
  </r>
  <r>
    <n v="5204459"/>
    <s v="123-009-107-002"/>
    <x v="26"/>
    <x v="8"/>
    <d v="2022-12-12T00:00:00"/>
    <s v="David Nelson"/>
    <d v="2023-01-08T00:00:00"/>
    <d v="2023-03-09T00:00:00"/>
    <s v="promo"/>
    <x v="1"/>
    <x v="1"/>
    <x v="0"/>
    <b v="0"/>
    <x v="0"/>
    <x v="1"/>
    <b v="0"/>
  </r>
  <r>
    <n v="5204459"/>
    <s v="123-009-107-003"/>
    <x v="26"/>
    <x v="8"/>
    <d v="2022-09-29T00:00:00"/>
    <s v="Jennifer Williams"/>
    <d v="2022-10-20T00:00:00"/>
    <d v="2022-11-03T00:00:00"/>
    <s v="transfer"/>
    <x v="1"/>
    <x v="1"/>
    <x v="0"/>
    <b v="0"/>
    <x v="1"/>
    <x v="0"/>
    <b v="0"/>
  </r>
  <r>
    <n v="7989166"/>
    <s v="123-001-120-001"/>
    <x v="13"/>
    <x v="3"/>
    <d v="2023-05-10T00:00:00"/>
    <s v="Carol Martin"/>
    <d v="2023-05-18T00:00:00"/>
    <d v="2023-07-09T00:00:00"/>
    <s v="new to org"/>
    <x v="1"/>
    <x v="1"/>
    <x v="0"/>
    <b v="0"/>
    <x v="0"/>
    <x v="0"/>
    <b v="1"/>
  </r>
  <r>
    <n v="7989166"/>
    <s v="123-001-120-002"/>
    <x v="13"/>
    <x v="3"/>
    <d v="2022-03-16T00:00:00"/>
    <s v="Karen Robinson"/>
    <d v="2022-04-08T00:00:00"/>
    <d v="2022-04-12T00:00:00"/>
    <m/>
    <x v="1"/>
    <x v="1"/>
    <x v="0"/>
    <b v="0"/>
    <x v="0"/>
    <x v="0"/>
    <b v="0"/>
  </r>
  <r>
    <n v="7989166"/>
    <s v="123-001-120-003"/>
    <x v="13"/>
    <x v="3"/>
    <d v="2023-04-21T00:00:00"/>
    <s v="Anthony Walker"/>
    <d v="2023-04-28T00:00:00"/>
    <m/>
    <s v="declined"/>
    <x v="0"/>
    <x v="0"/>
    <x v="0"/>
    <b v="0"/>
    <x v="0"/>
    <x v="0"/>
    <b v="0"/>
  </r>
  <r>
    <n v="7989166"/>
    <s v="123-001-120-004"/>
    <x v="13"/>
    <x v="3"/>
    <d v="2022-11-23T00:00:00"/>
    <s v="Christopher Parker"/>
    <d v="2022-12-17T00:00:00"/>
    <d v="2023-02-11T00:00:00"/>
    <s v="promo"/>
    <x v="1"/>
    <x v="1"/>
    <x v="0"/>
    <b v="0"/>
    <x v="0"/>
    <x v="1"/>
    <b v="0"/>
  </r>
  <r>
    <n v="6794356"/>
    <s v="123-003-113-001"/>
    <x v="6"/>
    <x v="9"/>
    <d v="2023-04-23T00:00:00"/>
    <s v="Christopher Thomas"/>
    <d v="2023-04-27T00:00:00"/>
    <d v="2023-05-15T00:00:00"/>
    <s v="transfer"/>
    <x v="1"/>
    <x v="1"/>
    <x v="0"/>
    <b v="0"/>
    <x v="1"/>
    <x v="0"/>
    <b v="0"/>
  </r>
  <r>
    <n v="6794356"/>
    <s v="123-003-113-002"/>
    <x v="6"/>
    <x v="9"/>
    <d v="2022-10-25T00:00:00"/>
    <s v="Michael Brown"/>
    <d v="2022-11-07T00:00:00"/>
    <d v="2023-01-02T00:00:00"/>
    <s v="promo"/>
    <x v="1"/>
    <x v="1"/>
    <x v="0"/>
    <b v="0"/>
    <x v="0"/>
    <x v="1"/>
    <b v="0"/>
  </r>
  <r>
    <n v="6794356"/>
    <s v="123-003-113-003"/>
    <x v="6"/>
    <x v="9"/>
    <d v="2022-06-13T00:00:00"/>
    <s v="Logan Edwards"/>
    <d v="2022-07-10T00:00:00"/>
    <d v="2022-07-31T00:00:00"/>
    <s v="promo"/>
    <x v="1"/>
    <x v="1"/>
    <x v="0"/>
    <b v="0"/>
    <x v="0"/>
    <x v="1"/>
    <b v="0"/>
  </r>
  <r>
    <n v="6246485"/>
    <s v="123-003-107-001"/>
    <x v="26"/>
    <x v="9"/>
    <d v="2022-11-12T00:00:00"/>
    <s v="Ashley Cruz"/>
    <d v="2022-11-28T00:00:00"/>
    <d v="2022-11-30T00:00:00"/>
    <m/>
    <x v="1"/>
    <x v="1"/>
    <x v="0"/>
    <b v="0"/>
    <x v="0"/>
    <x v="0"/>
    <b v="0"/>
  </r>
  <r>
    <n v="6246485"/>
    <s v="123-003-107-002"/>
    <x v="26"/>
    <x v="9"/>
    <d v="2023-04-14T00:00:00"/>
    <s v="Betty Allen"/>
    <d v="2023-04-22T00:00:00"/>
    <m/>
    <s v="declined"/>
    <x v="0"/>
    <x v="0"/>
    <x v="0"/>
    <b v="0"/>
    <x v="0"/>
    <x v="0"/>
    <b v="0"/>
  </r>
  <r>
    <n v="6246485"/>
    <s v="123-003-107-003"/>
    <x v="26"/>
    <x v="9"/>
    <d v="2022-02-21T00:00:00"/>
    <s v="Daniel Brown"/>
    <d v="2022-03-03T00:00:00"/>
    <m/>
    <s v="rescinded"/>
    <x v="0"/>
    <x v="1"/>
    <x v="1"/>
    <b v="0"/>
    <x v="0"/>
    <x v="0"/>
    <b v="0"/>
  </r>
  <r>
    <n v="6246485"/>
    <s v="123-003-107-004"/>
    <x v="26"/>
    <x v="9"/>
    <d v="2022-01-09T00:00:00"/>
    <s v="Charles Wright"/>
    <d v="2022-02-06T00:00:00"/>
    <d v="2022-02-13T00:00:00"/>
    <m/>
    <x v="1"/>
    <x v="1"/>
    <x v="0"/>
    <b v="0"/>
    <x v="0"/>
    <x v="0"/>
    <b v="0"/>
  </r>
  <r>
    <n v="8229768"/>
    <s v="123-005-105-001"/>
    <x v="7"/>
    <x v="0"/>
    <d v="2022-02-22T00:00:00"/>
    <s v="Robert Sanchez"/>
    <d v="2022-03-13T00:00:00"/>
    <d v="2022-04-18T00:00:00"/>
    <s v="new to org"/>
    <x v="1"/>
    <x v="1"/>
    <x v="0"/>
    <b v="0"/>
    <x v="0"/>
    <x v="0"/>
    <b v="1"/>
  </r>
  <r>
    <n v="8229768"/>
    <s v="123-005-105-002"/>
    <x v="7"/>
    <x v="0"/>
    <d v="2022-03-17T00:00:00"/>
    <s v="Emily Jackson"/>
    <d v="2022-03-30T00:00:00"/>
    <m/>
    <s v="declined"/>
    <x v="0"/>
    <x v="0"/>
    <x v="0"/>
    <b v="0"/>
    <x v="0"/>
    <x v="0"/>
    <b v="0"/>
  </r>
  <r>
    <n v="8229768"/>
    <s v="123-005-105-003"/>
    <x v="7"/>
    <x v="0"/>
    <d v="2022-05-02T00:00:00"/>
    <s v="Isabella Flores"/>
    <d v="2022-05-07T00:00:00"/>
    <d v="2022-05-14T00:00:00"/>
    <s v="new to org"/>
    <x v="1"/>
    <x v="1"/>
    <x v="0"/>
    <b v="0"/>
    <x v="0"/>
    <x v="0"/>
    <b v="1"/>
  </r>
  <r>
    <n v="7608607"/>
    <s v="123-006-112-001"/>
    <x v="28"/>
    <x v="2"/>
    <d v="2023-06-06T00:00:00"/>
    <s v="Richard Hill"/>
    <d v="2023-06-19T00:00:00"/>
    <d v="2023-07-22T00:00:00"/>
    <s v="promo"/>
    <x v="1"/>
    <x v="1"/>
    <x v="0"/>
    <b v="0"/>
    <x v="0"/>
    <x v="1"/>
    <b v="0"/>
  </r>
  <r>
    <n v="7608607"/>
    <s v="123-006-112-002"/>
    <x v="28"/>
    <x v="2"/>
    <d v="2022-12-08T00:00:00"/>
    <s v="Robert Rodriguez"/>
    <d v="2023-01-03T00:00:00"/>
    <m/>
    <s v="declined"/>
    <x v="0"/>
    <x v="0"/>
    <x v="0"/>
    <b v="0"/>
    <x v="0"/>
    <x v="0"/>
    <b v="0"/>
  </r>
  <r>
    <n v="7608607"/>
    <s v="123-006-112-003"/>
    <x v="28"/>
    <x v="2"/>
    <d v="2023-06-12T00:00:00"/>
    <s v="Elizabeth Hill"/>
    <d v="2023-06-17T00:00:00"/>
    <d v="2023-07-08T00:00:00"/>
    <m/>
    <x v="1"/>
    <x v="1"/>
    <x v="0"/>
    <b v="0"/>
    <x v="0"/>
    <x v="0"/>
    <b v="0"/>
  </r>
  <r>
    <n v="7608607"/>
    <s v="123-006-112-004"/>
    <x v="28"/>
    <x v="2"/>
    <d v="2022-11-03T00:00:00"/>
    <s v="David Sanchez"/>
    <d v="2022-11-22T00:00:00"/>
    <d v="2022-12-14T00:00:00"/>
    <s v="new to org"/>
    <x v="1"/>
    <x v="1"/>
    <x v="0"/>
    <b v="0"/>
    <x v="0"/>
    <x v="0"/>
    <b v="1"/>
  </r>
  <r>
    <n v="7608607"/>
    <s v="123-006-112-005"/>
    <x v="28"/>
    <x v="2"/>
    <d v="2022-11-03T00:00:00"/>
    <s v="Dorothy Torres"/>
    <d v="2022-11-19T00:00:00"/>
    <d v="2023-01-11T00:00:00"/>
    <m/>
    <x v="1"/>
    <x v="1"/>
    <x v="0"/>
    <b v="0"/>
    <x v="0"/>
    <x v="0"/>
    <b v="0"/>
  </r>
  <r>
    <n v="1279121"/>
    <s v="123-006-112-006"/>
    <x v="28"/>
    <x v="2"/>
    <d v="2022-01-28T00:00:00"/>
    <s v="Sophia Edwards"/>
    <d v="2022-02-17T00:00:00"/>
    <d v="2022-03-20T00:00:00"/>
    <s v="new to org"/>
    <x v="1"/>
    <x v="1"/>
    <x v="0"/>
    <b v="0"/>
    <x v="0"/>
    <x v="0"/>
    <b v="1"/>
  </r>
  <r>
    <n v="5454861"/>
    <s v="123-010-121-002"/>
    <x v="20"/>
    <x v="6"/>
    <d v="2023-05-07T00:00:00"/>
    <s v="Patricia Nguyen"/>
    <d v="2023-05-13T00:00:00"/>
    <m/>
    <s v="declined"/>
    <x v="0"/>
    <x v="0"/>
    <x v="0"/>
    <b v="0"/>
    <x v="0"/>
    <x v="0"/>
    <b v="0"/>
  </r>
  <r>
    <n v="5454861"/>
    <s v="123-010-121-003"/>
    <x v="20"/>
    <x v="6"/>
    <d v="2022-09-06T00:00:00"/>
    <s v="Elizabeth Evans"/>
    <d v="2022-09-08T00:00:00"/>
    <d v="2022-10-15T00:00:00"/>
    <m/>
    <x v="1"/>
    <x v="1"/>
    <x v="0"/>
    <b v="0"/>
    <x v="0"/>
    <x v="0"/>
    <b v="0"/>
  </r>
  <r>
    <n v="5454861"/>
    <s v="123-010-121-004"/>
    <x v="20"/>
    <x v="6"/>
    <d v="2023-03-28T00:00:00"/>
    <s v="Richard Johnson"/>
    <d v="2023-04-08T00:00:00"/>
    <d v="2023-05-05T00:00:00"/>
    <s v="transfer"/>
    <x v="1"/>
    <x v="1"/>
    <x v="0"/>
    <b v="0"/>
    <x v="1"/>
    <x v="0"/>
    <b v="0"/>
  </r>
  <r>
    <n v="5454861"/>
    <s v="123-010-121-005"/>
    <x v="20"/>
    <x v="6"/>
    <d v="2023-02-25T00:00:00"/>
    <s v="Brian Wilson"/>
    <d v="2023-03-14T00:00:00"/>
    <m/>
    <s v="declined"/>
    <x v="0"/>
    <x v="0"/>
    <x v="0"/>
    <b v="0"/>
    <x v="0"/>
    <x v="0"/>
    <b v="0"/>
  </r>
  <r>
    <n v="5454861"/>
    <s v="123-010-121-006"/>
    <x v="20"/>
    <x v="6"/>
    <d v="2022-03-05T00:00:00"/>
    <s v="Logan Diaz"/>
    <d v="2022-03-28T00:00:00"/>
    <d v="2022-04-06T00:00:00"/>
    <m/>
    <x v="1"/>
    <x v="1"/>
    <x v="0"/>
    <b v="0"/>
    <x v="0"/>
    <x v="0"/>
    <b v="0"/>
  </r>
  <r>
    <n v="9702060"/>
    <s v="123-009-107-004"/>
    <x v="26"/>
    <x v="8"/>
    <d v="2022-11-18T00:00:00"/>
    <s v="Kimberly Harris"/>
    <d v="2022-11-24T00:00:00"/>
    <d v="2022-12-24T00:00:00"/>
    <m/>
    <x v="1"/>
    <x v="1"/>
    <x v="0"/>
    <b v="0"/>
    <x v="0"/>
    <x v="0"/>
    <b v="0"/>
  </r>
  <r>
    <n v="9702060"/>
    <s v="123-009-107-005"/>
    <x v="26"/>
    <x v="8"/>
    <d v="2022-09-28T00:00:00"/>
    <s v="Paul Thompson"/>
    <d v="2022-10-18T00:00:00"/>
    <d v="2022-11-18T00:00:00"/>
    <s v="new to org"/>
    <x v="1"/>
    <x v="1"/>
    <x v="0"/>
    <b v="0"/>
    <x v="0"/>
    <x v="0"/>
    <b v="1"/>
  </r>
  <r>
    <n v="9702060"/>
    <s v="123-009-107-006"/>
    <x v="26"/>
    <x v="8"/>
    <d v="2022-11-02T00:00:00"/>
    <s v="Jessica Moore"/>
    <d v="2022-11-10T00:00:00"/>
    <m/>
    <s v="declined"/>
    <x v="0"/>
    <x v="0"/>
    <x v="0"/>
    <b v="0"/>
    <x v="0"/>
    <x v="0"/>
    <b v="0"/>
  </r>
  <r>
    <n v="5993143"/>
    <s v="123-005-125-002"/>
    <x v="3"/>
    <x v="0"/>
    <d v="2022-12-24T00:00:00"/>
    <s v="Christopher Walker"/>
    <d v="2023-01-11T00:00:00"/>
    <d v="2023-03-12T00:00:00"/>
    <m/>
    <x v="1"/>
    <x v="1"/>
    <x v="0"/>
    <b v="0"/>
    <x v="0"/>
    <x v="0"/>
    <b v="0"/>
  </r>
  <r>
    <n v="5993143"/>
    <s v="123-005-125-003"/>
    <x v="3"/>
    <x v="0"/>
    <d v="2023-01-24T00:00:00"/>
    <s v="Charles Davis"/>
    <d v="2023-02-22T00:00:00"/>
    <d v="2023-03-20T00:00:00"/>
    <s v="new to org"/>
    <x v="1"/>
    <x v="1"/>
    <x v="0"/>
    <b v="0"/>
    <x v="0"/>
    <x v="0"/>
    <b v="1"/>
  </r>
  <r>
    <n v="6790398"/>
    <s v="123-003-125-001"/>
    <x v="3"/>
    <x v="9"/>
    <d v="2022-10-06T00:00:00"/>
    <s v="Emily Hall"/>
    <d v="2022-10-11T00:00:00"/>
    <m/>
    <s v="declined"/>
    <x v="0"/>
    <x v="0"/>
    <x v="0"/>
    <b v="0"/>
    <x v="0"/>
    <x v="0"/>
    <b v="0"/>
  </r>
  <r>
    <n v="6790398"/>
    <s v="123-003-125-002"/>
    <x v="3"/>
    <x v="9"/>
    <d v="2022-09-20T00:00:00"/>
    <s v="Daniel Lewis"/>
    <d v="2022-10-14T00:00:00"/>
    <d v="2022-11-14T00:00:00"/>
    <s v="transfer"/>
    <x v="1"/>
    <x v="1"/>
    <x v="0"/>
    <b v="0"/>
    <x v="1"/>
    <x v="0"/>
    <b v="0"/>
  </r>
  <r>
    <n v="6790398"/>
    <s v="123-003-125-003"/>
    <x v="3"/>
    <x v="9"/>
    <d v="2022-10-05T00:00:00"/>
    <s v="Isabella Wright"/>
    <d v="2022-11-04T00:00:00"/>
    <m/>
    <s v="rescinded"/>
    <x v="0"/>
    <x v="1"/>
    <x v="1"/>
    <b v="0"/>
    <x v="0"/>
    <x v="0"/>
    <b v="0"/>
  </r>
  <r>
    <n v="2832517"/>
    <s v="123-010-120-001"/>
    <x v="13"/>
    <x v="6"/>
    <d v="2023-06-28T00:00:00"/>
    <s v="Kevin Edwards"/>
    <d v="2023-07-06T00:00:00"/>
    <m/>
    <s v="declined"/>
    <x v="0"/>
    <x v="0"/>
    <x v="0"/>
    <b v="0"/>
    <x v="0"/>
    <x v="0"/>
    <b v="0"/>
  </r>
  <r>
    <n v="2832517"/>
    <s v="123-010-120-002"/>
    <x v="13"/>
    <x v="6"/>
    <d v="2022-12-05T00:00:00"/>
    <s v="Michael Clark"/>
    <d v="2022-12-28T00:00:00"/>
    <d v="2023-01-28T00:00:00"/>
    <s v="transfer"/>
    <x v="1"/>
    <x v="1"/>
    <x v="0"/>
    <b v="0"/>
    <x v="1"/>
    <x v="0"/>
    <b v="0"/>
  </r>
  <r>
    <n v="2686863"/>
    <s v="123-003-122-006"/>
    <x v="17"/>
    <x v="9"/>
    <d v="2023-05-03T00:00:00"/>
    <s v="Anthony Adams"/>
    <d v="2023-05-19T00:00:00"/>
    <d v="2023-06-30T00:00:00"/>
    <s v="promo"/>
    <x v="1"/>
    <x v="1"/>
    <x v="0"/>
    <b v="0"/>
    <x v="0"/>
    <x v="1"/>
    <b v="0"/>
  </r>
  <r>
    <n v="4346315"/>
    <s v="123-005-125-004"/>
    <x v="3"/>
    <x v="0"/>
    <d v="2022-04-02T00:00:00"/>
    <s v="Patricia Collins"/>
    <d v="2022-04-23T00:00:00"/>
    <m/>
    <s v="declined"/>
    <x v="0"/>
    <x v="0"/>
    <x v="0"/>
    <b v="0"/>
    <x v="0"/>
    <x v="0"/>
    <b v="0"/>
  </r>
  <r>
    <n v="4346315"/>
    <s v="123-005-125-005"/>
    <x v="3"/>
    <x v="0"/>
    <d v="2022-06-29T00:00:00"/>
    <s v="Ava Collins"/>
    <d v="2022-07-13T00:00:00"/>
    <d v="2022-09-08T00:00:00"/>
    <s v="transfer"/>
    <x v="1"/>
    <x v="1"/>
    <x v="0"/>
    <b v="0"/>
    <x v="1"/>
    <x v="0"/>
    <b v="0"/>
  </r>
  <r>
    <n v="4346315"/>
    <s v="123-005-125-006"/>
    <x v="3"/>
    <x v="0"/>
    <d v="2023-05-23T00:00:00"/>
    <s v="Mason Sanchez"/>
    <d v="2023-05-29T00:00:00"/>
    <d v="2023-07-28T00:00:00"/>
    <s v="transfer"/>
    <x v="1"/>
    <x v="1"/>
    <x v="0"/>
    <b v="0"/>
    <x v="1"/>
    <x v="0"/>
    <b v="0"/>
  </r>
  <r>
    <n v="5856449"/>
    <s v="123-001-129-004"/>
    <x v="14"/>
    <x v="3"/>
    <d v="2022-12-10T00:00:00"/>
    <s v="Joshua Miller"/>
    <d v="2022-12-20T00:00:00"/>
    <m/>
    <s v="declined"/>
    <x v="0"/>
    <x v="0"/>
    <x v="0"/>
    <b v="0"/>
    <x v="0"/>
    <x v="0"/>
    <b v="0"/>
  </r>
  <r>
    <n v="8622712"/>
    <s v="123-009-121-001"/>
    <x v="20"/>
    <x v="8"/>
    <d v="2023-04-25T00:00:00"/>
    <s v="Mia Allen"/>
    <d v="2023-05-04T00:00:00"/>
    <d v="2023-05-17T00:00:00"/>
    <s v="promo"/>
    <x v="1"/>
    <x v="1"/>
    <x v="0"/>
    <b v="0"/>
    <x v="0"/>
    <x v="1"/>
    <b v="0"/>
  </r>
  <r>
    <n v="8622712"/>
    <s v="123-009-121-002"/>
    <x v="20"/>
    <x v="8"/>
    <d v="2023-04-15T00:00:00"/>
    <s v="David Campbell"/>
    <d v="2023-05-06T00:00:00"/>
    <d v="2023-05-23T00:00:00"/>
    <s v="new to org"/>
    <x v="1"/>
    <x v="1"/>
    <x v="0"/>
    <b v="0"/>
    <x v="0"/>
    <x v="0"/>
    <b v="1"/>
  </r>
  <r>
    <n v="8622712"/>
    <s v="123-009-121-003"/>
    <x v="20"/>
    <x v="8"/>
    <d v="2022-10-30T00:00:00"/>
    <s v="Melissa Perez"/>
    <d v="2022-11-18T00:00:00"/>
    <d v="2023-01-01T00:00:00"/>
    <s v="transfer"/>
    <x v="1"/>
    <x v="1"/>
    <x v="0"/>
    <b v="0"/>
    <x v="1"/>
    <x v="0"/>
    <b v="0"/>
  </r>
  <r>
    <n v="8622712"/>
    <s v="123-009-121-004"/>
    <x v="20"/>
    <x v="8"/>
    <d v="2023-02-20T00:00:00"/>
    <s v="Michelle Diaz"/>
    <d v="2023-03-19T00:00:00"/>
    <d v="2023-04-16T00:00:00"/>
    <s v="promo"/>
    <x v="1"/>
    <x v="1"/>
    <x v="0"/>
    <b v="0"/>
    <x v="0"/>
    <x v="1"/>
    <b v="0"/>
  </r>
  <r>
    <n v="8622712"/>
    <s v="123-009-121-005"/>
    <x v="20"/>
    <x v="8"/>
    <d v="2022-04-08T00:00:00"/>
    <s v="Betty Nelson"/>
    <d v="2022-04-14T00:00:00"/>
    <d v="2022-04-23T00:00:00"/>
    <s v="transfer"/>
    <x v="1"/>
    <x v="1"/>
    <x v="0"/>
    <b v="0"/>
    <x v="1"/>
    <x v="0"/>
    <b v="0"/>
  </r>
  <r>
    <n v="9010350"/>
    <s v="123-004-111-001"/>
    <x v="29"/>
    <x v="1"/>
    <d v="2022-10-01T00:00:00"/>
    <s v="Jessica Lewis"/>
    <d v="2022-10-12T00:00:00"/>
    <m/>
    <s v="declined"/>
    <x v="0"/>
    <x v="0"/>
    <x v="0"/>
    <b v="0"/>
    <x v="0"/>
    <x v="0"/>
    <b v="0"/>
  </r>
  <r>
    <n v="6065810"/>
    <s v="123-010-119-001"/>
    <x v="2"/>
    <x v="6"/>
    <d v="2022-08-30T00:00:00"/>
    <s v="Lisa Hall"/>
    <d v="2022-09-01T00:00:00"/>
    <m/>
    <s v="declined"/>
    <x v="0"/>
    <x v="0"/>
    <x v="0"/>
    <b v="0"/>
    <x v="0"/>
    <x v="0"/>
    <b v="0"/>
  </r>
  <r>
    <n v="2983483"/>
    <s v="123-005-115-001"/>
    <x v="22"/>
    <x v="0"/>
    <d v="2022-10-30T00:00:00"/>
    <s v="Brian Davis"/>
    <d v="2022-11-11T00:00:00"/>
    <d v="2022-12-21T00:00:00"/>
    <s v="new to org"/>
    <x v="1"/>
    <x v="1"/>
    <x v="0"/>
    <b v="0"/>
    <x v="0"/>
    <x v="0"/>
    <b v="1"/>
  </r>
  <r>
    <n v="2983483"/>
    <s v="123-005-115-002"/>
    <x v="22"/>
    <x v="0"/>
    <d v="2022-06-06T00:00:00"/>
    <s v="William Walker"/>
    <d v="2022-06-21T00:00:00"/>
    <m/>
    <s v="rescinded"/>
    <x v="0"/>
    <x v="1"/>
    <x v="1"/>
    <b v="0"/>
    <x v="0"/>
    <x v="0"/>
    <b v="0"/>
  </r>
  <r>
    <n v="7268384"/>
    <s v="123-009-114-001"/>
    <x v="24"/>
    <x v="8"/>
    <d v="2022-03-25T00:00:00"/>
    <s v="Edward Thomas"/>
    <d v="2022-04-11T00:00:00"/>
    <d v="2022-05-10T00:00:00"/>
    <s v="promo"/>
    <x v="1"/>
    <x v="1"/>
    <x v="0"/>
    <b v="0"/>
    <x v="0"/>
    <x v="1"/>
    <b v="0"/>
  </r>
  <r>
    <n v="7268384"/>
    <s v="123-009-114-002"/>
    <x v="24"/>
    <x v="8"/>
    <d v="2022-04-25T00:00:00"/>
    <s v="John Collins"/>
    <d v="2022-04-27T00:00:00"/>
    <d v="2022-06-20T00:00:00"/>
    <s v="new to org"/>
    <x v="1"/>
    <x v="1"/>
    <x v="0"/>
    <b v="0"/>
    <x v="0"/>
    <x v="0"/>
    <b v="1"/>
  </r>
  <r>
    <n v="7268384"/>
    <s v="123-009-114-003"/>
    <x v="24"/>
    <x v="8"/>
    <d v="2022-06-03T00:00:00"/>
    <s v="Andrew Wright"/>
    <d v="2022-06-09T00:00:00"/>
    <d v="2022-06-30T00:00:00"/>
    <s v="promo"/>
    <x v="1"/>
    <x v="1"/>
    <x v="0"/>
    <b v="0"/>
    <x v="0"/>
    <x v="1"/>
    <b v="0"/>
  </r>
  <r>
    <n v="7268384"/>
    <s v="123-009-114-004"/>
    <x v="24"/>
    <x v="8"/>
    <d v="2022-07-30T00:00:00"/>
    <s v="Linda Baker"/>
    <d v="2022-08-22T00:00:00"/>
    <d v="2022-09-29T00:00:00"/>
    <m/>
    <x v="1"/>
    <x v="1"/>
    <x v="0"/>
    <b v="0"/>
    <x v="0"/>
    <x v="0"/>
    <b v="0"/>
  </r>
  <r>
    <n v="9201172"/>
    <s v="123-009-103-001"/>
    <x v="8"/>
    <x v="8"/>
    <d v="2023-03-02T00:00:00"/>
    <s v="William Allen"/>
    <d v="2023-03-17T00:00:00"/>
    <d v="2023-04-23T00:00:00"/>
    <m/>
    <x v="1"/>
    <x v="1"/>
    <x v="0"/>
    <b v="0"/>
    <x v="0"/>
    <x v="0"/>
    <b v="0"/>
  </r>
  <r>
    <n v="9201172"/>
    <s v="123-009-103-002"/>
    <x v="8"/>
    <x v="8"/>
    <d v="2022-11-12T00:00:00"/>
    <s v="Sandra Baker"/>
    <d v="2022-12-06T00:00:00"/>
    <m/>
    <s v="declined"/>
    <x v="0"/>
    <x v="0"/>
    <x v="0"/>
    <b v="0"/>
    <x v="0"/>
    <x v="0"/>
    <b v="0"/>
  </r>
  <r>
    <n v="9201172"/>
    <s v="123-009-103-003"/>
    <x v="8"/>
    <x v="8"/>
    <d v="2022-01-04T00:00:00"/>
    <s v="Thomas Evans"/>
    <d v="2022-01-28T00:00:00"/>
    <m/>
    <s v="declined"/>
    <x v="0"/>
    <x v="0"/>
    <x v="0"/>
    <b v="0"/>
    <x v="0"/>
    <x v="0"/>
    <b v="0"/>
  </r>
  <r>
    <n v="9201172"/>
    <s v="123-009-103-004"/>
    <x v="8"/>
    <x v="8"/>
    <d v="2023-03-10T00:00:00"/>
    <s v="John Williams"/>
    <d v="2023-03-22T00:00:00"/>
    <m/>
    <s v="rescinded"/>
    <x v="0"/>
    <x v="1"/>
    <x v="1"/>
    <b v="0"/>
    <x v="0"/>
    <x v="0"/>
    <b v="0"/>
  </r>
  <r>
    <n v="2069713"/>
    <s v="123-001-118-001"/>
    <x v="1"/>
    <x v="3"/>
    <d v="2023-02-23T00:00:00"/>
    <s v="Robert Jackson"/>
    <d v="2023-03-01T00:00:00"/>
    <d v="2023-04-20T00:00:00"/>
    <m/>
    <x v="1"/>
    <x v="1"/>
    <x v="0"/>
    <b v="0"/>
    <x v="0"/>
    <x v="0"/>
    <b v="0"/>
  </r>
  <r>
    <n v="3272119"/>
    <s v="123-007-125-008"/>
    <x v="3"/>
    <x v="4"/>
    <d v="2023-01-22T00:00:00"/>
    <s v="Mark Parker"/>
    <d v="2023-02-04T00:00:00"/>
    <d v="2023-02-10T00:00:00"/>
    <m/>
    <x v="1"/>
    <x v="1"/>
    <x v="0"/>
    <b v="0"/>
    <x v="0"/>
    <x v="0"/>
    <b v="0"/>
  </r>
  <r>
    <n v="3272119"/>
    <s v="123-007-125-009"/>
    <x v="3"/>
    <x v="4"/>
    <d v="2022-12-23T00:00:00"/>
    <s v="Carol Parker"/>
    <d v="2022-12-27T00:00:00"/>
    <d v="2023-01-08T00:00:00"/>
    <s v="promo"/>
    <x v="1"/>
    <x v="1"/>
    <x v="0"/>
    <b v="0"/>
    <x v="0"/>
    <x v="1"/>
    <b v="0"/>
  </r>
  <r>
    <n v="3272119"/>
    <s v="123-007-125-010"/>
    <x v="3"/>
    <x v="4"/>
    <d v="2022-08-17T00:00:00"/>
    <s v="Kimberly Rodriguez"/>
    <d v="2022-09-13T00:00:00"/>
    <d v="2022-09-14T00:00:00"/>
    <m/>
    <x v="1"/>
    <x v="1"/>
    <x v="0"/>
    <b v="0"/>
    <x v="0"/>
    <x v="0"/>
    <b v="0"/>
  </r>
  <r>
    <n v="1381435"/>
    <s v="123-008-110-001"/>
    <x v="12"/>
    <x v="5"/>
    <d v="2022-09-11T00:00:00"/>
    <s v="Isabella Anderson"/>
    <d v="2022-09-26T00:00:00"/>
    <d v="2022-10-19T00:00:00"/>
    <m/>
    <x v="1"/>
    <x v="1"/>
    <x v="0"/>
    <b v="0"/>
    <x v="0"/>
    <x v="0"/>
    <b v="0"/>
  </r>
  <r>
    <n v="1381435"/>
    <s v="123-008-110-002"/>
    <x v="12"/>
    <x v="5"/>
    <d v="2022-04-26T00:00:00"/>
    <s v="Richard Cruz"/>
    <d v="2022-04-28T00:00:00"/>
    <m/>
    <s v="declined"/>
    <x v="0"/>
    <x v="0"/>
    <x v="0"/>
    <b v="0"/>
    <x v="0"/>
    <x v="0"/>
    <b v="0"/>
  </r>
  <r>
    <n v="1381435"/>
    <s v="123-008-110-003"/>
    <x v="12"/>
    <x v="5"/>
    <d v="2022-01-17T00:00:00"/>
    <s v="Michelle Roberts"/>
    <d v="2022-01-25T00:00:00"/>
    <d v="2022-02-08T00:00:00"/>
    <m/>
    <x v="1"/>
    <x v="1"/>
    <x v="0"/>
    <b v="0"/>
    <x v="0"/>
    <x v="0"/>
    <b v="0"/>
  </r>
  <r>
    <n v="1381435"/>
    <s v="123-008-110-004"/>
    <x v="12"/>
    <x v="5"/>
    <d v="2023-04-03T00:00:00"/>
    <s v="Joshua Williams"/>
    <d v="2023-04-23T00:00:00"/>
    <m/>
    <s v="declined"/>
    <x v="0"/>
    <x v="0"/>
    <x v="0"/>
    <b v="0"/>
    <x v="0"/>
    <x v="0"/>
    <b v="0"/>
  </r>
  <r>
    <n v="1381435"/>
    <s v="123-008-110-005"/>
    <x v="12"/>
    <x v="5"/>
    <d v="2022-02-15T00:00:00"/>
    <s v="Jessica Mitchell"/>
    <d v="2022-02-28T00:00:00"/>
    <d v="2022-03-29T00:00:00"/>
    <s v="transfer"/>
    <x v="1"/>
    <x v="1"/>
    <x v="0"/>
    <b v="0"/>
    <x v="1"/>
    <x v="0"/>
    <b v="0"/>
  </r>
  <r>
    <n v="4931560"/>
    <s v="123-004-118-006"/>
    <x v="1"/>
    <x v="1"/>
    <d v="2022-11-23T00:00:00"/>
    <s v="Charles Anderson"/>
    <d v="2022-12-12T00:00:00"/>
    <m/>
    <s v="declined"/>
    <x v="0"/>
    <x v="0"/>
    <x v="0"/>
    <b v="0"/>
    <x v="0"/>
    <x v="0"/>
    <b v="0"/>
  </r>
  <r>
    <n v="6379867"/>
    <s v="123-005-108-001"/>
    <x v="11"/>
    <x v="0"/>
    <d v="2022-10-09T00:00:00"/>
    <s v="Anthony Martin"/>
    <d v="2022-10-11T00:00:00"/>
    <d v="2022-11-16T00:00:00"/>
    <s v="promo"/>
    <x v="1"/>
    <x v="1"/>
    <x v="0"/>
    <b v="0"/>
    <x v="0"/>
    <x v="1"/>
    <b v="0"/>
  </r>
  <r>
    <n v="6379867"/>
    <s v="123-005-108-002"/>
    <x v="11"/>
    <x v="0"/>
    <d v="2023-03-14T00:00:00"/>
    <s v="Kenneth Baker"/>
    <d v="2023-04-01T00:00:00"/>
    <d v="2023-05-03T00:00:00"/>
    <s v="promo"/>
    <x v="1"/>
    <x v="1"/>
    <x v="0"/>
    <b v="0"/>
    <x v="0"/>
    <x v="1"/>
    <b v="0"/>
  </r>
  <r>
    <n v="1786584"/>
    <s v="123-007-112-001"/>
    <x v="28"/>
    <x v="4"/>
    <d v="2022-06-02T00:00:00"/>
    <s v="Anthony Clark"/>
    <d v="2022-06-12T00:00:00"/>
    <m/>
    <s v="rescinded"/>
    <x v="0"/>
    <x v="1"/>
    <x v="1"/>
    <b v="0"/>
    <x v="0"/>
    <x v="0"/>
    <b v="0"/>
  </r>
  <r>
    <n v="1786584"/>
    <s v="123-007-112-002"/>
    <x v="28"/>
    <x v="4"/>
    <d v="2023-04-30T00:00:00"/>
    <s v="Edward Wright"/>
    <d v="2023-05-08T00:00:00"/>
    <m/>
    <s v="rescinded"/>
    <x v="0"/>
    <x v="1"/>
    <x v="1"/>
    <b v="0"/>
    <x v="0"/>
    <x v="0"/>
    <b v="0"/>
  </r>
  <r>
    <n v="1786584"/>
    <s v="123-007-112-003"/>
    <x v="28"/>
    <x v="4"/>
    <d v="2022-05-28T00:00:00"/>
    <s v="Mia Rivera"/>
    <d v="2022-06-23T00:00:00"/>
    <d v="2022-07-23T00:00:00"/>
    <s v="new to org"/>
    <x v="1"/>
    <x v="1"/>
    <x v="0"/>
    <b v="0"/>
    <x v="0"/>
    <x v="0"/>
    <b v="1"/>
  </r>
  <r>
    <n v="1786584"/>
    <s v="123-007-112-004"/>
    <x v="28"/>
    <x v="4"/>
    <d v="2023-06-27T00:00:00"/>
    <s v="Anthony Scott"/>
    <d v="2023-07-02T00:00:00"/>
    <d v="2023-07-27T00:00:00"/>
    <m/>
    <x v="1"/>
    <x v="1"/>
    <x v="0"/>
    <b v="0"/>
    <x v="0"/>
    <x v="0"/>
    <b v="0"/>
  </r>
  <r>
    <n v="1786584"/>
    <s v="123-007-112-005"/>
    <x v="28"/>
    <x v="4"/>
    <d v="2022-03-22T00:00:00"/>
    <s v="Susan Perez"/>
    <d v="2022-04-21T00:00:00"/>
    <m/>
    <s v="rescinded"/>
    <x v="0"/>
    <x v="1"/>
    <x v="1"/>
    <b v="0"/>
    <x v="0"/>
    <x v="0"/>
    <b v="0"/>
  </r>
  <r>
    <n v="8546170"/>
    <s v="123-006-128-002"/>
    <x v="10"/>
    <x v="2"/>
    <d v="2023-01-22T00:00:00"/>
    <s v="Patricia Moore"/>
    <d v="2023-02-13T00:00:00"/>
    <d v="2023-03-24T00:00:00"/>
    <s v="promo"/>
    <x v="1"/>
    <x v="1"/>
    <x v="0"/>
    <b v="0"/>
    <x v="0"/>
    <x v="1"/>
    <b v="0"/>
  </r>
  <r>
    <n v="1663497"/>
    <s v="123-002-128-001"/>
    <x v="10"/>
    <x v="7"/>
    <d v="2022-12-07T00:00:00"/>
    <s v="Donald Wilson"/>
    <d v="2022-12-17T00:00:00"/>
    <d v="2023-02-14T00:00:00"/>
    <s v="promo"/>
    <x v="1"/>
    <x v="1"/>
    <x v="0"/>
    <b v="0"/>
    <x v="0"/>
    <x v="1"/>
    <b v="0"/>
  </r>
  <r>
    <n v="1663497"/>
    <s v="123-002-128-002"/>
    <x v="10"/>
    <x v="7"/>
    <d v="2022-05-01T00:00:00"/>
    <s v="Jackson Gonzalez"/>
    <d v="2022-05-25T00:00:00"/>
    <m/>
    <s v="declined"/>
    <x v="0"/>
    <x v="0"/>
    <x v="0"/>
    <b v="0"/>
    <x v="0"/>
    <x v="0"/>
    <b v="0"/>
  </r>
  <r>
    <n v="9034958"/>
    <s v="123-004-130-001"/>
    <x v="23"/>
    <x v="1"/>
    <d v="2022-11-26T00:00:00"/>
    <s v="Ava Thomas"/>
    <d v="2022-12-21T00:00:00"/>
    <d v="2023-01-09T00:00:00"/>
    <m/>
    <x v="1"/>
    <x v="1"/>
    <x v="0"/>
    <b v="0"/>
    <x v="0"/>
    <x v="0"/>
    <b v="0"/>
  </r>
  <r>
    <n v="9034958"/>
    <s v="123-004-130-002"/>
    <x v="23"/>
    <x v="1"/>
    <d v="2023-01-04T00:00:00"/>
    <s v="Karen Taylor"/>
    <d v="2023-01-21T00:00:00"/>
    <d v="2023-03-19T00:00:00"/>
    <s v="new to org"/>
    <x v="1"/>
    <x v="1"/>
    <x v="0"/>
    <b v="0"/>
    <x v="0"/>
    <x v="0"/>
    <b v="1"/>
  </r>
  <r>
    <n v="9034958"/>
    <s v="123-004-130-003"/>
    <x v="23"/>
    <x v="1"/>
    <d v="2023-04-26T00:00:00"/>
    <s v="Ethan Campbell"/>
    <d v="2023-05-21T00:00:00"/>
    <d v="2023-07-14T00:00:00"/>
    <s v="transfer"/>
    <x v="1"/>
    <x v="1"/>
    <x v="0"/>
    <b v="0"/>
    <x v="1"/>
    <x v="0"/>
    <b v="0"/>
  </r>
  <r>
    <n v="9034958"/>
    <s v="123-004-130-004"/>
    <x v="23"/>
    <x v="1"/>
    <d v="2023-02-28T00:00:00"/>
    <s v="Lisa Lee"/>
    <d v="2023-03-02T00:00:00"/>
    <d v="2023-04-08T00:00:00"/>
    <s v="promo"/>
    <x v="1"/>
    <x v="1"/>
    <x v="0"/>
    <b v="0"/>
    <x v="0"/>
    <x v="1"/>
    <b v="0"/>
  </r>
  <r>
    <n v="9034958"/>
    <s v="123-004-130-005"/>
    <x v="23"/>
    <x v="1"/>
    <d v="2023-03-04T00:00:00"/>
    <s v="Mary Taylor"/>
    <d v="2023-03-14T00:00:00"/>
    <d v="2023-03-24T00:00:00"/>
    <s v="promo"/>
    <x v="1"/>
    <x v="1"/>
    <x v="0"/>
    <b v="0"/>
    <x v="0"/>
    <x v="1"/>
    <b v="0"/>
  </r>
  <r>
    <n v="4291551"/>
    <s v="123-004-111-002"/>
    <x v="29"/>
    <x v="1"/>
    <d v="2022-12-12T00:00:00"/>
    <s v="Ashley Scott"/>
    <d v="2022-12-21T00:00:00"/>
    <d v="2023-02-08T00:00:00"/>
    <s v="promo"/>
    <x v="1"/>
    <x v="1"/>
    <x v="0"/>
    <b v="0"/>
    <x v="0"/>
    <x v="1"/>
    <b v="0"/>
  </r>
  <r>
    <n v="4291551"/>
    <s v="123-004-111-003"/>
    <x v="29"/>
    <x v="1"/>
    <d v="2022-12-27T00:00:00"/>
    <s v="Sandra Hernandez"/>
    <d v="2023-01-02T00:00:00"/>
    <d v="2023-01-11T00:00:00"/>
    <m/>
    <x v="1"/>
    <x v="1"/>
    <x v="0"/>
    <b v="0"/>
    <x v="0"/>
    <x v="0"/>
    <b v="0"/>
  </r>
  <r>
    <n v="4291551"/>
    <s v="123-004-111-004"/>
    <x v="29"/>
    <x v="1"/>
    <d v="2022-03-02T00:00:00"/>
    <s v="Barbara Collins"/>
    <d v="2022-03-19T00:00:00"/>
    <d v="2022-03-22T00:00:00"/>
    <m/>
    <x v="1"/>
    <x v="1"/>
    <x v="0"/>
    <b v="0"/>
    <x v="0"/>
    <x v="0"/>
    <b v="0"/>
  </r>
  <r>
    <n v="4291551"/>
    <s v="123-004-111-005"/>
    <x v="29"/>
    <x v="1"/>
    <d v="2022-02-19T00:00:00"/>
    <s v="Charlotte Evans"/>
    <d v="2022-03-16T00:00:00"/>
    <d v="2022-03-17T00:00:00"/>
    <s v="transfer"/>
    <x v="1"/>
    <x v="1"/>
    <x v="0"/>
    <b v="0"/>
    <x v="1"/>
    <x v="0"/>
    <b v="0"/>
  </r>
  <r>
    <n v="7918793"/>
    <s v="123-004-105-001"/>
    <x v="7"/>
    <x v="1"/>
    <d v="2023-04-12T00:00:00"/>
    <s v="Susan Allen"/>
    <d v="2023-04-24T00:00:00"/>
    <d v="2023-04-28T00:00:00"/>
    <s v="transfer"/>
    <x v="1"/>
    <x v="1"/>
    <x v="0"/>
    <b v="0"/>
    <x v="1"/>
    <x v="0"/>
    <b v="0"/>
  </r>
  <r>
    <n v="9106820"/>
    <s v="123-008-122-002"/>
    <x v="17"/>
    <x v="5"/>
    <m/>
    <m/>
    <m/>
    <m/>
    <s v="cancelled"/>
    <x v="0"/>
    <x v="1"/>
    <x v="0"/>
    <b v="1"/>
    <x v="0"/>
    <x v="0"/>
    <b v="0"/>
  </r>
  <r>
    <n v="7901115"/>
    <s v="123-001-101-003"/>
    <x v="0"/>
    <x v="3"/>
    <d v="2023-03-17T00:00:00"/>
    <s v="Mary Allen"/>
    <d v="2023-04-12T00:00:00"/>
    <d v="2023-06-10T00:00:00"/>
    <s v="new to org"/>
    <x v="1"/>
    <x v="1"/>
    <x v="0"/>
    <b v="0"/>
    <x v="0"/>
    <x v="0"/>
    <b v="1"/>
  </r>
  <r>
    <n v="7901115"/>
    <s v="123-001-101-004"/>
    <x v="0"/>
    <x v="3"/>
    <d v="2023-06-21T00:00:00"/>
    <s v="Ava Miller"/>
    <d v="2023-06-26T00:00:00"/>
    <m/>
    <s v="declined"/>
    <x v="0"/>
    <x v="0"/>
    <x v="0"/>
    <b v="0"/>
    <x v="0"/>
    <x v="0"/>
    <b v="0"/>
  </r>
  <r>
    <n v="7901115"/>
    <s v="123-001-101-005"/>
    <x v="0"/>
    <x v="3"/>
    <d v="2022-09-16T00:00:00"/>
    <s v="Michelle King"/>
    <d v="2022-10-13T00:00:00"/>
    <m/>
    <s v="rescinded"/>
    <x v="0"/>
    <x v="1"/>
    <x v="1"/>
    <b v="0"/>
    <x v="0"/>
    <x v="0"/>
    <b v="0"/>
  </r>
  <r>
    <n v="7901115"/>
    <s v="123-001-101-006"/>
    <x v="0"/>
    <x v="3"/>
    <d v="2023-02-20T00:00:00"/>
    <s v="Jennifer White"/>
    <d v="2023-03-07T00:00:00"/>
    <d v="2023-04-13T00:00:00"/>
    <m/>
    <x v="1"/>
    <x v="1"/>
    <x v="0"/>
    <b v="0"/>
    <x v="0"/>
    <x v="0"/>
    <b v="0"/>
  </r>
  <r>
    <n v="7901115"/>
    <s v="123-001-101-007"/>
    <x v="0"/>
    <x v="3"/>
    <d v="2022-11-04T00:00:00"/>
    <s v="Brian Anderson"/>
    <d v="2022-11-26T00:00:00"/>
    <m/>
    <s v="rescinded"/>
    <x v="0"/>
    <x v="1"/>
    <x v="1"/>
    <b v="0"/>
    <x v="0"/>
    <x v="0"/>
    <b v="0"/>
  </r>
  <r>
    <n v="2352527"/>
    <s v="123-001-121-001"/>
    <x v="20"/>
    <x v="3"/>
    <d v="2022-02-27T00:00:00"/>
    <s v="Emily Walker"/>
    <d v="2022-03-20T00:00:00"/>
    <d v="2022-03-21T00:00:00"/>
    <m/>
    <x v="1"/>
    <x v="1"/>
    <x v="0"/>
    <b v="0"/>
    <x v="0"/>
    <x v="0"/>
    <b v="0"/>
  </r>
  <r>
    <n v="3875339"/>
    <s v="123-008-103-002"/>
    <x v="8"/>
    <x v="5"/>
    <d v="2022-04-08T00:00:00"/>
    <s v="Andrew Diaz"/>
    <d v="2022-05-07T00:00:00"/>
    <d v="2022-06-10T00:00:00"/>
    <s v="new to org"/>
    <x v="1"/>
    <x v="1"/>
    <x v="0"/>
    <b v="0"/>
    <x v="0"/>
    <x v="0"/>
    <b v="1"/>
  </r>
  <r>
    <n v="3875339"/>
    <s v="123-008-103-003"/>
    <x v="8"/>
    <x v="5"/>
    <d v="2023-05-02T00:00:00"/>
    <s v="Susan Edwards"/>
    <d v="2023-05-11T00:00:00"/>
    <d v="2023-05-14T00:00:00"/>
    <s v="promo"/>
    <x v="1"/>
    <x v="1"/>
    <x v="0"/>
    <b v="0"/>
    <x v="0"/>
    <x v="1"/>
    <b v="0"/>
  </r>
  <r>
    <n v="3875339"/>
    <s v="123-008-103-004"/>
    <x v="8"/>
    <x v="5"/>
    <d v="2022-02-03T00:00:00"/>
    <s v="Lucas Wright"/>
    <d v="2022-02-09T00:00:00"/>
    <d v="2022-04-10T00:00:00"/>
    <s v="new to org"/>
    <x v="1"/>
    <x v="1"/>
    <x v="0"/>
    <b v="0"/>
    <x v="0"/>
    <x v="0"/>
    <b v="1"/>
  </r>
  <r>
    <n v="3875339"/>
    <s v="123-008-103-005"/>
    <x v="8"/>
    <x v="5"/>
    <d v="2022-05-28T00:00:00"/>
    <s v="Susan Nguyen"/>
    <d v="2022-06-22T00:00:00"/>
    <d v="2022-08-14T00:00:00"/>
    <s v="transfer"/>
    <x v="1"/>
    <x v="1"/>
    <x v="0"/>
    <b v="0"/>
    <x v="1"/>
    <x v="0"/>
    <b v="0"/>
  </r>
  <r>
    <n v="7682298"/>
    <s v="123-002-130-004"/>
    <x v="23"/>
    <x v="7"/>
    <d v="2023-02-03T00:00:00"/>
    <s v="Jessica Torres"/>
    <d v="2023-02-25T00:00:00"/>
    <m/>
    <s v="declined"/>
    <x v="0"/>
    <x v="0"/>
    <x v="0"/>
    <b v="0"/>
    <x v="0"/>
    <x v="0"/>
    <b v="0"/>
  </r>
  <r>
    <n v="7682298"/>
    <s v="123-002-130-005"/>
    <x v="23"/>
    <x v="7"/>
    <d v="2022-05-24T00:00:00"/>
    <s v="Matthew Carter"/>
    <d v="2022-06-19T00:00:00"/>
    <d v="2022-08-03T00:00:00"/>
    <s v="new to org"/>
    <x v="1"/>
    <x v="1"/>
    <x v="0"/>
    <b v="0"/>
    <x v="0"/>
    <x v="0"/>
    <b v="1"/>
  </r>
  <r>
    <n v="7682298"/>
    <s v="123-002-130-006"/>
    <x v="23"/>
    <x v="7"/>
    <d v="2023-03-24T00:00:00"/>
    <s v="Patricia Miller"/>
    <d v="2023-04-01T00:00:00"/>
    <d v="2023-05-25T00:00:00"/>
    <s v="new to org"/>
    <x v="1"/>
    <x v="1"/>
    <x v="0"/>
    <b v="0"/>
    <x v="0"/>
    <x v="0"/>
    <b v="1"/>
  </r>
  <r>
    <n v="2275374"/>
    <s v="123-010-111-001"/>
    <x v="29"/>
    <x v="6"/>
    <d v="2022-01-31T00:00:00"/>
    <s v="Deborah Lee"/>
    <d v="2022-02-21T00:00:00"/>
    <d v="2022-03-11T00:00:00"/>
    <m/>
    <x v="1"/>
    <x v="1"/>
    <x v="0"/>
    <b v="0"/>
    <x v="0"/>
    <x v="0"/>
    <b v="0"/>
  </r>
  <r>
    <n v="2275374"/>
    <s v="123-010-111-002"/>
    <x v="29"/>
    <x v="6"/>
    <d v="2022-12-31T00:00:00"/>
    <s v="Ashley Anderson"/>
    <d v="2023-01-18T00:00:00"/>
    <d v="2023-02-12T00:00:00"/>
    <m/>
    <x v="1"/>
    <x v="1"/>
    <x v="0"/>
    <b v="0"/>
    <x v="0"/>
    <x v="0"/>
    <b v="0"/>
  </r>
  <r>
    <n v="2275374"/>
    <s v="123-010-111-003"/>
    <x v="29"/>
    <x v="6"/>
    <d v="2022-10-30T00:00:00"/>
    <s v="Jennifer Roberts"/>
    <d v="2022-11-25T00:00:00"/>
    <d v="2022-12-11T00:00:00"/>
    <m/>
    <x v="1"/>
    <x v="1"/>
    <x v="0"/>
    <b v="0"/>
    <x v="0"/>
    <x v="0"/>
    <b v="0"/>
  </r>
  <r>
    <n v="2275374"/>
    <s v="123-010-111-004"/>
    <x v="29"/>
    <x v="6"/>
    <d v="2023-01-25T00:00:00"/>
    <s v="Sarah Martinez"/>
    <d v="2023-02-17T00:00:00"/>
    <d v="2023-04-09T00:00:00"/>
    <s v="transfer"/>
    <x v="1"/>
    <x v="1"/>
    <x v="0"/>
    <b v="0"/>
    <x v="1"/>
    <x v="0"/>
    <b v="0"/>
  </r>
  <r>
    <n v="2275374"/>
    <s v="123-010-111-005"/>
    <x v="29"/>
    <x v="6"/>
    <d v="2022-04-20T00:00:00"/>
    <s v="Christopher White"/>
    <d v="2022-04-23T00:00:00"/>
    <d v="2022-04-24T00:00:00"/>
    <m/>
    <x v="1"/>
    <x v="1"/>
    <x v="0"/>
    <b v="0"/>
    <x v="0"/>
    <x v="0"/>
    <b v="0"/>
  </r>
  <r>
    <n v="6171869"/>
    <s v="123-006-115-004"/>
    <x v="22"/>
    <x v="2"/>
    <d v="2023-03-18T00:00:00"/>
    <s v="Jennifer Lopez"/>
    <d v="2023-04-02T00:00:00"/>
    <m/>
    <s v="declined"/>
    <x v="0"/>
    <x v="0"/>
    <x v="0"/>
    <b v="0"/>
    <x v="0"/>
    <x v="0"/>
    <b v="0"/>
  </r>
  <r>
    <n v="6171869"/>
    <s v="123-006-115-005"/>
    <x v="22"/>
    <x v="2"/>
    <d v="2022-04-02T00:00:00"/>
    <s v="Michael Johnson"/>
    <d v="2022-04-14T00:00:00"/>
    <d v="2022-05-20T00:00:00"/>
    <m/>
    <x v="1"/>
    <x v="1"/>
    <x v="0"/>
    <b v="0"/>
    <x v="0"/>
    <x v="0"/>
    <b v="0"/>
  </r>
  <r>
    <n v="6171869"/>
    <s v="123-006-115-006"/>
    <x v="22"/>
    <x v="2"/>
    <d v="2022-11-29T00:00:00"/>
    <s v="Joshua Gomez"/>
    <d v="2022-12-27T00:00:00"/>
    <m/>
    <s v="declined"/>
    <x v="0"/>
    <x v="0"/>
    <x v="0"/>
    <b v="0"/>
    <x v="0"/>
    <x v="0"/>
    <b v="0"/>
  </r>
  <r>
    <n v="7463219"/>
    <s v="123-005-101-003"/>
    <x v="0"/>
    <x v="0"/>
    <d v="2022-09-06T00:00:00"/>
    <s v="Jennifer Campbell"/>
    <d v="2022-09-25T00:00:00"/>
    <m/>
    <s v="rescinded"/>
    <x v="0"/>
    <x v="1"/>
    <x v="1"/>
    <b v="0"/>
    <x v="0"/>
    <x v="0"/>
    <b v="0"/>
  </r>
  <r>
    <n v="7463219"/>
    <s v="123-005-101-004"/>
    <x v="0"/>
    <x v="0"/>
    <d v="2022-10-03T00:00:00"/>
    <s v="David Rodriguez"/>
    <d v="2022-10-13T00:00:00"/>
    <d v="2022-10-31T00:00:00"/>
    <m/>
    <x v="1"/>
    <x v="1"/>
    <x v="0"/>
    <b v="0"/>
    <x v="0"/>
    <x v="0"/>
    <b v="0"/>
  </r>
  <r>
    <n v="7463219"/>
    <s v="123-005-101-005"/>
    <x v="0"/>
    <x v="0"/>
    <d v="2022-10-10T00:00:00"/>
    <s v="David Ramirez"/>
    <d v="2022-10-24T00:00:00"/>
    <d v="2022-11-13T00:00:00"/>
    <s v="transfer"/>
    <x v="1"/>
    <x v="1"/>
    <x v="0"/>
    <b v="0"/>
    <x v="1"/>
    <x v="0"/>
    <b v="0"/>
  </r>
  <r>
    <n v="7463219"/>
    <s v="123-005-101-006"/>
    <x v="0"/>
    <x v="0"/>
    <d v="2022-09-10T00:00:00"/>
    <s v="Lisa Taylor"/>
    <d v="2022-10-04T00:00:00"/>
    <d v="2022-11-14T00:00:00"/>
    <s v="transfer"/>
    <x v="1"/>
    <x v="1"/>
    <x v="0"/>
    <b v="0"/>
    <x v="1"/>
    <x v="0"/>
    <b v="0"/>
  </r>
  <r>
    <n v="9318184"/>
    <s v="123-010-120-003"/>
    <x v="13"/>
    <x v="6"/>
    <d v="2023-02-10T00:00:00"/>
    <s v="Karen Smith"/>
    <d v="2023-02-21T00:00:00"/>
    <d v="2023-04-16T00:00:00"/>
    <s v="promo"/>
    <x v="1"/>
    <x v="1"/>
    <x v="0"/>
    <b v="0"/>
    <x v="0"/>
    <x v="1"/>
    <b v="0"/>
  </r>
  <r>
    <n v="9318184"/>
    <s v="123-010-120-004"/>
    <x v="13"/>
    <x v="6"/>
    <d v="2023-03-17T00:00:00"/>
    <s v="Mark Perez"/>
    <d v="2023-04-13T00:00:00"/>
    <d v="2023-06-05T00:00:00"/>
    <s v="new to org"/>
    <x v="1"/>
    <x v="1"/>
    <x v="0"/>
    <b v="0"/>
    <x v="0"/>
    <x v="0"/>
    <b v="1"/>
  </r>
  <r>
    <n v="3283789"/>
    <s v="123-006-110-001"/>
    <x v="12"/>
    <x v="2"/>
    <d v="2022-07-01T00:00:00"/>
    <s v="Donald Lee"/>
    <d v="2022-07-14T00:00:00"/>
    <d v="2022-08-04T00:00:00"/>
    <s v="promo"/>
    <x v="1"/>
    <x v="1"/>
    <x v="0"/>
    <b v="0"/>
    <x v="0"/>
    <x v="1"/>
    <b v="0"/>
  </r>
  <r>
    <n v="3283789"/>
    <s v="123-006-110-002"/>
    <x v="12"/>
    <x v="2"/>
    <d v="2023-05-18T00:00:00"/>
    <s v="Brian Green"/>
    <d v="2023-06-06T00:00:00"/>
    <m/>
    <s v="rescinded"/>
    <x v="0"/>
    <x v="1"/>
    <x v="1"/>
    <b v="0"/>
    <x v="0"/>
    <x v="0"/>
    <b v="0"/>
  </r>
  <r>
    <n v="3283789"/>
    <s v="123-006-110-003"/>
    <x v="12"/>
    <x v="2"/>
    <d v="2023-02-07T00:00:00"/>
    <s v="Matthew Moore"/>
    <d v="2023-02-19T00:00:00"/>
    <d v="2023-02-27T00:00:00"/>
    <s v="new to org"/>
    <x v="1"/>
    <x v="1"/>
    <x v="0"/>
    <b v="0"/>
    <x v="0"/>
    <x v="0"/>
    <b v="1"/>
  </r>
  <r>
    <n v="3283789"/>
    <s v="123-006-110-004"/>
    <x v="12"/>
    <x v="2"/>
    <d v="2022-07-04T00:00:00"/>
    <s v="Donna Wright"/>
    <d v="2022-07-26T00:00:00"/>
    <d v="2022-09-14T00:00:00"/>
    <s v="promo"/>
    <x v="1"/>
    <x v="1"/>
    <x v="0"/>
    <b v="0"/>
    <x v="0"/>
    <x v="1"/>
    <b v="0"/>
  </r>
  <r>
    <n v="3283789"/>
    <s v="123-006-110-005"/>
    <x v="12"/>
    <x v="2"/>
    <d v="2022-08-03T00:00:00"/>
    <s v="Charlotte Rivera"/>
    <d v="2022-08-18T00:00:00"/>
    <d v="2022-10-09T00:00:00"/>
    <m/>
    <x v="1"/>
    <x v="1"/>
    <x v="0"/>
    <b v="0"/>
    <x v="0"/>
    <x v="0"/>
    <b v="0"/>
  </r>
  <r>
    <n v="5887726"/>
    <s v="123-002-127-004"/>
    <x v="16"/>
    <x v="7"/>
    <d v="2022-09-05T00:00:00"/>
    <s v="Kenneth Martin"/>
    <d v="2022-09-14T00:00:00"/>
    <d v="2022-10-27T00:00:00"/>
    <s v="promo"/>
    <x v="1"/>
    <x v="1"/>
    <x v="0"/>
    <b v="0"/>
    <x v="0"/>
    <x v="1"/>
    <b v="0"/>
  </r>
  <r>
    <n v="5887726"/>
    <s v="123-002-127-005"/>
    <x v="16"/>
    <x v="7"/>
    <d v="2023-01-22T00:00:00"/>
    <s v="Margaret Gomez"/>
    <d v="2023-01-25T00:00:00"/>
    <m/>
    <s v="declined"/>
    <x v="0"/>
    <x v="0"/>
    <x v="0"/>
    <b v="0"/>
    <x v="0"/>
    <x v="0"/>
    <b v="0"/>
  </r>
  <r>
    <n v="5887726"/>
    <s v="123-002-127-006"/>
    <x v="16"/>
    <x v="7"/>
    <d v="2023-06-03T00:00:00"/>
    <s v="Donna Sanchez"/>
    <d v="2023-07-03T00:00:00"/>
    <d v="2023-08-31T00:00:00"/>
    <m/>
    <x v="1"/>
    <x v="1"/>
    <x v="0"/>
    <b v="0"/>
    <x v="0"/>
    <x v="0"/>
    <b v="0"/>
  </r>
  <r>
    <n v="5887726"/>
    <s v="123-002-127-007"/>
    <x v="16"/>
    <x v="7"/>
    <d v="2023-01-04T00:00:00"/>
    <s v="Paul Williams"/>
    <d v="2023-01-27T00:00:00"/>
    <d v="2023-03-26T00:00:00"/>
    <m/>
    <x v="1"/>
    <x v="1"/>
    <x v="0"/>
    <b v="0"/>
    <x v="0"/>
    <x v="0"/>
    <b v="0"/>
  </r>
  <r>
    <n v="2425760"/>
    <s v="123-004-104-001"/>
    <x v="18"/>
    <x v="1"/>
    <d v="2023-02-14T00:00:00"/>
    <s v="Michelle Williams"/>
    <d v="2023-03-11T00:00:00"/>
    <m/>
    <s v="declined"/>
    <x v="0"/>
    <x v="0"/>
    <x v="0"/>
    <b v="0"/>
    <x v="0"/>
    <x v="0"/>
    <b v="0"/>
  </r>
  <r>
    <n v="2425760"/>
    <s v="123-004-104-002"/>
    <x v="18"/>
    <x v="1"/>
    <d v="2022-04-19T00:00:00"/>
    <s v="Sophia Ramirez"/>
    <d v="2022-04-20T00:00:00"/>
    <m/>
    <s v="rescinded"/>
    <x v="0"/>
    <x v="1"/>
    <x v="1"/>
    <b v="0"/>
    <x v="0"/>
    <x v="0"/>
    <b v="0"/>
  </r>
  <r>
    <n v="2425760"/>
    <s v="123-004-104-003"/>
    <x v="18"/>
    <x v="1"/>
    <m/>
    <m/>
    <m/>
    <m/>
    <s v="cancelled"/>
    <x v="0"/>
    <x v="1"/>
    <x v="0"/>
    <b v="1"/>
    <x v="0"/>
    <x v="0"/>
    <b v="0"/>
  </r>
  <r>
    <n v="4724560"/>
    <s v="123-009-117-006"/>
    <x v="9"/>
    <x v="8"/>
    <d v="2023-02-05T00:00:00"/>
    <s v="Mark White"/>
    <d v="2023-02-20T00:00:00"/>
    <d v="2023-04-11T00:00:00"/>
    <s v="promo"/>
    <x v="1"/>
    <x v="1"/>
    <x v="0"/>
    <b v="0"/>
    <x v="0"/>
    <x v="1"/>
    <b v="0"/>
  </r>
  <r>
    <n v="4724560"/>
    <s v="123-009-117-007"/>
    <x v="9"/>
    <x v="8"/>
    <d v="2023-05-10T00:00:00"/>
    <s v="Daniel Johnson"/>
    <d v="2023-05-14T00:00:00"/>
    <d v="2023-06-02T00:00:00"/>
    <s v="promo"/>
    <x v="1"/>
    <x v="1"/>
    <x v="0"/>
    <b v="0"/>
    <x v="0"/>
    <x v="1"/>
    <b v="0"/>
  </r>
  <r>
    <n v="4724560"/>
    <s v="123-009-117-008"/>
    <x v="9"/>
    <x v="8"/>
    <d v="2022-05-26T00:00:00"/>
    <s v="Linda Turner"/>
    <d v="2022-06-07T00:00:00"/>
    <d v="2022-06-27T00:00:00"/>
    <s v="transfer"/>
    <x v="1"/>
    <x v="1"/>
    <x v="0"/>
    <b v="0"/>
    <x v="1"/>
    <x v="0"/>
    <b v="0"/>
  </r>
  <r>
    <n v="4724560"/>
    <s v="123-009-117-009"/>
    <x v="9"/>
    <x v="8"/>
    <d v="2022-12-23T00:00:00"/>
    <s v="Kimberly Walker"/>
    <d v="2023-01-08T00:00:00"/>
    <d v="2023-01-15T00:00:00"/>
    <s v="promo"/>
    <x v="1"/>
    <x v="1"/>
    <x v="0"/>
    <b v="0"/>
    <x v="0"/>
    <x v="1"/>
    <b v="0"/>
  </r>
  <r>
    <n v="4724560"/>
    <s v="123-009-117-010"/>
    <x v="9"/>
    <x v="8"/>
    <d v="2022-11-04T00:00:00"/>
    <s v="Christopher Jones"/>
    <d v="2022-11-06T00:00:00"/>
    <d v="2022-12-28T00:00:00"/>
    <m/>
    <x v="1"/>
    <x v="1"/>
    <x v="0"/>
    <b v="0"/>
    <x v="0"/>
    <x v="0"/>
    <b v="0"/>
  </r>
  <r>
    <n v="2930810"/>
    <s v="123-006-101-001"/>
    <x v="0"/>
    <x v="2"/>
    <d v="2022-09-07T00:00:00"/>
    <s v="Jackson Mitchell"/>
    <d v="2022-09-24T00:00:00"/>
    <d v="2022-10-06T00:00:00"/>
    <s v="promo"/>
    <x v="1"/>
    <x v="1"/>
    <x v="0"/>
    <b v="0"/>
    <x v="0"/>
    <x v="1"/>
    <b v="0"/>
  </r>
  <r>
    <n v="3686631"/>
    <s v="123-009-111-001"/>
    <x v="29"/>
    <x v="8"/>
    <d v="2022-07-08T00:00:00"/>
    <s v="Ethan Sanchez"/>
    <d v="2022-07-14T00:00:00"/>
    <d v="2022-08-24T00:00:00"/>
    <s v="promo"/>
    <x v="1"/>
    <x v="1"/>
    <x v="0"/>
    <b v="0"/>
    <x v="0"/>
    <x v="1"/>
    <b v="0"/>
  </r>
  <r>
    <n v="3686631"/>
    <s v="123-009-111-002"/>
    <x v="29"/>
    <x v="8"/>
    <d v="2022-07-22T00:00:00"/>
    <s v="Mary Mitchell"/>
    <d v="2022-08-06T00:00:00"/>
    <d v="2022-09-13T00:00:00"/>
    <m/>
    <x v="1"/>
    <x v="1"/>
    <x v="0"/>
    <b v="0"/>
    <x v="0"/>
    <x v="0"/>
    <b v="0"/>
  </r>
  <r>
    <n v="3686631"/>
    <s v="123-009-111-003"/>
    <x v="29"/>
    <x v="8"/>
    <d v="2022-07-30T00:00:00"/>
    <s v="Dorothy Wilson"/>
    <d v="2022-08-08T00:00:00"/>
    <d v="2022-09-26T00:00:00"/>
    <s v="transfer"/>
    <x v="1"/>
    <x v="1"/>
    <x v="0"/>
    <b v="0"/>
    <x v="1"/>
    <x v="0"/>
    <b v="0"/>
  </r>
  <r>
    <n v="3686631"/>
    <s v="123-009-111-004"/>
    <x v="29"/>
    <x v="8"/>
    <d v="2022-07-11T00:00:00"/>
    <s v="Andrew Miller"/>
    <d v="2022-07-23T00:00:00"/>
    <d v="2022-08-13T00:00:00"/>
    <s v="transfer"/>
    <x v="1"/>
    <x v="1"/>
    <x v="0"/>
    <b v="0"/>
    <x v="1"/>
    <x v="0"/>
    <b v="0"/>
  </r>
  <r>
    <n v="4306357"/>
    <s v="123-002-115-005"/>
    <x v="22"/>
    <x v="7"/>
    <d v="2022-11-17T00:00:00"/>
    <s v="Kimberly Green"/>
    <d v="2022-12-07T00:00:00"/>
    <d v="2023-01-01T00:00:00"/>
    <m/>
    <x v="1"/>
    <x v="1"/>
    <x v="0"/>
    <b v="0"/>
    <x v="0"/>
    <x v="0"/>
    <b v="0"/>
  </r>
  <r>
    <n v="4306357"/>
    <s v="123-002-115-006"/>
    <x v="22"/>
    <x v="7"/>
    <d v="2023-04-14T00:00:00"/>
    <s v="Daniel Thompson"/>
    <d v="2023-05-04T00:00:00"/>
    <d v="2023-05-16T00:00:00"/>
    <s v="transfer"/>
    <x v="1"/>
    <x v="1"/>
    <x v="0"/>
    <b v="0"/>
    <x v="1"/>
    <x v="0"/>
    <b v="0"/>
  </r>
  <r>
    <n v="4306357"/>
    <s v="123-002-115-007"/>
    <x v="22"/>
    <x v="7"/>
    <d v="2022-03-28T00:00:00"/>
    <s v="Ava Flores"/>
    <d v="2022-04-19T00:00:00"/>
    <d v="2022-04-28T00:00:00"/>
    <s v="new to org"/>
    <x v="1"/>
    <x v="1"/>
    <x v="0"/>
    <b v="0"/>
    <x v="0"/>
    <x v="0"/>
    <b v="1"/>
  </r>
  <r>
    <n v="6254384"/>
    <s v="123-004-104-004"/>
    <x v="18"/>
    <x v="1"/>
    <d v="2022-05-25T00:00:00"/>
    <s v="Lisa Hall"/>
    <d v="2022-06-11T00:00:00"/>
    <m/>
    <s v="declined"/>
    <x v="0"/>
    <x v="0"/>
    <x v="0"/>
    <b v="0"/>
    <x v="0"/>
    <x v="0"/>
    <b v="0"/>
  </r>
  <r>
    <n v="6254384"/>
    <s v="123-004-104-005"/>
    <x v="18"/>
    <x v="1"/>
    <d v="2023-01-28T00:00:00"/>
    <s v="Joshua Rodriguez"/>
    <d v="2023-02-11T00:00:00"/>
    <m/>
    <s v="rescinded"/>
    <x v="0"/>
    <x v="1"/>
    <x v="1"/>
    <b v="0"/>
    <x v="0"/>
    <x v="0"/>
    <b v="0"/>
  </r>
  <r>
    <n v="6254384"/>
    <s v="123-004-104-006"/>
    <x v="18"/>
    <x v="1"/>
    <d v="2022-06-27T00:00:00"/>
    <s v="Kenneth Wright"/>
    <d v="2022-07-15T00:00:00"/>
    <m/>
    <s v="declined"/>
    <x v="0"/>
    <x v="0"/>
    <x v="0"/>
    <b v="0"/>
    <x v="0"/>
    <x v="0"/>
    <b v="0"/>
  </r>
  <r>
    <n v="3799538"/>
    <s v="123-005-116-001"/>
    <x v="25"/>
    <x v="0"/>
    <d v="2022-02-24T00:00:00"/>
    <s v="Mason Lewis"/>
    <d v="2022-03-24T00:00:00"/>
    <m/>
    <s v="declined"/>
    <x v="0"/>
    <x v="0"/>
    <x v="0"/>
    <b v="0"/>
    <x v="0"/>
    <x v="0"/>
    <b v="0"/>
  </r>
  <r>
    <n v="3799538"/>
    <s v="123-005-116-002"/>
    <x v="25"/>
    <x v="0"/>
    <d v="2022-05-20T00:00:00"/>
    <s v="James Young"/>
    <d v="2022-05-27T00:00:00"/>
    <m/>
    <s v="rescinded"/>
    <x v="0"/>
    <x v="1"/>
    <x v="1"/>
    <b v="0"/>
    <x v="0"/>
    <x v="0"/>
    <b v="0"/>
  </r>
  <r>
    <n v="7441514"/>
    <s v="123-009-118-001"/>
    <x v="1"/>
    <x v="8"/>
    <d v="2023-03-31T00:00:00"/>
    <s v="Anthony Rivera"/>
    <d v="2023-04-16T00:00:00"/>
    <d v="2023-04-27T00:00:00"/>
    <m/>
    <x v="1"/>
    <x v="1"/>
    <x v="0"/>
    <b v="0"/>
    <x v="0"/>
    <x v="0"/>
    <b v="0"/>
  </r>
  <r>
    <n v="7441514"/>
    <s v="123-009-118-002"/>
    <x v="1"/>
    <x v="8"/>
    <d v="2022-08-14T00:00:00"/>
    <s v="Mary Gomez"/>
    <d v="2022-08-24T00:00:00"/>
    <m/>
    <s v="declined"/>
    <x v="0"/>
    <x v="0"/>
    <x v="0"/>
    <b v="0"/>
    <x v="0"/>
    <x v="0"/>
    <b v="0"/>
  </r>
  <r>
    <n v="7441514"/>
    <s v="123-009-118-003"/>
    <x v="1"/>
    <x v="8"/>
    <d v="2022-10-23T00:00:00"/>
    <s v="Joseph Wright"/>
    <d v="2022-10-29T00:00:00"/>
    <m/>
    <s v="declined"/>
    <x v="0"/>
    <x v="0"/>
    <x v="0"/>
    <b v="0"/>
    <x v="0"/>
    <x v="0"/>
    <b v="0"/>
  </r>
  <r>
    <n v="7441514"/>
    <s v="123-009-118-004"/>
    <x v="1"/>
    <x v="8"/>
    <d v="2022-04-26T00:00:00"/>
    <s v="Emily Allen"/>
    <d v="2022-05-15T00:00:00"/>
    <d v="2022-05-23T00:00:00"/>
    <m/>
    <x v="1"/>
    <x v="1"/>
    <x v="0"/>
    <b v="0"/>
    <x v="0"/>
    <x v="0"/>
    <b v="0"/>
  </r>
  <r>
    <n v="5494430"/>
    <s v="123-009-125-001"/>
    <x v="3"/>
    <x v="8"/>
    <d v="2023-03-28T00:00:00"/>
    <s v="Edward Campbell"/>
    <d v="2023-04-15T00:00:00"/>
    <d v="2023-04-29T00:00:00"/>
    <s v="transfer"/>
    <x v="1"/>
    <x v="1"/>
    <x v="0"/>
    <b v="0"/>
    <x v="1"/>
    <x v="0"/>
    <b v="0"/>
  </r>
  <r>
    <n v="5494430"/>
    <s v="123-009-125-002"/>
    <x v="3"/>
    <x v="8"/>
    <d v="2022-09-11T00:00:00"/>
    <s v="Melissa Turner"/>
    <d v="2022-09-21T00:00:00"/>
    <d v="2022-11-16T00:00:00"/>
    <s v="transfer"/>
    <x v="1"/>
    <x v="1"/>
    <x v="0"/>
    <b v="0"/>
    <x v="1"/>
    <x v="0"/>
    <b v="0"/>
  </r>
  <r>
    <n v="5494430"/>
    <s v="123-009-125-003"/>
    <x v="3"/>
    <x v="8"/>
    <d v="2022-03-31T00:00:00"/>
    <s v="Thomas Thompson"/>
    <d v="2022-04-15T00:00:00"/>
    <d v="2022-06-10T00:00:00"/>
    <m/>
    <x v="1"/>
    <x v="1"/>
    <x v="0"/>
    <b v="0"/>
    <x v="0"/>
    <x v="0"/>
    <b v="0"/>
  </r>
  <r>
    <n v="2969410"/>
    <s v="123-004-125-006"/>
    <x v="3"/>
    <x v="1"/>
    <d v="2023-03-15T00:00:00"/>
    <s v="Logan Rivera"/>
    <d v="2023-03-21T00:00:00"/>
    <d v="2023-04-30T00:00:00"/>
    <s v="new to org"/>
    <x v="1"/>
    <x v="1"/>
    <x v="0"/>
    <b v="0"/>
    <x v="0"/>
    <x v="0"/>
    <b v="1"/>
  </r>
  <r>
    <n v="2969410"/>
    <s v="123-004-125-007"/>
    <x v="3"/>
    <x v="1"/>
    <d v="2022-07-31T00:00:00"/>
    <s v="Susan Evans"/>
    <d v="2022-08-26T00:00:00"/>
    <m/>
    <s v="declined"/>
    <x v="0"/>
    <x v="0"/>
    <x v="0"/>
    <b v="0"/>
    <x v="0"/>
    <x v="0"/>
    <b v="0"/>
  </r>
  <r>
    <n v="1995859"/>
    <s v="123-006-119-001"/>
    <x v="2"/>
    <x v="2"/>
    <d v="2022-11-28T00:00:00"/>
    <s v="Paul Hernandez"/>
    <d v="2022-12-21T00:00:00"/>
    <m/>
    <s v="declined"/>
    <x v="0"/>
    <x v="0"/>
    <x v="0"/>
    <b v="0"/>
    <x v="0"/>
    <x v="0"/>
    <b v="0"/>
  </r>
  <r>
    <n v="1995859"/>
    <s v="123-006-119-002"/>
    <x v="2"/>
    <x v="2"/>
    <d v="2023-06-11T00:00:00"/>
    <s v="Andrew Moore"/>
    <d v="2023-07-10T00:00:00"/>
    <m/>
    <s v="declined"/>
    <x v="0"/>
    <x v="0"/>
    <x v="0"/>
    <b v="0"/>
    <x v="0"/>
    <x v="0"/>
    <b v="0"/>
  </r>
  <r>
    <n v="1995859"/>
    <s v="123-006-119-003"/>
    <x v="2"/>
    <x v="2"/>
    <d v="2023-02-26T00:00:00"/>
    <s v="William Carter"/>
    <d v="2023-03-28T00:00:00"/>
    <d v="2023-04-01T00:00:00"/>
    <s v="transfer"/>
    <x v="1"/>
    <x v="1"/>
    <x v="0"/>
    <b v="0"/>
    <x v="1"/>
    <x v="0"/>
    <b v="0"/>
  </r>
  <r>
    <n v="1995859"/>
    <s v="123-006-119-004"/>
    <x v="2"/>
    <x v="2"/>
    <d v="2022-05-16T00:00:00"/>
    <s v="Brian Parker"/>
    <d v="2022-05-24T00:00:00"/>
    <d v="2022-06-03T00:00:00"/>
    <s v="promo"/>
    <x v="1"/>
    <x v="1"/>
    <x v="0"/>
    <b v="0"/>
    <x v="0"/>
    <x v="1"/>
    <b v="0"/>
  </r>
  <r>
    <n v="1995859"/>
    <s v="123-006-119-005"/>
    <x v="2"/>
    <x v="2"/>
    <d v="2023-02-07T00:00:00"/>
    <s v="Edward Turner"/>
    <d v="2023-02-23T00:00:00"/>
    <d v="2023-03-05T00:00:00"/>
    <s v="promo"/>
    <x v="1"/>
    <x v="1"/>
    <x v="0"/>
    <b v="0"/>
    <x v="0"/>
    <x v="1"/>
    <b v="0"/>
  </r>
  <r>
    <n v="5508325"/>
    <s v="123-007-121-001"/>
    <x v="20"/>
    <x v="4"/>
    <d v="2022-10-12T00:00:00"/>
    <s v="Betty Allen"/>
    <d v="2022-11-04T00:00:00"/>
    <d v="2023-01-03T00:00:00"/>
    <s v="transfer"/>
    <x v="1"/>
    <x v="1"/>
    <x v="0"/>
    <b v="0"/>
    <x v="1"/>
    <x v="0"/>
    <b v="0"/>
  </r>
  <r>
    <n v="5508325"/>
    <s v="123-007-121-002"/>
    <x v="20"/>
    <x v="4"/>
    <d v="2022-12-02T00:00:00"/>
    <s v="Charlotte Young"/>
    <d v="2022-12-21T00:00:00"/>
    <d v="2022-12-22T00:00:00"/>
    <m/>
    <x v="1"/>
    <x v="1"/>
    <x v="0"/>
    <b v="0"/>
    <x v="0"/>
    <x v="0"/>
    <b v="0"/>
  </r>
  <r>
    <n v="5508325"/>
    <s v="123-007-121-003"/>
    <x v="20"/>
    <x v="4"/>
    <d v="2023-01-02T00:00:00"/>
    <s v="George Robinson"/>
    <d v="2023-01-30T00:00:00"/>
    <d v="2023-02-04T00:00:00"/>
    <s v="transfer"/>
    <x v="1"/>
    <x v="1"/>
    <x v="0"/>
    <b v="0"/>
    <x v="1"/>
    <x v="0"/>
    <b v="0"/>
  </r>
  <r>
    <n v="5508325"/>
    <s v="123-007-121-004"/>
    <x v="20"/>
    <x v="4"/>
    <d v="2022-08-05T00:00:00"/>
    <s v="Susan Ramirez"/>
    <d v="2022-08-21T00:00:00"/>
    <d v="2022-09-08T00:00:00"/>
    <m/>
    <x v="1"/>
    <x v="1"/>
    <x v="0"/>
    <b v="0"/>
    <x v="0"/>
    <x v="0"/>
    <b v="0"/>
  </r>
  <r>
    <n v="6416778"/>
    <s v="123-005-127-001"/>
    <x v="16"/>
    <x v="0"/>
    <d v="2023-05-12T00:00:00"/>
    <s v="Andrew Diaz"/>
    <d v="2023-06-07T00:00:00"/>
    <d v="2023-06-29T00:00:00"/>
    <s v="promo"/>
    <x v="1"/>
    <x v="1"/>
    <x v="0"/>
    <b v="0"/>
    <x v="0"/>
    <x v="1"/>
    <b v="0"/>
  </r>
  <r>
    <n v="6416778"/>
    <s v="123-005-127-002"/>
    <x v="16"/>
    <x v="0"/>
    <d v="2023-04-16T00:00:00"/>
    <s v="Robert Miller"/>
    <d v="2023-04-17T00:00:00"/>
    <d v="2023-04-25T00:00:00"/>
    <s v="transfer"/>
    <x v="1"/>
    <x v="1"/>
    <x v="0"/>
    <b v="0"/>
    <x v="1"/>
    <x v="0"/>
    <b v="0"/>
  </r>
  <r>
    <n v="6416778"/>
    <s v="123-005-127-003"/>
    <x v="16"/>
    <x v="0"/>
    <d v="2022-01-01T00:00:00"/>
    <s v="Mark Robinson"/>
    <d v="2022-01-15T00:00:00"/>
    <d v="2022-01-28T00:00:00"/>
    <s v="promo"/>
    <x v="1"/>
    <x v="1"/>
    <x v="0"/>
    <b v="0"/>
    <x v="0"/>
    <x v="1"/>
    <b v="0"/>
  </r>
  <r>
    <n v="3213134"/>
    <s v="123-005-129-001"/>
    <x v="14"/>
    <x v="0"/>
    <d v="2023-01-05T00:00:00"/>
    <s v="Jennifer Adams"/>
    <d v="2023-01-14T00:00:00"/>
    <d v="2023-01-20T00:00:00"/>
    <s v="new to org"/>
    <x v="1"/>
    <x v="1"/>
    <x v="0"/>
    <b v="0"/>
    <x v="0"/>
    <x v="0"/>
    <b v="1"/>
  </r>
  <r>
    <n v="3213134"/>
    <s v="123-005-129-002"/>
    <x v="14"/>
    <x v="0"/>
    <d v="2022-11-09T00:00:00"/>
    <s v="Patricia Sanchez"/>
    <d v="2022-12-03T00:00:00"/>
    <d v="2023-01-17T00:00:00"/>
    <s v="promo"/>
    <x v="1"/>
    <x v="1"/>
    <x v="0"/>
    <b v="0"/>
    <x v="0"/>
    <x v="1"/>
    <b v="0"/>
  </r>
  <r>
    <n v="4928281"/>
    <s v="123-002-114-001"/>
    <x v="24"/>
    <x v="7"/>
    <m/>
    <m/>
    <m/>
    <m/>
    <s v="cancelled"/>
    <x v="0"/>
    <x v="1"/>
    <x v="0"/>
    <b v="1"/>
    <x v="0"/>
    <x v="0"/>
    <b v="0"/>
  </r>
  <r>
    <n v="8999489"/>
    <s v="123-003-103-001"/>
    <x v="8"/>
    <x v="9"/>
    <d v="2022-01-10T00:00:00"/>
    <s v="Amanda Lewis"/>
    <d v="2022-01-11T00:00:00"/>
    <m/>
    <s v="declined"/>
    <x v="0"/>
    <x v="0"/>
    <x v="0"/>
    <b v="0"/>
    <x v="0"/>
    <x v="0"/>
    <b v="0"/>
  </r>
  <r>
    <n v="8999489"/>
    <s v="123-003-103-002"/>
    <x v="8"/>
    <x v="9"/>
    <d v="2022-05-16T00:00:00"/>
    <s v="Logan Ramirez"/>
    <d v="2022-06-01T00:00:00"/>
    <d v="2022-06-06T00:00:00"/>
    <s v="transfer"/>
    <x v="1"/>
    <x v="1"/>
    <x v="0"/>
    <b v="0"/>
    <x v="1"/>
    <x v="0"/>
    <b v="0"/>
  </r>
  <r>
    <n v="8999489"/>
    <s v="123-003-103-003"/>
    <x v="8"/>
    <x v="9"/>
    <d v="2022-04-15T00:00:00"/>
    <s v="Jennifer Campbell"/>
    <d v="2022-04-19T00:00:00"/>
    <m/>
    <s v="rescinded"/>
    <x v="0"/>
    <x v="1"/>
    <x v="1"/>
    <b v="0"/>
    <x v="0"/>
    <x v="0"/>
    <b v="0"/>
  </r>
  <r>
    <n v="8999489"/>
    <s v="123-003-103-004"/>
    <x v="8"/>
    <x v="9"/>
    <d v="2022-05-17T00:00:00"/>
    <s v="William Harris"/>
    <d v="2022-06-07T00:00:00"/>
    <d v="2022-07-21T00:00:00"/>
    <s v="new to org"/>
    <x v="1"/>
    <x v="1"/>
    <x v="0"/>
    <b v="0"/>
    <x v="0"/>
    <x v="0"/>
    <b v="1"/>
  </r>
  <r>
    <n v="8999489"/>
    <s v="123-003-103-005"/>
    <x v="8"/>
    <x v="9"/>
    <d v="2022-01-09T00:00:00"/>
    <s v="Kimberly Torres"/>
    <d v="2022-01-29T00:00:00"/>
    <m/>
    <s v="declined"/>
    <x v="0"/>
    <x v="0"/>
    <x v="0"/>
    <b v="0"/>
    <x v="0"/>
    <x v="0"/>
    <b v="0"/>
  </r>
  <r>
    <n v="3753418"/>
    <s v="123-006-115-007"/>
    <x v="22"/>
    <x v="2"/>
    <d v="2023-03-30T00:00:00"/>
    <s v="Ava Clark"/>
    <d v="2023-04-27T00:00:00"/>
    <d v="2023-05-11T00:00:00"/>
    <s v="promo"/>
    <x v="1"/>
    <x v="1"/>
    <x v="0"/>
    <b v="0"/>
    <x v="0"/>
    <x v="1"/>
    <b v="0"/>
  </r>
  <r>
    <n v="3753418"/>
    <s v="123-006-115-008"/>
    <x v="22"/>
    <x v="2"/>
    <d v="2022-05-07T00:00:00"/>
    <s v="Michael Rodriguez"/>
    <d v="2022-05-26T00:00:00"/>
    <m/>
    <s v="declined"/>
    <x v="0"/>
    <x v="0"/>
    <x v="0"/>
    <b v="0"/>
    <x v="0"/>
    <x v="0"/>
    <b v="0"/>
  </r>
  <r>
    <n v="7442986"/>
    <s v="123-007-112-006"/>
    <x v="28"/>
    <x v="4"/>
    <d v="2022-03-28T00:00:00"/>
    <s v="Sarah Adams"/>
    <d v="2022-04-05T00:00:00"/>
    <d v="2022-05-11T00:00:00"/>
    <s v="promo"/>
    <x v="1"/>
    <x v="1"/>
    <x v="0"/>
    <b v="0"/>
    <x v="0"/>
    <x v="1"/>
    <b v="0"/>
  </r>
  <r>
    <n v="7442986"/>
    <s v="123-007-112-007"/>
    <x v="28"/>
    <x v="4"/>
    <d v="2022-01-28T00:00:00"/>
    <s v="Deborah Hall"/>
    <d v="2022-02-25T00:00:00"/>
    <d v="2022-04-21T00:00:00"/>
    <s v="new to org"/>
    <x v="1"/>
    <x v="1"/>
    <x v="0"/>
    <b v="0"/>
    <x v="0"/>
    <x v="0"/>
    <b v="1"/>
  </r>
  <r>
    <n v="7442986"/>
    <s v="123-007-112-008"/>
    <x v="28"/>
    <x v="4"/>
    <d v="2023-06-06T00:00:00"/>
    <s v="Susan King"/>
    <d v="2023-06-13T00:00:00"/>
    <d v="2023-07-31T00:00:00"/>
    <s v="new to org"/>
    <x v="1"/>
    <x v="1"/>
    <x v="0"/>
    <b v="0"/>
    <x v="0"/>
    <x v="0"/>
    <b v="1"/>
  </r>
  <r>
    <n v="7572491"/>
    <s v="123-001-110-001"/>
    <x v="12"/>
    <x v="3"/>
    <d v="2022-03-14T00:00:00"/>
    <s v="Jessica Young"/>
    <d v="2022-03-31T00:00:00"/>
    <d v="2022-05-27T00:00:00"/>
    <s v="transfer"/>
    <x v="1"/>
    <x v="1"/>
    <x v="0"/>
    <b v="0"/>
    <x v="1"/>
    <x v="0"/>
    <b v="0"/>
  </r>
  <r>
    <n v="7572491"/>
    <s v="123-001-110-002"/>
    <x v="12"/>
    <x v="3"/>
    <d v="2022-05-16T00:00:00"/>
    <s v="Jackson Lee"/>
    <d v="2022-05-29T00:00:00"/>
    <d v="2022-07-24T00:00:00"/>
    <s v="new to org"/>
    <x v="1"/>
    <x v="1"/>
    <x v="0"/>
    <b v="0"/>
    <x v="0"/>
    <x v="0"/>
    <b v="1"/>
  </r>
  <r>
    <n v="8060918"/>
    <s v="123-009-112-003"/>
    <x v="28"/>
    <x v="8"/>
    <d v="2022-03-11T00:00:00"/>
    <s v="Mary Nguyen"/>
    <d v="2022-03-12T00:00:00"/>
    <d v="2022-03-29T00:00:00"/>
    <s v="transfer"/>
    <x v="1"/>
    <x v="1"/>
    <x v="0"/>
    <b v="0"/>
    <x v="1"/>
    <x v="0"/>
    <b v="0"/>
  </r>
  <r>
    <n v="8060918"/>
    <s v="123-009-112-004"/>
    <x v="28"/>
    <x v="8"/>
    <d v="2023-02-12T00:00:00"/>
    <s v="Jackson Brown"/>
    <d v="2023-03-01T00:00:00"/>
    <m/>
    <s v="rescinded"/>
    <x v="0"/>
    <x v="1"/>
    <x v="1"/>
    <b v="0"/>
    <x v="0"/>
    <x v="0"/>
    <b v="0"/>
  </r>
  <r>
    <n v="5806467"/>
    <s v="123-009-121-006"/>
    <x v="20"/>
    <x v="8"/>
    <d v="2022-06-06T00:00:00"/>
    <s v="Jennifer Green"/>
    <d v="2022-06-15T00:00:00"/>
    <d v="2022-06-21T00:00:00"/>
    <m/>
    <x v="1"/>
    <x v="1"/>
    <x v="0"/>
    <b v="0"/>
    <x v="0"/>
    <x v="0"/>
    <b v="0"/>
  </r>
  <r>
    <n v="5806467"/>
    <s v="123-009-121-007"/>
    <x v="20"/>
    <x v="8"/>
    <d v="2022-12-01T00:00:00"/>
    <s v="Ethan Martinez"/>
    <d v="2022-12-14T00:00:00"/>
    <d v="2023-01-21T00:00:00"/>
    <s v="promo"/>
    <x v="1"/>
    <x v="1"/>
    <x v="0"/>
    <b v="0"/>
    <x v="0"/>
    <x v="1"/>
    <b v="0"/>
  </r>
  <r>
    <n v="5806467"/>
    <s v="123-009-121-008"/>
    <x v="20"/>
    <x v="8"/>
    <d v="2023-03-24T00:00:00"/>
    <s v="Karen Hall"/>
    <d v="2023-04-17T00:00:00"/>
    <d v="2023-06-11T00:00:00"/>
    <s v="transfer"/>
    <x v="1"/>
    <x v="1"/>
    <x v="0"/>
    <b v="0"/>
    <x v="1"/>
    <x v="0"/>
    <b v="0"/>
  </r>
  <r>
    <n v="5806467"/>
    <s v="123-009-121-009"/>
    <x v="20"/>
    <x v="8"/>
    <d v="2023-03-21T00:00:00"/>
    <s v="Jessica Garcia"/>
    <d v="2023-03-25T00:00:00"/>
    <m/>
    <s v="rescinded"/>
    <x v="0"/>
    <x v="1"/>
    <x v="1"/>
    <b v="0"/>
    <x v="0"/>
    <x v="0"/>
    <b v="0"/>
  </r>
  <r>
    <n v="8606317"/>
    <s v="123-010-120-005"/>
    <x v="13"/>
    <x v="6"/>
    <d v="2022-06-29T00:00:00"/>
    <s v="Melissa Nelson"/>
    <d v="2022-07-03T00:00:00"/>
    <m/>
    <s v="rescinded"/>
    <x v="0"/>
    <x v="1"/>
    <x v="1"/>
    <b v="0"/>
    <x v="0"/>
    <x v="0"/>
    <b v="0"/>
  </r>
  <r>
    <n v="1212482"/>
    <s v="123-003-123-001"/>
    <x v="19"/>
    <x v="9"/>
    <d v="2023-06-20T00:00:00"/>
    <s v="Charlotte Thompson"/>
    <d v="2023-07-07T00:00:00"/>
    <m/>
    <s v="declined"/>
    <x v="0"/>
    <x v="0"/>
    <x v="0"/>
    <b v="0"/>
    <x v="0"/>
    <x v="0"/>
    <b v="0"/>
  </r>
  <r>
    <n v="5349442"/>
    <s v="123-006-106-004"/>
    <x v="4"/>
    <x v="2"/>
    <d v="2022-05-01T00:00:00"/>
    <s v="George Cruz"/>
    <d v="2022-05-26T00:00:00"/>
    <d v="2022-07-23T00:00:00"/>
    <s v="new to org"/>
    <x v="1"/>
    <x v="1"/>
    <x v="0"/>
    <b v="0"/>
    <x v="0"/>
    <x v="0"/>
    <b v="1"/>
  </r>
  <r>
    <n v="5349442"/>
    <s v="123-006-106-005"/>
    <x v="4"/>
    <x v="2"/>
    <d v="2022-10-06T00:00:00"/>
    <s v="Ethan Ramirez"/>
    <d v="2022-10-23T00:00:00"/>
    <m/>
    <s v="declined"/>
    <x v="0"/>
    <x v="0"/>
    <x v="0"/>
    <b v="0"/>
    <x v="0"/>
    <x v="0"/>
    <b v="0"/>
  </r>
  <r>
    <n v="2071594"/>
    <s v="123-010-109-001"/>
    <x v="21"/>
    <x v="6"/>
    <d v="2022-06-20T00:00:00"/>
    <s v="Patricia Young"/>
    <d v="2022-07-02T00:00:00"/>
    <d v="2022-07-13T00:00:00"/>
    <s v="new to org"/>
    <x v="1"/>
    <x v="1"/>
    <x v="0"/>
    <b v="0"/>
    <x v="0"/>
    <x v="0"/>
    <b v="1"/>
  </r>
  <r>
    <n v="5280137"/>
    <s v="123-002-125-001"/>
    <x v="3"/>
    <x v="7"/>
    <d v="2023-06-06T00:00:00"/>
    <s v="Joseph Mitchell"/>
    <d v="2023-06-07T00:00:00"/>
    <d v="2023-06-10T00:00:00"/>
    <s v="transfer"/>
    <x v="1"/>
    <x v="1"/>
    <x v="0"/>
    <b v="0"/>
    <x v="1"/>
    <x v="0"/>
    <b v="0"/>
  </r>
  <r>
    <n v="5280137"/>
    <s v="123-002-125-002"/>
    <x v="3"/>
    <x v="7"/>
    <d v="2023-04-29T00:00:00"/>
    <s v="Jessica Williams"/>
    <d v="2023-05-11T00:00:00"/>
    <d v="2023-06-05T00:00:00"/>
    <s v="transfer"/>
    <x v="1"/>
    <x v="1"/>
    <x v="0"/>
    <b v="0"/>
    <x v="1"/>
    <x v="0"/>
    <b v="0"/>
  </r>
  <r>
    <n v="5280137"/>
    <s v="123-002-125-003"/>
    <x v="3"/>
    <x v="7"/>
    <d v="2022-02-06T00:00:00"/>
    <s v="Jackson Diaz"/>
    <d v="2022-02-24T00:00:00"/>
    <d v="2022-04-17T00:00:00"/>
    <s v="promo"/>
    <x v="1"/>
    <x v="1"/>
    <x v="0"/>
    <b v="0"/>
    <x v="0"/>
    <x v="1"/>
    <b v="0"/>
  </r>
  <r>
    <n v="5280137"/>
    <s v="123-002-125-004"/>
    <x v="3"/>
    <x v="7"/>
    <d v="2022-09-12T00:00:00"/>
    <s v="Joseph Lee"/>
    <d v="2022-09-26T00:00:00"/>
    <d v="2022-11-24T00:00:00"/>
    <m/>
    <x v="1"/>
    <x v="1"/>
    <x v="0"/>
    <b v="0"/>
    <x v="0"/>
    <x v="0"/>
    <b v="0"/>
  </r>
  <r>
    <n v="5280137"/>
    <s v="123-002-125-005"/>
    <x v="3"/>
    <x v="7"/>
    <d v="2023-01-17T00:00:00"/>
    <s v="Isabella Jones"/>
    <d v="2023-01-21T00:00:00"/>
    <d v="2023-02-23T00:00:00"/>
    <s v="new to org"/>
    <x v="1"/>
    <x v="1"/>
    <x v="0"/>
    <b v="0"/>
    <x v="0"/>
    <x v="0"/>
    <b v="1"/>
  </r>
  <r>
    <n v="1883692"/>
    <s v="123-004-106-001"/>
    <x v="4"/>
    <x v="1"/>
    <d v="2023-04-22T00:00:00"/>
    <s v="John Cruz"/>
    <d v="2023-05-20T00:00:00"/>
    <d v="2023-06-08T00:00:00"/>
    <m/>
    <x v="1"/>
    <x v="1"/>
    <x v="0"/>
    <b v="0"/>
    <x v="0"/>
    <x v="0"/>
    <b v="0"/>
  </r>
  <r>
    <n v="1883692"/>
    <s v="123-004-106-002"/>
    <x v="4"/>
    <x v="1"/>
    <d v="2023-04-13T00:00:00"/>
    <s v="Christopher Garcia"/>
    <d v="2023-04-14T00:00:00"/>
    <d v="2023-05-08T00:00:00"/>
    <s v="new to org"/>
    <x v="1"/>
    <x v="1"/>
    <x v="0"/>
    <b v="0"/>
    <x v="0"/>
    <x v="0"/>
    <b v="1"/>
  </r>
  <r>
    <n v="1883692"/>
    <s v="123-004-106-003"/>
    <x v="4"/>
    <x v="1"/>
    <d v="2022-11-08T00:00:00"/>
    <s v="Andrew Gomez"/>
    <d v="2022-12-02T00:00:00"/>
    <m/>
    <s v="rescinded"/>
    <x v="0"/>
    <x v="1"/>
    <x v="1"/>
    <b v="0"/>
    <x v="0"/>
    <x v="0"/>
    <b v="0"/>
  </r>
  <r>
    <n v="1883692"/>
    <s v="123-004-106-004"/>
    <x v="4"/>
    <x v="1"/>
    <d v="2023-05-21T00:00:00"/>
    <s v="Lisa Nguyen"/>
    <d v="2023-06-15T00:00:00"/>
    <d v="2023-08-04T00:00:00"/>
    <m/>
    <x v="1"/>
    <x v="1"/>
    <x v="0"/>
    <b v="0"/>
    <x v="0"/>
    <x v="0"/>
    <b v="0"/>
  </r>
  <r>
    <n v="1883692"/>
    <s v="123-004-106-005"/>
    <x v="4"/>
    <x v="1"/>
    <d v="2022-09-09T00:00:00"/>
    <s v="Lucas Wright"/>
    <d v="2022-09-14T00:00:00"/>
    <m/>
    <s v="declined"/>
    <x v="0"/>
    <x v="0"/>
    <x v="0"/>
    <b v="0"/>
    <x v="0"/>
    <x v="0"/>
    <b v="0"/>
  </r>
  <r>
    <n v="1107003"/>
    <s v="123-007-130-001"/>
    <x v="23"/>
    <x v="4"/>
    <d v="2022-01-10T00:00:00"/>
    <s v="Daniel Green"/>
    <d v="2022-01-21T00:00:00"/>
    <m/>
    <s v="declined"/>
    <x v="0"/>
    <x v="0"/>
    <x v="0"/>
    <b v="0"/>
    <x v="0"/>
    <x v="0"/>
    <b v="0"/>
  </r>
  <r>
    <n v="1024528"/>
    <s v="123-007-125-011"/>
    <x v="3"/>
    <x v="4"/>
    <d v="2023-03-06T00:00:00"/>
    <s v="Kimberly Thomas"/>
    <d v="2023-03-22T00:00:00"/>
    <m/>
    <s v="declined"/>
    <x v="0"/>
    <x v="0"/>
    <x v="0"/>
    <b v="0"/>
    <x v="0"/>
    <x v="0"/>
    <b v="0"/>
  </r>
  <r>
    <n v="1024528"/>
    <s v="123-007-125-012"/>
    <x v="3"/>
    <x v="4"/>
    <d v="2022-04-06T00:00:00"/>
    <s v="Dorothy Moore"/>
    <d v="2022-04-08T00:00:00"/>
    <d v="2022-06-06T00:00:00"/>
    <s v="promo"/>
    <x v="1"/>
    <x v="1"/>
    <x v="0"/>
    <b v="0"/>
    <x v="0"/>
    <x v="1"/>
    <b v="0"/>
  </r>
  <r>
    <n v="1024528"/>
    <s v="123-007-125-013"/>
    <x v="3"/>
    <x v="4"/>
    <d v="2023-02-27T00:00:00"/>
    <s v="Mia King"/>
    <d v="2023-03-22T00:00:00"/>
    <m/>
    <s v="rescinded"/>
    <x v="0"/>
    <x v="1"/>
    <x v="1"/>
    <b v="0"/>
    <x v="0"/>
    <x v="0"/>
    <b v="0"/>
  </r>
  <r>
    <n v="7249378"/>
    <s v="123-002-115-008"/>
    <x v="22"/>
    <x v="7"/>
    <d v="2022-04-22T00:00:00"/>
    <s v="Deborah Nguyen"/>
    <d v="2022-04-27T00:00:00"/>
    <m/>
    <s v="declined"/>
    <x v="0"/>
    <x v="0"/>
    <x v="0"/>
    <b v="0"/>
    <x v="0"/>
    <x v="0"/>
    <b v="0"/>
  </r>
  <r>
    <n v="7249378"/>
    <s v="123-002-115-009"/>
    <x v="22"/>
    <x v="7"/>
    <d v="2022-03-18T00:00:00"/>
    <s v="Isabella Sanchez"/>
    <d v="2022-04-06T00:00:00"/>
    <m/>
    <s v="declined"/>
    <x v="0"/>
    <x v="0"/>
    <x v="0"/>
    <b v="0"/>
    <x v="0"/>
    <x v="0"/>
    <b v="0"/>
  </r>
  <r>
    <n v="7249378"/>
    <s v="123-002-115-010"/>
    <x v="22"/>
    <x v="7"/>
    <d v="2022-08-31T00:00:00"/>
    <s v="Kevin Rodriguez"/>
    <d v="2022-09-10T00:00:00"/>
    <d v="2022-09-27T00:00:00"/>
    <m/>
    <x v="1"/>
    <x v="1"/>
    <x v="0"/>
    <b v="0"/>
    <x v="0"/>
    <x v="0"/>
    <b v="0"/>
  </r>
  <r>
    <n v="7249378"/>
    <s v="123-002-115-011"/>
    <x v="22"/>
    <x v="7"/>
    <d v="2022-12-01T00:00:00"/>
    <s v="Brian Turner"/>
    <d v="2022-12-12T00:00:00"/>
    <d v="2023-01-10T00:00:00"/>
    <m/>
    <x v="1"/>
    <x v="1"/>
    <x v="0"/>
    <b v="0"/>
    <x v="0"/>
    <x v="0"/>
    <b v="0"/>
  </r>
  <r>
    <n v="7249378"/>
    <s v="123-002-115-012"/>
    <x v="22"/>
    <x v="7"/>
    <d v="2022-05-20T00:00:00"/>
    <s v="John Gonzalez"/>
    <d v="2022-06-14T00:00:00"/>
    <m/>
    <s v="rescinded"/>
    <x v="0"/>
    <x v="1"/>
    <x v="1"/>
    <b v="0"/>
    <x v="0"/>
    <x v="0"/>
    <b v="0"/>
  </r>
  <r>
    <n v="2772642"/>
    <s v="123-008-106-001"/>
    <x v="4"/>
    <x v="5"/>
    <d v="2023-01-02T00:00:00"/>
    <s v="Linda Wright"/>
    <d v="2023-01-27T00:00:00"/>
    <m/>
    <s v="rescinded"/>
    <x v="0"/>
    <x v="1"/>
    <x v="1"/>
    <b v="0"/>
    <x v="0"/>
    <x v="0"/>
    <b v="0"/>
  </r>
  <r>
    <n v="2772642"/>
    <s v="123-008-106-002"/>
    <x v="4"/>
    <x v="5"/>
    <d v="2022-09-29T00:00:00"/>
    <s v="Karen Robinson"/>
    <d v="2022-10-27T00:00:00"/>
    <m/>
    <s v="declined"/>
    <x v="0"/>
    <x v="0"/>
    <x v="0"/>
    <b v="0"/>
    <x v="0"/>
    <x v="0"/>
    <b v="0"/>
  </r>
  <r>
    <n v="2772642"/>
    <s v="123-008-106-003"/>
    <x v="4"/>
    <x v="5"/>
    <d v="2022-11-08T00:00:00"/>
    <s v="David Phillips"/>
    <d v="2022-12-05T00:00:00"/>
    <m/>
    <s v="declined"/>
    <x v="0"/>
    <x v="0"/>
    <x v="0"/>
    <b v="0"/>
    <x v="0"/>
    <x v="0"/>
    <b v="0"/>
  </r>
  <r>
    <n v="2772642"/>
    <s v="123-008-106-004"/>
    <x v="4"/>
    <x v="5"/>
    <d v="2022-12-02T00:00:00"/>
    <s v="Susan Turner"/>
    <d v="2022-12-07T00:00:00"/>
    <d v="2022-12-13T00:00:00"/>
    <s v="transfer"/>
    <x v="1"/>
    <x v="1"/>
    <x v="0"/>
    <b v="0"/>
    <x v="1"/>
    <x v="0"/>
    <b v="0"/>
  </r>
  <r>
    <n v="5164420"/>
    <s v="123-007-112-009"/>
    <x v="28"/>
    <x v="4"/>
    <d v="2022-03-18T00:00:00"/>
    <s v="Donna Taylor"/>
    <d v="2022-03-19T00:00:00"/>
    <m/>
    <s v="declined"/>
    <x v="0"/>
    <x v="0"/>
    <x v="0"/>
    <b v="0"/>
    <x v="0"/>
    <x v="0"/>
    <b v="0"/>
  </r>
  <r>
    <n v="5164420"/>
    <s v="123-007-112-010"/>
    <x v="28"/>
    <x v="4"/>
    <d v="2022-02-01T00:00:00"/>
    <s v="Isabella Lopez"/>
    <d v="2022-02-14T00:00:00"/>
    <m/>
    <s v="declined"/>
    <x v="0"/>
    <x v="0"/>
    <x v="0"/>
    <b v="0"/>
    <x v="0"/>
    <x v="0"/>
    <b v="0"/>
  </r>
  <r>
    <n v="5164420"/>
    <s v="123-007-112-011"/>
    <x v="28"/>
    <x v="4"/>
    <d v="2022-04-15T00:00:00"/>
    <s v="Michael Robinson"/>
    <d v="2022-05-11T00:00:00"/>
    <d v="2022-07-01T00:00:00"/>
    <s v="promo"/>
    <x v="1"/>
    <x v="1"/>
    <x v="0"/>
    <b v="0"/>
    <x v="0"/>
    <x v="1"/>
    <b v="0"/>
  </r>
  <r>
    <n v="5164420"/>
    <s v="123-007-112-012"/>
    <x v="28"/>
    <x v="4"/>
    <d v="2022-08-16T00:00:00"/>
    <s v="James Brown"/>
    <d v="2022-08-21T00:00:00"/>
    <m/>
    <s v="declined"/>
    <x v="0"/>
    <x v="0"/>
    <x v="0"/>
    <b v="0"/>
    <x v="0"/>
    <x v="0"/>
    <b v="0"/>
  </r>
  <r>
    <n v="5164420"/>
    <s v="123-007-112-013"/>
    <x v="28"/>
    <x v="4"/>
    <d v="2022-03-28T00:00:00"/>
    <s v="Betty White"/>
    <d v="2022-04-16T00:00:00"/>
    <m/>
    <s v="declined"/>
    <x v="0"/>
    <x v="0"/>
    <x v="0"/>
    <b v="0"/>
    <x v="0"/>
    <x v="0"/>
    <b v="0"/>
  </r>
  <r>
    <n v="2081661"/>
    <s v="123-008-107-001"/>
    <x v="26"/>
    <x v="5"/>
    <d v="2023-03-20T00:00:00"/>
    <s v="Jackson Torres"/>
    <d v="2023-04-16T00:00:00"/>
    <m/>
    <s v="declined"/>
    <x v="0"/>
    <x v="0"/>
    <x v="0"/>
    <b v="0"/>
    <x v="0"/>
    <x v="0"/>
    <b v="0"/>
  </r>
  <r>
    <n v="2081661"/>
    <s v="123-008-107-002"/>
    <x v="26"/>
    <x v="5"/>
    <d v="2023-04-18T00:00:00"/>
    <s v="Linda Williams"/>
    <d v="2023-04-20T00:00:00"/>
    <d v="2023-05-01T00:00:00"/>
    <s v="new to org"/>
    <x v="1"/>
    <x v="1"/>
    <x v="0"/>
    <b v="0"/>
    <x v="0"/>
    <x v="0"/>
    <b v="1"/>
  </r>
  <r>
    <n v="7626978"/>
    <s v="123-001-116-001"/>
    <x v="25"/>
    <x v="3"/>
    <d v="2022-07-11T00:00:00"/>
    <s v="Daniel Wilson"/>
    <d v="2022-07-20T00:00:00"/>
    <d v="2022-08-07T00:00:00"/>
    <s v="promo"/>
    <x v="1"/>
    <x v="1"/>
    <x v="0"/>
    <b v="0"/>
    <x v="0"/>
    <x v="1"/>
    <b v="0"/>
  </r>
  <r>
    <n v="7626978"/>
    <s v="123-001-116-002"/>
    <x v="25"/>
    <x v="3"/>
    <d v="2022-09-09T00:00:00"/>
    <s v="Robert Flores"/>
    <d v="2022-09-30T00:00:00"/>
    <d v="2022-10-19T00:00:00"/>
    <s v="promo"/>
    <x v="1"/>
    <x v="1"/>
    <x v="0"/>
    <b v="0"/>
    <x v="0"/>
    <x v="1"/>
    <b v="0"/>
  </r>
  <r>
    <n v="7626978"/>
    <s v="123-001-116-003"/>
    <x v="25"/>
    <x v="3"/>
    <d v="2022-10-14T00:00:00"/>
    <s v="Patricia Garcia"/>
    <d v="2022-10-27T00:00:00"/>
    <d v="2022-11-05T00:00:00"/>
    <m/>
    <x v="1"/>
    <x v="1"/>
    <x v="0"/>
    <b v="0"/>
    <x v="0"/>
    <x v="0"/>
    <b v="0"/>
  </r>
  <r>
    <n v="7626978"/>
    <s v="123-001-116-004"/>
    <x v="25"/>
    <x v="3"/>
    <d v="2022-01-20T00:00:00"/>
    <s v="Kenneth Phillips"/>
    <d v="2022-02-02T00:00:00"/>
    <d v="2022-03-25T00:00:00"/>
    <s v="promo"/>
    <x v="1"/>
    <x v="1"/>
    <x v="0"/>
    <b v="0"/>
    <x v="0"/>
    <x v="1"/>
    <b v="0"/>
  </r>
  <r>
    <n v="7024901"/>
    <s v="123-009-116-001"/>
    <x v="25"/>
    <x v="8"/>
    <d v="2022-11-26T00:00:00"/>
    <s v="Andrew Allen"/>
    <d v="2022-12-09T00:00:00"/>
    <m/>
    <s v="rescinded"/>
    <x v="0"/>
    <x v="1"/>
    <x v="1"/>
    <b v="0"/>
    <x v="0"/>
    <x v="0"/>
    <b v="0"/>
  </r>
  <r>
    <n v="7024901"/>
    <s v="123-009-116-002"/>
    <x v="25"/>
    <x v="8"/>
    <d v="2022-08-13T00:00:00"/>
    <s v="Mary Lee"/>
    <d v="2022-08-14T00:00:00"/>
    <m/>
    <s v="declined"/>
    <x v="0"/>
    <x v="0"/>
    <x v="0"/>
    <b v="0"/>
    <x v="0"/>
    <x v="0"/>
    <b v="0"/>
  </r>
  <r>
    <n v="7024901"/>
    <s v="123-009-116-003"/>
    <x v="25"/>
    <x v="8"/>
    <d v="2023-04-29T00:00:00"/>
    <s v="Patricia Phillips"/>
    <d v="2023-05-16T00:00:00"/>
    <d v="2023-06-08T00:00:00"/>
    <s v="new to org"/>
    <x v="1"/>
    <x v="1"/>
    <x v="0"/>
    <b v="0"/>
    <x v="0"/>
    <x v="0"/>
    <b v="1"/>
  </r>
  <r>
    <n v="7024901"/>
    <s v="123-009-116-004"/>
    <x v="25"/>
    <x v="8"/>
    <d v="2022-09-11T00:00:00"/>
    <s v="David Miller"/>
    <d v="2022-10-03T00:00:00"/>
    <d v="2022-10-19T00:00:00"/>
    <s v="promo"/>
    <x v="1"/>
    <x v="1"/>
    <x v="0"/>
    <b v="0"/>
    <x v="0"/>
    <x v="1"/>
    <b v="0"/>
  </r>
  <r>
    <n v="5471581"/>
    <s v="123-001-118-002"/>
    <x v="1"/>
    <x v="3"/>
    <d v="2022-06-27T00:00:00"/>
    <s v="Daniel Turner"/>
    <d v="2022-07-03T00:00:00"/>
    <d v="2022-07-19T00:00:00"/>
    <m/>
    <x v="1"/>
    <x v="1"/>
    <x v="0"/>
    <b v="0"/>
    <x v="0"/>
    <x v="0"/>
    <b v="0"/>
  </r>
  <r>
    <n v="5471581"/>
    <s v="123-001-118-003"/>
    <x v="1"/>
    <x v="3"/>
    <d v="2022-01-29T00:00:00"/>
    <s v="Ava Nguyen"/>
    <d v="2022-02-21T00:00:00"/>
    <d v="2022-04-07T00:00:00"/>
    <s v="new to org"/>
    <x v="1"/>
    <x v="1"/>
    <x v="0"/>
    <b v="0"/>
    <x v="0"/>
    <x v="0"/>
    <b v="1"/>
  </r>
  <r>
    <n v="6900247"/>
    <s v="123-010-119-002"/>
    <x v="2"/>
    <x v="6"/>
    <d v="2023-05-20T00:00:00"/>
    <s v="Mason Phillips"/>
    <d v="2023-06-07T00:00:00"/>
    <d v="2023-06-27T00:00:00"/>
    <s v="promo"/>
    <x v="1"/>
    <x v="1"/>
    <x v="0"/>
    <b v="0"/>
    <x v="0"/>
    <x v="1"/>
    <b v="0"/>
  </r>
  <r>
    <n v="6900247"/>
    <s v="123-010-119-003"/>
    <x v="2"/>
    <x v="6"/>
    <d v="2022-02-27T00:00:00"/>
    <s v="Robert Garcia"/>
    <d v="2022-03-07T00:00:00"/>
    <m/>
    <s v="declined"/>
    <x v="0"/>
    <x v="0"/>
    <x v="0"/>
    <b v="0"/>
    <x v="0"/>
    <x v="0"/>
    <b v="0"/>
  </r>
  <r>
    <n v="4671004"/>
    <s v="123-009-101-001"/>
    <x v="0"/>
    <x v="8"/>
    <d v="2023-02-10T00:00:00"/>
    <s v="Dorothy Nelson"/>
    <d v="2023-03-01T00:00:00"/>
    <m/>
    <s v="declined"/>
    <x v="0"/>
    <x v="0"/>
    <x v="0"/>
    <b v="0"/>
    <x v="0"/>
    <x v="0"/>
    <b v="0"/>
  </r>
  <r>
    <n v="4671004"/>
    <s v="123-009-101-002"/>
    <x v="0"/>
    <x v="8"/>
    <d v="2022-12-15T00:00:00"/>
    <s v="Ethan Rodriguez"/>
    <d v="2023-01-07T00:00:00"/>
    <d v="2023-01-19T00:00:00"/>
    <s v="promo"/>
    <x v="1"/>
    <x v="1"/>
    <x v="0"/>
    <b v="0"/>
    <x v="0"/>
    <x v="1"/>
    <b v="0"/>
  </r>
  <r>
    <n v="4671004"/>
    <s v="123-009-101-003"/>
    <x v="0"/>
    <x v="8"/>
    <d v="2022-06-01T00:00:00"/>
    <s v="Patricia Johnson"/>
    <d v="2022-06-20T00:00:00"/>
    <d v="2022-08-05T00:00:00"/>
    <s v="new to org"/>
    <x v="1"/>
    <x v="1"/>
    <x v="0"/>
    <b v="0"/>
    <x v="0"/>
    <x v="0"/>
    <b v="1"/>
  </r>
  <r>
    <n v="4671004"/>
    <s v="123-009-101-004"/>
    <x v="0"/>
    <x v="8"/>
    <d v="2023-01-09T00:00:00"/>
    <s v="Mia King"/>
    <d v="2023-01-12T00:00:00"/>
    <d v="2023-02-05T00:00:00"/>
    <s v="transfer"/>
    <x v="1"/>
    <x v="1"/>
    <x v="0"/>
    <b v="0"/>
    <x v="1"/>
    <x v="0"/>
    <b v="0"/>
  </r>
  <r>
    <n v="2695038"/>
    <s v="123-005-111-001"/>
    <x v="29"/>
    <x v="0"/>
    <d v="2023-03-24T00:00:00"/>
    <s v="David Campbell"/>
    <d v="2023-04-19T00:00:00"/>
    <m/>
    <s v="declined"/>
    <x v="0"/>
    <x v="0"/>
    <x v="0"/>
    <b v="0"/>
    <x v="0"/>
    <x v="0"/>
    <b v="0"/>
  </r>
  <r>
    <n v="2695038"/>
    <s v="123-005-111-002"/>
    <x v="29"/>
    <x v="0"/>
    <d v="2022-06-28T00:00:00"/>
    <s v="Carol Lee"/>
    <d v="2022-07-21T00:00:00"/>
    <d v="2022-08-26T00:00:00"/>
    <m/>
    <x v="1"/>
    <x v="1"/>
    <x v="0"/>
    <b v="0"/>
    <x v="0"/>
    <x v="0"/>
    <b v="0"/>
  </r>
  <r>
    <n v="2695038"/>
    <s v="123-005-111-003"/>
    <x v="29"/>
    <x v="0"/>
    <d v="2022-06-29T00:00:00"/>
    <s v="Joseph Nelson"/>
    <d v="2022-07-12T00:00:00"/>
    <d v="2022-08-01T00:00:00"/>
    <s v="new to org"/>
    <x v="1"/>
    <x v="1"/>
    <x v="0"/>
    <b v="0"/>
    <x v="0"/>
    <x v="0"/>
    <b v="1"/>
  </r>
  <r>
    <n v="5941179"/>
    <s v="123-003-105-001"/>
    <x v="7"/>
    <x v="9"/>
    <d v="2022-02-03T00:00:00"/>
    <s v="Mia Roberts"/>
    <d v="2022-02-09T00:00:00"/>
    <d v="2022-03-20T00:00:00"/>
    <m/>
    <x v="1"/>
    <x v="1"/>
    <x v="0"/>
    <b v="0"/>
    <x v="0"/>
    <x v="0"/>
    <b v="0"/>
  </r>
  <r>
    <n v="6338793"/>
    <s v="123-010-130-001"/>
    <x v="23"/>
    <x v="6"/>
    <d v="2022-05-25T00:00:00"/>
    <s v="Jackson Young"/>
    <d v="2022-06-05T00:00:00"/>
    <d v="2022-07-23T00:00:00"/>
    <s v="transfer"/>
    <x v="1"/>
    <x v="1"/>
    <x v="0"/>
    <b v="0"/>
    <x v="1"/>
    <x v="0"/>
    <b v="0"/>
  </r>
  <r>
    <n v="6338793"/>
    <s v="123-010-130-002"/>
    <x v="23"/>
    <x v="6"/>
    <d v="2022-06-21T00:00:00"/>
    <s v="Daniel Lee"/>
    <d v="2022-07-12T00:00:00"/>
    <m/>
    <s v="declined"/>
    <x v="0"/>
    <x v="0"/>
    <x v="0"/>
    <b v="0"/>
    <x v="0"/>
    <x v="0"/>
    <b v="0"/>
  </r>
  <r>
    <n v="2488575"/>
    <s v="123-006-127-006"/>
    <x v="16"/>
    <x v="2"/>
    <d v="2023-05-06T00:00:00"/>
    <s v="Matthew Miller"/>
    <d v="2023-06-01T00:00:00"/>
    <m/>
    <s v="declined"/>
    <x v="0"/>
    <x v="0"/>
    <x v="0"/>
    <b v="0"/>
    <x v="0"/>
    <x v="0"/>
    <b v="0"/>
  </r>
  <r>
    <n v="2488575"/>
    <s v="123-006-127-007"/>
    <x v="16"/>
    <x v="2"/>
    <d v="2022-12-25T00:00:00"/>
    <s v="Brian Jones"/>
    <d v="2023-01-03T00:00:00"/>
    <m/>
    <s v="declined"/>
    <x v="0"/>
    <x v="0"/>
    <x v="0"/>
    <b v="0"/>
    <x v="0"/>
    <x v="0"/>
    <b v="0"/>
  </r>
  <r>
    <n v="2488575"/>
    <s v="123-006-127-008"/>
    <x v="16"/>
    <x v="2"/>
    <d v="2023-03-25T00:00:00"/>
    <s v="Patricia Harris"/>
    <d v="2023-04-18T00:00:00"/>
    <d v="2023-05-15T00:00:00"/>
    <s v="transfer"/>
    <x v="1"/>
    <x v="1"/>
    <x v="0"/>
    <b v="0"/>
    <x v="1"/>
    <x v="0"/>
    <b v="0"/>
  </r>
  <r>
    <n v="2488575"/>
    <s v="123-006-127-009"/>
    <x v="16"/>
    <x v="2"/>
    <d v="2023-01-23T00:00:00"/>
    <s v="Ashley Cruz"/>
    <d v="2023-02-04T00:00:00"/>
    <d v="2023-03-11T00:00:00"/>
    <m/>
    <x v="1"/>
    <x v="1"/>
    <x v="0"/>
    <b v="0"/>
    <x v="0"/>
    <x v="0"/>
    <b v="0"/>
  </r>
  <r>
    <n v="4784650"/>
    <s v="123-008-106-005"/>
    <x v="4"/>
    <x v="5"/>
    <d v="2022-11-23T00:00:00"/>
    <s v="Charles Johnson"/>
    <d v="2022-12-02T00:00:00"/>
    <d v="2022-12-09T00:00:00"/>
    <s v="transfer"/>
    <x v="1"/>
    <x v="1"/>
    <x v="0"/>
    <b v="0"/>
    <x v="1"/>
    <x v="0"/>
    <b v="0"/>
  </r>
  <r>
    <n v="2244876"/>
    <s v="123-003-111-001"/>
    <x v="29"/>
    <x v="9"/>
    <d v="2022-04-06T00:00:00"/>
    <s v="John Scott"/>
    <d v="2022-04-17T00:00:00"/>
    <m/>
    <s v="declined"/>
    <x v="0"/>
    <x v="0"/>
    <x v="0"/>
    <b v="0"/>
    <x v="0"/>
    <x v="0"/>
    <b v="0"/>
  </r>
  <r>
    <n v="2244876"/>
    <s v="123-003-111-002"/>
    <x v="29"/>
    <x v="9"/>
    <d v="2023-03-18T00:00:00"/>
    <s v="Dorothy Johnson"/>
    <d v="2023-04-08T00:00:00"/>
    <d v="2023-04-19T00:00:00"/>
    <m/>
    <x v="1"/>
    <x v="1"/>
    <x v="0"/>
    <b v="0"/>
    <x v="0"/>
    <x v="0"/>
    <b v="0"/>
  </r>
  <r>
    <n v="2244876"/>
    <s v="123-003-111-003"/>
    <x v="29"/>
    <x v="9"/>
    <d v="2022-04-14T00:00:00"/>
    <s v="David Brown"/>
    <d v="2022-04-25T00:00:00"/>
    <d v="2022-05-09T00:00:00"/>
    <m/>
    <x v="1"/>
    <x v="1"/>
    <x v="0"/>
    <b v="0"/>
    <x v="0"/>
    <x v="0"/>
    <b v="0"/>
  </r>
  <r>
    <n v="2244876"/>
    <s v="123-003-111-004"/>
    <x v="29"/>
    <x v="9"/>
    <d v="2022-09-29T00:00:00"/>
    <s v="Brian Scott"/>
    <d v="2022-10-21T00:00:00"/>
    <d v="2022-11-09T00:00:00"/>
    <m/>
    <x v="1"/>
    <x v="1"/>
    <x v="0"/>
    <b v="0"/>
    <x v="0"/>
    <x v="0"/>
    <b v="0"/>
  </r>
  <r>
    <n v="5989554"/>
    <s v="123-002-108-005"/>
    <x v="11"/>
    <x v="7"/>
    <d v="2023-05-18T00:00:00"/>
    <s v="Emily Turner"/>
    <d v="2023-05-23T00:00:00"/>
    <m/>
    <s v="rescinded"/>
    <x v="0"/>
    <x v="1"/>
    <x v="1"/>
    <b v="0"/>
    <x v="0"/>
    <x v="0"/>
    <b v="0"/>
  </r>
  <r>
    <n v="1914439"/>
    <s v="123-001-112-001"/>
    <x v="28"/>
    <x v="3"/>
    <d v="2022-07-09T00:00:00"/>
    <s v="Paul Harris"/>
    <d v="2022-07-21T00:00:00"/>
    <m/>
    <s v="declined"/>
    <x v="0"/>
    <x v="0"/>
    <x v="0"/>
    <b v="0"/>
    <x v="0"/>
    <x v="0"/>
    <b v="0"/>
  </r>
  <r>
    <n v="1914439"/>
    <s v="123-001-112-002"/>
    <x v="28"/>
    <x v="3"/>
    <d v="2022-01-27T00:00:00"/>
    <s v="Richard Miller"/>
    <d v="2022-02-03T00:00:00"/>
    <d v="2022-02-14T00:00:00"/>
    <m/>
    <x v="1"/>
    <x v="1"/>
    <x v="0"/>
    <b v="0"/>
    <x v="0"/>
    <x v="0"/>
    <b v="0"/>
  </r>
  <r>
    <n v="1914439"/>
    <s v="123-001-112-003"/>
    <x v="28"/>
    <x v="3"/>
    <d v="2022-04-29T00:00:00"/>
    <s v="Donald Diaz"/>
    <d v="2022-05-09T00:00:00"/>
    <d v="2022-06-29T00:00:00"/>
    <s v="transfer"/>
    <x v="1"/>
    <x v="1"/>
    <x v="0"/>
    <b v="0"/>
    <x v="1"/>
    <x v="0"/>
    <b v="0"/>
  </r>
  <r>
    <n v="1914439"/>
    <s v="123-001-112-004"/>
    <x v="28"/>
    <x v="3"/>
    <d v="2022-09-29T00:00:00"/>
    <s v="Lucas Nelson"/>
    <d v="2022-10-02T00:00:00"/>
    <d v="2022-11-13T00:00:00"/>
    <m/>
    <x v="1"/>
    <x v="1"/>
    <x v="0"/>
    <b v="0"/>
    <x v="0"/>
    <x v="0"/>
    <b v="0"/>
  </r>
  <r>
    <n v="7399588"/>
    <s v="123-003-112-001"/>
    <x v="28"/>
    <x v="9"/>
    <d v="2023-06-20T00:00:00"/>
    <s v="Mason Harris"/>
    <d v="2023-07-04T00:00:00"/>
    <m/>
    <s v="declined"/>
    <x v="0"/>
    <x v="0"/>
    <x v="0"/>
    <b v="0"/>
    <x v="0"/>
    <x v="0"/>
    <b v="0"/>
  </r>
  <r>
    <n v="7399588"/>
    <s v="123-003-112-002"/>
    <x v="28"/>
    <x v="9"/>
    <d v="2022-10-03T00:00:00"/>
    <s v="Joseph Turner"/>
    <d v="2022-10-22T00:00:00"/>
    <d v="2022-10-26T00:00:00"/>
    <s v="new to org"/>
    <x v="1"/>
    <x v="1"/>
    <x v="0"/>
    <b v="0"/>
    <x v="0"/>
    <x v="0"/>
    <b v="1"/>
  </r>
  <r>
    <n v="7399588"/>
    <s v="123-003-112-003"/>
    <x v="28"/>
    <x v="9"/>
    <d v="2022-04-10T00:00:00"/>
    <s v="Brian Nelson"/>
    <d v="2022-04-13T00:00:00"/>
    <m/>
    <s v="declined"/>
    <x v="0"/>
    <x v="0"/>
    <x v="0"/>
    <b v="0"/>
    <x v="0"/>
    <x v="0"/>
    <b v="0"/>
  </r>
  <r>
    <n v="7399588"/>
    <s v="123-003-112-004"/>
    <x v="28"/>
    <x v="9"/>
    <d v="2022-08-21T00:00:00"/>
    <s v="Edward Nguyen"/>
    <d v="2022-09-08T00:00:00"/>
    <d v="2022-09-12T00:00:00"/>
    <m/>
    <x v="1"/>
    <x v="1"/>
    <x v="0"/>
    <b v="0"/>
    <x v="0"/>
    <x v="0"/>
    <b v="0"/>
  </r>
  <r>
    <n v="9984440"/>
    <s v="123-008-122-003"/>
    <x v="17"/>
    <x v="5"/>
    <d v="2023-02-09T00:00:00"/>
    <s v="Karen Garcia"/>
    <d v="2023-03-10T00:00:00"/>
    <d v="2023-05-04T00:00:00"/>
    <m/>
    <x v="1"/>
    <x v="1"/>
    <x v="0"/>
    <b v="0"/>
    <x v="0"/>
    <x v="0"/>
    <b v="0"/>
  </r>
  <r>
    <n v="9984440"/>
    <s v="123-008-122-004"/>
    <x v="17"/>
    <x v="5"/>
    <d v="2023-04-05T00:00:00"/>
    <s v="Linda Carter"/>
    <d v="2023-04-11T00:00:00"/>
    <d v="2023-04-22T00:00:00"/>
    <s v="promo"/>
    <x v="1"/>
    <x v="1"/>
    <x v="0"/>
    <b v="0"/>
    <x v="0"/>
    <x v="1"/>
    <b v="0"/>
  </r>
  <r>
    <n v="9984440"/>
    <s v="123-008-122-005"/>
    <x v="17"/>
    <x v="5"/>
    <d v="2023-03-10T00:00:00"/>
    <s v="William Williams"/>
    <d v="2023-03-13T00:00:00"/>
    <d v="2023-04-26T00:00:00"/>
    <s v="promo"/>
    <x v="1"/>
    <x v="1"/>
    <x v="0"/>
    <b v="0"/>
    <x v="0"/>
    <x v="1"/>
    <b v="0"/>
  </r>
  <r>
    <n v="9984440"/>
    <s v="123-008-122-006"/>
    <x v="17"/>
    <x v="5"/>
    <d v="2022-09-22T00:00:00"/>
    <s v="Mason Hill"/>
    <d v="2022-10-03T00:00:00"/>
    <d v="2022-12-01T00:00:00"/>
    <s v="promo"/>
    <x v="1"/>
    <x v="1"/>
    <x v="0"/>
    <b v="0"/>
    <x v="0"/>
    <x v="1"/>
    <b v="0"/>
  </r>
  <r>
    <n v="9984440"/>
    <s v="123-008-122-007"/>
    <x v="17"/>
    <x v="5"/>
    <d v="2023-02-11T00:00:00"/>
    <s v="Jennifer Harris"/>
    <d v="2023-03-01T00:00:00"/>
    <d v="2023-03-22T00:00:00"/>
    <s v="transfer"/>
    <x v="1"/>
    <x v="1"/>
    <x v="0"/>
    <b v="0"/>
    <x v="1"/>
    <x v="0"/>
    <b v="0"/>
  </r>
  <r>
    <n v="5633880"/>
    <s v="123-008-117-001"/>
    <x v="9"/>
    <x v="5"/>
    <d v="2022-06-03T00:00:00"/>
    <s v="Linda Clark"/>
    <d v="2022-06-08T00:00:00"/>
    <d v="2022-07-15T00:00:00"/>
    <m/>
    <x v="1"/>
    <x v="1"/>
    <x v="0"/>
    <b v="0"/>
    <x v="0"/>
    <x v="0"/>
    <b v="0"/>
  </r>
  <r>
    <n v="2681144"/>
    <s v="123-002-130-007"/>
    <x v="23"/>
    <x v="7"/>
    <d v="2022-12-19T00:00:00"/>
    <s v="Logan Wright"/>
    <d v="2023-01-17T00:00:00"/>
    <d v="2023-02-13T00:00:00"/>
    <s v="new to org"/>
    <x v="1"/>
    <x v="1"/>
    <x v="0"/>
    <b v="0"/>
    <x v="0"/>
    <x v="0"/>
    <b v="1"/>
  </r>
  <r>
    <n v="2681144"/>
    <s v="123-002-130-008"/>
    <x v="23"/>
    <x v="7"/>
    <d v="2023-04-30T00:00:00"/>
    <s v="Carol Young"/>
    <d v="2023-05-02T00:00:00"/>
    <m/>
    <s v="rescinded"/>
    <x v="0"/>
    <x v="1"/>
    <x v="1"/>
    <b v="0"/>
    <x v="0"/>
    <x v="0"/>
    <b v="0"/>
  </r>
  <r>
    <n v="2681144"/>
    <s v="123-002-130-009"/>
    <x v="23"/>
    <x v="7"/>
    <d v="2023-02-16T00:00:00"/>
    <s v="Betty Martinez"/>
    <d v="2023-02-18T00:00:00"/>
    <m/>
    <s v="declined"/>
    <x v="0"/>
    <x v="0"/>
    <x v="0"/>
    <b v="0"/>
    <x v="0"/>
    <x v="0"/>
    <b v="0"/>
  </r>
  <r>
    <n v="2681144"/>
    <s v="123-002-130-010"/>
    <x v="23"/>
    <x v="7"/>
    <d v="2022-02-20T00:00:00"/>
    <s v="Brian Thomas"/>
    <d v="2022-03-16T00:00:00"/>
    <d v="2022-04-16T00:00:00"/>
    <s v="new to org"/>
    <x v="1"/>
    <x v="1"/>
    <x v="0"/>
    <b v="0"/>
    <x v="0"/>
    <x v="0"/>
    <b v="1"/>
  </r>
  <r>
    <n v="2681144"/>
    <s v="123-002-130-011"/>
    <x v="23"/>
    <x v="7"/>
    <d v="2022-11-07T00:00:00"/>
    <s v="Mary Perez"/>
    <d v="2022-11-17T00:00:00"/>
    <d v="2022-12-05T00:00:00"/>
    <s v="new to org"/>
    <x v="1"/>
    <x v="1"/>
    <x v="0"/>
    <b v="0"/>
    <x v="0"/>
    <x v="0"/>
    <b v="1"/>
  </r>
  <r>
    <n v="9248001"/>
    <s v="123-002-128-003"/>
    <x v="10"/>
    <x v="7"/>
    <d v="2022-11-25T00:00:00"/>
    <s v="Melissa Lewis"/>
    <d v="2022-12-04T00:00:00"/>
    <m/>
    <s v="declined"/>
    <x v="0"/>
    <x v="0"/>
    <x v="0"/>
    <b v="0"/>
    <x v="0"/>
    <x v="0"/>
    <b v="0"/>
  </r>
  <r>
    <n v="9248001"/>
    <s v="123-002-128-004"/>
    <x v="10"/>
    <x v="7"/>
    <d v="2022-08-05T00:00:00"/>
    <s v="Richard Lewis"/>
    <d v="2022-09-04T00:00:00"/>
    <d v="2022-10-27T00:00:00"/>
    <s v="transfer"/>
    <x v="1"/>
    <x v="1"/>
    <x v="0"/>
    <b v="0"/>
    <x v="1"/>
    <x v="0"/>
    <b v="0"/>
  </r>
  <r>
    <n v="7831185"/>
    <s v="123-008-124-001"/>
    <x v="15"/>
    <x v="5"/>
    <d v="2022-06-12T00:00:00"/>
    <s v="Steven Gomez"/>
    <d v="2022-06-15T00:00:00"/>
    <d v="2022-07-05T00:00:00"/>
    <s v="transfer"/>
    <x v="1"/>
    <x v="1"/>
    <x v="0"/>
    <b v="0"/>
    <x v="1"/>
    <x v="0"/>
    <b v="0"/>
  </r>
  <r>
    <n v="7831185"/>
    <s v="123-008-124-002"/>
    <x v="15"/>
    <x v="5"/>
    <d v="2023-06-21T00:00:00"/>
    <s v="William Roberts"/>
    <d v="2023-07-20T00:00:00"/>
    <d v="2023-08-26T00:00:00"/>
    <m/>
    <x v="1"/>
    <x v="1"/>
    <x v="0"/>
    <b v="0"/>
    <x v="0"/>
    <x v="0"/>
    <b v="0"/>
  </r>
  <r>
    <n v="7831185"/>
    <s v="123-008-124-003"/>
    <x v="15"/>
    <x v="5"/>
    <d v="2022-07-25T00:00:00"/>
    <s v="Richard Cruz"/>
    <d v="2022-08-21T00:00:00"/>
    <m/>
    <s v="declined"/>
    <x v="0"/>
    <x v="0"/>
    <x v="0"/>
    <b v="0"/>
    <x v="0"/>
    <x v="0"/>
    <b v="0"/>
  </r>
  <r>
    <n v="7831185"/>
    <s v="123-008-124-004"/>
    <x v="15"/>
    <x v="5"/>
    <d v="2022-02-21T00:00:00"/>
    <s v="Robert Robinson"/>
    <d v="2022-03-23T00:00:00"/>
    <m/>
    <s v="declined"/>
    <x v="0"/>
    <x v="0"/>
    <x v="0"/>
    <b v="0"/>
    <x v="0"/>
    <x v="0"/>
    <b v="0"/>
  </r>
  <r>
    <n v="7831185"/>
    <s v="123-008-124-005"/>
    <x v="15"/>
    <x v="5"/>
    <d v="2023-04-21T00:00:00"/>
    <s v="Sarah White"/>
    <d v="2023-05-08T00:00:00"/>
    <d v="2023-06-03T00:00:00"/>
    <s v="promo"/>
    <x v="1"/>
    <x v="1"/>
    <x v="0"/>
    <b v="0"/>
    <x v="0"/>
    <x v="1"/>
    <b v="0"/>
  </r>
  <r>
    <n v="3078241"/>
    <s v="123-001-122-001"/>
    <x v="17"/>
    <x v="3"/>
    <d v="2022-07-01T00:00:00"/>
    <s v="Joshua Lewis"/>
    <d v="2022-07-29T00:00:00"/>
    <m/>
    <s v="rescinded"/>
    <x v="0"/>
    <x v="1"/>
    <x v="1"/>
    <b v="0"/>
    <x v="0"/>
    <x v="0"/>
    <b v="0"/>
  </r>
  <r>
    <n v="3078241"/>
    <s v="123-001-122-002"/>
    <x v="17"/>
    <x v="3"/>
    <d v="2022-09-22T00:00:00"/>
    <s v="Daniel Hernandez"/>
    <d v="2022-10-16T00:00:00"/>
    <d v="2022-12-09T00:00:00"/>
    <s v="new to org"/>
    <x v="1"/>
    <x v="1"/>
    <x v="0"/>
    <b v="0"/>
    <x v="0"/>
    <x v="0"/>
    <b v="1"/>
  </r>
  <r>
    <n v="2516524"/>
    <s v="123-001-110-003"/>
    <x v="12"/>
    <x v="3"/>
    <d v="2022-01-09T00:00:00"/>
    <s v="Joshua Phillips"/>
    <d v="2022-01-17T00:00:00"/>
    <m/>
    <s v="declined"/>
    <x v="0"/>
    <x v="0"/>
    <x v="0"/>
    <b v="0"/>
    <x v="0"/>
    <x v="0"/>
    <b v="0"/>
  </r>
  <r>
    <n v="2516524"/>
    <s v="123-001-110-004"/>
    <x v="12"/>
    <x v="3"/>
    <d v="2022-08-19T00:00:00"/>
    <s v="Mia Anderson"/>
    <d v="2022-09-10T00:00:00"/>
    <d v="2022-09-24T00:00:00"/>
    <s v="promo"/>
    <x v="1"/>
    <x v="1"/>
    <x v="0"/>
    <b v="0"/>
    <x v="0"/>
    <x v="1"/>
    <b v="0"/>
  </r>
  <r>
    <n v="2516524"/>
    <s v="123-001-110-005"/>
    <x v="12"/>
    <x v="3"/>
    <d v="2022-01-21T00:00:00"/>
    <s v="Anthony Allen"/>
    <d v="2022-02-18T00:00:00"/>
    <m/>
    <s v="rescinded"/>
    <x v="0"/>
    <x v="1"/>
    <x v="1"/>
    <b v="0"/>
    <x v="0"/>
    <x v="0"/>
    <b v="0"/>
  </r>
  <r>
    <n v="2516524"/>
    <s v="123-001-110-006"/>
    <x v="12"/>
    <x v="3"/>
    <d v="2022-05-16T00:00:00"/>
    <s v="Donald Collins"/>
    <d v="2022-06-06T00:00:00"/>
    <d v="2022-06-18T00:00:00"/>
    <s v="transfer"/>
    <x v="1"/>
    <x v="1"/>
    <x v="0"/>
    <b v="0"/>
    <x v="1"/>
    <x v="0"/>
    <b v="0"/>
  </r>
  <r>
    <n v="5234408"/>
    <s v="123-005-120-001"/>
    <x v="13"/>
    <x v="0"/>
    <d v="2023-04-16T00:00:00"/>
    <s v="Mia Thompson"/>
    <d v="2023-04-25T00:00:00"/>
    <d v="2023-05-09T00:00:00"/>
    <m/>
    <x v="1"/>
    <x v="1"/>
    <x v="0"/>
    <b v="0"/>
    <x v="0"/>
    <x v="0"/>
    <b v="0"/>
  </r>
  <r>
    <n v="5234408"/>
    <s v="123-005-120-002"/>
    <x v="13"/>
    <x v="0"/>
    <d v="2022-01-08T00:00:00"/>
    <s v="Donna Miller"/>
    <d v="2022-01-25T00:00:00"/>
    <d v="2022-03-09T00:00:00"/>
    <m/>
    <x v="1"/>
    <x v="1"/>
    <x v="0"/>
    <b v="0"/>
    <x v="0"/>
    <x v="0"/>
    <b v="0"/>
  </r>
  <r>
    <n v="5234408"/>
    <s v="123-005-120-003"/>
    <x v="13"/>
    <x v="0"/>
    <d v="2022-10-17T00:00:00"/>
    <s v="Emily Adams"/>
    <d v="2022-10-27T00:00:00"/>
    <d v="2022-12-10T00:00:00"/>
    <s v="new to org"/>
    <x v="1"/>
    <x v="1"/>
    <x v="0"/>
    <b v="0"/>
    <x v="0"/>
    <x v="0"/>
    <b v="1"/>
  </r>
  <r>
    <n v="2813693"/>
    <s v="123-002-116-001"/>
    <x v="25"/>
    <x v="7"/>
    <d v="2022-09-25T00:00:00"/>
    <s v="Logan Moore"/>
    <d v="2022-10-16T00:00:00"/>
    <d v="2022-12-01T00:00:00"/>
    <s v="new to org"/>
    <x v="1"/>
    <x v="1"/>
    <x v="0"/>
    <b v="0"/>
    <x v="0"/>
    <x v="0"/>
    <b v="1"/>
  </r>
  <r>
    <n v="2813693"/>
    <s v="123-002-116-002"/>
    <x v="25"/>
    <x v="7"/>
    <d v="2023-06-14T00:00:00"/>
    <s v="Richard Martinez"/>
    <d v="2023-07-09T00:00:00"/>
    <d v="2023-07-25T00:00:00"/>
    <s v="new to org"/>
    <x v="1"/>
    <x v="1"/>
    <x v="0"/>
    <b v="0"/>
    <x v="0"/>
    <x v="0"/>
    <b v="1"/>
  </r>
  <r>
    <n v="2813693"/>
    <s v="123-002-116-003"/>
    <x v="25"/>
    <x v="7"/>
    <d v="2022-05-24T00:00:00"/>
    <s v="Kevin Lee"/>
    <d v="2022-06-17T00:00:00"/>
    <d v="2022-06-19T00:00:00"/>
    <m/>
    <x v="1"/>
    <x v="1"/>
    <x v="0"/>
    <b v="0"/>
    <x v="0"/>
    <x v="0"/>
    <b v="0"/>
  </r>
  <r>
    <n v="9344531"/>
    <s v="123-005-110-006"/>
    <x v="12"/>
    <x v="0"/>
    <d v="2022-07-14T00:00:00"/>
    <s v="Donna Rivera"/>
    <d v="2022-07-25T00:00:00"/>
    <d v="2022-09-10T00:00:00"/>
    <s v="transfer"/>
    <x v="1"/>
    <x v="1"/>
    <x v="0"/>
    <b v="0"/>
    <x v="1"/>
    <x v="0"/>
    <b v="0"/>
  </r>
  <r>
    <n v="9344531"/>
    <s v="123-005-110-007"/>
    <x v="12"/>
    <x v="0"/>
    <d v="2023-01-03T00:00:00"/>
    <s v="Ava Nelson"/>
    <d v="2023-01-20T00:00:00"/>
    <d v="2023-02-09T00:00:00"/>
    <m/>
    <x v="1"/>
    <x v="1"/>
    <x v="0"/>
    <b v="0"/>
    <x v="0"/>
    <x v="0"/>
    <b v="0"/>
  </r>
  <r>
    <n v="9344531"/>
    <s v="123-005-110-008"/>
    <x v="12"/>
    <x v="0"/>
    <d v="2023-04-28T00:00:00"/>
    <s v="Charles Miller"/>
    <d v="2023-05-03T00:00:00"/>
    <d v="2023-06-20T00:00:00"/>
    <s v="promo"/>
    <x v="1"/>
    <x v="1"/>
    <x v="0"/>
    <b v="0"/>
    <x v="0"/>
    <x v="1"/>
    <b v="0"/>
  </r>
  <r>
    <n v="9344531"/>
    <s v="123-005-110-009"/>
    <x v="12"/>
    <x v="0"/>
    <d v="2022-07-07T00:00:00"/>
    <s v="Ethan Scott"/>
    <d v="2022-07-29T00:00:00"/>
    <m/>
    <s v="rescinded"/>
    <x v="0"/>
    <x v="1"/>
    <x v="1"/>
    <b v="0"/>
    <x v="0"/>
    <x v="0"/>
    <b v="0"/>
  </r>
  <r>
    <n v="6630978"/>
    <s v="123-002-121-001"/>
    <x v="20"/>
    <x v="7"/>
    <d v="2022-11-11T00:00:00"/>
    <s v="Melissa Parker"/>
    <d v="2022-11-25T00:00:00"/>
    <m/>
    <s v="rescinded"/>
    <x v="0"/>
    <x v="1"/>
    <x v="1"/>
    <b v="0"/>
    <x v="0"/>
    <x v="0"/>
    <b v="0"/>
  </r>
  <r>
    <n v="6630978"/>
    <s v="123-002-121-002"/>
    <x v="20"/>
    <x v="7"/>
    <d v="2022-10-29T00:00:00"/>
    <s v="Lisa Taylor"/>
    <d v="2022-11-13T00:00:00"/>
    <d v="2023-01-07T00:00:00"/>
    <s v="new to org"/>
    <x v="1"/>
    <x v="1"/>
    <x v="0"/>
    <b v="0"/>
    <x v="0"/>
    <x v="0"/>
    <b v="1"/>
  </r>
  <r>
    <n v="2976045"/>
    <s v="123-001-116-005"/>
    <x v="25"/>
    <x v="3"/>
    <d v="2022-07-19T00:00:00"/>
    <s v="Donald Cruz"/>
    <d v="2022-08-05T00:00:00"/>
    <d v="2022-08-13T00:00:00"/>
    <s v="transfer"/>
    <x v="1"/>
    <x v="1"/>
    <x v="0"/>
    <b v="0"/>
    <x v="1"/>
    <x v="0"/>
    <b v="0"/>
  </r>
  <r>
    <n v="2976045"/>
    <s v="123-001-116-006"/>
    <x v="25"/>
    <x v="3"/>
    <d v="2023-02-28T00:00:00"/>
    <s v="Kimberly Martin"/>
    <d v="2023-03-02T00:00:00"/>
    <d v="2023-04-27T00:00:00"/>
    <m/>
    <x v="1"/>
    <x v="1"/>
    <x v="0"/>
    <b v="0"/>
    <x v="0"/>
    <x v="0"/>
    <b v="0"/>
  </r>
  <r>
    <n v="2976045"/>
    <s v="123-001-116-007"/>
    <x v="25"/>
    <x v="3"/>
    <d v="2023-02-24T00:00:00"/>
    <s v="Richard Perez"/>
    <d v="2023-03-15T00:00:00"/>
    <d v="2023-05-12T00:00:00"/>
    <s v="promo"/>
    <x v="1"/>
    <x v="1"/>
    <x v="0"/>
    <b v="0"/>
    <x v="0"/>
    <x v="1"/>
    <b v="0"/>
  </r>
  <r>
    <n v="2976045"/>
    <s v="123-001-116-008"/>
    <x v="25"/>
    <x v="3"/>
    <d v="2022-07-04T00:00:00"/>
    <s v="Elizabeth Lee"/>
    <d v="2022-07-29T00:00:00"/>
    <d v="2022-08-04T00:00:00"/>
    <m/>
    <x v="1"/>
    <x v="1"/>
    <x v="0"/>
    <b v="0"/>
    <x v="0"/>
    <x v="0"/>
    <b v="0"/>
  </r>
  <r>
    <n v="2976045"/>
    <s v="123-001-116-009"/>
    <x v="25"/>
    <x v="3"/>
    <d v="2022-03-01T00:00:00"/>
    <s v="Christopher Green"/>
    <d v="2022-03-02T00:00:00"/>
    <d v="2022-03-31T00:00:00"/>
    <s v="promo"/>
    <x v="1"/>
    <x v="1"/>
    <x v="0"/>
    <b v="0"/>
    <x v="0"/>
    <x v="1"/>
    <b v="0"/>
  </r>
  <r>
    <n v="5589036"/>
    <s v="123-003-107-005"/>
    <x v="26"/>
    <x v="9"/>
    <d v="2022-04-01T00:00:00"/>
    <s v="Sophia Carter"/>
    <d v="2022-04-06T00:00:00"/>
    <d v="2022-05-16T00:00:00"/>
    <m/>
    <x v="1"/>
    <x v="1"/>
    <x v="0"/>
    <b v="0"/>
    <x v="0"/>
    <x v="0"/>
    <b v="0"/>
  </r>
  <r>
    <n v="5589036"/>
    <s v="123-003-107-006"/>
    <x v="26"/>
    <x v="9"/>
    <d v="2023-05-04T00:00:00"/>
    <s v="Betty Ramirez"/>
    <d v="2023-05-17T00:00:00"/>
    <d v="2023-05-18T00:00:00"/>
    <m/>
    <x v="1"/>
    <x v="1"/>
    <x v="0"/>
    <b v="0"/>
    <x v="0"/>
    <x v="0"/>
    <b v="0"/>
  </r>
  <r>
    <n v="5589036"/>
    <s v="123-003-107-007"/>
    <x v="26"/>
    <x v="9"/>
    <d v="2023-01-18T00:00:00"/>
    <s v="Richard Campbell"/>
    <d v="2023-01-19T00:00:00"/>
    <m/>
    <s v="declined"/>
    <x v="0"/>
    <x v="0"/>
    <x v="0"/>
    <b v="0"/>
    <x v="0"/>
    <x v="0"/>
    <b v="0"/>
  </r>
  <r>
    <n v="5589036"/>
    <s v="123-003-107-008"/>
    <x v="26"/>
    <x v="9"/>
    <d v="2022-01-05T00:00:00"/>
    <s v="Mary Baker"/>
    <d v="2022-01-26T00:00:00"/>
    <d v="2022-03-14T00:00:00"/>
    <s v="promo"/>
    <x v="1"/>
    <x v="1"/>
    <x v="0"/>
    <b v="0"/>
    <x v="0"/>
    <x v="1"/>
    <b v="0"/>
  </r>
  <r>
    <n v="5589036"/>
    <s v="123-003-107-009"/>
    <x v="26"/>
    <x v="9"/>
    <d v="2022-12-19T00:00:00"/>
    <s v="Brian Cruz"/>
    <d v="2022-12-29T00:00:00"/>
    <m/>
    <s v="rescinded"/>
    <x v="0"/>
    <x v="1"/>
    <x v="1"/>
    <b v="0"/>
    <x v="0"/>
    <x v="0"/>
    <b v="0"/>
  </r>
  <r>
    <n v="3163099"/>
    <s v="123-007-104-006"/>
    <x v="18"/>
    <x v="4"/>
    <d v="2022-02-16T00:00:00"/>
    <s v="John Evans"/>
    <d v="2022-02-26T00:00:00"/>
    <d v="2022-03-17T00:00:00"/>
    <s v="promo"/>
    <x v="1"/>
    <x v="1"/>
    <x v="0"/>
    <b v="0"/>
    <x v="0"/>
    <x v="1"/>
    <b v="0"/>
  </r>
  <r>
    <n v="3163099"/>
    <s v="123-007-104-007"/>
    <x v="18"/>
    <x v="4"/>
    <d v="2022-05-18T00:00:00"/>
    <s v="Margaret Cruz"/>
    <d v="2022-05-29T00:00:00"/>
    <d v="2022-07-26T00:00:00"/>
    <s v="new to org"/>
    <x v="1"/>
    <x v="1"/>
    <x v="0"/>
    <b v="0"/>
    <x v="0"/>
    <x v="0"/>
    <b v="1"/>
  </r>
  <r>
    <n v="3163099"/>
    <s v="123-007-104-008"/>
    <x v="18"/>
    <x v="4"/>
    <d v="2023-02-18T00:00:00"/>
    <s v="David Collins"/>
    <d v="2023-02-19T00:00:00"/>
    <d v="2023-03-06T00:00:00"/>
    <s v="promo"/>
    <x v="1"/>
    <x v="1"/>
    <x v="0"/>
    <b v="0"/>
    <x v="0"/>
    <x v="1"/>
    <b v="0"/>
  </r>
  <r>
    <n v="3163099"/>
    <s v="123-007-104-009"/>
    <x v="18"/>
    <x v="4"/>
    <d v="2022-01-23T00:00:00"/>
    <s v="William Wilson"/>
    <d v="2022-02-11T00:00:00"/>
    <m/>
    <s v="rescinded"/>
    <x v="0"/>
    <x v="1"/>
    <x v="1"/>
    <b v="0"/>
    <x v="0"/>
    <x v="0"/>
    <b v="0"/>
  </r>
  <r>
    <n v="3163099"/>
    <s v="123-007-104-010"/>
    <x v="18"/>
    <x v="4"/>
    <d v="2022-02-08T00:00:00"/>
    <s v="Lisa Rivera"/>
    <d v="2022-02-21T00:00:00"/>
    <d v="2022-04-19T00:00:00"/>
    <s v="transfer"/>
    <x v="1"/>
    <x v="1"/>
    <x v="0"/>
    <b v="0"/>
    <x v="1"/>
    <x v="0"/>
    <b v="0"/>
  </r>
  <r>
    <n v="5291430"/>
    <s v="123-009-125-004"/>
    <x v="3"/>
    <x v="8"/>
    <d v="2022-05-21T00:00:00"/>
    <s v="Sarah Flores"/>
    <d v="2022-06-04T00:00:00"/>
    <m/>
    <s v="declined"/>
    <x v="0"/>
    <x v="0"/>
    <x v="0"/>
    <b v="0"/>
    <x v="0"/>
    <x v="0"/>
    <b v="0"/>
  </r>
  <r>
    <n v="5291430"/>
    <s v="123-009-125-005"/>
    <x v="3"/>
    <x v="8"/>
    <d v="2022-01-21T00:00:00"/>
    <s v="Carol Turner"/>
    <d v="2022-01-23T00:00:00"/>
    <d v="2022-03-09T00:00:00"/>
    <s v="transfer"/>
    <x v="1"/>
    <x v="1"/>
    <x v="0"/>
    <b v="0"/>
    <x v="1"/>
    <x v="0"/>
    <b v="0"/>
  </r>
  <r>
    <n v="5291430"/>
    <s v="123-009-125-006"/>
    <x v="3"/>
    <x v="8"/>
    <d v="2022-05-07T00:00:00"/>
    <s v="Mark Harris"/>
    <d v="2022-05-25T00:00:00"/>
    <m/>
    <s v="declined"/>
    <x v="0"/>
    <x v="0"/>
    <x v="0"/>
    <b v="0"/>
    <x v="0"/>
    <x v="0"/>
    <b v="0"/>
  </r>
  <r>
    <n v="5291430"/>
    <s v="123-009-125-007"/>
    <x v="3"/>
    <x v="8"/>
    <d v="2022-07-30T00:00:00"/>
    <s v="Brian Martinez"/>
    <d v="2022-08-22T00:00:00"/>
    <m/>
    <s v="rescinded"/>
    <x v="0"/>
    <x v="1"/>
    <x v="1"/>
    <b v="0"/>
    <x v="0"/>
    <x v="0"/>
    <b v="0"/>
  </r>
  <r>
    <n v="5291430"/>
    <s v="123-009-125-008"/>
    <x v="3"/>
    <x v="8"/>
    <d v="2022-04-14T00:00:00"/>
    <s v="Karen Clark"/>
    <d v="2022-05-06T00:00:00"/>
    <d v="2022-06-09T00:00:00"/>
    <s v="transfer"/>
    <x v="1"/>
    <x v="1"/>
    <x v="0"/>
    <b v="0"/>
    <x v="1"/>
    <x v="0"/>
    <b v="0"/>
  </r>
  <r>
    <n v="2760168"/>
    <s v="123-010-117-005"/>
    <x v="9"/>
    <x v="6"/>
    <d v="2023-05-25T00:00:00"/>
    <s v="Sophia Miller"/>
    <d v="2023-06-01T00:00:00"/>
    <m/>
    <s v="declined"/>
    <x v="0"/>
    <x v="0"/>
    <x v="0"/>
    <b v="0"/>
    <x v="0"/>
    <x v="0"/>
    <b v="0"/>
  </r>
  <r>
    <n v="4351238"/>
    <s v="123-005-125-007"/>
    <x v="3"/>
    <x v="0"/>
    <d v="2022-10-30T00:00:00"/>
    <s v="Dorothy Clark"/>
    <d v="2022-11-05T00:00:00"/>
    <d v="2022-11-08T00:00:00"/>
    <s v="new to org"/>
    <x v="1"/>
    <x v="1"/>
    <x v="0"/>
    <b v="0"/>
    <x v="0"/>
    <x v="0"/>
    <b v="1"/>
  </r>
  <r>
    <n v="4351238"/>
    <s v="123-005-125-008"/>
    <x v="3"/>
    <x v="0"/>
    <d v="2022-12-05T00:00:00"/>
    <s v="Brian Walker"/>
    <d v="2022-12-13T00:00:00"/>
    <d v="2022-12-14T00:00:00"/>
    <s v="promo"/>
    <x v="1"/>
    <x v="1"/>
    <x v="0"/>
    <b v="0"/>
    <x v="0"/>
    <x v="1"/>
    <b v="0"/>
  </r>
  <r>
    <n v="4351238"/>
    <s v="123-005-125-009"/>
    <x v="3"/>
    <x v="0"/>
    <d v="2022-04-24T00:00:00"/>
    <s v="Jennifer Collins"/>
    <d v="2022-05-21T00:00:00"/>
    <m/>
    <s v="declined"/>
    <x v="0"/>
    <x v="0"/>
    <x v="0"/>
    <b v="0"/>
    <x v="0"/>
    <x v="0"/>
    <b v="0"/>
  </r>
  <r>
    <n v="4351238"/>
    <s v="123-005-125-010"/>
    <x v="3"/>
    <x v="0"/>
    <d v="2023-06-08T00:00:00"/>
    <s v="Elizabeth Garcia"/>
    <d v="2023-06-11T00:00:00"/>
    <d v="2023-07-28T00:00:00"/>
    <m/>
    <x v="1"/>
    <x v="1"/>
    <x v="0"/>
    <b v="0"/>
    <x v="0"/>
    <x v="0"/>
    <b v="0"/>
  </r>
  <r>
    <n v="4351238"/>
    <s v="123-005-125-011"/>
    <x v="3"/>
    <x v="0"/>
    <d v="2023-04-13T00:00:00"/>
    <s v="Carol Anderson"/>
    <d v="2023-04-23T00:00:00"/>
    <d v="2023-05-10T00:00:00"/>
    <s v="new to org"/>
    <x v="1"/>
    <x v="1"/>
    <x v="0"/>
    <b v="0"/>
    <x v="0"/>
    <x v="0"/>
    <b v="1"/>
  </r>
  <r>
    <n v="8789281"/>
    <s v="123-002-102-001"/>
    <x v="27"/>
    <x v="7"/>
    <d v="2022-11-17T00:00:00"/>
    <s v="Lisa Phillips"/>
    <d v="2022-12-01T00:00:00"/>
    <d v="2023-01-18T00:00:00"/>
    <s v="new to org"/>
    <x v="1"/>
    <x v="1"/>
    <x v="0"/>
    <b v="0"/>
    <x v="0"/>
    <x v="0"/>
    <b v="1"/>
  </r>
  <r>
    <n v="8789281"/>
    <s v="123-002-102-002"/>
    <x v="27"/>
    <x v="7"/>
    <d v="2022-02-16T00:00:00"/>
    <s v="Mia Carter"/>
    <d v="2022-02-17T00:00:00"/>
    <m/>
    <s v="declined"/>
    <x v="0"/>
    <x v="0"/>
    <x v="0"/>
    <b v="0"/>
    <x v="0"/>
    <x v="0"/>
    <b v="0"/>
  </r>
  <r>
    <n v="3321873"/>
    <s v="123-003-122-007"/>
    <x v="17"/>
    <x v="9"/>
    <d v="2022-10-02T00:00:00"/>
    <s v="Mark Flores"/>
    <d v="2022-10-31T00:00:00"/>
    <m/>
    <s v="rescinded"/>
    <x v="0"/>
    <x v="1"/>
    <x v="1"/>
    <b v="0"/>
    <x v="0"/>
    <x v="0"/>
    <b v="0"/>
  </r>
  <r>
    <n v="3321873"/>
    <s v="123-003-122-008"/>
    <x v="17"/>
    <x v="9"/>
    <d v="2022-07-07T00:00:00"/>
    <s v="Isabella Perez"/>
    <d v="2022-07-11T00:00:00"/>
    <d v="2022-08-06T00:00:00"/>
    <s v="new to org"/>
    <x v="1"/>
    <x v="1"/>
    <x v="0"/>
    <b v="0"/>
    <x v="0"/>
    <x v="0"/>
    <b v="1"/>
  </r>
  <r>
    <n v="3321873"/>
    <s v="123-003-122-009"/>
    <x v="17"/>
    <x v="9"/>
    <d v="2023-01-30T00:00:00"/>
    <s v="Sarah Turner"/>
    <d v="2023-02-22T00:00:00"/>
    <d v="2023-04-18T00:00:00"/>
    <m/>
    <x v="1"/>
    <x v="1"/>
    <x v="0"/>
    <b v="0"/>
    <x v="0"/>
    <x v="0"/>
    <b v="0"/>
  </r>
  <r>
    <n v="9023619"/>
    <s v="123-007-126-001"/>
    <x v="5"/>
    <x v="4"/>
    <d v="2022-03-02T00:00:00"/>
    <s v="Brian Campbell"/>
    <d v="2022-03-30T00:00:00"/>
    <m/>
    <s v="declined"/>
    <x v="0"/>
    <x v="0"/>
    <x v="0"/>
    <b v="0"/>
    <x v="0"/>
    <x v="0"/>
    <b v="0"/>
  </r>
  <r>
    <n v="9023619"/>
    <s v="123-007-126-002"/>
    <x v="5"/>
    <x v="4"/>
    <d v="2023-05-10T00:00:00"/>
    <s v="Anthony Collins"/>
    <d v="2023-06-05T00:00:00"/>
    <m/>
    <s v="declined"/>
    <x v="0"/>
    <x v="0"/>
    <x v="0"/>
    <b v="0"/>
    <x v="0"/>
    <x v="0"/>
    <b v="0"/>
  </r>
  <r>
    <n v="8351152"/>
    <s v="123-010-106-001"/>
    <x v="4"/>
    <x v="6"/>
    <d v="2022-05-14T00:00:00"/>
    <s v="Logan Baker"/>
    <d v="2022-05-30T00:00:00"/>
    <d v="2022-07-28T00:00:00"/>
    <s v="transfer"/>
    <x v="1"/>
    <x v="1"/>
    <x v="0"/>
    <b v="0"/>
    <x v="1"/>
    <x v="0"/>
    <b v="0"/>
  </r>
  <r>
    <n v="8351152"/>
    <s v="123-010-106-002"/>
    <x v="4"/>
    <x v="6"/>
    <d v="2022-03-06T00:00:00"/>
    <s v="Mark Williams"/>
    <d v="2022-03-15T00:00:00"/>
    <d v="2022-04-26T00:00:00"/>
    <m/>
    <x v="1"/>
    <x v="1"/>
    <x v="0"/>
    <b v="0"/>
    <x v="0"/>
    <x v="0"/>
    <b v="0"/>
  </r>
  <r>
    <n v="8351152"/>
    <s v="123-010-106-003"/>
    <x v="4"/>
    <x v="6"/>
    <d v="2022-12-13T00:00:00"/>
    <s v="Kevin Parker"/>
    <d v="2022-12-30T00:00:00"/>
    <d v="2023-02-02T00:00:00"/>
    <s v="promo"/>
    <x v="1"/>
    <x v="1"/>
    <x v="0"/>
    <b v="0"/>
    <x v="0"/>
    <x v="1"/>
    <b v="0"/>
  </r>
  <r>
    <n v="8351152"/>
    <s v="123-010-106-004"/>
    <x v="4"/>
    <x v="6"/>
    <d v="2022-09-12T00:00:00"/>
    <s v="Margaret Nelson"/>
    <d v="2022-09-28T00:00:00"/>
    <d v="2022-10-21T00:00:00"/>
    <s v="transfer"/>
    <x v="1"/>
    <x v="1"/>
    <x v="0"/>
    <b v="0"/>
    <x v="1"/>
    <x v="0"/>
    <b v="0"/>
  </r>
  <r>
    <n v="7457158"/>
    <s v="123-009-105-001"/>
    <x v="7"/>
    <x v="8"/>
    <d v="2023-04-03T00:00:00"/>
    <s v="Mia Young"/>
    <d v="2023-04-14T00:00:00"/>
    <m/>
    <s v="declined"/>
    <x v="0"/>
    <x v="0"/>
    <x v="0"/>
    <b v="0"/>
    <x v="0"/>
    <x v="0"/>
    <b v="0"/>
  </r>
  <r>
    <n v="7457158"/>
    <s v="123-009-105-002"/>
    <x v="7"/>
    <x v="8"/>
    <d v="2023-04-26T00:00:00"/>
    <s v="Steven Diaz"/>
    <d v="2023-05-24T00:00:00"/>
    <d v="2023-06-25T00:00:00"/>
    <s v="promo"/>
    <x v="1"/>
    <x v="1"/>
    <x v="0"/>
    <b v="0"/>
    <x v="0"/>
    <x v="1"/>
    <b v="0"/>
  </r>
  <r>
    <n v="7457158"/>
    <s v="123-009-105-003"/>
    <x v="7"/>
    <x v="8"/>
    <d v="2022-11-25T00:00:00"/>
    <s v="Edward Young"/>
    <d v="2022-12-03T00:00:00"/>
    <d v="2022-12-25T00:00:00"/>
    <s v="transfer"/>
    <x v="1"/>
    <x v="1"/>
    <x v="0"/>
    <b v="0"/>
    <x v="1"/>
    <x v="0"/>
    <b v="0"/>
  </r>
  <r>
    <n v="7457158"/>
    <s v="123-009-105-004"/>
    <x v="7"/>
    <x v="8"/>
    <d v="2023-01-23T00:00:00"/>
    <s v="Steven Anderson"/>
    <d v="2023-02-05T00:00:00"/>
    <d v="2023-03-30T00:00:00"/>
    <s v="transfer"/>
    <x v="1"/>
    <x v="1"/>
    <x v="0"/>
    <b v="0"/>
    <x v="1"/>
    <x v="0"/>
    <b v="0"/>
  </r>
  <r>
    <n v="7457158"/>
    <s v="123-009-105-005"/>
    <x v="7"/>
    <x v="8"/>
    <d v="2023-04-04T00:00:00"/>
    <s v="Sandra Lewis"/>
    <d v="2023-04-07T00:00:00"/>
    <m/>
    <s v="rescinded"/>
    <x v="0"/>
    <x v="1"/>
    <x v="1"/>
    <b v="0"/>
    <x v="0"/>
    <x v="0"/>
    <b v="0"/>
  </r>
  <r>
    <n v="2991570"/>
    <s v="123-001-116-010"/>
    <x v="25"/>
    <x v="3"/>
    <d v="2022-01-01T00:00:00"/>
    <s v="Emily Scott"/>
    <d v="2022-01-28T00:00:00"/>
    <d v="2022-02-03T00:00:00"/>
    <s v="transfer"/>
    <x v="1"/>
    <x v="1"/>
    <x v="0"/>
    <b v="0"/>
    <x v="1"/>
    <x v="0"/>
    <b v="0"/>
  </r>
  <r>
    <n v="6110305"/>
    <s v="123-009-129-001"/>
    <x v="14"/>
    <x v="8"/>
    <d v="2022-12-16T00:00:00"/>
    <s v="Kevin Robinson"/>
    <d v="2022-12-28T00:00:00"/>
    <m/>
    <s v="declined"/>
    <x v="0"/>
    <x v="0"/>
    <x v="0"/>
    <b v="0"/>
    <x v="0"/>
    <x v="0"/>
    <b v="0"/>
  </r>
  <r>
    <n v="6110305"/>
    <s v="123-009-129-002"/>
    <x v="14"/>
    <x v="8"/>
    <d v="2022-12-06T00:00:00"/>
    <s v="Mia Robinson"/>
    <d v="2022-12-24T00:00:00"/>
    <d v="2023-02-12T00:00:00"/>
    <s v="promo"/>
    <x v="1"/>
    <x v="1"/>
    <x v="0"/>
    <b v="0"/>
    <x v="0"/>
    <x v="1"/>
    <b v="0"/>
  </r>
  <r>
    <n v="6110305"/>
    <s v="123-009-129-003"/>
    <x v="14"/>
    <x v="8"/>
    <d v="2023-01-08T00:00:00"/>
    <s v="Dorothy Nelson"/>
    <d v="2023-01-31T00:00:00"/>
    <d v="2023-03-01T00:00:00"/>
    <m/>
    <x v="1"/>
    <x v="1"/>
    <x v="0"/>
    <b v="0"/>
    <x v="0"/>
    <x v="0"/>
    <b v="0"/>
  </r>
  <r>
    <n v="6110305"/>
    <s v="123-009-129-004"/>
    <x v="14"/>
    <x v="8"/>
    <d v="2022-08-16T00:00:00"/>
    <s v="Edward Nelson"/>
    <d v="2022-08-17T00:00:00"/>
    <m/>
    <s v="declined"/>
    <x v="0"/>
    <x v="0"/>
    <x v="0"/>
    <b v="0"/>
    <x v="0"/>
    <x v="0"/>
    <b v="0"/>
  </r>
  <r>
    <n v="6110305"/>
    <s v="123-009-129-005"/>
    <x v="14"/>
    <x v="8"/>
    <d v="2023-01-18T00:00:00"/>
    <s v="Emily King"/>
    <d v="2023-02-10T00:00:00"/>
    <d v="2023-02-17T00:00:00"/>
    <s v="new to org"/>
    <x v="1"/>
    <x v="1"/>
    <x v="0"/>
    <b v="0"/>
    <x v="0"/>
    <x v="0"/>
    <b v="1"/>
  </r>
  <r>
    <n v="1768029"/>
    <s v="123-003-129-001"/>
    <x v="14"/>
    <x v="9"/>
    <d v="2023-02-24T00:00:00"/>
    <s v="Dorothy Mitchell"/>
    <d v="2023-02-28T00:00:00"/>
    <m/>
    <s v="declined"/>
    <x v="0"/>
    <x v="0"/>
    <x v="0"/>
    <b v="0"/>
    <x v="0"/>
    <x v="0"/>
    <b v="0"/>
  </r>
  <r>
    <n v="1768029"/>
    <s v="123-003-129-002"/>
    <x v="14"/>
    <x v="9"/>
    <d v="2022-05-04T00:00:00"/>
    <s v="Richard Gonzalez"/>
    <d v="2022-06-03T00:00:00"/>
    <m/>
    <s v="declined"/>
    <x v="0"/>
    <x v="0"/>
    <x v="0"/>
    <b v="0"/>
    <x v="0"/>
    <x v="0"/>
    <b v="0"/>
  </r>
  <r>
    <n v="1768029"/>
    <s v="123-003-129-003"/>
    <x v="14"/>
    <x v="9"/>
    <d v="2022-07-15T00:00:00"/>
    <s v="Sandra Evans"/>
    <d v="2022-08-07T00:00:00"/>
    <d v="2022-08-29T00:00:00"/>
    <s v="promo"/>
    <x v="1"/>
    <x v="1"/>
    <x v="0"/>
    <b v="0"/>
    <x v="0"/>
    <x v="1"/>
    <b v="0"/>
  </r>
  <r>
    <n v="1768029"/>
    <s v="123-003-129-004"/>
    <x v="14"/>
    <x v="9"/>
    <d v="2022-05-07T00:00:00"/>
    <s v="Anthony Williams"/>
    <d v="2022-06-01T00:00:00"/>
    <m/>
    <s v="declined"/>
    <x v="0"/>
    <x v="0"/>
    <x v="0"/>
    <b v="0"/>
    <x v="0"/>
    <x v="0"/>
    <b v="0"/>
  </r>
  <r>
    <n v="8558212"/>
    <s v="123-010-115-010"/>
    <x v="22"/>
    <x v="6"/>
    <d v="2023-06-28T00:00:00"/>
    <s v="Ashley Smith"/>
    <d v="2023-07-22T00:00:00"/>
    <m/>
    <s v="declined"/>
    <x v="0"/>
    <x v="0"/>
    <x v="0"/>
    <b v="0"/>
    <x v="0"/>
    <x v="0"/>
    <b v="0"/>
  </r>
  <r>
    <n v="8558212"/>
    <s v="123-010-115-011"/>
    <x v="22"/>
    <x v="6"/>
    <d v="2022-09-12T00:00:00"/>
    <s v="Ava Hall"/>
    <d v="2022-09-21T00:00:00"/>
    <m/>
    <s v="declined"/>
    <x v="0"/>
    <x v="0"/>
    <x v="0"/>
    <b v="0"/>
    <x v="0"/>
    <x v="0"/>
    <b v="0"/>
  </r>
  <r>
    <n v="8558212"/>
    <s v="123-010-115-012"/>
    <x v="22"/>
    <x v="6"/>
    <d v="2022-07-01T00:00:00"/>
    <s v="Jackson Allen"/>
    <d v="2022-07-24T00:00:00"/>
    <d v="2022-08-31T00:00:00"/>
    <m/>
    <x v="1"/>
    <x v="1"/>
    <x v="0"/>
    <b v="0"/>
    <x v="0"/>
    <x v="0"/>
    <b v="0"/>
  </r>
  <r>
    <n v="8558212"/>
    <s v="123-010-115-013"/>
    <x v="22"/>
    <x v="6"/>
    <d v="2022-04-17T00:00:00"/>
    <s v="Isabella Rodriguez"/>
    <d v="2022-04-30T00:00:00"/>
    <m/>
    <s v="declined"/>
    <x v="0"/>
    <x v="0"/>
    <x v="0"/>
    <b v="0"/>
    <x v="0"/>
    <x v="0"/>
    <b v="0"/>
  </r>
  <r>
    <n v="8558212"/>
    <s v="123-010-115-014"/>
    <x v="22"/>
    <x v="6"/>
    <d v="2023-01-29T00:00:00"/>
    <s v="Steven Cruz"/>
    <d v="2023-02-12T00:00:00"/>
    <d v="2023-03-23T00:00:00"/>
    <s v="new to org"/>
    <x v="1"/>
    <x v="1"/>
    <x v="0"/>
    <b v="0"/>
    <x v="0"/>
    <x v="0"/>
    <b v="1"/>
  </r>
  <r>
    <n v="7675150"/>
    <s v="123-005-111-004"/>
    <x v="29"/>
    <x v="0"/>
    <d v="2023-06-09T00:00:00"/>
    <s v="Anthony Hill"/>
    <d v="2023-06-19T00:00:00"/>
    <d v="2023-08-12T00:00:00"/>
    <s v="promo"/>
    <x v="1"/>
    <x v="1"/>
    <x v="0"/>
    <b v="0"/>
    <x v="0"/>
    <x v="1"/>
    <b v="0"/>
  </r>
  <r>
    <n v="7675150"/>
    <s v="123-005-111-005"/>
    <x v="29"/>
    <x v="0"/>
    <d v="2022-08-11T00:00:00"/>
    <s v="Dorothy Mitchell"/>
    <d v="2022-08-18T00:00:00"/>
    <d v="2022-09-01T00:00:00"/>
    <s v="new to org"/>
    <x v="1"/>
    <x v="1"/>
    <x v="0"/>
    <b v="0"/>
    <x v="0"/>
    <x v="0"/>
    <b v="1"/>
  </r>
  <r>
    <n v="7675150"/>
    <s v="123-005-111-006"/>
    <x v="29"/>
    <x v="0"/>
    <d v="2022-05-16T00:00:00"/>
    <s v="Amanda Thompson"/>
    <d v="2022-06-08T00:00:00"/>
    <d v="2022-07-20T00:00:00"/>
    <s v="new to org"/>
    <x v="1"/>
    <x v="1"/>
    <x v="0"/>
    <b v="0"/>
    <x v="0"/>
    <x v="0"/>
    <b v="1"/>
  </r>
  <r>
    <n v="7675150"/>
    <s v="123-005-111-007"/>
    <x v="29"/>
    <x v="0"/>
    <d v="2022-11-27T00:00:00"/>
    <s v="Steven Wright"/>
    <d v="2022-12-20T00:00:00"/>
    <d v="2022-12-28T00:00:00"/>
    <s v="promo"/>
    <x v="1"/>
    <x v="1"/>
    <x v="0"/>
    <b v="0"/>
    <x v="0"/>
    <x v="1"/>
    <b v="0"/>
  </r>
  <r>
    <n v="6909569"/>
    <s v="123-008-118-001"/>
    <x v="1"/>
    <x v="5"/>
    <d v="2022-10-20T00:00:00"/>
    <s v="Amanda Mitchell"/>
    <d v="2022-11-18T00:00:00"/>
    <d v="2023-01-12T00:00:00"/>
    <m/>
    <x v="1"/>
    <x v="1"/>
    <x v="0"/>
    <b v="0"/>
    <x v="0"/>
    <x v="0"/>
    <b v="0"/>
  </r>
  <r>
    <n v="6909569"/>
    <s v="123-008-118-002"/>
    <x v="1"/>
    <x v="5"/>
    <d v="2022-01-26T00:00:00"/>
    <s v="Kimberly Miller"/>
    <d v="2022-02-08T00:00:00"/>
    <d v="2022-02-18T00:00:00"/>
    <s v="transfer"/>
    <x v="1"/>
    <x v="1"/>
    <x v="0"/>
    <b v="0"/>
    <x v="1"/>
    <x v="0"/>
    <b v="0"/>
  </r>
  <r>
    <n v="6909569"/>
    <s v="123-008-118-003"/>
    <x v="1"/>
    <x v="5"/>
    <d v="2022-10-01T00:00:00"/>
    <s v="Patricia Gonzalez"/>
    <d v="2022-10-26T00:00:00"/>
    <m/>
    <s v="declined"/>
    <x v="0"/>
    <x v="0"/>
    <x v="0"/>
    <b v="0"/>
    <x v="0"/>
    <x v="0"/>
    <b v="0"/>
  </r>
  <r>
    <n v="6909569"/>
    <s v="123-008-118-004"/>
    <x v="1"/>
    <x v="5"/>
    <d v="2022-05-30T00:00:00"/>
    <s v="Amanda Taylor"/>
    <d v="2022-06-26T00:00:00"/>
    <d v="2022-06-30T00:00:00"/>
    <s v="new to org"/>
    <x v="1"/>
    <x v="1"/>
    <x v="0"/>
    <b v="0"/>
    <x v="0"/>
    <x v="0"/>
    <b v="1"/>
  </r>
  <r>
    <n v="6909569"/>
    <s v="123-008-118-005"/>
    <x v="1"/>
    <x v="5"/>
    <d v="2022-02-03T00:00:00"/>
    <s v="Susan Carter"/>
    <d v="2022-02-15T00:00:00"/>
    <d v="2022-04-09T00:00:00"/>
    <s v="new to org"/>
    <x v="1"/>
    <x v="1"/>
    <x v="0"/>
    <b v="0"/>
    <x v="0"/>
    <x v="0"/>
    <b v="1"/>
  </r>
  <r>
    <n v="8593275"/>
    <s v="123-010-104-001"/>
    <x v="18"/>
    <x v="6"/>
    <d v="2022-10-22T00:00:00"/>
    <s v="Jessica Allen"/>
    <d v="2022-11-14T00:00:00"/>
    <d v="2022-12-27T00:00:00"/>
    <m/>
    <x v="1"/>
    <x v="1"/>
    <x v="0"/>
    <b v="0"/>
    <x v="0"/>
    <x v="0"/>
    <b v="0"/>
  </r>
  <r>
    <n v="8593275"/>
    <s v="123-010-104-002"/>
    <x v="18"/>
    <x v="6"/>
    <d v="2023-03-03T00:00:00"/>
    <s v="Matthew Harris"/>
    <d v="2023-03-29T00:00:00"/>
    <m/>
    <s v="declined"/>
    <x v="0"/>
    <x v="0"/>
    <x v="0"/>
    <b v="0"/>
    <x v="0"/>
    <x v="0"/>
    <b v="0"/>
  </r>
  <r>
    <n v="8593275"/>
    <s v="123-010-104-003"/>
    <x v="18"/>
    <x v="6"/>
    <d v="2022-01-14T00:00:00"/>
    <s v="Emily Brown"/>
    <d v="2022-02-07T00:00:00"/>
    <d v="2022-02-24T00:00:00"/>
    <s v="new to org"/>
    <x v="1"/>
    <x v="1"/>
    <x v="0"/>
    <b v="0"/>
    <x v="0"/>
    <x v="0"/>
    <b v="1"/>
  </r>
  <r>
    <n v="8593275"/>
    <s v="123-010-104-004"/>
    <x v="18"/>
    <x v="6"/>
    <d v="2023-03-30T00:00:00"/>
    <s v="Logan Roberts"/>
    <d v="2023-04-26T00:00:00"/>
    <m/>
    <s v="rescinded"/>
    <x v="0"/>
    <x v="1"/>
    <x v="1"/>
    <b v="0"/>
    <x v="0"/>
    <x v="0"/>
    <b v="0"/>
  </r>
  <r>
    <n v="8593275"/>
    <s v="123-010-104-005"/>
    <x v="18"/>
    <x v="6"/>
    <d v="2023-01-12T00:00:00"/>
    <s v="Kenneth Rivera"/>
    <d v="2023-02-06T00:00:00"/>
    <m/>
    <s v="rescinded"/>
    <x v="0"/>
    <x v="1"/>
    <x v="1"/>
    <b v="0"/>
    <x v="0"/>
    <x v="0"/>
    <b v="0"/>
  </r>
  <r>
    <n v="4296204"/>
    <s v="123-004-125-008"/>
    <x v="3"/>
    <x v="1"/>
    <d v="2023-06-11T00:00:00"/>
    <s v="Barbara Lopez"/>
    <d v="2023-06-15T00:00:00"/>
    <d v="2023-07-10T00:00:00"/>
    <s v="transfer"/>
    <x v="1"/>
    <x v="1"/>
    <x v="0"/>
    <b v="0"/>
    <x v="1"/>
    <x v="0"/>
    <b v="0"/>
  </r>
  <r>
    <n v="4296204"/>
    <s v="123-004-125-009"/>
    <x v="3"/>
    <x v="1"/>
    <d v="2022-09-28T00:00:00"/>
    <s v="Sarah Scott"/>
    <d v="2022-10-03T00:00:00"/>
    <m/>
    <s v="declined"/>
    <x v="0"/>
    <x v="0"/>
    <x v="0"/>
    <b v="0"/>
    <x v="0"/>
    <x v="0"/>
    <b v="0"/>
  </r>
  <r>
    <n v="4296204"/>
    <s v="123-004-125-010"/>
    <x v="3"/>
    <x v="1"/>
    <d v="2022-01-06T00:00:00"/>
    <s v="Mia Taylor"/>
    <d v="2022-01-17T00:00:00"/>
    <m/>
    <s v="declined"/>
    <x v="0"/>
    <x v="0"/>
    <x v="0"/>
    <b v="0"/>
    <x v="0"/>
    <x v="0"/>
    <b v="0"/>
  </r>
  <r>
    <n v="8823741"/>
    <s v="123-003-123-002"/>
    <x v="19"/>
    <x v="9"/>
    <d v="2022-02-22T00:00:00"/>
    <s v="Christopher Hill"/>
    <d v="2022-03-19T00:00:00"/>
    <m/>
    <s v="declined"/>
    <x v="0"/>
    <x v="0"/>
    <x v="0"/>
    <b v="0"/>
    <x v="0"/>
    <x v="0"/>
    <b v="0"/>
  </r>
  <r>
    <n v="6052539"/>
    <s v="123-010-116-003"/>
    <x v="25"/>
    <x v="6"/>
    <d v="2022-11-22T00:00:00"/>
    <s v="Sophia Rivera"/>
    <d v="2022-12-09T00:00:00"/>
    <m/>
    <s v="rescinded"/>
    <x v="0"/>
    <x v="1"/>
    <x v="1"/>
    <b v="0"/>
    <x v="0"/>
    <x v="0"/>
    <b v="0"/>
  </r>
  <r>
    <n v="6052539"/>
    <s v="123-010-116-004"/>
    <x v="25"/>
    <x v="6"/>
    <d v="2022-03-11T00:00:00"/>
    <s v="Barbara King"/>
    <d v="2022-04-06T00:00:00"/>
    <m/>
    <s v="declined"/>
    <x v="0"/>
    <x v="0"/>
    <x v="0"/>
    <b v="0"/>
    <x v="0"/>
    <x v="0"/>
    <b v="0"/>
  </r>
  <r>
    <n v="6052539"/>
    <s v="123-010-116-005"/>
    <x v="25"/>
    <x v="6"/>
    <d v="2023-02-18T00:00:00"/>
    <s v="Paul Wright"/>
    <d v="2023-02-21T00:00:00"/>
    <d v="2023-03-16T00:00:00"/>
    <m/>
    <x v="1"/>
    <x v="1"/>
    <x v="0"/>
    <b v="0"/>
    <x v="0"/>
    <x v="0"/>
    <b v="0"/>
  </r>
  <r>
    <n v="6052539"/>
    <s v="123-010-116-006"/>
    <x v="25"/>
    <x v="6"/>
    <d v="2022-12-06T00:00:00"/>
    <s v="Susan Nelson"/>
    <d v="2022-12-17T00:00:00"/>
    <m/>
    <s v="rescinded"/>
    <x v="0"/>
    <x v="1"/>
    <x v="1"/>
    <b v="0"/>
    <x v="0"/>
    <x v="0"/>
    <b v="0"/>
  </r>
  <r>
    <n v="6052539"/>
    <s v="123-010-116-007"/>
    <x v="25"/>
    <x v="6"/>
    <d v="2023-06-28T00:00:00"/>
    <s v="Charlotte Carter"/>
    <d v="2023-07-14T00:00:00"/>
    <d v="2023-08-19T00:00:00"/>
    <s v="promo"/>
    <x v="1"/>
    <x v="1"/>
    <x v="0"/>
    <b v="0"/>
    <x v="0"/>
    <x v="1"/>
    <b v="0"/>
  </r>
  <r>
    <n v="1147701"/>
    <s v="123-006-104-001"/>
    <x v="18"/>
    <x v="2"/>
    <d v="2022-09-07T00:00:00"/>
    <s v="Carol Flores"/>
    <d v="2022-09-09T00:00:00"/>
    <m/>
    <s v="declined"/>
    <x v="0"/>
    <x v="0"/>
    <x v="0"/>
    <b v="0"/>
    <x v="0"/>
    <x v="0"/>
    <b v="0"/>
  </r>
  <r>
    <n v="1147701"/>
    <s v="123-006-104-002"/>
    <x v="18"/>
    <x v="2"/>
    <d v="2022-04-27T00:00:00"/>
    <s v="Matthew Collins"/>
    <d v="2022-05-10T00:00:00"/>
    <d v="2022-05-27T00:00:00"/>
    <s v="new to org"/>
    <x v="1"/>
    <x v="1"/>
    <x v="0"/>
    <b v="0"/>
    <x v="0"/>
    <x v="0"/>
    <b v="1"/>
  </r>
  <r>
    <n v="1147701"/>
    <s v="123-006-104-003"/>
    <x v="18"/>
    <x v="2"/>
    <d v="2023-06-14T00:00:00"/>
    <s v="Mary Collins"/>
    <d v="2023-07-11T00:00:00"/>
    <d v="2023-08-30T00:00:00"/>
    <s v="new to org"/>
    <x v="1"/>
    <x v="1"/>
    <x v="0"/>
    <b v="0"/>
    <x v="0"/>
    <x v="0"/>
    <b v="1"/>
  </r>
  <r>
    <n v="1147701"/>
    <s v="123-006-104-004"/>
    <x v="18"/>
    <x v="2"/>
    <d v="2022-10-31T00:00:00"/>
    <s v="Ashley Williams"/>
    <d v="2022-11-29T00:00:00"/>
    <d v="2023-01-10T00:00:00"/>
    <m/>
    <x v="1"/>
    <x v="1"/>
    <x v="0"/>
    <b v="0"/>
    <x v="0"/>
    <x v="0"/>
    <b v="0"/>
  </r>
  <r>
    <n v="4229821"/>
    <s v="123-009-111-005"/>
    <x v="29"/>
    <x v="8"/>
    <d v="2022-01-08T00:00:00"/>
    <s v="Deborah Wright"/>
    <d v="2022-01-29T00:00:00"/>
    <d v="2022-02-03T00:00:00"/>
    <s v="promo"/>
    <x v="1"/>
    <x v="1"/>
    <x v="0"/>
    <b v="0"/>
    <x v="0"/>
    <x v="1"/>
    <b v="0"/>
  </r>
  <r>
    <n v="4536326"/>
    <s v="123-004-122-005"/>
    <x v="17"/>
    <x v="1"/>
    <d v="2023-03-22T00:00:00"/>
    <s v="Paul Turner"/>
    <d v="2023-04-12T00:00:00"/>
    <d v="2023-06-04T00:00:00"/>
    <s v="promo"/>
    <x v="1"/>
    <x v="1"/>
    <x v="0"/>
    <b v="0"/>
    <x v="0"/>
    <x v="1"/>
    <b v="0"/>
  </r>
  <r>
    <n v="4536326"/>
    <s v="123-004-122-006"/>
    <x v="17"/>
    <x v="1"/>
    <d v="2022-12-06T00:00:00"/>
    <s v="Mary Robinson"/>
    <d v="2022-12-08T00:00:00"/>
    <d v="2022-12-14T00:00:00"/>
    <s v="promo"/>
    <x v="1"/>
    <x v="1"/>
    <x v="0"/>
    <b v="0"/>
    <x v="0"/>
    <x v="1"/>
    <b v="0"/>
  </r>
  <r>
    <n v="4536326"/>
    <s v="123-004-122-007"/>
    <x v="17"/>
    <x v="1"/>
    <d v="2022-09-15T00:00:00"/>
    <s v="Barbara Gomez"/>
    <d v="2022-10-03T00:00:00"/>
    <m/>
    <s v="declined"/>
    <x v="0"/>
    <x v="0"/>
    <x v="0"/>
    <b v="0"/>
    <x v="0"/>
    <x v="0"/>
    <b v="0"/>
  </r>
  <r>
    <n v="4536326"/>
    <s v="123-004-122-008"/>
    <x v="17"/>
    <x v="1"/>
    <d v="2022-09-22T00:00:00"/>
    <s v="Isabella Anderson"/>
    <d v="2022-10-06T00:00:00"/>
    <m/>
    <s v="declined"/>
    <x v="0"/>
    <x v="0"/>
    <x v="0"/>
    <b v="0"/>
    <x v="0"/>
    <x v="0"/>
    <b v="0"/>
  </r>
  <r>
    <n v="7510106"/>
    <s v="123-007-115-001"/>
    <x v="22"/>
    <x v="4"/>
    <d v="2022-05-02T00:00:00"/>
    <s v="Matthew Baker"/>
    <d v="2022-05-20T00:00:00"/>
    <m/>
    <s v="rescinded"/>
    <x v="0"/>
    <x v="1"/>
    <x v="1"/>
    <b v="0"/>
    <x v="0"/>
    <x v="0"/>
    <b v="0"/>
  </r>
  <r>
    <n v="7510106"/>
    <s v="123-007-115-002"/>
    <x v="22"/>
    <x v="4"/>
    <d v="2022-11-05T00:00:00"/>
    <s v="Sophia Baker"/>
    <d v="2022-11-25T00:00:00"/>
    <m/>
    <s v="declined"/>
    <x v="0"/>
    <x v="0"/>
    <x v="0"/>
    <b v="0"/>
    <x v="0"/>
    <x v="0"/>
    <b v="0"/>
  </r>
  <r>
    <n v="7510106"/>
    <s v="123-007-115-003"/>
    <x v="22"/>
    <x v="4"/>
    <d v="2022-02-16T00:00:00"/>
    <s v="Edward Mitchell"/>
    <d v="2022-03-11T00:00:00"/>
    <d v="2022-05-05T00:00:00"/>
    <s v="transfer"/>
    <x v="1"/>
    <x v="1"/>
    <x v="0"/>
    <b v="0"/>
    <x v="1"/>
    <x v="0"/>
    <b v="0"/>
  </r>
  <r>
    <n v="7510106"/>
    <s v="123-007-115-004"/>
    <x v="22"/>
    <x v="4"/>
    <d v="2022-04-19T00:00:00"/>
    <s v="Jackson Allen"/>
    <d v="2022-04-29T00:00:00"/>
    <m/>
    <s v="declined"/>
    <x v="0"/>
    <x v="0"/>
    <x v="0"/>
    <b v="0"/>
    <x v="0"/>
    <x v="0"/>
    <b v="0"/>
  </r>
  <r>
    <n v="2451316"/>
    <s v="123-008-110-006"/>
    <x v="12"/>
    <x v="5"/>
    <d v="2023-05-01T00:00:00"/>
    <s v="Kevin Johnson"/>
    <d v="2023-05-07T00:00:00"/>
    <m/>
    <s v="rescinded"/>
    <x v="0"/>
    <x v="1"/>
    <x v="1"/>
    <b v="0"/>
    <x v="0"/>
    <x v="0"/>
    <b v="0"/>
  </r>
  <r>
    <n v="2451316"/>
    <s v="123-008-110-007"/>
    <x v="12"/>
    <x v="5"/>
    <d v="2022-10-30T00:00:00"/>
    <s v="Melissa Sanchez"/>
    <d v="2022-11-20T00:00:00"/>
    <d v="2022-11-30T00:00:00"/>
    <s v="promo"/>
    <x v="1"/>
    <x v="1"/>
    <x v="0"/>
    <b v="0"/>
    <x v="0"/>
    <x v="1"/>
    <b v="0"/>
  </r>
  <r>
    <n v="2451316"/>
    <s v="123-008-110-008"/>
    <x v="12"/>
    <x v="5"/>
    <d v="2023-01-18T00:00:00"/>
    <s v="Olivia Collins"/>
    <d v="2023-01-19T00:00:00"/>
    <m/>
    <s v="rescinded"/>
    <x v="0"/>
    <x v="1"/>
    <x v="1"/>
    <b v="0"/>
    <x v="0"/>
    <x v="0"/>
    <b v="0"/>
  </r>
  <r>
    <n v="2451316"/>
    <s v="123-008-110-009"/>
    <x v="12"/>
    <x v="5"/>
    <d v="2022-01-06T00:00:00"/>
    <s v="Linda Williams"/>
    <d v="2022-01-25T00:00:00"/>
    <d v="2022-03-05T00:00:00"/>
    <s v="promo"/>
    <x v="1"/>
    <x v="1"/>
    <x v="0"/>
    <b v="0"/>
    <x v="0"/>
    <x v="1"/>
    <b v="0"/>
  </r>
  <r>
    <n v="7611593"/>
    <s v="123-009-118-005"/>
    <x v="1"/>
    <x v="8"/>
    <d v="2022-12-19T00:00:00"/>
    <s v="Melissa Mitchell"/>
    <d v="2022-12-26T00:00:00"/>
    <m/>
    <s v="rescinded"/>
    <x v="0"/>
    <x v="1"/>
    <x v="1"/>
    <b v="0"/>
    <x v="0"/>
    <x v="0"/>
    <b v="0"/>
  </r>
  <r>
    <n v="7923193"/>
    <s v="123-009-129-006"/>
    <x v="14"/>
    <x v="8"/>
    <d v="2022-09-16T00:00:00"/>
    <s v="Joseph Flores"/>
    <d v="2022-09-23T00:00:00"/>
    <m/>
    <s v="declined"/>
    <x v="0"/>
    <x v="0"/>
    <x v="0"/>
    <b v="0"/>
    <x v="0"/>
    <x v="0"/>
    <b v="0"/>
  </r>
  <r>
    <n v="7923193"/>
    <s v="123-009-129-007"/>
    <x v="14"/>
    <x v="8"/>
    <d v="2022-02-25T00:00:00"/>
    <s v="Kevin Phillips"/>
    <d v="2022-03-25T00:00:00"/>
    <m/>
    <s v="declined"/>
    <x v="0"/>
    <x v="0"/>
    <x v="0"/>
    <b v="0"/>
    <x v="0"/>
    <x v="0"/>
    <b v="0"/>
  </r>
  <r>
    <n v="8738745"/>
    <s v="123-009-121-010"/>
    <x v="20"/>
    <x v="8"/>
    <d v="2022-04-11T00:00:00"/>
    <s v="John Taylor"/>
    <d v="2022-04-18T00:00:00"/>
    <m/>
    <s v="declined"/>
    <x v="0"/>
    <x v="0"/>
    <x v="0"/>
    <b v="0"/>
    <x v="0"/>
    <x v="0"/>
    <b v="0"/>
  </r>
  <r>
    <n v="9173698"/>
    <s v="123-006-111-001"/>
    <x v="29"/>
    <x v="2"/>
    <d v="2022-03-13T00:00:00"/>
    <s v="Michael Jackson"/>
    <d v="2022-04-11T00:00:00"/>
    <d v="2022-04-24T00:00:00"/>
    <s v="promo"/>
    <x v="1"/>
    <x v="1"/>
    <x v="0"/>
    <b v="0"/>
    <x v="0"/>
    <x v="1"/>
    <b v="0"/>
  </r>
  <r>
    <n v="9173698"/>
    <s v="123-006-111-002"/>
    <x v="29"/>
    <x v="2"/>
    <d v="2022-11-10T00:00:00"/>
    <s v="Nancy Flores"/>
    <d v="2022-12-03T00:00:00"/>
    <d v="2023-01-10T00:00:00"/>
    <m/>
    <x v="1"/>
    <x v="1"/>
    <x v="0"/>
    <b v="0"/>
    <x v="0"/>
    <x v="0"/>
    <b v="0"/>
  </r>
  <r>
    <n v="3556763"/>
    <s v="123-010-119-004"/>
    <x v="2"/>
    <x v="6"/>
    <d v="2022-11-17T00:00:00"/>
    <s v="David Smith"/>
    <d v="2022-11-25T00:00:00"/>
    <d v="2023-01-15T00:00:00"/>
    <m/>
    <x v="1"/>
    <x v="1"/>
    <x v="0"/>
    <b v="0"/>
    <x v="0"/>
    <x v="0"/>
    <b v="0"/>
  </r>
  <r>
    <n v="3556763"/>
    <s v="123-010-119-005"/>
    <x v="2"/>
    <x v="6"/>
    <d v="2023-03-23T00:00:00"/>
    <s v="Melissa Adams"/>
    <d v="2023-04-01T00:00:00"/>
    <m/>
    <s v="rescinded"/>
    <x v="0"/>
    <x v="1"/>
    <x v="1"/>
    <b v="0"/>
    <x v="0"/>
    <x v="0"/>
    <b v="0"/>
  </r>
  <r>
    <n v="3556763"/>
    <s v="123-010-119-006"/>
    <x v="2"/>
    <x v="6"/>
    <d v="2022-12-06T00:00:00"/>
    <s v="Amanda Campbell"/>
    <d v="2023-01-04T00:00:00"/>
    <d v="2023-02-04T00:00:00"/>
    <s v="promo"/>
    <x v="1"/>
    <x v="1"/>
    <x v="0"/>
    <b v="0"/>
    <x v="0"/>
    <x v="1"/>
    <b v="0"/>
  </r>
  <r>
    <n v="8765307"/>
    <s v="123-006-115-009"/>
    <x v="22"/>
    <x v="2"/>
    <d v="2022-03-25T00:00:00"/>
    <s v="Barbara Adams"/>
    <d v="2022-04-21T00:00:00"/>
    <d v="2022-05-09T00:00:00"/>
    <s v="transfer"/>
    <x v="1"/>
    <x v="1"/>
    <x v="0"/>
    <b v="0"/>
    <x v="1"/>
    <x v="0"/>
    <b v="0"/>
  </r>
  <r>
    <n v="8765307"/>
    <s v="123-006-115-010"/>
    <x v="22"/>
    <x v="2"/>
    <d v="2022-07-21T00:00:00"/>
    <s v="Lucas Wright"/>
    <d v="2022-07-30T00:00:00"/>
    <d v="2022-09-15T00:00:00"/>
    <s v="promo"/>
    <x v="1"/>
    <x v="1"/>
    <x v="0"/>
    <b v="0"/>
    <x v="0"/>
    <x v="1"/>
    <b v="0"/>
  </r>
  <r>
    <n v="8765307"/>
    <s v="123-006-115-011"/>
    <x v="22"/>
    <x v="2"/>
    <d v="2022-01-20T00:00:00"/>
    <s v="George Jones"/>
    <d v="2022-02-17T00:00:00"/>
    <d v="2022-03-22T00:00:00"/>
    <s v="transfer"/>
    <x v="1"/>
    <x v="1"/>
    <x v="0"/>
    <b v="0"/>
    <x v="1"/>
    <x v="0"/>
    <b v="0"/>
  </r>
  <r>
    <n v="1523352"/>
    <s v="123-010-127-001"/>
    <x v="16"/>
    <x v="6"/>
    <d v="2022-09-24T00:00:00"/>
    <s v="Ava Williams"/>
    <d v="2022-10-12T00:00:00"/>
    <d v="2022-12-09T00:00:00"/>
    <s v="promo"/>
    <x v="1"/>
    <x v="1"/>
    <x v="0"/>
    <b v="0"/>
    <x v="0"/>
    <x v="1"/>
    <b v="0"/>
  </r>
  <r>
    <n v="1523352"/>
    <s v="123-010-127-002"/>
    <x v="16"/>
    <x v="6"/>
    <d v="2022-06-02T00:00:00"/>
    <s v="Carol Roberts"/>
    <d v="2022-06-14T00:00:00"/>
    <d v="2022-07-10T00:00:00"/>
    <m/>
    <x v="1"/>
    <x v="1"/>
    <x v="0"/>
    <b v="0"/>
    <x v="0"/>
    <x v="0"/>
    <b v="0"/>
  </r>
  <r>
    <n v="1523352"/>
    <s v="123-010-127-003"/>
    <x v="16"/>
    <x v="6"/>
    <d v="2022-10-25T00:00:00"/>
    <s v="Deborah Nguyen"/>
    <d v="2022-10-30T00:00:00"/>
    <m/>
    <s v="rescinded"/>
    <x v="0"/>
    <x v="1"/>
    <x v="1"/>
    <b v="0"/>
    <x v="0"/>
    <x v="0"/>
    <b v="0"/>
  </r>
  <r>
    <n v="1523352"/>
    <s v="123-010-127-004"/>
    <x v="16"/>
    <x v="6"/>
    <d v="2023-05-30T00:00:00"/>
    <s v="Betty White"/>
    <d v="2023-05-31T00:00:00"/>
    <d v="2023-07-13T00:00:00"/>
    <s v="transfer"/>
    <x v="1"/>
    <x v="1"/>
    <x v="0"/>
    <b v="0"/>
    <x v="1"/>
    <x v="0"/>
    <b v="0"/>
  </r>
  <r>
    <n v="1523352"/>
    <s v="123-010-127-005"/>
    <x v="16"/>
    <x v="6"/>
    <d v="2022-06-19T00:00:00"/>
    <s v="Ethan Flores"/>
    <d v="2022-07-14T00:00:00"/>
    <m/>
    <s v="rescinded"/>
    <x v="0"/>
    <x v="1"/>
    <x v="1"/>
    <b v="0"/>
    <x v="0"/>
    <x v="0"/>
    <b v="0"/>
  </r>
  <r>
    <n v="9625782"/>
    <s v="123-008-105-001"/>
    <x v="7"/>
    <x v="5"/>
    <d v="2022-05-30T00:00:00"/>
    <s v="Charlotte Torres"/>
    <d v="2022-06-23T00:00:00"/>
    <m/>
    <s v="declined"/>
    <x v="0"/>
    <x v="0"/>
    <x v="0"/>
    <b v="0"/>
    <x v="0"/>
    <x v="0"/>
    <b v="0"/>
  </r>
  <r>
    <n v="9625782"/>
    <s v="123-008-105-002"/>
    <x v="7"/>
    <x v="5"/>
    <d v="2023-05-15T00:00:00"/>
    <s v="Robert Anderson"/>
    <d v="2023-05-23T00:00:00"/>
    <d v="2023-05-28T00:00:00"/>
    <s v="new to org"/>
    <x v="1"/>
    <x v="1"/>
    <x v="0"/>
    <b v="0"/>
    <x v="0"/>
    <x v="0"/>
    <b v="1"/>
  </r>
  <r>
    <n v="5435176"/>
    <s v="123-004-112-005"/>
    <x v="28"/>
    <x v="1"/>
    <d v="2023-04-11T00:00:00"/>
    <s v="Matthew Walker"/>
    <d v="2023-05-10T00:00:00"/>
    <d v="2023-05-13T00:00:00"/>
    <s v="new to org"/>
    <x v="1"/>
    <x v="1"/>
    <x v="0"/>
    <b v="0"/>
    <x v="0"/>
    <x v="0"/>
    <b v="1"/>
  </r>
  <r>
    <n v="1669489"/>
    <s v="123-006-121-001"/>
    <x v="20"/>
    <x v="2"/>
    <d v="2022-09-27T00:00:00"/>
    <s v="Mason Mitchell"/>
    <d v="2022-10-16T00:00:00"/>
    <d v="2022-11-20T00:00:00"/>
    <s v="new to org"/>
    <x v="1"/>
    <x v="1"/>
    <x v="0"/>
    <b v="0"/>
    <x v="0"/>
    <x v="0"/>
    <b v="1"/>
  </r>
  <r>
    <n v="3916715"/>
    <s v="123-007-113-007"/>
    <x v="6"/>
    <x v="4"/>
    <d v="2023-01-21T00:00:00"/>
    <s v="Kimberly Taylor"/>
    <d v="2023-02-20T00:00:00"/>
    <d v="2023-03-07T00:00:00"/>
    <s v="transfer"/>
    <x v="1"/>
    <x v="1"/>
    <x v="0"/>
    <b v="0"/>
    <x v="1"/>
    <x v="0"/>
    <b v="0"/>
  </r>
  <r>
    <n v="3916715"/>
    <s v="123-007-113-008"/>
    <x v="6"/>
    <x v="4"/>
    <d v="2022-12-20T00:00:00"/>
    <s v="Isabella Parker"/>
    <d v="2023-01-05T00:00:00"/>
    <d v="2023-02-25T00:00:00"/>
    <s v="new to org"/>
    <x v="1"/>
    <x v="1"/>
    <x v="0"/>
    <b v="0"/>
    <x v="0"/>
    <x v="0"/>
    <b v="1"/>
  </r>
  <r>
    <n v="3916715"/>
    <s v="123-007-113-009"/>
    <x v="6"/>
    <x v="4"/>
    <d v="2022-05-23T00:00:00"/>
    <s v="Steven Cruz"/>
    <d v="2022-06-07T00:00:00"/>
    <d v="2022-06-18T00:00:00"/>
    <s v="transfer"/>
    <x v="1"/>
    <x v="1"/>
    <x v="0"/>
    <b v="0"/>
    <x v="1"/>
    <x v="0"/>
    <b v="0"/>
  </r>
  <r>
    <n v="4858604"/>
    <s v="123-009-103-005"/>
    <x v="8"/>
    <x v="8"/>
    <d v="2023-01-06T00:00:00"/>
    <s v="Barbara Hernandez"/>
    <d v="2023-01-26T00:00:00"/>
    <m/>
    <s v="declined"/>
    <x v="0"/>
    <x v="0"/>
    <x v="0"/>
    <b v="0"/>
    <x v="0"/>
    <x v="0"/>
    <b v="0"/>
  </r>
  <r>
    <n v="4858604"/>
    <s v="123-009-103-006"/>
    <x v="8"/>
    <x v="8"/>
    <d v="2023-03-01T00:00:00"/>
    <s v="Kevin Anderson"/>
    <d v="2023-03-27T00:00:00"/>
    <d v="2023-04-18T00:00:00"/>
    <s v="transfer"/>
    <x v="1"/>
    <x v="1"/>
    <x v="0"/>
    <b v="0"/>
    <x v="1"/>
    <x v="0"/>
    <b v="0"/>
  </r>
  <r>
    <n v="4858604"/>
    <s v="123-009-103-007"/>
    <x v="8"/>
    <x v="8"/>
    <d v="2023-05-06T00:00:00"/>
    <s v="Amanda Walker"/>
    <d v="2023-05-13T00:00:00"/>
    <d v="2023-06-20T00:00:00"/>
    <m/>
    <x v="1"/>
    <x v="1"/>
    <x v="0"/>
    <b v="0"/>
    <x v="0"/>
    <x v="0"/>
    <b v="0"/>
  </r>
  <r>
    <n v="3705263"/>
    <s v="123-007-121-005"/>
    <x v="20"/>
    <x v="4"/>
    <d v="2022-06-14T00:00:00"/>
    <s v="William Torres"/>
    <d v="2022-06-19T00:00:00"/>
    <m/>
    <s v="declined"/>
    <x v="0"/>
    <x v="0"/>
    <x v="0"/>
    <b v="0"/>
    <x v="0"/>
    <x v="0"/>
    <b v="0"/>
  </r>
  <r>
    <n v="9600719"/>
    <s v="123-010-102-001"/>
    <x v="27"/>
    <x v="6"/>
    <m/>
    <m/>
    <m/>
    <m/>
    <s v="cancelled"/>
    <x v="0"/>
    <x v="1"/>
    <x v="0"/>
    <b v="1"/>
    <x v="0"/>
    <x v="0"/>
    <b v="0"/>
  </r>
  <r>
    <n v="9600719"/>
    <s v="123-010-102-002"/>
    <x v="27"/>
    <x v="6"/>
    <d v="2023-02-20T00:00:00"/>
    <s v="Barbara King"/>
    <d v="2023-03-12T00:00:00"/>
    <m/>
    <s v="declined"/>
    <x v="0"/>
    <x v="0"/>
    <x v="0"/>
    <b v="0"/>
    <x v="0"/>
    <x v="0"/>
    <b v="0"/>
  </r>
  <r>
    <n v="1312392"/>
    <s v="123-005-129-003"/>
    <x v="14"/>
    <x v="0"/>
    <d v="2023-05-09T00:00:00"/>
    <s v="Joshua Walker"/>
    <d v="2023-05-15T00:00:00"/>
    <m/>
    <s v="declined"/>
    <x v="0"/>
    <x v="0"/>
    <x v="0"/>
    <b v="0"/>
    <x v="0"/>
    <x v="0"/>
    <b v="0"/>
  </r>
  <r>
    <n v="4680314"/>
    <s v="123-007-127-001"/>
    <x v="16"/>
    <x v="4"/>
    <d v="2022-07-06T00:00:00"/>
    <s v="Donna Evans"/>
    <d v="2022-07-26T00:00:00"/>
    <m/>
    <s v="declined"/>
    <x v="0"/>
    <x v="0"/>
    <x v="0"/>
    <b v="0"/>
    <x v="0"/>
    <x v="0"/>
    <b v="0"/>
  </r>
  <r>
    <n v="4680314"/>
    <s v="123-007-127-002"/>
    <x v="16"/>
    <x v="4"/>
    <d v="2022-12-17T00:00:00"/>
    <s v="David Campbell"/>
    <d v="2023-01-16T00:00:00"/>
    <d v="2023-02-15T00:00:00"/>
    <s v="new to org"/>
    <x v="1"/>
    <x v="1"/>
    <x v="0"/>
    <b v="0"/>
    <x v="0"/>
    <x v="0"/>
    <b v="1"/>
  </r>
  <r>
    <n v="4680314"/>
    <s v="123-007-127-003"/>
    <x v="16"/>
    <x v="4"/>
    <d v="2023-01-30T00:00:00"/>
    <s v="Joseph Harris"/>
    <d v="2023-02-04T00:00:00"/>
    <d v="2023-02-11T00:00:00"/>
    <s v="transfer"/>
    <x v="1"/>
    <x v="1"/>
    <x v="0"/>
    <b v="0"/>
    <x v="1"/>
    <x v="0"/>
    <b v="0"/>
  </r>
  <r>
    <n v="4680314"/>
    <s v="123-007-127-004"/>
    <x v="16"/>
    <x v="4"/>
    <d v="2023-06-01T00:00:00"/>
    <s v="Kimberly Parker"/>
    <d v="2023-06-23T00:00:00"/>
    <m/>
    <s v="declined"/>
    <x v="0"/>
    <x v="0"/>
    <x v="0"/>
    <b v="0"/>
    <x v="0"/>
    <x v="0"/>
    <b v="0"/>
  </r>
  <r>
    <n v="4680314"/>
    <s v="123-007-127-005"/>
    <x v="16"/>
    <x v="4"/>
    <d v="2022-07-01T00:00:00"/>
    <s v="Joshua Miller"/>
    <d v="2022-07-17T00:00:00"/>
    <d v="2022-09-13T00:00:00"/>
    <s v="promo"/>
    <x v="1"/>
    <x v="1"/>
    <x v="0"/>
    <b v="0"/>
    <x v="0"/>
    <x v="1"/>
    <b v="0"/>
  </r>
  <r>
    <n v="1654924"/>
    <s v="123-009-129-008"/>
    <x v="14"/>
    <x v="8"/>
    <d v="2022-05-14T00:00:00"/>
    <s v="Donald Nelson"/>
    <d v="2022-06-12T00:00:00"/>
    <d v="2022-07-21T00:00:00"/>
    <s v="transfer"/>
    <x v="1"/>
    <x v="1"/>
    <x v="0"/>
    <b v="0"/>
    <x v="1"/>
    <x v="0"/>
    <b v="0"/>
  </r>
  <r>
    <n v="1654924"/>
    <s v="123-009-129-009"/>
    <x v="14"/>
    <x v="8"/>
    <d v="2023-03-18T00:00:00"/>
    <s v="Lucas Roberts"/>
    <d v="2023-04-04T00:00:00"/>
    <d v="2023-05-01T00:00:00"/>
    <s v="transfer"/>
    <x v="1"/>
    <x v="1"/>
    <x v="0"/>
    <b v="0"/>
    <x v="1"/>
    <x v="0"/>
    <b v="0"/>
  </r>
  <r>
    <n v="1654924"/>
    <s v="123-009-129-010"/>
    <x v="14"/>
    <x v="8"/>
    <d v="2023-03-16T00:00:00"/>
    <s v="Brian King"/>
    <d v="2023-03-24T00:00:00"/>
    <d v="2023-05-15T00:00:00"/>
    <s v="transfer"/>
    <x v="1"/>
    <x v="1"/>
    <x v="0"/>
    <b v="0"/>
    <x v="1"/>
    <x v="0"/>
    <b v="0"/>
  </r>
  <r>
    <n v="1654924"/>
    <s v="123-009-129-011"/>
    <x v="14"/>
    <x v="8"/>
    <d v="2022-04-11T00:00:00"/>
    <s v="Daniel Nguyen"/>
    <d v="2022-04-25T00:00:00"/>
    <d v="2022-05-04T00:00:00"/>
    <m/>
    <x v="1"/>
    <x v="1"/>
    <x v="0"/>
    <b v="0"/>
    <x v="0"/>
    <x v="0"/>
    <b v="0"/>
  </r>
  <r>
    <n v="1654924"/>
    <s v="123-009-129-012"/>
    <x v="14"/>
    <x v="8"/>
    <d v="2022-03-27T00:00:00"/>
    <s v="Deborah Anderson"/>
    <d v="2022-04-06T00:00:00"/>
    <m/>
    <s v="rescinded"/>
    <x v="0"/>
    <x v="1"/>
    <x v="1"/>
    <b v="0"/>
    <x v="0"/>
    <x v="0"/>
    <b v="0"/>
  </r>
  <r>
    <n v="7855954"/>
    <s v="123-004-109-001"/>
    <x v="21"/>
    <x v="1"/>
    <d v="2022-05-01T00:00:00"/>
    <s v="Andrew King"/>
    <d v="2022-05-18T00:00:00"/>
    <d v="2022-05-19T00:00:00"/>
    <s v="transfer"/>
    <x v="1"/>
    <x v="1"/>
    <x v="0"/>
    <b v="0"/>
    <x v="1"/>
    <x v="0"/>
    <b v="0"/>
  </r>
  <r>
    <n v="7291957"/>
    <s v="123-004-121-001"/>
    <x v="20"/>
    <x v="1"/>
    <d v="2022-09-17T00:00:00"/>
    <s v="Elizabeth Ramirez"/>
    <d v="2022-09-26T00:00:00"/>
    <d v="2022-11-20T00:00:00"/>
    <s v="transfer"/>
    <x v="1"/>
    <x v="1"/>
    <x v="0"/>
    <b v="0"/>
    <x v="1"/>
    <x v="0"/>
    <b v="0"/>
  </r>
  <r>
    <n v="7291957"/>
    <s v="123-004-121-002"/>
    <x v="20"/>
    <x v="1"/>
    <d v="2023-02-11T00:00:00"/>
    <s v="Michelle Moore"/>
    <d v="2023-03-08T00:00:00"/>
    <d v="2023-03-22T00:00:00"/>
    <s v="new to org"/>
    <x v="1"/>
    <x v="1"/>
    <x v="0"/>
    <b v="0"/>
    <x v="0"/>
    <x v="0"/>
    <b v="1"/>
  </r>
  <r>
    <n v="7291957"/>
    <s v="123-004-121-003"/>
    <x v="20"/>
    <x v="1"/>
    <d v="2023-05-11T00:00:00"/>
    <s v="Barbara White"/>
    <d v="2023-05-20T00:00:00"/>
    <d v="2023-06-09T00:00:00"/>
    <m/>
    <x v="1"/>
    <x v="1"/>
    <x v="0"/>
    <b v="0"/>
    <x v="0"/>
    <x v="0"/>
    <b v="0"/>
  </r>
  <r>
    <n v="6777340"/>
    <s v="123-007-125-014"/>
    <x v="3"/>
    <x v="4"/>
    <d v="2023-04-03T00:00:00"/>
    <s v="Melissa Anderson"/>
    <d v="2023-04-29T00:00:00"/>
    <d v="2023-06-13T00:00:00"/>
    <s v="transfer"/>
    <x v="1"/>
    <x v="1"/>
    <x v="0"/>
    <b v="0"/>
    <x v="1"/>
    <x v="0"/>
    <b v="0"/>
  </r>
  <r>
    <n v="6777340"/>
    <s v="123-007-125-015"/>
    <x v="3"/>
    <x v="4"/>
    <d v="2023-02-15T00:00:00"/>
    <s v="Susan Allen"/>
    <d v="2023-03-13T00:00:00"/>
    <d v="2023-04-04T00:00:00"/>
    <s v="transfer"/>
    <x v="1"/>
    <x v="1"/>
    <x v="0"/>
    <b v="0"/>
    <x v="1"/>
    <x v="0"/>
    <b v="0"/>
  </r>
  <r>
    <n v="1873301"/>
    <s v="123-007-106-001"/>
    <x v="4"/>
    <x v="4"/>
    <d v="2023-03-22T00:00:00"/>
    <s v="Donald Hill"/>
    <d v="2023-03-25T00:00:00"/>
    <d v="2023-03-30T00:00:00"/>
    <s v="promo"/>
    <x v="1"/>
    <x v="1"/>
    <x v="0"/>
    <b v="0"/>
    <x v="0"/>
    <x v="1"/>
    <b v="0"/>
  </r>
  <r>
    <n v="5413951"/>
    <s v="123-006-108-001"/>
    <x v="11"/>
    <x v="2"/>
    <d v="2023-06-18T00:00:00"/>
    <s v="Jackson Sanchez"/>
    <d v="2023-06-28T00:00:00"/>
    <d v="2023-08-13T00:00:00"/>
    <m/>
    <x v="1"/>
    <x v="1"/>
    <x v="0"/>
    <b v="0"/>
    <x v="0"/>
    <x v="0"/>
    <b v="0"/>
  </r>
  <r>
    <n v="1964069"/>
    <s v="123-003-125-004"/>
    <x v="3"/>
    <x v="9"/>
    <d v="2023-06-15T00:00:00"/>
    <s v="Mia Nelson"/>
    <d v="2023-06-25T00:00:00"/>
    <d v="2023-07-08T00:00:00"/>
    <s v="promo"/>
    <x v="1"/>
    <x v="1"/>
    <x v="0"/>
    <b v="0"/>
    <x v="0"/>
    <x v="1"/>
    <b v="0"/>
  </r>
  <r>
    <n v="1964069"/>
    <s v="123-003-125-005"/>
    <x v="3"/>
    <x v="9"/>
    <d v="2023-06-13T00:00:00"/>
    <s v="Joshua Allen"/>
    <d v="2023-07-06T00:00:00"/>
    <m/>
    <s v="declined"/>
    <x v="0"/>
    <x v="0"/>
    <x v="0"/>
    <b v="0"/>
    <x v="0"/>
    <x v="0"/>
    <b v="0"/>
  </r>
  <r>
    <n v="1964069"/>
    <s v="123-003-125-006"/>
    <x v="3"/>
    <x v="9"/>
    <d v="2022-02-06T00:00:00"/>
    <s v="David Baker"/>
    <d v="2022-02-18T00:00:00"/>
    <m/>
    <s v="rescinded"/>
    <x v="0"/>
    <x v="1"/>
    <x v="1"/>
    <b v="0"/>
    <x v="0"/>
    <x v="0"/>
    <b v="0"/>
  </r>
  <r>
    <n v="1964069"/>
    <s v="123-003-125-007"/>
    <x v="3"/>
    <x v="9"/>
    <d v="2022-03-30T00:00:00"/>
    <s v="James Hernandez"/>
    <d v="2022-04-08T00:00:00"/>
    <m/>
    <s v="rescinded"/>
    <x v="0"/>
    <x v="1"/>
    <x v="1"/>
    <b v="0"/>
    <x v="0"/>
    <x v="0"/>
    <b v="0"/>
  </r>
  <r>
    <n v="7701385"/>
    <s v="123-007-112-014"/>
    <x v="28"/>
    <x v="4"/>
    <d v="2022-03-12T00:00:00"/>
    <s v="Melissa Rivera"/>
    <d v="2022-04-11T00:00:00"/>
    <d v="2022-04-17T00:00:00"/>
    <s v="transfer"/>
    <x v="1"/>
    <x v="1"/>
    <x v="0"/>
    <b v="0"/>
    <x v="1"/>
    <x v="0"/>
    <b v="0"/>
  </r>
  <r>
    <n v="7701385"/>
    <s v="123-007-112-015"/>
    <x v="28"/>
    <x v="4"/>
    <d v="2022-10-11T00:00:00"/>
    <s v="Daniel Evans"/>
    <d v="2022-10-19T00:00:00"/>
    <d v="2022-11-27T00:00:00"/>
    <s v="new to org"/>
    <x v="1"/>
    <x v="1"/>
    <x v="0"/>
    <b v="0"/>
    <x v="0"/>
    <x v="0"/>
    <b v="1"/>
  </r>
  <r>
    <n v="7701385"/>
    <s v="123-007-112-016"/>
    <x v="28"/>
    <x v="4"/>
    <d v="2022-01-05T00:00:00"/>
    <s v="Jackson Sanchez"/>
    <d v="2022-01-14T00:00:00"/>
    <d v="2022-01-26T00:00:00"/>
    <m/>
    <x v="1"/>
    <x v="1"/>
    <x v="0"/>
    <b v="0"/>
    <x v="0"/>
    <x v="0"/>
    <b v="0"/>
  </r>
  <r>
    <n v="7701385"/>
    <s v="123-007-112-017"/>
    <x v="28"/>
    <x v="4"/>
    <d v="2023-05-31T00:00:00"/>
    <s v="Emily Jones"/>
    <d v="2023-06-10T00:00:00"/>
    <d v="2023-07-02T00:00:00"/>
    <s v="transfer"/>
    <x v="1"/>
    <x v="1"/>
    <x v="0"/>
    <b v="0"/>
    <x v="1"/>
    <x v="0"/>
    <b v="0"/>
  </r>
  <r>
    <n v="2963085"/>
    <s v="123-009-126-001"/>
    <x v="5"/>
    <x v="8"/>
    <d v="2023-01-22T00:00:00"/>
    <s v="Brian Lewis"/>
    <d v="2023-02-10T00:00:00"/>
    <d v="2023-03-13T00:00:00"/>
    <s v="new to org"/>
    <x v="1"/>
    <x v="1"/>
    <x v="0"/>
    <b v="0"/>
    <x v="0"/>
    <x v="0"/>
    <b v="1"/>
  </r>
  <r>
    <n v="2963085"/>
    <s v="123-009-126-002"/>
    <x v="5"/>
    <x v="8"/>
    <d v="2023-04-17T00:00:00"/>
    <s v="Deborah Robinson"/>
    <d v="2023-05-16T00:00:00"/>
    <d v="2023-06-23T00:00:00"/>
    <s v="new to org"/>
    <x v="1"/>
    <x v="1"/>
    <x v="0"/>
    <b v="0"/>
    <x v="0"/>
    <x v="0"/>
    <b v="1"/>
  </r>
  <r>
    <n v="2963085"/>
    <s v="123-009-126-003"/>
    <x v="5"/>
    <x v="8"/>
    <d v="2022-03-11T00:00:00"/>
    <s v="Linda Taylor"/>
    <d v="2022-03-24T00:00:00"/>
    <d v="2022-05-04T00:00:00"/>
    <m/>
    <x v="1"/>
    <x v="1"/>
    <x v="0"/>
    <b v="0"/>
    <x v="0"/>
    <x v="0"/>
    <b v="0"/>
  </r>
  <r>
    <n v="4697401"/>
    <s v="123-004-122-009"/>
    <x v="17"/>
    <x v="1"/>
    <d v="2022-01-10T00:00:00"/>
    <s v="Kimberly Wright"/>
    <d v="2022-02-02T00:00:00"/>
    <d v="2022-03-28T00:00:00"/>
    <s v="new to org"/>
    <x v="1"/>
    <x v="1"/>
    <x v="0"/>
    <b v="0"/>
    <x v="0"/>
    <x v="0"/>
    <b v="1"/>
  </r>
  <r>
    <n v="4697401"/>
    <s v="123-004-122-010"/>
    <x v="17"/>
    <x v="1"/>
    <d v="2023-02-13T00:00:00"/>
    <s v="Charles Garcia"/>
    <d v="2023-03-07T00:00:00"/>
    <m/>
    <s v="rescinded"/>
    <x v="0"/>
    <x v="1"/>
    <x v="1"/>
    <b v="0"/>
    <x v="0"/>
    <x v="0"/>
    <b v="0"/>
  </r>
  <r>
    <n v="4697401"/>
    <s v="123-004-122-011"/>
    <x v="17"/>
    <x v="1"/>
    <d v="2022-07-02T00:00:00"/>
    <s v="John Scott"/>
    <d v="2022-07-18T00:00:00"/>
    <d v="2022-08-08T00:00:00"/>
    <s v="new to org"/>
    <x v="1"/>
    <x v="1"/>
    <x v="0"/>
    <b v="0"/>
    <x v="0"/>
    <x v="0"/>
    <b v="1"/>
  </r>
  <r>
    <n v="6931382"/>
    <s v="123-010-107-001"/>
    <x v="26"/>
    <x v="6"/>
    <d v="2022-07-14T00:00:00"/>
    <s v="Melissa Baker"/>
    <d v="2022-07-30T00:00:00"/>
    <m/>
    <s v="declined"/>
    <x v="0"/>
    <x v="0"/>
    <x v="0"/>
    <b v="0"/>
    <x v="0"/>
    <x v="0"/>
    <b v="0"/>
  </r>
  <r>
    <n v="6931382"/>
    <s v="123-010-107-002"/>
    <x v="26"/>
    <x v="6"/>
    <d v="2022-09-29T00:00:00"/>
    <s v="Melissa Thomas"/>
    <d v="2022-10-06T00:00:00"/>
    <d v="2022-10-21T00:00:00"/>
    <s v="promo"/>
    <x v="1"/>
    <x v="1"/>
    <x v="0"/>
    <b v="0"/>
    <x v="0"/>
    <x v="1"/>
    <b v="0"/>
  </r>
  <r>
    <n v="6931382"/>
    <s v="123-010-107-003"/>
    <x v="26"/>
    <x v="6"/>
    <d v="2022-12-31T00:00:00"/>
    <s v="Jessica Turner"/>
    <d v="2023-01-05T00:00:00"/>
    <m/>
    <s v="rescinded"/>
    <x v="0"/>
    <x v="1"/>
    <x v="1"/>
    <b v="0"/>
    <x v="0"/>
    <x v="0"/>
    <b v="0"/>
  </r>
  <r>
    <n v="2789949"/>
    <s v="123-002-104-001"/>
    <x v="18"/>
    <x v="7"/>
    <d v="2023-01-16T00:00:00"/>
    <s v="Mia Walker"/>
    <d v="2023-02-05T00:00:00"/>
    <d v="2023-02-26T00:00:00"/>
    <s v="transfer"/>
    <x v="1"/>
    <x v="1"/>
    <x v="0"/>
    <b v="0"/>
    <x v="1"/>
    <x v="0"/>
    <b v="0"/>
  </r>
  <r>
    <n v="2789949"/>
    <s v="123-002-104-002"/>
    <x v="18"/>
    <x v="7"/>
    <d v="2023-06-08T00:00:00"/>
    <s v="Ashley Lopez"/>
    <d v="2023-06-17T00:00:00"/>
    <d v="2023-07-13T00:00:00"/>
    <s v="new to org"/>
    <x v="1"/>
    <x v="1"/>
    <x v="0"/>
    <b v="0"/>
    <x v="0"/>
    <x v="0"/>
    <b v="1"/>
  </r>
  <r>
    <n v="2789949"/>
    <s v="123-002-104-003"/>
    <x v="18"/>
    <x v="7"/>
    <d v="2022-02-25T00:00:00"/>
    <s v="Andrew Rodriguez"/>
    <d v="2022-03-14T00:00:00"/>
    <m/>
    <s v="rescinded"/>
    <x v="0"/>
    <x v="1"/>
    <x v="1"/>
    <b v="0"/>
    <x v="0"/>
    <x v="0"/>
    <b v="0"/>
  </r>
  <r>
    <n v="2789949"/>
    <s v="123-002-104-004"/>
    <x v="18"/>
    <x v="7"/>
    <d v="2022-02-03T00:00:00"/>
    <s v="Charlotte Wright"/>
    <d v="2022-02-20T00:00:00"/>
    <d v="2022-03-15T00:00:00"/>
    <m/>
    <x v="1"/>
    <x v="1"/>
    <x v="0"/>
    <b v="0"/>
    <x v="0"/>
    <x v="0"/>
    <b v="0"/>
  </r>
  <r>
    <n v="7605473"/>
    <s v="123-003-128-001"/>
    <x v="10"/>
    <x v="9"/>
    <d v="2022-01-09T00:00:00"/>
    <s v="Christopher Hall"/>
    <d v="2022-01-10T00:00:00"/>
    <d v="2022-02-23T00:00:00"/>
    <m/>
    <x v="1"/>
    <x v="1"/>
    <x v="0"/>
    <b v="0"/>
    <x v="0"/>
    <x v="0"/>
    <b v="0"/>
  </r>
  <r>
    <n v="7605473"/>
    <s v="123-003-128-002"/>
    <x v="10"/>
    <x v="9"/>
    <d v="2022-11-30T00:00:00"/>
    <s v="Donna Miller"/>
    <d v="2022-12-12T00:00:00"/>
    <m/>
    <s v="rescinded"/>
    <x v="0"/>
    <x v="1"/>
    <x v="1"/>
    <b v="0"/>
    <x v="0"/>
    <x v="0"/>
    <b v="0"/>
  </r>
  <r>
    <n v="7605473"/>
    <s v="123-003-128-003"/>
    <x v="10"/>
    <x v="9"/>
    <d v="2022-09-27T00:00:00"/>
    <s v="Barbara Scott"/>
    <d v="2022-10-05T00:00:00"/>
    <d v="2022-10-23T00:00:00"/>
    <s v="new to org"/>
    <x v="1"/>
    <x v="1"/>
    <x v="0"/>
    <b v="0"/>
    <x v="0"/>
    <x v="0"/>
    <b v="1"/>
  </r>
  <r>
    <n v="7605473"/>
    <s v="123-003-128-004"/>
    <x v="10"/>
    <x v="9"/>
    <d v="2023-05-26T00:00:00"/>
    <s v="Lisa Lopez"/>
    <d v="2023-06-09T00:00:00"/>
    <d v="2023-06-23T00:00:00"/>
    <s v="new to org"/>
    <x v="1"/>
    <x v="1"/>
    <x v="0"/>
    <b v="0"/>
    <x v="0"/>
    <x v="0"/>
    <b v="1"/>
  </r>
  <r>
    <n v="8031212"/>
    <s v="123-006-123-001"/>
    <x v="19"/>
    <x v="2"/>
    <d v="2022-05-15T00:00:00"/>
    <s v="Mark Lopez"/>
    <d v="2022-06-03T00:00:00"/>
    <d v="2022-07-17T00:00:00"/>
    <s v="new to org"/>
    <x v="1"/>
    <x v="1"/>
    <x v="0"/>
    <b v="0"/>
    <x v="0"/>
    <x v="0"/>
    <b v="1"/>
  </r>
  <r>
    <n v="8031212"/>
    <s v="123-006-123-002"/>
    <x v="19"/>
    <x v="2"/>
    <d v="2022-10-04T00:00:00"/>
    <s v="Michael Campbell"/>
    <d v="2022-10-30T00:00:00"/>
    <m/>
    <s v="rescinded"/>
    <x v="0"/>
    <x v="1"/>
    <x v="1"/>
    <b v="0"/>
    <x v="0"/>
    <x v="0"/>
    <b v="0"/>
  </r>
  <r>
    <n v="8031212"/>
    <s v="123-006-123-003"/>
    <x v="19"/>
    <x v="2"/>
    <d v="2023-01-26T00:00:00"/>
    <s v="Margaret Diaz"/>
    <d v="2023-02-02T00:00:00"/>
    <m/>
    <s v="rescinded"/>
    <x v="0"/>
    <x v="1"/>
    <x v="1"/>
    <b v="0"/>
    <x v="0"/>
    <x v="0"/>
    <b v="0"/>
  </r>
  <r>
    <n v="3446851"/>
    <s v="123-003-126-004"/>
    <x v="5"/>
    <x v="9"/>
    <d v="2022-05-18T00:00:00"/>
    <s v="Anthony Young"/>
    <d v="2022-06-16T00:00:00"/>
    <d v="2022-08-10T00:00:00"/>
    <s v="promo"/>
    <x v="1"/>
    <x v="1"/>
    <x v="0"/>
    <b v="0"/>
    <x v="0"/>
    <x v="1"/>
    <b v="0"/>
  </r>
  <r>
    <n v="3446851"/>
    <s v="123-003-126-005"/>
    <x v="5"/>
    <x v="9"/>
    <d v="2022-11-04T00:00:00"/>
    <s v="Sophia Young"/>
    <d v="2022-11-13T00:00:00"/>
    <d v="2022-12-19T00:00:00"/>
    <s v="new to org"/>
    <x v="1"/>
    <x v="1"/>
    <x v="0"/>
    <b v="0"/>
    <x v="0"/>
    <x v="0"/>
    <b v="1"/>
  </r>
  <r>
    <n v="3446851"/>
    <s v="123-003-126-006"/>
    <x v="5"/>
    <x v="9"/>
    <d v="2022-06-17T00:00:00"/>
    <s v="Betty Miller"/>
    <d v="2022-06-19T00:00:00"/>
    <d v="2022-07-03T00:00:00"/>
    <s v="transfer"/>
    <x v="1"/>
    <x v="1"/>
    <x v="0"/>
    <b v="0"/>
    <x v="1"/>
    <x v="0"/>
    <b v="0"/>
  </r>
  <r>
    <n v="3446851"/>
    <s v="123-003-126-007"/>
    <x v="5"/>
    <x v="9"/>
    <d v="2022-04-09T00:00:00"/>
    <s v="Mason Green"/>
    <d v="2022-04-24T00:00:00"/>
    <d v="2022-06-11T00:00:00"/>
    <m/>
    <x v="1"/>
    <x v="1"/>
    <x v="0"/>
    <b v="0"/>
    <x v="0"/>
    <x v="0"/>
    <b v="0"/>
  </r>
  <r>
    <n v="6614605"/>
    <s v="123-006-109-001"/>
    <x v="21"/>
    <x v="2"/>
    <d v="2023-02-26T00:00:00"/>
    <s v="Daniel Johnson"/>
    <d v="2023-03-02T00:00:00"/>
    <d v="2023-03-25T00:00:00"/>
    <s v="new to org"/>
    <x v="1"/>
    <x v="1"/>
    <x v="0"/>
    <b v="0"/>
    <x v="0"/>
    <x v="0"/>
    <b v="1"/>
  </r>
  <r>
    <n v="6614605"/>
    <s v="123-006-109-002"/>
    <x v="21"/>
    <x v="2"/>
    <d v="2022-06-28T00:00:00"/>
    <s v="Andrew Torres"/>
    <d v="2022-07-23T00:00:00"/>
    <d v="2022-08-11T00:00:00"/>
    <s v="promo"/>
    <x v="1"/>
    <x v="1"/>
    <x v="0"/>
    <b v="0"/>
    <x v="0"/>
    <x v="1"/>
    <b v="0"/>
  </r>
  <r>
    <n v="6614605"/>
    <s v="123-006-109-003"/>
    <x v="21"/>
    <x v="2"/>
    <d v="2023-04-03T00:00:00"/>
    <s v="Deborah Mitchell"/>
    <d v="2023-05-02T00:00:00"/>
    <d v="2023-05-08T00:00:00"/>
    <m/>
    <x v="1"/>
    <x v="1"/>
    <x v="0"/>
    <b v="0"/>
    <x v="0"/>
    <x v="0"/>
    <b v="0"/>
  </r>
  <r>
    <n v="7393310"/>
    <s v="123-005-120-004"/>
    <x v="13"/>
    <x v="0"/>
    <d v="2022-12-12T00:00:00"/>
    <s v="Logan Hernandez"/>
    <d v="2022-12-26T00:00:00"/>
    <d v="2023-02-05T00:00:00"/>
    <s v="promo"/>
    <x v="1"/>
    <x v="1"/>
    <x v="0"/>
    <b v="0"/>
    <x v="0"/>
    <x v="1"/>
    <b v="0"/>
  </r>
  <r>
    <n v="7393310"/>
    <s v="123-005-120-005"/>
    <x v="13"/>
    <x v="0"/>
    <d v="2022-03-15T00:00:00"/>
    <s v="Mia Collins"/>
    <d v="2022-03-18T00:00:00"/>
    <d v="2022-03-29T00:00:00"/>
    <m/>
    <x v="1"/>
    <x v="1"/>
    <x v="0"/>
    <b v="0"/>
    <x v="0"/>
    <x v="0"/>
    <b v="0"/>
  </r>
  <r>
    <n v="7393310"/>
    <s v="123-005-120-006"/>
    <x v="13"/>
    <x v="0"/>
    <d v="2022-10-26T00:00:00"/>
    <s v="Christopher Adams"/>
    <d v="2022-11-18T00:00:00"/>
    <d v="2022-12-06T00:00:00"/>
    <s v="new to org"/>
    <x v="1"/>
    <x v="1"/>
    <x v="0"/>
    <b v="0"/>
    <x v="0"/>
    <x v="0"/>
    <b v="1"/>
  </r>
  <r>
    <n v="7393310"/>
    <s v="123-005-120-007"/>
    <x v="13"/>
    <x v="0"/>
    <d v="2023-04-01T00:00:00"/>
    <s v="Sarah Cruz"/>
    <d v="2023-04-26T00:00:00"/>
    <d v="2023-06-21T00:00:00"/>
    <m/>
    <x v="1"/>
    <x v="1"/>
    <x v="0"/>
    <b v="0"/>
    <x v="0"/>
    <x v="0"/>
    <b v="0"/>
  </r>
  <r>
    <n v="7092894"/>
    <s v="123-010-124-003"/>
    <x v="15"/>
    <x v="6"/>
    <d v="2022-01-24T00:00:00"/>
    <s v="David Lopez"/>
    <d v="2022-01-29T00:00:00"/>
    <d v="2022-03-17T00:00:00"/>
    <m/>
    <x v="1"/>
    <x v="1"/>
    <x v="0"/>
    <b v="0"/>
    <x v="0"/>
    <x v="0"/>
    <b v="0"/>
  </r>
  <r>
    <n v="7092894"/>
    <s v="123-010-124-004"/>
    <x v="15"/>
    <x v="6"/>
    <d v="2022-03-23T00:00:00"/>
    <s v="Thomas Mitchell"/>
    <d v="2022-03-30T00:00:00"/>
    <m/>
    <s v="rescinded"/>
    <x v="0"/>
    <x v="1"/>
    <x v="1"/>
    <b v="0"/>
    <x v="0"/>
    <x v="0"/>
    <b v="0"/>
  </r>
  <r>
    <n v="7092894"/>
    <s v="123-010-124-005"/>
    <x v="15"/>
    <x v="6"/>
    <d v="2022-03-07T00:00:00"/>
    <s v="Michael Miller"/>
    <d v="2022-04-06T00:00:00"/>
    <m/>
    <s v="declined"/>
    <x v="0"/>
    <x v="0"/>
    <x v="0"/>
    <b v="0"/>
    <x v="0"/>
    <x v="0"/>
    <b v="0"/>
  </r>
  <r>
    <n v="7092894"/>
    <s v="123-010-124-006"/>
    <x v="15"/>
    <x v="6"/>
    <d v="2023-02-11T00:00:00"/>
    <s v="Mary Roberts"/>
    <d v="2023-02-28T00:00:00"/>
    <d v="2023-04-18T00:00:00"/>
    <s v="transfer"/>
    <x v="1"/>
    <x v="1"/>
    <x v="0"/>
    <b v="0"/>
    <x v="1"/>
    <x v="0"/>
    <b v="0"/>
  </r>
  <r>
    <n v="7092894"/>
    <s v="123-010-124-007"/>
    <x v="15"/>
    <x v="6"/>
    <d v="2022-06-09T00:00:00"/>
    <s v="Thomas Flores"/>
    <d v="2022-06-12T00:00:00"/>
    <d v="2022-07-24T00:00:00"/>
    <s v="transfer"/>
    <x v="1"/>
    <x v="1"/>
    <x v="0"/>
    <b v="0"/>
    <x v="1"/>
    <x v="0"/>
    <b v="0"/>
  </r>
  <r>
    <n v="7540534"/>
    <s v="123-004-110-001"/>
    <x v="12"/>
    <x v="1"/>
    <d v="2022-05-15T00:00:00"/>
    <s v="Kenneth Rodriguez"/>
    <d v="2022-06-01T00:00:00"/>
    <d v="2022-07-25T00:00:00"/>
    <m/>
    <x v="1"/>
    <x v="1"/>
    <x v="0"/>
    <b v="0"/>
    <x v="0"/>
    <x v="0"/>
    <b v="0"/>
  </r>
  <r>
    <n v="7540534"/>
    <s v="123-004-110-002"/>
    <x v="12"/>
    <x v="1"/>
    <d v="2023-01-01T00:00:00"/>
    <s v="Robert Nelson"/>
    <d v="2023-01-29T00:00:00"/>
    <m/>
    <s v="declined"/>
    <x v="0"/>
    <x v="0"/>
    <x v="0"/>
    <b v="0"/>
    <x v="0"/>
    <x v="0"/>
    <b v="0"/>
  </r>
  <r>
    <n v="6455972"/>
    <s v="123-008-128-001"/>
    <x v="10"/>
    <x v="5"/>
    <d v="2022-05-19T00:00:00"/>
    <s v="Emily Lewis"/>
    <d v="2022-06-11T00:00:00"/>
    <d v="2022-07-16T00:00:00"/>
    <s v="new to org"/>
    <x v="1"/>
    <x v="1"/>
    <x v="0"/>
    <b v="0"/>
    <x v="0"/>
    <x v="0"/>
    <b v="1"/>
  </r>
  <r>
    <n v="6455972"/>
    <s v="123-008-128-002"/>
    <x v="10"/>
    <x v="5"/>
    <d v="2023-03-22T00:00:00"/>
    <s v="Joshua Robinson"/>
    <d v="2023-04-08T00:00:00"/>
    <m/>
    <s v="declined"/>
    <x v="0"/>
    <x v="0"/>
    <x v="0"/>
    <b v="0"/>
    <x v="0"/>
    <x v="0"/>
    <b v="0"/>
  </r>
  <r>
    <n v="6455972"/>
    <s v="123-008-128-003"/>
    <x v="10"/>
    <x v="5"/>
    <d v="2023-05-09T00:00:00"/>
    <s v="Ava Thompson"/>
    <d v="2023-05-27T00:00:00"/>
    <d v="2023-06-11T00:00:00"/>
    <s v="new to org"/>
    <x v="1"/>
    <x v="1"/>
    <x v="0"/>
    <b v="0"/>
    <x v="0"/>
    <x v="0"/>
    <b v="1"/>
  </r>
  <r>
    <n v="6455972"/>
    <s v="123-008-128-004"/>
    <x v="10"/>
    <x v="5"/>
    <d v="2023-02-27T00:00:00"/>
    <s v="Karen White"/>
    <d v="2023-03-08T00:00:00"/>
    <d v="2023-03-18T00:00:00"/>
    <m/>
    <x v="1"/>
    <x v="1"/>
    <x v="0"/>
    <b v="0"/>
    <x v="0"/>
    <x v="0"/>
    <b v="0"/>
  </r>
  <r>
    <n v="6093108"/>
    <s v="123-001-101-008"/>
    <x v="0"/>
    <x v="3"/>
    <d v="2023-04-26T00:00:00"/>
    <s v="Daniel Jackson"/>
    <d v="2023-05-14T00:00:00"/>
    <d v="2023-05-15T00:00:00"/>
    <s v="promo"/>
    <x v="1"/>
    <x v="1"/>
    <x v="0"/>
    <b v="0"/>
    <x v="0"/>
    <x v="1"/>
    <b v="0"/>
  </r>
  <r>
    <n v="6093108"/>
    <s v="123-001-101-009"/>
    <x v="0"/>
    <x v="3"/>
    <d v="2023-05-04T00:00:00"/>
    <s v="Charlotte Carter"/>
    <d v="2023-05-14T00:00:00"/>
    <d v="2023-05-15T00:00:00"/>
    <m/>
    <x v="1"/>
    <x v="1"/>
    <x v="0"/>
    <b v="0"/>
    <x v="0"/>
    <x v="0"/>
    <b v="0"/>
  </r>
  <r>
    <n v="6093108"/>
    <s v="123-001-101-010"/>
    <x v="0"/>
    <x v="3"/>
    <d v="2022-01-08T00:00:00"/>
    <s v="Joshua Anderson"/>
    <d v="2022-01-26T00:00:00"/>
    <d v="2022-02-19T00:00:00"/>
    <s v="new to org"/>
    <x v="1"/>
    <x v="1"/>
    <x v="0"/>
    <b v="0"/>
    <x v="0"/>
    <x v="0"/>
    <b v="1"/>
  </r>
  <r>
    <n v="6093108"/>
    <s v="123-001-101-011"/>
    <x v="0"/>
    <x v="3"/>
    <d v="2023-03-24T00:00:00"/>
    <s v="Olivia Scott"/>
    <d v="2023-04-06T00:00:00"/>
    <m/>
    <s v="declined"/>
    <x v="0"/>
    <x v="0"/>
    <x v="0"/>
    <b v="0"/>
    <x v="0"/>
    <x v="0"/>
    <b v="0"/>
  </r>
  <r>
    <n v="6093108"/>
    <s v="123-001-101-012"/>
    <x v="0"/>
    <x v="3"/>
    <d v="2023-02-04T00:00:00"/>
    <s v="Dorothy Mitchell"/>
    <d v="2023-03-03T00:00:00"/>
    <m/>
    <s v="rescinded"/>
    <x v="0"/>
    <x v="1"/>
    <x v="1"/>
    <b v="0"/>
    <x v="0"/>
    <x v="0"/>
    <b v="0"/>
  </r>
  <r>
    <n v="7347794"/>
    <s v="123-005-108-003"/>
    <x v="11"/>
    <x v="0"/>
    <d v="2022-10-06T00:00:00"/>
    <s v="Kimberly Carter"/>
    <d v="2022-10-16T00:00:00"/>
    <d v="2022-11-27T00:00:00"/>
    <s v="promo"/>
    <x v="1"/>
    <x v="1"/>
    <x v="0"/>
    <b v="0"/>
    <x v="0"/>
    <x v="1"/>
    <b v="0"/>
  </r>
  <r>
    <n v="9924543"/>
    <s v="123-005-126-001"/>
    <x v="5"/>
    <x v="0"/>
    <d v="2022-05-20T00:00:00"/>
    <s v="John Lopez"/>
    <d v="2022-05-30T00:00:00"/>
    <m/>
    <s v="declined"/>
    <x v="0"/>
    <x v="0"/>
    <x v="0"/>
    <b v="0"/>
    <x v="0"/>
    <x v="0"/>
    <b v="0"/>
  </r>
  <r>
    <n v="9924543"/>
    <s v="123-005-126-002"/>
    <x v="5"/>
    <x v="0"/>
    <d v="2023-04-09T00:00:00"/>
    <s v="Sandra Flores"/>
    <d v="2023-04-18T00:00:00"/>
    <m/>
    <s v="declined"/>
    <x v="0"/>
    <x v="0"/>
    <x v="0"/>
    <b v="0"/>
    <x v="0"/>
    <x v="0"/>
    <b v="0"/>
  </r>
  <r>
    <n v="9924543"/>
    <s v="123-005-126-003"/>
    <x v="5"/>
    <x v="0"/>
    <d v="2022-01-20T00:00:00"/>
    <s v="Richard Lee"/>
    <d v="2022-01-25T00:00:00"/>
    <d v="2022-01-29T00:00:00"/>
    <m/>
    <x v="1"/>
    <x v="1"/>
    <x v="0"/>
    <b v="0"/>
    <x v="0"/>
    <x v="0"/>
    <b v="0"/>
  </r>
  <r>
    <n v="9924543"/>
    <s v="123-005-126-004"/>
    <x v="5"/>
    <x v="0"/>
    <d v="2022-10-16T00:00:00"/>
    <s v="Barbara Miller"/>
    <d v="2022-10-25T00:00:00"/>
    <d v="2022-11-03T00:00:00"/>
    <s v="transfer"/>
    <x v="1"/>
    <x v="1"/>
    <x v="0"/>
    <b v="0"/>
    <x v="1"/>
    <x v="0"/>
    <b v="0"/>
  </r>
  <r>
    <n v="8355410"/>
    <s v="123-001-124-001"/>
    <x v="15"/>
    <x v="3"/>
    <m/>
    <m/>
    <m/>
    <m/>
    <s v="cancelled"/>
    <x v="0"/>
    <x v="1"/>
    <x v="0"/>
    <b v="1"/>
    <x v="0"/>
    <x v="0"/>
    <b v="0"/>
  </r>
  <r>
    <n v="8355410"/>
    <s v="123-001-124-002"/>
    <x v="15"/>
    <x v="3"/>
    <m/>
    <m/>
    <m/>
    <m/>
    <s v="cancelled"/>
    <x v="0"/>
    <x v="1"/>
    <x v="0"/>
    <b v="1"/>
    <x v="0"/>
    <x v="0"/>
    <b v="0"/>
  </r>
  <r>
    <n v="4643811"/>
    <s v="123-007-111-001"/>
    <x v="29"/>
    <x v="4"/>
    <d v="2022-02-02T00:00:00"/>
    <s v="Lisa Robinson"/>
    <d v="2022-02-13T00:00:00"/>
    <d v="2022-02-19T00:00:00"/>
    <m/>
    <x v="1"/>
    <x v="1"/>
    <x v="0"/>
    <b v="0"/>
    <x v="0"/>
    <x v="0"/>
    <b v="0"/>
  </r>
  <r>
    <n v="4643811"/>
    <s v="123-007-111-002"/>
    <x v="29"/>
    <x v="4"/>
    <d v="2023-02-06T00:00:00"/>
    <s v="Patricia Moore"/>
    <d v="2023-02-09T00:00:00"/>
    <d v="2023-03-16T00:00:00"/>
    <s v="promo"/>
    <x v="1"/>
    <x v="1"/>
    <x v="0"/>
    <b v="0"/>
    <x v="0"/>
    <x v="1"/>
    <b v="0"/>
  </r>
  <r>
    <n v="4643811"/>
    <s v="123-007-111-003"/>
    <x v="29"/>
    <x v="4"/>
    <d v="2022-09-14T00:00:00"/>
    <s v="Lucas Turner"/>
    <d v="2022-10-11T00:00:00"/>
    <d v="2022-11-05T00:00:00"/>
    <s v="promo"/>
    <x v="1"/>
    <x v="1"/>
    <x v="0"/>
    <b v="0"/>
    <x v="0"/>
    <x v="1"/>
    <b v="0"/>
  </r>
  <r>
    <n v="1211652"/>
    <s v="123-004-104-007"/>
    <x v="18"/>
    <x v="1"/>
    <d v="2022-02-04T00:00:00"/>
    <s v="Jessica Mitchell"/>
    <d v="2022-02-11T00:00:00"/>
    <d v="2022-03-13T00:00:00"/>
    <m/>
    <x v="1"/>
    <x v="1"/>
    <x v="0"/>
    <b v="0"/>
    <x v="0"/>
    <x v="0"/>
    <b v="0"/>
  </r>
  <r>
    <n v="1211652"/>
    <s v="123-004-104-008"/>
    <x v="18"/>
    <x v="1"/>
    <d v="2022-08-02T00:00:00"/>
    <s v="Kimberly Nelson"/>
    <d v="2022-08-18T00:00:00"/>
    <d v="2022-09-12T00:00:00"/>
    <s v="transfer"/>
    <x v="1"/>
    <x v="1"/>
    <x v="0"/>
    <b v="0"/>
    <x v="1"/>
    <x v="0"/>
    <b v="0"/>
  </r>
  <r>
    <n v="1211652"/>
    <s v="123-004-104-009"/>
    <x v="18"/>
    <x v="1"/>
    <d v="2022-06-12T00:00:00"/>
    <s v="Jackson Lee"/>
    <d v="2022-07-03T00:00:00"/>
    <d v="2022-08-19T00:00:00"/>
    <s v="new to org"/>
    <x v="1"/>
    <x v="1"/>
    <x v="0"/>
    <b v="0"/>
    <x v="0"/>
    <x v="0"/>
    <b v="1"/>
  </r>
  <r>
    <n v="1211652"/>
    <s v="123-004-104-010"/>
    <x v="18"/>
    <x v="1"/>
    <d v="2023-06-18T00:00:00"/>
    <s v="Jackson Scott"/>
    <d v="2023-06-22T00:00:00"/>
    <m/>
    <s v="declined"/>
    <x v="0"/>
    <x v="0"/>
    <x v="0"/>
    <b v="0"/>
    <x v="0"/>
    <x v="0"/>
    <b v="0"/>
  </r>
  <r>
    <n v="5249882"/>
    <s v="123-005-116-003"/>
    <x v="25"/>
    <x v="0"/>
    <d v="2022-08-12T00:00:00"/>
    <s v="Patricia Parker"/>
    <d v="2022-08-16T00:00:00"/>
    <m/>
    <s v="rescinded"/>
    <x v="0"/>
    <x v="1"/>
    <x v="1"/>
    <b v="0"/>
    <x v="0"/>
    <x v="0"/>
    <b v="0"/>
  </r>
  <r>
    <n v="5249882"/>
    <s v="123-005-116-004"/>
    <x v="25"/>
    <x v="0"/>
    <d v="2022-01-16T00:00:00"/>
    <s v="Margaret Lee"/>
    <d v="2022-01-22T00:00:00"/>
    <m/>
    <s v="declined"/>
    <x v="0"/>
    <x v="0"/>
    <x v="0"/>
    <b v="0"/>
    <x v="0"/>
    <x v="0"/>
    <b v="0"/>
  </r>
  <r>
    <n v="5632190"/>
    <s v="123-002-119-001"/>
    <x v="2"/>
    <x v="7"/>
    <d v="2023-05-02T00:00:00"/>
    <s v="Robert Nguyen"/>
    <d v="2023-05-25T00:00:00"/>
    <d v="2023-07-03T00:00:00"/>
    <s v="transfer"/>
    <x v="1"/>
    <x v="1"/>
    <x v="0"/>
    <b v="0"/>
    <x v="1"/>
    <x v="0"/>
    <b v="0"/>
  </r>
  <r>
    <n v="5632190"/>
    <s v="123-002-119-002"/>
    <x v="2"/>
    <x v="7"/>
    <d v="2022-09-12T00:00:00"/>
    <s v="Deborah Garcia"/>
    <d v="2022-09-18T00:00:00"/>
    <m/>
    <s v="declined"/>
    <x v="0"/>
    <x v="0"/>
    <x v="0"/>
    <b v="0"/>
    <x v="0"/>
    <x v="0"/>
    <b v="0"/>
  </r>
  <r>
    <n v="5632190"/>
    <s v="123-002-119-003"/>
    <x v="2"/>
    <x v="7"/>
    <d v="2022-03-03T00:00:00"/>
    <s v="Jackson Carter"/>
    <d v="2022-03-05T00:00:00"/>
    <d v="2022-03-28T00:00:00"/>
    <s v="new to org"/>
    <x v="1"/>
    <x v="1"/>
    <x v="0"/>
    <b v="0"/>
    <x v="0"/>
    <x v="0"/>
    <b v="1"/>
  </r>
  <r>
    <n v="5632190"/>
    <s v="123-002-119-004"/>
    <x v="2"/>
    <x v="7"/>
    <d v="2022-08-27T00:00:00"/>
    <s v="William Young"/>
    <d v="2022-09-07T00:00:00"/>
    <d v="2022-10-13T00:00:00"/>
    <s v="transfer"/>
    <x v="1"/>
    <x v="1"/>
    <x v="0"/>
    <b v="0"/>
    <x v="1"/>
    <x v="0"/>
    <b v="0"/>
  </r>
  <r>
    <n v="6827024"/>
    <s v="123-008-126-001"/>
    <x v="5"/>
    <x v="5"/>
    <m/>
    <m/>
    <m/>
    <m/>
    <s v="cancelled"/>
    <x v="0"/>
    <x v="1"/>
    <x v="0"/>
    <b v="1"/>
    <x v="0"/>
    <x v="0"/>
    <b v="0"/>
  </r>
  <r>
    <n v="6827024"/>
    <s v="123-008-126-002"/>
    <x v="5"/>
    <x v="5"/>
    <d v="2022-09-14T00:00:00"/>
    <s v="George Rodriguez"/>
    <d v="2022-10-13T00:00:00"/>
    <m/>
    <s v="rescinded"/>
    <x v="0"/>
    <x v="1"/>
    <x v="1"/>
    <b v="0"/>
    <x v="0"/>
    <x v="0"/>
    <b v="0"/>
  </r>
  <r>
    <n v="1662507"/>
    <s v="123-008-116-001"/>
    <x v="25"/>
    <x v="5"/>
    <d v="2022-07-14T00:00:00"/>
    <s v="Brian Young"/>
    <d v="2022-08-02T00:00:00"/>
    <m/>
    <s v="declined"/>
    <x v="0"/>
    <x v="0"/>
    <x v="0"/>
    <b v="0"/>
    <x v="0"/>
    <x v="0"/>
    <b v="0"/>
  </r>
  <r>
    <n v="1662507"/>
    <s v="123-008-116-002"/>
    <x v="25"/>
    <x v="5"/>
    <d v="2023-04-25T00:00:00"/>
    <s v="Daniel Lee"/>
    <d v="2023-05-04T00:00:00"/>
    <m/>
    <s v="declined"/>
    <x v="0"/>
    <x v="0"/>
    <x v="0"/>
    <b v="0"/>
    <x v="0"/>
    <x v="0"/>
    <b v="0"/>
  </r>
  <r>
    <n v="1662507"/>
    <s v="123-008-116-003"/>
    <x v="25"/>
    <x v="5"/>
    <d v="2022-06-08T00:00:00"/>
    <s v="John King"/>
    <d v="2022-06-23T00:00:00"/>
    <d v="2022-07-12T00:00:00"/>
    <s v="promo"/>
    <x v="1"/>
    <x v="1"/>
    <x v="0"/>
    <b v="0"/>
    <x v="0"/>
    <x v="1"/>
    <b v="0"/>
  </r>
  <r>
    <n v="1662507"/>
    <s v="123-008-116-004"/>
    <x v="25"/>
    <x v="5"/>
    <d v="2023-06-03T00:00:00"/>
    <s v="Sandra Smith"/>
    <d v="2023-06-16T00:00:00"/>
    <d v="2023-08-02T00:00:00"/>
    <s v="new to org"/>
    <x v="1"/>
    <x v="1"/>
    <x v="0"/>
    <b v="0"/>
    <x v="0"/>
    <x v="0"/>
    <b v="1"/>
  </r>
  <r>
    <n v="1662507"/>
    <s v="123-008-116-005"/>
    <x v="25"/>
    <x v="5"/>
    <d v="2023-01-08T00:00:00"/>
    <s v="Mary Flores"/>
    <d v="2023-02-02T00:00:00"/>
    <m/>
    <s v="declined"/>
    <x v="0"/>
    <x v="0"/>
    <x v="0"/>
    <b v="0"/>
    <x v="0"/>
    <x v="0"/>
    <b v="0"/>
  </r>
  <r>
    <n v="5006173"/>
    <s v="123-002-111-001"/>
    <x v="29"/>
    <x v="7"/>
    <d v="2023-05-25T00:00:00"/>
    <s v="Kimberly Baker"/>
    <d v="2023-06-19T00:00:00"/>
    <d v="2023-07-25T00:00:00"/>
    <s v="promo"/>
    <x v="1"/>
    <x v="1"/>
    <x v="0"/>
    <b v="0"/>
    <x v="0"/>
    <x v="1"/>
    <b v="0"/>
  </r>
  <r>
    <n v="5006173"/>
    <s v="123-002-111-002"/>
    <x v="29"/>
    <x v="7"/>
    <d v="2023-02-24T00:00:00"/>
    <s v="Charles Lee"/>
    <d v="2023-03-17T00:00:00"/>
    <m/>
    <s v="declined"/>
    <x v="0"/>
    <x v="0"/>
    <x v="0"/>
    <b v="0"/>
    <x v="0"/>
    <x v="0"/>
    <b v="0"/>
  </r>
  <r>
    <n v="5006173"/>
    <s v="123-002-111-003"/>
    <x v="29"/>
    <x v="7"/>
    <d v="2022-03-10T00:00:00"/>
    <s v="Kimberly Nelson"/>
    <d v="2022-03-12T00:00:00"/>
    <d v="2022-05-05T00:00:00"/>
    <s v="transfer"/>
    <x v="1"/>
    <x v="1"/>
    <x v="0"/>
    <b v="0"/>
    <x v="1"/>
    <x v="0"/>
    <b v="0"/>
  </r>
  <r>
    <n v="5006173"/>
    <s v="123-002-111-004"/>
    <x v="29"/>
    <x v="7"/>
    <d v="2022-07-26T00:00:00"/>
    <s v="Logan Williams"/>
    <d v="2022-07-30T00:00:00"/>
    <d v="2022-08-31T00:00:00"/>
    <s v="promo"/>
    <x v="1"/>
    <x v="1"/>
    <x v="0"/>
    <b v="0"/>
    <x v="0"/>
    <x v="1"/>
    <b v="0"/>
  </r>
  <r>
    <n v="5006173"/>
    <s v="123-002-111-005"/>
    <x v="29"/>
    <x v="7"/>
    <d v="2023-02-02T00:00:00"/>
    <s v="Robert Torres"/>
    <d v="2023-02-24T00:00:00"/>
    <m/>
    <s v="declined"/>
    <x v="0"/>
    <x v="0"/>
    <x v="0"/>
    <b v="0"/>
    <x v="0"/>
    <x v="0"/>
    <b v="0"/>
  </r>
  <r>
    <n v="9219319"/>
    <s v="123-010-117-006"/>
    <x v="9"/>
    <x v="6"/>
    <d v="2022-03-14T00:00:00"/>
    <s v="Lisa Anderson"/>
    <d v="2022-03-15T00:00:00"/>
    <m/>
    <s v="declined"/>
    <x v="0"/>
    <x v="0"/>
    <x v="0"/>
    <b v="0"/>
    <x v="0"/>
    <x v="0"/>
    <b v="0"/>
  </r>
  <r>
    <n v="9219319"/>
    <s v="123-010-117-007"/>
    <x v="9"/>
    <x v="6"/>
    <d v="2022-03-23T00:00:00"/>
    <s v="Carol Young"/>
    <d v="2022-04-07T00:00:00"/>
    <d v="2022-05-29T00:00:00"/>
    <s v="promo"/>
    <x v="1"/>
    <x v="1"/>
    <x v="0"/>
    <b v="0"/>
    <x v="0"/>
    <x v="1"/>
    <b v="0"/>
  </r>
  <r>
    <n v="9219319"/>
    <s v="123-010-117-008"/>
    <x v="9"/>
    <x v="6"/>
    <d v="2023-03-02T00:00:00"/>
    <s v="Emily Mitchell"/>
    <d v="2023-03-29T00:00:00"/>
    <d v="2023-04-22T00:00:00"/>
    <s v="new to org"/>
    <x v="1"/>
    <x v="1"/>
    <x v="0"/>
    <b v="0"/>
    <x v="0"/>
    <x v="0"/>
    <b v="1"/>
  </r>
  <r>
    <n v="9219319"/>
    <s v="123-010-117-009"/>
    <x v="9"/>
    <x v="6"/>
    <d v="2022-09-30T00:00:00"/>
    <s v="Isabella Flores"/>
    <d v="2022-10-17T00:00:00"/>
    <d v="2022-10-20T00:00:00"/>
    <s v="transfer"/>
    <x v="1"/>
    <x v="1"/>
    <x v="0"/>
    <b v="0"/>
    <x v="1"/>
    <x v="0"/>
    <b v="0"/>
  </r>
  <r>
    <n v="9219319"/>
    <s v="123-010-117-010"/>
    <x v="9"/>
    <x v="6"/>
    <d v="2023-06-16T00:00:00"/>
    <s v="John Wilson"/>
    <d v="2023-06-20T00:00:00"/>
    <d v="2023-06-27T00:00:00"/>
    <s v="new to org"/>
    <x v="1"/>
    <x v="1"/>
    <x v="0"/>
    <b v="0"/>
    <x v="0"/>
    <x v="0"/>
    <b v="1"/>
  </r>
  <r>
    <n v="4875838"/>
    <s v="123-007-118-001"/>
    <x v="1"/>
    <x v="4"/>
    <d v="2022-07-03T00:00:00"/>
    <s v="Kevin Thomas"/>
    <d v="2022-07-21T00:00:00"/>
    <m/>
    <s v="declined"/>
    <x v="0"/>
    <x v="0"/>
    <x v="0"/>
    <b v="0"/>
    <x v="0"/>
    <x v="0"/>
    <b v="0"/>
  </r>
  <r>
    <n v="4875838"/>
    <s v="123-007-118-002"/>
    <x v="1"/>
    <x v="4"/>
    <d v="2023-01-02T00:00:00"/>
    <s v="Melissa Miller"/>
    <d v="2023-01-24T00:00:00"/>
    <d v="2023-02-23T00:00:00"/>
    <m/>
    <x v="1"/>
    <x v="1"/>
    <x v="0"/>
    <b v="0"/>
    <x v="0"/>
    <x v="0"/>
    <b v="0"/>
  </r>
  <r>
    <n v="8165129"/>
    <s v="123-002-129-001"/>
    <x v="14"/>
    <x v="7"/>
    <d v="2022-06-11T00:00:00"/>
    <s v="Steven Perez"/>
    <d v="2022-06-29T00:00:00"/>
    <d v="2022-08-07T00:00:00"/>
    <m/>
    <x v="1"/>
    <x v="1"/>
    <x v="0"/>
    <b v="0"/>
    <x v="0"/>
    <x v="0"/>
    <b v="0"/>
  </r>
  <r>
    <n v="8165129"/>
    <s v="123-002-129-002"/>
    <x v="14"/>
    <x v="7"/>
    <d v="2022-11-29T00:00:00"/>
    <s v="Lucas Lee"/>
    <d v="2022-12-27T00:00:00"/>
    <d v="2023-01-20T00:00:00"/>
    <s v="new to org"/>
    <x v="1"/>
    <x v="1"/>
    <x v="0"/>
    <b v="0"/>
    <x v="0"/>
    <x v="0"/>
    <b v="1"/>
  </r>
  <r>
    <n v="7917972"/>
    <s v="123-007-125-016"/>
    <x v="3"/>
    <x v="4"/>
    <d v="2022-09-18T00:00:00"/>
    <s v="Matthew Roberts"/>
    <d v="2022-09-30T00:00:00"/>
    <d v="2022-10-29T00:00:00"/>
    <s v="promo"/>
    <x v="1"/>
    <x v="1"/>
    <x v="0"/>
    <b v="0"/>
    <x v="0"/>
    <x v="1"/>
    <b v="0"/>
  </r>
  <r>
    <n v="7917972"/>
    <s v="123-007-125-017"/>
    <x v="3"/>
    <x v="4"/>
    <d v="2022-02-05T00:00:00"/>
    <s v="James Campbell"/>
    <d v="2022-02-15T00:00:00"/>
    <d v="2022-03-26T00:00:00"/>
    <m/>
    <x v="1"/>
    <x v="1"/>
    <x v="0"/>
    <b v="0"/>
    <x v="0"/>
    <x v="0"/>
    <b v="0"/>
  </r>
  <r>
    <n v="7917972"/>
    <s v="123-007-125-018"/>
    <x v="3"/>
    <x v="4"/>
    <d v="2022-11-06T00:00:00"/>
    <s v="William Cruz"/>
    <d v="2022-11-07T00:00:00"/>
    <m/>
    <s v="declined"/>
    <x v="0"/>
    <x v="0"/>
    <x v="0"/>
    <b v="0"/>
    <x v="0"/>
    <x v="0"/>
    <b v="0"/>
  </r>
  <r>
    <n v="6038767"/>
    <s v="123-004-108-002"/>
    <x v="11"/>
    <x v="1"/>
    <d v="2023-01-11T00:00:00"/>
    <s v="William Taylor"/>
    <d v="2023-02-09T00:00:00"/>
    <m/>
    <s v="declined"/>
    <x v="0"/>
    <x v="0"/>
    <x v="0"/>
    <b v="0"/>
    <x v="0"/>
    <x v="0"/>
    <b v="0"/>
  </r>
  <r>
    <n v="6038767"/>
    <s v="123-004-108-003"/>
    <x v="11"/>
    <x v="1"/>
    <d v="2023-06-08T00:00:00"/>
    <s v="Ava Scott"/>
    <d v="2023-06-26T00:00:00"/>
    <d v="2023-08-02T00:00:00"/>
    <s v="new to org"/>
    <x v="1"/>
    <x v="1"/>
    <x v="0"/>
    <b v="0"/>
    <x v="0"/>
    <x v="0"/>
    <b v="1"/>
  </r>
  <r>
    <n v="6038767"/>
    <s v="123-004-108-004"/>
    <x v="11"/>
    <x v="1"/>
    <d v="2023-04-17T00:00:00"/>
    <s v="Michael Williams"/>
    <d v="2023-04-29T00:00:00"/>
    <d v="2023-05-09T00:00:00"/>
    <s v="promo"/>
    <x v="1"/>
    <x v="1"/>
    <x v="0"/>
    <b v="0"/>
    <x v="0"/>
    <x v="1"/>
    <b v="0"/>
  </r>
  <r>
    <n v="5191903"/>
    <s v="123-005-108-004"/>
    <x v="11"/>
    <x v="0"/>
    <m/>
    <m/>
    <m/>
    <m/>
    <s v="cancelled"/>
    <x v="0"/>
    <x v="1"/>
    <x v="0"/>
    <b v="1"/>
    <x v="0"/>
    <x v="0"/>
    <b v="0"/>
  </r>
  <r>
    <n v="5191903"/>
    <s v="123-005-108-005"/>
    <x v="11"/>
    <x v="0"/>
    <d v="2022-03-21T00:00:00"/>
    <s v="Ava Wilson"/>
    <d v="2022-04-14T00:00:00"/>
    <m/>
    <s v="rescinded"/>
    <x v="0"/>
    <x v="1"/>
    <x v="1"/>
    <b v="0"/>
    <x v="0"/>
    <x v="0"/>
    <b v="0"/>
  </r>
  <r>
    <n v="5191903"/>
    <s v="123-005-108-006"/>
    <x v="11"/>
    <x v="0"/>
    <d v="2023-05-15T00:00:00"/>
    <s v="Donald Lopez"/>
    <d v="2023-06-11T00:00:00"/>
    <m/>
    <s v="rescinded"/>
    <x v="0"/>
    <x v="1"/>
    <x v="1"/>
    <b v="0"/>
    <x v="0"/>
    <x v="0"/>
    <b v="0"/>
  </r>
  <r>
    <n v="2599943"/>
    <s v="123-005-120-008"/>
    <x v="13"/>
    <x v="0"/>
    <d v="2022-02-27T00:00:00"/>
    <s v="Jennifer Roberts"/>
    <d v="2022-03-29T00:00:00"/>
    <d v="2022-05-18T00:00:00"/>
    <m/>
    <x v="1"/>
    <x v="1"/>
    <x v="0"/>
    <b v="0"/>
    <x v="0"/>
    <x v="0"/>
    <b v="0"/>
  </r>
  <r>
    <n v="6610127"/>
    <s v="123-007-112-018"/>
    <x v="28"/>
    <x v="4"/>
    <d v="2022-08-21T00:00:00"/>
    <s v="Logan Roberts"/>
    <d v="2022-09-14T00:00:00"/>
    <d v="2022-10-26T00:00:00"/>
    <s v="transfer"/>
    <x v="1"/>
    <x v="1"/>
    <x v="0"/>
    <b v="0"/>
    <x v="1"/>
    <x v="0"/>
    <b v="0"/>
  </r>
  <r>
    <n v="6610127"/>
    <s v="123-007-112-019"/>
    <x v="28"/>
    <x v="4"/>
    <d v="2023-01-27T00:00:00"/>
    <s v="Kenneth Roberts"/>
    <d v="2023-01-29T00:00:00"/>
    <d v="2023-02-18T00:00:00"/>
    <s v="transfer"/>
    <x v="1"/>
    <x v="1"/>
    <x v="0"/>
    <b v="0"/>
    <x v="1"/>
    <x v="0"/>
    <b v="0"/>
  </r>
  <r>
    <n v="6610127"/>
    <s v="123-007-112-020"/>
    <x v="28"/>
    <x v="4"/>
    <d v="2022-06-03T00:00:00"/>
    <s v="Paul Torres"/>
    <d v="2022-06-14T00:00:00"/>
    <d v="2022-07-17T00:00:00"/>
    <s v="new to org"/>
    <x v="1"/>
    <x v="1"/>
    <x v="0"/>
    <b v="0"/>
    <x v="0"/>
    <x v="0"/>
    <b v="1"/>
  </r>
  <r>
    <n v="6610127"/>
    <s v="123-007-112-021"/>
    <x v="28"/>
    <x v="4"/>
    <d v="2023-02-07T00:00:00"/>
    <s v="Patricia Baker"/>
    <d v="2023-02-22T00:00:00"/>
    <d v="2023-04-12T00:00:00"/>
    <s v="promo"/>
    <x v="1"/>
    <x v="1"/>
    <x v="0"/>
    <b v="0"/>
    <x v="0"/>
    <x v="1"/>
    <b v="0"/>
  </r>
  <r>
    <n v="9467953"/>
    <s v="123-004-103-002"/>
    <x v="8"/>
    <x v="1"/>
    <d v="2022-05-16T00:00:00"/>
    <s v="Betty Martinez"/>
    <d v="2022-05-27T00:00:00"/>
    <m/>
    <s v="declined"/>
    <x v="0"/>
    <x v="0"/>
    <x v="0"/>
    <b v="0"/>
    <x v="0"/>
    <x v="0"/>
    <b v="0"/>
  </r>
  <r>
    <n v="9467953"/>
    <s v="123-004-103-003"/>
    <x v="8"/>
    <x v="1"/>
    <d v="2022-07-20T00:00:00"/>
    <s v="Ashley Sanchez"/>
    <d v="2022-08-07T00:00:00"/>
    <m/>
    <s v="declined"/>
    <x v="0"/>
    <x v="0"/>
    <x v="0"/>
    <b v="0"/>
    <x v="0"/>
    <x v="0"/>
    <b v="0"/>
  </r>
  <r>
    <n v="9467953"/>
    <s v="123-004-103-004"/>
    <x v="8"/>
    <x v="1"/>
    <d v="2022-09-26T00:00:00"/>
    <s v="Emily Sanchez"/>
    <d v="2022-09-29T00:00:00"/>
    <d v="2022-10-25T00:00:00"/>
    <s v="transfer"/>
    <x v="1"/>
    <x v="1"/>
    <x v="0"/>
    <b v="0"/>
    <x v="1"/>
    <x v="0"/>
    <b v="0"/>
  </r>
  <r>
    <n v="9467953"/>
    <s v="123-004-103-005"/>
    <x v="8"/>
    <x v="1"/>
    <d v="2023-05-08T00:00:00"/>
    <s v="Edward Rodriguez"/>
    <d v="2023-05-26T00:00:00"/>
    <d v="2023-06-08T00:00:00"/>
    <s v="promo"/>
    <x v="1"/>
    <x v="1"/>
    <x v="0"/>
    <b v="0"/>
    <x v="0"/>
    <x v="1"/>
    <b v="0"/>
  </r>
  <r>
    <n v="9795418"/>
    <s v="123-004-108-005"/>
    <x v="11"/>
    <x v="1"/>
    <d v="2022-04-02T00:00:00"/>
    <s v="Margaret Lee"/>
    <d v="2022-04-06T00:00:00"/>
    <m/>
    <s v="declined"/>
    <x v="0"/>
    <x v="0"/>
    <x v="0"/>
    <b v="0"/>
    <x v="0"/>
    <x v="0"/>
    <b v="0"/>
  </r>
  <r>
    <n v="7938755"/>
    <s v="123-006-114-001"/>
    <x v="24"/>
    <x v="2"/>
    <d v="2022-01-25T00:00:00"/>
    <s v="Daniel Hill"/>
    <d v="2022-02-19T00:00:00"/>
    <m/>
    <s v="declined"/>
    <x v="0"/>
    <x v="0"/>
    <x v="0"/>
    <b v="0"/>
    <x v="0"/>
    <x v="0"/>
    <b v="0"/>
  </r>
  <r>
    <n v="7938755"/>
    <s v="123-006-114-002"/>
    <x v="24"/>
    <x v="2"/>
    <d v="2023-03-29T00:00:00"/>
    <s v="Daniel Flores"/>
    <d v="2023-04-18T00:00:00"/>
    <m/>
    <s v="rescinded"/>
    <x v="0"/>
    <x v="1"/>
    <x v="1"/>
    <b v="0"/>
    <x v="0"/>
    <x v="0"/>
    <b v="0"/>
  </r>
  <r>
    <n v="7938755"/>
    <s v="123-006-114-003"/>
    <x v="24"/>
    <x v="2"/>
    <d v="2022-08-28T00:00:00"/>
    <s v="Robert Evans"/>
    <d v="2022-09-04T00:00:00"/>
    <m/>
    <s v="declined"/>
    <x v="0"/>
    <x v="0"/>
    <x v="0"/>
    <b v="0"/>
    <x v="0"/>
    <x v="0"/>
    <b v="0"/>
  </r>
  <r>
    <n v="7271672"/>
    <s v="123-002-105-005"/>
    <x v="7"/>
    <x v="7"/>
    <d v="2022-06-01T00:00:00"/>
    <s v="Charlotte Flores"/>
    <d v="2022-06-29T00:00:00"/>
    <d v="2022-08-22T00:00:00"/>
    <s v="promo"/>
    <x v="1"/>
    <x v="1"/>
    <x v="0"/>
    <b v="0"/>
    <x v="0"/>
    <x v="1"/>
    <b v="0"/>
  </r>
  <r>
    <n v="5826554"/>
    <s v="123-006-101-002"/>
    <x v="0"/>
    <x v="2"/>
    <d v="2022-12-06T00:00:00"/>
    <s v="Donald Johnson"/>
    <d v="2022-12-13T00:00:00"/>
    <m/>
    <s v="rescinded"/>
    <x v="0"/>
    <x v="1"/>
    <x v="1"/>
    <b v="0"/>
    <x v="0"/>
    <x v="0"/>
    <b v="0"/>
  </r>
  <r>
    <n v="4554677"/>
    <s v="123-009-107-007"/>
    <x v="26"/>
    <x v="8"/>
    <d v="2022-05-25T00:00:00"/>
    <s v="Michelle Campbell"/>
    <d v="2022-06-17T00:00:00"/>
    <d v="2022-08-01T00:00:00"/>
    <m/>
    <x v="1"/>
    <x v="1"/>
    <x v="0"/>
    <b v="0"/>
    <x v="0"/>
    <x v="0"/>
    <b v="0"/>
  </r>
  <r>
    <n v="4554677"/>
    <s v="123-009-107-008"/>
    <x v="26"/>
    <x v="8"/>
    <d v="2023-06-24T00:00:00"/>
    <s v="Donna Edwards"/>
    <d v="2023-06-26T00:00:00"/>
    <d v="2023-07-13T00:00:00"/>
    <m/>
    <x v="1"/>
    <x v="1"/>
    <x v="0"/>
    <b v="0"/>
    <x v="0"/>
    <x v="0"/>
    <b v="0"/>
  </r>
  <r>
    <n v="4554677"/>
    <s v="123-009-107-009"/>
    <x v="26"/>
    <x v="8"/>
    <d v="2022-10-05T00:00:00"/>
    <s v="Charles Gonzalez"/>
    <d v="2022-10-07T00:00:00"/>
    <m/>
    <s v="declined"/>
    <x v="0"/>
    <x v="0"/>
    <x v="0"/>
    <b v="0"/>
    <x v="0"/>
    <x v="0"/>
    <b v="0"/>
  </r>
  <r>
    <n v="4554677"/>
    <s v="123-009-107-010"/>
    <x v="26"/>
    <x v="8"/>
    <d v="2022-10-05T00:00:00"/>
    <s v="John Harris"/>
    <d v="2022-10-27T00:00:00"/>
    <d v="2022-12-21T00:00:00"/>
    <s v="transfer"/>
    <x v="1"/>
    <x v="1"/>
    <x v="0"/>
    <b v="0"/>
    <x v="1"/>
    <x v="0"/>
    <b v="0"/>
  </r>
  <r>
    <n v="4554677"/>
    <s v="123-009-107-011"/>
    <x v="26"/>
    <x v="8"/>
    <d v="2022-01-20T00:00:00"/>
    <s v="Logan Miller"/>
    <d v="2022-01-30T00:00:00"/>
    <d v="2022-03-27T00:00:00"/>
    <s v="new to org"/>
    <x v="1"/>
    <x v="1"/>
    <x v="0"/>
    <b v="0"/>
    <x v="0"/>
    <x v="0"/>
    <b v="1"/>
  </r>
  <r>
    <n v="7484783"/>
    <s v="123-007-108-003"/>
    <x v="11"/>
    <x v="4"/>
    <d v="2023-05-12T00:00:00"/>
    <s v="Lucas Lee"/>
    <d v="2023-06-09T00:00:00"/>
    <d v="2023-07-18T00:00:00"/>
    <s v="transfer"/>
    <x v="1"/>
    <x v="1"/>
    <x v="0"/>
    <b v="0"/>
    <x v="1"/>
    <x v="0"/>
    <b v="0"/>
  </r>
  <r>
    <n v="7484783"/>
    <s v="123-007-108-004"/>
    <x v="11"/>
    <x v="4"/>
    <d v="2023-04-14T00:00:00"/>
    <s v="Richard Allen"/>
    <d v="2023-05-02T00:00:00"/>
    <d v="2023-07-01T00:00:00"/>
    <s v="promo"/>
    <x v="1"/>
    <x v="1"/>
    <x v="0"/>
    <b v="0"/>
    <x v="0"/>
    <x v="1"/>
    <b v="0"/>
  </r>
  <r>
    <n v="7484783"/>
    <s v="123-007-108-005"/>
    <x v="11"/>
    <x v="4"/>
    <d v="2022-11-09T00:00:00"/>
    <s v="Jessica King"/>
    <d v="2022-11-20T00:00:00"/>
    <d v="2022-12-22T00:00:00"/>
    <s v="transfer"/>
    <x v="1"/>
    <x v="1"/>
    <x v="0"/>
    <b v="0"/>
    <x v="1"/>
    <x v="0"/>
    <b v="0"/>
  </r>
  <r>
    <n v="7484783"/>
    <s v="123-007-108-006"/>
    <x v="11"/>
    <x v="4"/>
    <d v="2022-12-27T00:00:00"/>
    <s v="Mary Thompson"/>
    <d v="2023-01-08T00:00:00"/>
    <d v="2023-02-18T00:00:00"/>
    <s v="promo"/>
    <x v="1"/>
    <x v="1"/>
    <x v="0"/>
    <b v="0"/>
    <x v="0"/>
    <x v="1"/>
    <b v="0"/>
  </r>
  <r>
    <n v="7484783"/>
    <s v="123-007-108-007"/>
    <x v="11"/>
    <x v="4"/>
    <d v="2022-09-21T00:00:00"/>
    <s v="Ethan Brown"/>
    <d v="2022-10-20T00:00:00"/>
    <d v="2022-11-14T00:00:00"/>
    <s v="new to org"/>
    <x v="1"/>
    <x v="1"/>
    <x v="0"/>
    <b v="0"/>
    <x v="0"/>
    <x v="0"/>
    <b v="1"/>
  </r>
  <r>
    <n v="1494355"/>
    <s v="123-005-118-001"/>
    <x v="1"/>
    <x v="0"/>
    <d v="2022-05-21T00:00:00"/>
    <s v="Lucas Sanchez"/>
    <d v="2022-05-24T00:00:00"/>
    <m/>
    <s v="declined"/>
    <x v="0"/>
    <x v="0"/>
    <x v="0"/>
    <b v="0"/>
    <x v="0"/>
    <x v="0"/>
    <b v="0"/>
  </r>
  <r>
    <n v="1494355"/>
    <s v="123-005-118-002"/>
    <x v="1"/>
    <x v="0"/>
    <d v="2022-06-06T00:00:00"/>
    <s v="Anthony Thomas"/>
    <d v="2022-06-20T00:00:00"/>
    <d v="2022-07-10T00:00:00"/>
    <s v="promo"/>
    <x v="1"/>
    <x v="1"/>
    <x v="0"/>
    <b v="0"/>
    <x v="0"/>
    <x v="1"/>
    <b v="0"/>
  </r>
  <r>
    <n v="6524481"/>
    <s v="123-009-115-001"/>
    <x v="22"/>
    <x v="8"/>
    <d v="2022-07-27T00:00:00"/>
    <s v="William Nguyen"/>
    <d v="2022-08-24T00:00:00"/>
    <m/>
    <s v="declined"/>
    <x v="0"/>
    <x v="0"/>
    <x v="0"/>
    <b v="0"/>
    <x v="0"/>
    <x v="0"/>
    <b v="0"/>
  </r>
  <r>
    <n v="6524481"/>
    <s v="123-009-115-002"/>
    <x v="22"/>
    <x v="8"/>
    <d v="2023-06-21T00:00:00"/>
    <s v="Brian Rivera"/>
    <d v="2023-07-21T00:00:00"/>
    <m/>
    <s v="declined"/>
    <x v="0"/>
    <x v="0"/>
    <x v="0"/>
    <b v="0"/>
    <x v="0"/>
    <x v="0"/>
    <b v="0"/>
  </r>
  <r>
    <n v="3269160"/>
    <s v="123-003-114-001"/>
    <x v="24"/>
    <x v="9"/>
    <d v="2023-06-30T00:00:00"/>
    <s v="John Scott"/>
    <d v="2023-07-24T00:00:00"/>
    <d v="2023-08-01T00:00:00"/>
    <s v="new to org"/>
    <x v="1"/>
    <x v="1"/>
    <x v="0"/>
    <b v="0"/>
    <x v="0"/>
    <x v="0"/>
    <b v="1"/>
  </r>
  <r>
    <n v="3269160"/>
    <s v="123-003-114-002"/>
    <x v="24"/>
    <x v="9"/>
    <d v="2022-05-30T00:00:00"/>
    <s v="Mason Cruz"/>
    <d v="2022-06-23T00:00:00"/>
    <m/>
    <s v="declined"/>
    <x v="0"/>
    <x v="0"/>
    <x v="0"/>
    <b v="0"/>
    <x v="0"/>
    <x v="0"/>
    <b v="0"/>
  </r>
  <r>
    <n v="3269160"/>
    <s v="123-003-114-003"/>
    <x v="24"/>
    <x v="9"/>
    <d v="2023-02-28T00:00:00"/>
    <s v="Christopher Cruz"/>
    <d v="2023-03-14T00:00:00"/>
    <m/>
    <s v="declined"/>
    <x v="0"/>
    <x v="0"/>
    <x v="0"/>
    <b v="0"/>
    <x v="0"/>
    <x v="0"/>
    <b v="0"/>
  </r>
  <r>
    <n v="3269160"/>
    <s v="123-003-114-004"/>
    <x v="24"/>
    <x v="9"/>
    <d v="2022-07-12T00:00:00"/>
    <s v="Elizabeth Roberts"/>
    <d v="2022-07-16T00:00:00"/>
    <d v="2022-07-25T00:00:00"/>
    <s v="new to org"/>
    <x v="1"/>
    <x v="1"/>
    <x v="0"/>
    <b v="0"/>
    <x v="0"/>
    <x v="0"/>
    <b v="1"/>
  </r>
  <r>
    <n v="3269160"/>
    <s v="123-003-114-005"/>
    <x v="24"/>
    <x v="9"/>
    <d v="2022-10-01T00:00:00"/>
    <s v="Edward Flores"/>
    <d v="2022-10-21T00:00:00"/>
    <m/>
    <s v="declined"/>
    <x v="0"/>
    <x v="0"/>
    <x v="0"/>
    <b v="0"/>
    <x v="0"/>
    <x v="0"/>
    <b v="0"/>
  </r>
  <r>
    <n v="4874049"/>
    <s v="123-004-120-001"/>
    <x v="13"/>
    <x v="1"/>
    <d v="2023-05-04T00:00:00"/>
    <s v="Jennifer Hall"/>
    <d v="2023-05-09T00:00:00"/>
    <d v="2023-06-11T00:00:00"/>
    <s v="new to org"/>
    <x v="1"/>
    <x v="1"/>
    <x v="0"/>
    <b v="0"/>
    <x v="0"/>
    <x v="0"/>
    <b v="1"/>
  </r>
  <r>
    <n v="4874049"/>
    <s v="123-004-120-002"/>
    <x v="13"/>
    <x v="1"/>
    <d v="2023-01-18T00:00:00"/>
    <s v="Dorothy Adams"/>
    <d v="2023-01-24T00:00:00"/>
    <d v="2023-03-20T00:00:00"/>
    <m/>
    <x v="1"/>
    <x v="1"/>
    <x v="0"/>
    <b v="0"/>
    <x v="0"/>
    <x v="0"/>
    <b v="0"/>
  </r>
  <r>
    <n v="7500504"/>
    <s v="123-008-116-006"/>
    <x v="25"/>
    <x v="5"/>
    <d v="2023-02-23T00:00:00"/>
    <s v="Joseph Williams"/>
    <d v="2023-03-20T00:00:00"/>
    <m/>
    <s v="declined"/>
    <x v="0"/>
    <x v="0"/>
    <x v="0"/>
    <b v="0"/>
    <x v="0"/>
    <x v="0"/>
    <b v="0"/>
  </r>
  <r>
    <n v="7500504"/>
    <s v="123-008-116-007"/>
    <x v="25"/>
    <x v="5"/>
    <d v="2022-08-16T00:00:00"/>
    <s v="Charlotte Clark"/>
    <d v="2022-09-09T00:00:00"/>
    <d v="2022-10-22T00:00:00"/>
    <s v="new to org"/>
    <x v="1"/>
    <x v="1"/>
    <x v="0"/>
    <b v="0"/>
    <x v="0"/>
    <x v="0"/>
    <b v="1"/>
  </r>
  <r>
    <n v="4402982"/>
    <s v="123-004-125-011"/>
    <x v="3"/>
    <x v="1"/>
    <d v="2023-05-17T00:00:00"/>
    <s v="Mark Parker"/>
    <d v="2023-06-09T00:00:00"/>
    <m/>
    <s v="declined"/>
    <x v="0"/>
    <x v="0"/>
    <x v="0"/>
    <b v="0"/>
    <x v="0"/>
    <x v="0"/>
    <b v="0"/>
  </r>
  <r>
    <n v="6450844"/>
    <s v="123-008-128-005"/>
    <x v="10"/>
    <x v="5"/>
    <d v="2023-01-25T00:00:00"/>
    <s v="Joshua Mitchell"/>
    <d v="2023-02-18T00:00:00"/>
    <d v="2023-03-11T00:00:00"/>
    <s v="transfer"/>
    <x v="1"/>
    <x v="1"/>
    <x v="0"/>
    <b v="0"/>
    <x v="1"/>
    <x v="0"/>
    <b v="0"/>
  </r>
  <r>
    <n v="6450844"/>
    <s v="123-008-128-006"/>
    <x v="10"/>
    <x v="5"/>
    <d v="2023-04-08T00:00:00"/>
    <s v="Kimberly Miller"/>
    <d v="2023-04-23T00:00:00"/>
    <d v="2023-06-15T00:00:00"/>
    <s v="transfer"/>
    <x v="1"/>
    <x v="1"/>
    <x v="0"/>
    <b v="0"/>
    <x v="1"/>
    <x v="0"/>
    <b v="0"/>
  </r>
  <r>
    <n v="1711620"/>
    <s v="123-004-129-004"/>
    <x v="14"/>
    <x v="1"/>
    <d v="2023-06-13T00:00:00"/>
    <s v="Emily Harris"/>
    <d v="2023-07-08T00:00:00"/>
    <d v="2023-08-18T00:00:00"/>
    <s v="transfer"/>
    <x v="1"/>
    <x v="1"/>
    <x v="0"/>
    <b v="0"/>
    <x v="1"/>
    <x v="0"/>
    <b v="0"/>
  </r>
  <r>
    <n v="1711620"/>
    <s v="123-004-129-005"/>
    <x v="14"/>
    <x v="1"/>
    <d v="2023-02-12T00:00:00"/>
    <s v="Charles Lewis"/>
    <d v="2023-03-13T00:00:00"/>
    <d v="2023-04-02T00:00:00"/>
    <s v="promo"/>
    <x v="1"/>
    <x v="1"/>
    <x v="0"/>
    <b v="0"/>
    <x v="0"/>
    <x v="1"/>
    <b v="0"/>
  </r>
  <r>
    <n v="1711620"/>
    <s v="123-004-129-006"/>
    <x v="14"/>
    <x v="1"/>
    <d v="2023-03-09T00:00:00"/>
    <s v="Sandra Hernandez"/>
    <d v="2023-03-19T00:00:00"/>
    <d v="2023-04-28T00:00:00"/>
    <s v="new to org"/>
    <x v="1"/>
    <x v="1"/>
    <x v="0"/>
    <b v="0"/>
    <x v="0"/>
    <x v="0"/>
    <b v="1"/>
  </r>
  <r>
    <n v="1711620"/>
    <s v="123-004-129-007"/>
    <x v="14"/>
    <x v="1"/>
    <d v="2023-04-08T00:00:00"/>
    <s v="Sandra Turner"/>
    <d v="2023-04-11T00:00:00"/>
    <d v="2023-05-28T00:00:00"/>
    <s v="promo"/>
    <x v="1"/>
    <x v="1"/>
    <x v="0"/>
    <b v="0"/>
    <x v="0"/>
    <x v="1"/>
    <b v="0"/>
  </r>
  <r>
    <n v="1711620"/>
    <s v="123-004-129-008"/>
    <x v="14"/>
    <x v="1"/>
    <d v="2022-05-19T00:00:00"/>
    <s v="Deborah Nguyen"/>
    <d v="2022-06-01T00:00:00"/>
    <d v="2022-06-28T00:00:00"/>
    <s v="promo"/>
    <x v="1"/>
    <x v="1"/>
    <x v="0"/>
    <b v="0"/>
    <x v="0"/>
    <x v="1"/>
    <b v="0"/>
  </r>
  <r>
    <n v="6426773"/>
    <s v="123-001-115-001"/>
    <x v="22"/>
    <x v="3"/>
    <d v="2022-04-03T00:00:00"/>
    <s v="Olivia Robinson"/>
    <d v="2022-04-12T00:00:00"/>
    <d v="2022-05-03T00:00:00"/>
    <s v="promo"/>
    <x v="1"/>
    <x v="1"/>
    <x v="0"/>
    <b v="0"/>
    <x v="0"/>
    <x v="1"/>
    <b v="0"/>
  </r>
  <r>
    <n v="6426773"/>
    <s v="123-001-115-002"/>
    <x v="22"/>
    <x v="3"/>
    <d v="2022-05-07T00:00:00"/>
    <s v="Dorothy Campbell"/>
    <d v="2022-05-10T00:00:00"/>
    <d v="2022-05-18T00:00:00"/>
    <s v="promo"/>
    <x v="1"/>
    <x v="1"/>
    <x v="0"/>
    <b v="0"/>
    <x v="0"/>
    <x v="1"/>
    <b v="0"/>
  </r>
  <r>
    <n v="8539654"/>
    <s v="123-006-121-002"/>
    <x v="20"/>
    <x v="2"/>
    <d v="2023-06-08T00:00:00"/>
    <s v="George Gomez"/>
    <d v="2023-06-28T00:00:00"/>
    <d v="2023-07-09T00:00:00"/>
    <m/>
    <x v="1"/>
    <x v="1"/>
    <x v="0"/>
    <b v="0"/>
    <x v="0"/>
    <x v="0"/>
    <b v="0"/>
  </r>
  <r>
    <n v="7353173"/>
    <s v="123-007-118-003"/>
    <x v="1"/>
    <x v="4"/>
    <d v="2022-06-03T00:00:00"/>
    <s v="Andrew Parker"/>
    <d v="2022-06-09T00:00:00"/>
    <d v="2022-08-04T00:00:00"/>
    <s v="new to org"/>
    <x v="1"/>
    <x v="1"/>
    <x v="0"/>
    <b v="0"/>
    <x v="0"/>
    <x v="0"/>
    <b v="1"/>
  </r>
  <r>
    <n v="3426109"/>
    <s v="123-001-106-001"/>
    <x v="4"/>
    <x v="3"/>
    <d v="2023-04-02T00:00:00"/>
    <s v="George Roberts"/>
    <d v="2023-04-12T00:00:00"/>
    <m/>
    <s v="rescinded"/>
    <x v="0"/>
    <x v="1"/>
    <x v="1"/>
    <b v="0"/>
    <x v="0"/>
    <x v="0"/>
    <b v="0"/>
  </r>
  <r>
    <n v="3426109"/>
    <s v="123-001-106-002"/>
    <x v="4"/>
    <x v="3"/>
    <d v="2022-07-27T00:00:00"/>
    <s v="Lucas Rodriguez"/>
    <d v="2022-07-28T00:00:00"/>
    <d v="2022-09-06T00:00:00"/>
    <s v="transfer"/>
    <x v="1"/>
    <x v="1"/>
    <x v="0"/>
    <b v="0"/>
    <x v="1"/>
    <x v="0"/>
    <b v="0"/>
  </r>
  <r>
    <n v="3426109"/>
    <s v="123-001-106-003"/>
    <x v="4"/>
    <x v="3"/>
    <d v="2023-05-26T00:00:00"/>
    <s v="Sandra Young"/>
    <d v="2023-06-13T00:00:00"/>
    <d v="2023-08-04T00:00:00"/>
    <s v="transfer"/>
    <x v="1"/>
    <x v="1"/>
    <x v="0"/>
    <b v="0"/>
    <x v="1"/>
    <x v="0"/>
    <b v="0"/>
  </r>
  <r>
    <n v="3426109"/>
    <s v="123-001-106-004"/>
    <x v="4"/>
    <x v="3"/>
    <d v="2022-09-01T00:00:00"/>
    <s v="Olivia Young"/>
    <d v="2022-09-08T00:00:00"/>
    <m/>
    <s v="declined"/>
    <x v="0"/>
    <x v="0"/>
    <x v="0"/>
    <b v="0"/>
    <x v="0"/>
    <x v="0"/>
    <b v="0"/>
  </r>
  <r>
    <n v="8981122"/>
    <s v="123-007-115-005"/>
    <x v="22"/>
    <x v="4"/>
    <d v="2022-04-22T00:00:00"/>
    <s v="Jennifer Brown"/>
    <d v="2022-05-06T00:00:00"/>
    <m/>
    <s v="declined"/>
    <x v="0"/>
    <x v="0"/>
    <x v="0"/>
    <b v="0"/>
    <x v="0"/>
    <x v="0"/>
    <b v="0"/>
  </r>
  <r>
    <n v="8981122"/>
    <s v="123-007-115-006"/>
    <x v="22"/>
    <x v="4"/>
    <d v="2022-10-12T00:00:00"/>
    <s v="Olivia Scott"/>
    <d v="2022-11-01T00:00:00"/>
    <d v="2022-12-12T00:00:00"/>
    <s v="promo"/>
    <x v="1"/>
    <x v="1"/>
    <x v="0"/>
    <b v="0"/>
    <x v="0"/>
    <x v="1"/>
    <b v="0"/>
  </r>
  <r>
    <n v="8981122"/>
    <s v="123-007-115-007"/>
    <x v="22"/>
    <x v="4"/>
    <d v="2022-06-01T00:00:00"/>
    <s v="Patricia Lopez"/>
    <d v="2022-06-03T00:00:00"/>
    <d v="2022-07-15T00:00:00"/>
    <s v="promo"/>
    <x v="1"/>
    <x v="1"/>
    <x v="0"/>
    <b v="0"/>
    <x v="0"/>
    <x v="1"/>
    <b v="0"/>
  </r>
  <r>
    <n v="8981122"/>
    <s v="123-007-115-008"/>
    <x v="22"/>
    <x v="4"/>
    <d v="2022-11-02T00:00:00"/>
    <s v="Mia Williams"/>
    <d v="2022-11-13T00:00:00"/>
    <d v="2023-01-11T00:00:00"/>
    <s v="promo"/>
    <x v="1"/>
    <x v="1"/>
    <x v="0"/>
    <b v="0"/>
    <x v="0"/>
    <x v="1"/>
    <b v="0"/>
  </r>
  <r>
    <n v="3990511"/>
    <s v="123-005-106-006"/>
    <x v="4"/>
    <x v="0"/>
    <d v="2023-01-04T00:00:00"/>
    <s v="Sandra Mitchell"/>
    <d v="2023-02-03T00:00:00"/>
    <d v="2023-02-06T00:00:00"/>
    <s v="promo"/>
    <x v="1"/>
    <x v="1"/>
    <x v="0"/>
    <b v="0"/>
    <x v="0"/>
    <x v="1"/>
    <b v="0"/>
  </r>
  <r>
    <n v="3990511"/>
    <s v="123-005-106-007"/>
    <x v="4"/>
    <x v="0"/>
    <d v="2023-01-13T00:00:00"/>
    <s v="Karen Lee"/>
    <d v="2023-02-11T00:00:00"/>
    <m/>
    <s v="declined"/>
    <x v="0"/>
    <x v="0"/>
    <x v="0"/>
    <b v="0"/>
    <x v="0"/>
    <x v="0"/>
    <b v="0"/>
  </r>
  <r>
    <n v="3990511"/>
    <s v="123-005-106-008"/>
    <x v="4"/>
    <x v="0"/>
    <d v="2022-03-08T00:00:00"/>
    <s v="Edward Ramirez"/>
    <d v="2022-03-18T00:00:00"/>
    <d v="2022-04-18T00:00:00"/>
    <s v="transfer"/>
    <x v="1"/>
    <x v="1"/>
    <x v="0"/>
    <b v="0"/>
    <x v="1"/>
    <x v="0"/>
    <b v="0"/>
  </r>
  <r>
    <n v="3990511"/>
    <s v="123-005-106-009"/>
    <x v="4"/>
    <x v="0"/>
    <d v="2022-10-09T00:00:00"/>
    <s v="Brian Parker"/>
    <d v="2022-10-20T00:00:00"/>
    <m/>
    <s v="declined"/>
    <x v="0"/>
    <x v="0"/>
    <x v="0"/>
    <b v="0"/>
    <x v="0"/>
    <x v="0"/>
    <b v="0"/>
  </r>
  <r>
    <n v="3990511"/>
    <s v="123-005-106-010"/>
    <x v="4"/>
    <x v="0"/>
    <d v="2022-03-01T00:00:00"/>
    <s v="Brian Wilson"/>
    <d v="2022-03-05T00:00:00"/>
    <d v="2022-04-11T00:00:00"/>
    <s v="promo"/>
    <x v="1"/>
    <x v="1"/>
    <x v="0"/>
    <b v="0"/>
    <x v="0"/>
    <x v="1"/>
    <b v="0"/>
  </r>
  <r>
    <n v="9874251"/>
    <s v="123-008-103-006"/>
    <x v="8"/>
    <x v="5"/>
    <d v="2022-11-21T00:00:00"/>
    <s v="Margaret Hill"/>
    <d v="2022-11-30T00:00:00"/>
    <d v="2023-01-03T00:00:00"/>
    <s v="new to org"/>
    <x v="1"/>
    <x v="1"/>
    <x v="0"/>
    <b v="0"/>
    <x v="0"/>
    <x v="0"/>
    <b v="1"/>
  </r>
  <r>
    <n v="9874251"/>
    <s v="123-008-103-007"/>
    <x v="8"/>
    <x v="5"/>
    <d v="2023-05-24T00:00:00"/>
    <s v="Jackson Rodriguez"/>
    <d v="2023-06-10T00:00:00"/>
    <d v="2023-07-27T00:00:00"/>
    <s v="new to org"/>
    <x v="1"/>
    <x v="1"/>
    <x v="0"/>
    <b v="0"/>
    <x v="0"/>
    <x v="0"/>
    <b v="1"/>
  </r>
  <r>
    <n v="9874251"/>
    <s v="123-008-103-008"/>
    <x v="8"/>
    <x v="5"/>
    <d v="2022-08-27T00:00:00"/>
    <s v="Ethan Lopez"/>
    <d v="2022-09-19T00:00:00"/>
    <d v="2022-10-08T00:00:00"/>
    <m/>
    <x v="1"/>
    <x v="1"/>
    <x v="0"/>
    <b v="0"/>
    <x v="0"/>
    <x v="0"/>
    <b v="0"/>
  </r>
  <r>
    <n v="9874251"/>
    <s v="123-008-103-009"/>
    <x v="8"/>
    <x v="5"/>
    <d v="2023-04-22T00:00:00"/>
    <s v="Linda Johnson"/>
    <d v="2023-05-13T00:00:00"/>
    <d v="2023-07-03T00:00:00"/>
    <s v="transfer"/>
    <x v="1"/>
    <x v="1"/>
    <x v="0"/>
    <b v="0"/>
    <x v="1"/>
    <x v="0"/>
    <b v="0"/>
  </r>
  <r>
    <n v="9874251"/>
    <s v="123-008-103-010"/>
    <x v="8"/>
    <x v="5"/>
    <d v="2023-03-01T00:00:00"/>
    <s v="Mia Wilson"/>
    <d v="2023-03-15T00:00:00"/>
    <m/>
    <s v="declined"/>
    <x v="0"/>
    <x v="0"/>
    <x v="0"/>
    <b v="0"/>
    <x v="0"/>
    <x v="0"/>
    <b v="0"/>
  </r>
  <r>
    <n v="1763232"/>
    <s v="123-006-111-003"/>
    <x v="29"/>
    <x v="2"/>
    <d v="2022-07-26T00:00:00"/>
    <s v="James Green"/>
    <d v="2022-08-18T00:00:00"/>
    <d v="2022-09-06T00:00:00"/>
    <s v="promo"/>
    <x v="1"/>
    <x v="1"/>
    <x v="0"/>
    <b v="0"/>
    <x v="0"/>
    <x v="1"/>
    <b v="0"/>
  </r>
  <r>
    <n v="1763232"/>
    <s v="123-006-111-004"/>
    <x v="29"/>
    <x v="2"/>
    <d v="2022-11-04T00:00:00"/>
    <s v="John Martin"/>
    <d v="2022-11-21T00:00:00"/>
    <m/>
    <s v="rescinded"/>
    <x v="0"/>
    <x v="1"/>
    <x v="1"/>
    <b v="0"/>
    <x v="0"/>
    <x v="0"/>
    <b v="0"/>
  </r>
  <r>
    <n v="1763232"/>
    <s v="123-006-111-005"/>
    <x v="29"/>
    <x v="2"/>
    <d v="2022-12-08T00:00:00"/>
    <s v="Linda Baker"/>
    <d v="2022-12-19T00:00:00"/>
    <d v="2023-01-14T00:00:00"/>
    <s v="transfer"/>
    <x v="1"/>
    <x v="1"/>
    <x v="0"/>
    <b v="0"/>
    <x v="1"/>
    <x v="0"/>
    <b v="0"/>
  </r>
  <r>
    <n v="1763232"/>
    <s v="123-006-111-006"/>
    <x v="29"/>
    <x v="2"/>
    <d v="2022-07-18T00:00:00"/>
    <s v="Mason Lopez"/>
    <d v="2022-07-29T00:00:00"/>
    <d v="2022-09-21T00:00:00"/>
    <s v="transfer"/>
    <x v="1"/>
    <x v="1"/>
    <x v="0"/>
    <b v="0"/>
    <x v="1"/>
    <x v="0"/>
    <b v="0"/>
  </r>
  <r>
    <n v="1763232"/>
    <s v="123-006-111-007"/>
    <x v="29"/>
    <x v="2"/>
    <d v="2022-02-06T00:00:00"/>
    <s v="Ava Walker"/>
    <d v="2022-02-27T00:00:00"/>
    <d v="2022-03-08T00:00:00"/>
    <m/>
    <x v="1"/>
    <x v="1"/>
    <x v="0"/>
    <b v="0"/>
    <x v="0"/>
    <x v="0"/>
    <b v="0"/>
  </r>
  <r>
    <n v="9078154"/>
    <s v="123-008-105-003"/>
    <x v="7"/>
    <x v="5"/>
    <d v="2023-02-28T00:00:00"/>
    <s v="Sophia Evans"/>
    <d v="2023-03-30T00:00:00"/>
    <d v="2023-05-17T00:00:00"/>
    <m/>
    <x v="1"/>
    <x v="1"/>
    <x v="0"/>
    <b v="0"/>
    <x v="0"/>
    <x v="0"/>
    <b v="0"/>
  </r>
  <r>
    <n v="9078154"/>
    <s v="123-008-105-004"/>
    <x v="7"/>
    <x v="5"/>
    <d v="2022-11-20T00:00:00"/>
    <s v="Kimberly Martin"/>
    <d v="2022-12-08T00:00:00"/>
    <m/>
    <s v="declined"/>
    <x v="0"/>
    <x v="0"/>
    <x v="0"/>
    <b v="0"/>
    <x v="0"/>
    <x v="0"/>
    <b v="0"/>
  </r>
  <r>
    <n v="9078154"/>
    <s v="123-008-105-005"/>
    <x v="7"/>
    <x v="5"/>
    <d v="2022-12-06T00:00:00"/>
    <s v="Andrew Baker"/>
    <d v="2023-01-01T00:00:00"/>
    <d v="2023-03-01T00:00:00"/>
    <s v="promo"/>
    <x v="1"/>
    <x v="1"/>
    <x v="0"/>
    <b v="0"/>
    <x v="0"/>
    <x v="1"/>
    <b v="0"/>
  </r>
  <r>
    <n v="9078154"/>
    <s v="123-008-105-006"/>
    <x v="7"/>
    <x v="5"/>
    <d v="2022-10-15T00:00:00"/>
    <s v="John Martinez"/>
    <d v="2022-11-11T00:00:00"/>
    <d v="2022-11-13T00:00:00"/>
    <s v="new to org"/>
    <x v="1"/>
    <x v="1"/>
    <x v="0"/>
    <b v="0"/>
    <x v="0"/>
    <x v="0"/>
    <b v="1"/>
  </r>
  <r>
    <n v="9078154"/>
    <s v="123-008-105-007"/>
    <x v="7"/>
    <x v="5"/>
    <d v="2022-06-19T00:00:00"/>
    <s v="Kenneth Wright"/>
    <d v="2022-07-08T00:00:00"/>
    <d v="2022-08-16T00:00:00"/>
    <m/>
    <x v="1"/>
    <x v="1"/>
    <x v="0"/>
    <b v="0"/>
    <x v="0"/>
    <x v="0"/>
    <b v="0"/>
  </r>
  <r>
    <n v="7535837"/>
    <s v="123-010-106-005"/>
    <x v="4"/>
    <x v="6"/>
    <d v="2022-11-19T00:00:00"/>
    <s v="Dorothy Diaz"/>
    <d v="2022-12-12T00:00:00"/>
    <d v="2022-12-15T00:00:00"/>
    <s v="new to org"/>
    <x v="1"/>
    <x v="1"/>
    <x v="0"/>
    <b v="0"/>
    <x v="0"/>
    <x v="0"/>
    <b v="1"/>
  </r>
  <r>
    <n v="5554970"/>
    <s v="123-002-114-002"/>
    <x v="24"/>
    <x v="7"/>
    <d v="2022-11-06T00:00:00"/>
    <s v="Mark Turner"/>
    <d v="2022-11-13T00:00:00"/>
    <d v="2022-12-17T00:00:00"/>
    <s v="new to org"/>
    <x v="1"/>
    <x v="1"/>
    <x v="0"/>
    <b v="0"/>
    <x v="0"/>
    <x v="0"/>
    <b v="1"/>
  </r>
  <r>
    <n v="5554970"/>
    <s v="123-002-114-003"/>
    <x v="24"/>
    <x v="7"/>
    <d v="2022-02-08T00:00:00"/>
    <s v="Lisa Gomez"/>
    <d v="2022-03-05T00:00:00"/>
    <d v="2022-03-18T00:00:00"/>
    <s v="transfer"/>
    <x v="1"/>
    <x v="1"/>
    <x v="0"/>
    <b v="0"/>
    <x v="1"/>
    <x v="0"/>
    <b v="0"/>
  </r>
  <r>
    <n v="5554970"/>
    <s v="123-002-114-004"/>
    <x v="24"/>
    <x v="7"/>
    <d v="2023-05-10T00:00:00"/>
    <s v="Steven Johnson"/>
    <d v="2023-06-08T00:00:00"/>
    <d v="2023-07-11T00:00:00"/>
    <m/>
    <x v="1"/>
    <x v="1"/>
    <x v="0"/>
    <b v="0"/>
    <x v="0"/>
    <x v="0"/>
    <b v="0"/>
  </r>
  <r>
    <n v="5554970"/>
    <s v="123-002-114-005"/>
    <x v="24"/>
    <x v="7"/>
    <d v="2023-06-21T00:00:00"/>
    <s v="Nancy Walker"/>
    <d v="2023-07-01T00:00:00"/>
    <m/>
    <s v="declined"/>
    <x v="0"/>
    <x v="0"/>
    <x v="0"/>
    <b v="0"/>
    <x v="0"/>
    <x v="0"/>
    <b v="0"/>
  </r>
  <r>
    <n v="6491819"/>
    <s v="123-002-105-006"/>
    <x v="7"/>
    <x v="7"/>
    <d v="2022-02-07T00:00:00"/>
    <s v="Susan Campbell"/>
    <d v="2022-02-22T00:00:00"/>
    <d v="2022-03-19T00:00:00"/>
    <s v="promo"/>
    <x v="1"/>
    <x v="1"/>
    <x v="0"/>
    <b v="0"/>
    <x v="0"/>
    <x v="1"/>
    <b v="0"/>
  </r>
  <r>
    <n v="6491819"/>
    <s v="123-002-105-007"/>
    <x v="7"/>
    <x v="7"/>
    <d v="2022-02-15T00:00:00"/>
    <s v="James Martin"/>
    <d v="2022-03-09T00:00:00"/>
    <d v="2022-05-03T00:00:00"/>
    <s v="transfer"/>
    <x v="1"/>
    <x v="1"/>
    <x v="0"/>
    <b v="0"/>
    <x v="1"/>
    <x v="0"/>
    <b v="0"/>
  </r>
  <r>
    <n v="6491819"/>
    <s v="123-002-105-008"/>
    <x v="7"/>
    <x v="7"/>
    <d v="2022-02-17T00:00:00"/>
    <s v="Nancy Robinson"/>
    <d v="2022-02-21T00:00:00"/>
    <d v="2022-03-27T00:00:00"/>
    <s v="transfer"/>
    <x v="1"/>
    <x v="1"/>
    <x v="0"/>
    <b v="0"/>
    <x v="1"/>
    <x v="0"/>
    <b v="0"/>
  </r>
  <r>
    <n v="6491819"/>
    <s v="123-002-105-009"/>
    <x v="7"/>
    <x v="7"/>
    <d v="2022-11-16T00:00:00"/>
    <s v="Mary Torres"/>
    <d v="2022-12-07T00:00:00"/>
    <d v="2023-02-03T00:00:00"/>
    <s v="new to org"/>
    <x v="1"/>
    <x v="1"/>
    <x v="0"/>
    <b v="0"/>
    <x v="0"/>
    <x v="0"/>
    <b v="1"/>
  </r>
  <r>
    <n v="6491819"/>
    <s v="123-002-105-010"/>
    <x v="7"/>
    <x v="7"/>
    <d v="2022-10-21T00:00:00"/>
    <s v="Richard Gonzalez"/>
    <d v="2022-10-30T00:00:00"/>
    <m/>
    <s v="rescinded"/>
    <x v="0"/>
    <x v="1"/>
    <x v="1"/>
    <b v="0"/>
    <x v="0"/>
    <x v="0"/>
    <b v="0"/>
  </r>
  <r>
    <n v="9930106"/>
    <s v="123-008-111-001"/>
    <x v="29"/>
    <x v="5"/>
    <d v="2022-04-28T00:00:00"/>
    <s v="David Moore"/>
    <d v="2022-04-29T00:00:00"/>
    <m/>
    <s v="declined"/>
    <x v="0"/>
    <x v="0"/>
    <x v="0"/>
    <b v="0"/>
    <x v="0"/>
    <x v="0"/>
    <b v="0"/>
  </r>
  <r>
    <n v="9624506"/>
    <s v="123-004-104-011"/>
    <x v="18"/>
    <x v="1"/>
    <d v="2022-05-25T00:00:00"/>
    <s v="Christopher Moore"/>
    <d v="2022-06-17T00:00:00"/>
    <m/>
    <s v="rescinded"/>
    <x v="0"/>
    <x v="1"/>
    <x v="1"/>
    <b v="0"/>
    <x v="0"/>
    <x v="0"/>
    <b v="0"/>
  </r>
  <r>
    <n v="9624506"/>
    <s v="123-004-104-012"/>
    <x v="18"/>
    <x v="1"/>
    <d v="2022-11-15T00:00:00"/>
    <s v="David Jones"/>
    <d v="2022-12-05T00:00:00"/>
    <d v="2023-02-01T00:00:00"/>
    <s v="promo"/>
    <x v="1"/>
    <x v="1"/>
    <x v="0"/>
    <b v="0"/>
    <x v="0"/>
    <x v="1"/>
    <b v="0"/>
  </r>
  <r>
    <n v="9624506"/>
    <s v="123-004-104-013"/>
    <x v="18"/>
    <x v="1"/>
    <d v="2022-01-30T00:00:00"/>
    <s v="Patricia Rodriguez"/>
    <d v="2022-02-15T00:00:00"/>
    <d v="2022-04-14T00:00:00"/>
    <m/>
    <x v="1"/>
    <x v="1"/>
    <x v="0"/>
    <b v="0"/>
    <x v="0"/>
    <x v="0"/>
    <b v="0"/>
  </r>
  <r>
    <n v="9624506"/>
    <s v="123-004-104-014"/>
    <x v="18"/>
    <x v="1"/>
    <d v="2022-03-30T00:00:00"/>
    <s v="Matthew Brown"/>
    <d v="2022-04-13T00:00:00"/>
    <d v="2022-05-09T00:00:00"/>
    <s v="transfer"/>
    <x v="1"/>
    <x v="1"/>
    <x v="0"/>
    <b v="0"/>
    <x v="1"/>
    <x v="0"/>
    <b v="0"/>
  </r>
  <r>
    <n v="9624506"/>
    <s v="123-004-104-015"/>
    <x v="18"/>
    <x v="1"/>
    <d v="2023-04-02T00:00:00"/>
    <s v="Joshua Edwards"/>
    <d v="2023-04-22T00:00:00"/>
    <m/>
    <s v="declined"/>
    <x v="0"/>
    <x v="0"/>
    <x v="0"/>
    <b v="0"/>
    <x v="0"/>
    <x v="0"/>
    <b v="0"/>
  </r>
  <r>
    <n v="6966385"/>
    <s v="123-006-110-006"/>
    <x v="12"/>
    <x v="2"/>
    <d v="2023-04-22T00:00:00"/>
    <s v="Jackson Carter"/>
    <d v="2023-05-11T00:00:00"/>
    <d v="2023-05-20T00:00:00"/>
    <s v="transfer"/>
    <x v="1"/>
    <x v="1"/>
    <x v="0"/>
    <b v="0"/>
    <x v="1"/>
    <x v="0"/>
    <b v="0"/>
  </r>
  <r>
    <n v="6966385"/>
    <s v="123-006-110-007"/>
    <x v="12"/>
    <x v="2"/>
    <d v="2023-04-25T00:00:00"/>
    <s v="Ethan Collins"/>
    <d v="2023-04-29T00:00:00"/>
    <m/>
    <s v="declined"/>
    <x v="0"/>
    <x v="0"/>
    <x v="0"/>
    <b v="0"/>
    <x v="0"/>
    <x v="0"/>
    <b v="0"/>
  </r>
  <r>
    <n v="8643434"/>
    <s v="123-008-110-010"/>
    <x v="12"/>
    <x v="5"/>
    <d v="2022-09-22T00:00:00"/>
    <s v="Joseph Martinez"/>
    <d v="2022-10-22T00:00:00"/>
    <m/>
    <s v="declined"/>
    <x v="0"/>
    <x v="0"/>
    <x v="0"/>
    <b v="0"/>
    <x v="0"/>
    <x v="0"/>
    <b v="0"/>
  </r>
  <r>
    <n v="8643434"/>
    <s v="123-008-110-011"/>
    <x v="12"/>
    <x v="5"/>
    <d v="2022-12-05T00:00:00"/>
    <s v="Barbara Hall"/>
    <d v="2022-12-31T00:00:00"/>
    <m/>
    <s v="rescinded"/>
    <x v="0"/>
    <x v="1"/>
    <x v="1"/>
    <b v="0"/>
    <x v="0"/>
    <x v="0"/>
    <b v="0"/>
  </r>
  <r>
    <n v="8643434"/>
    <s v="123-008-110-012"/>
    <x v="12"/>
    <x v="5"/>
    <d v="2022-01-31T00:00:00"/>
    <s v="Sandra Young"/>
    <d v="2022-02-03T00:00:00"/>
    <d v="2022-03-06T00:00:00"/>
    <s v="new to org"/>
    <x v="1"/>
    <x v="1"/>
    <x v="0"/>
    <b v="0"/>
    <x v="0"/>
    <x v="0"/>
    <b v="1"/>
  </r>
  <r>
    <n v="8643434"/>
    <s v="123-008-110-013"/>
    <x v="12"/>
    <x v="5"/>
    <d v="2022-06-24T00:00:00"/>
    <s v="Donald Robinson"/>
    <d v="2022-07-04T00:00:00"/>
    <m/>
    <s v="declined"/>
    <x v="0"/>
    <x v="0"/>
    <x v="0"/>
    <b v="0"/>
    <x v="0"/>
    <x v="0"/>
    <b v="0"/>
  </r>
  <r>
    <n v="6848796"/>
    <s v="123-010-120-006"/>
    <x v="13"/>
    <x v="6"/>
    <d v="2022-04-20T00:00:00"/>
    <s v="Isabella Rivera"/>
    <d v="2022-05-01T00:00:00"/>
    <d v="2022-06-06T00:00:00"/>
    <m/>
    <x v="1"/>
    <x v="1"/>
    <x v="0"/>
    <b v="0"/>
    <x v="0"/>
    <x v="0"/>
    <b v="0"/>
  </r>
  <r>
    <n v="6848796"/>
    <s v="123-010-120-007"/>
    <x v="13"/>
    <x v="6"/>
    <d v="2023-02-15T00:00:00"/>
    <s v="Paul Robinson"/>
    <d v="2023-03-06T00:00:00"/>
    <d v="2023-04-02T00:00:00"/>
    <s v="new to org"/>
    <x v="1"/>
    <x v="1"/>
    <x v="0"/>
    <b v="0"/>
    <x v="0"/>
    <x v="0"/>
    <b v="1"/>
  </r>
  <r>
    <n v="5002629"/>
    <s v="123-004-120-003"/>
    <x v="13"/>
    <x v="1"/>
    <d v="2022-03-09T00:00:00"/>
    <s v="Donald Harris"/>
    <d v="2022-03-20T00:00:00"/>
    <m/>
    <s v="declined"/>
    <x v="0"/>
    <x v="0"/>
    <x v="0"/>
    <b v="0"/>
    <x v="0"/>
    <x v="0"/>
    <b v="0"/>
  </r>
  <r>
    <n v="5002629"/>
    <s v="123-004-120-004"/>
    <x v="13"/>
    <x v="1"/>
    <d v="2023-03-18T00:00:00"/>
    <s v="Brian Nguyen"/>
    <d v="2023-04-13T00:00:00"/>
    <m/>
    <s v="declined"/>
    <x v="0"/>
    <x v="0"/>
    <x v="0"/>
    <b v="0"/>
    <x v="0"/>
    <x v="0"/>
    <b v="0"/>
  </r>
  <r>
    <n v="5002629"/>
    <s v="123-004-120-005"/>
    <x v="13"/>
    <x v="1"/>
    <d v="2022-08-30T00:00:00"/>
    <s v="Paul Hall"/>
    <d v="2022-09-05T00:00:00"/>
    <d v="2022-10-18T00:00:00"/>
    <s v="new to org"/>
    <x v="1"/>
    <x v="1"/>
    <x v="0"/>
    <b v="0"/>
    <x v="0"/>
    <x v="0"/>
    <b v="1"/>
  </r>
  <r>
    <n v="5002629"/>
    <s v="123-004-120-006"/>
    <x v="13"/>
    <x v="1"/>
    <d v="2023-04-20T00:00:00"/>
    <s v="Linda Nguyen"/>
    <d v="2023-05-01T00:00:00"/>
    <d v="2023-06-06T00:00:00"/>
    <m/>
    <x v="1"/>
    <x v="1"/>
    <x v="0"/>
    <b v="0"/>
    <x v="0"/>
    <x v="0"/>
    <b v="0"/>
  </r>
  <r>
    <n v="5002629"/>
    <s v="123-004-120-007"/>
    <x v="13"/>
    <x v="1"/>
    <d v="2022-11-12T00:00:00"/>
    <s v="Mark Lopez"/>
    <d v="2022-11-25T00:00:00"/>
    <m/>
    <s v="declined"/>
    <x v="0"/>
    <x v="0"/>
    <x v="0"/>
    <b v="0"/>
    <x v="0"/>
    <x v="0"/>
    <b v="0"/>
  </r>
  <r>
    <n v="2167822"/>
    <s v="123-002-120-005"/>
    <x v="13"/>
    <x v="7"/>
    <d v="2022-03-04T00:00:00"/>
    <s v="Christopher Young"/>
    <d v="2022-03-07T00:00:00"/>
    <d v="2022-03-21T00:00:00"/>
    <m/>
    <x v="1"/>
    <x v="1"/>
    <x v="0"/>
    <b v="0"/>
    <x v="0"/>
    <x v="0"/>
    <b v="0"/>
  </r>
  <r>
    <n v="2167822"/>
    <s v="123-002-120-006"/>
    <x v="13"/>
    <x v="7"/>
    <d v="2022-06-02T00:00:00"/>
    <s v="Edward Martinez"/>
    <d v="2022-06-17T00:00:00"/>
    <d v="2022-07-22T00:00:00"/>
    <s v="transfer"/>
    <x v="1"/>
    <x v="1"/>
    <x v="0"/>
    <b v="0"/>
    <x v="1"/>
    <x v="0"/>
    <b v="0"/>
  </r>
  <r>
    <n v="2167822"/>
    <s v="123-002-120-007"/>
    <x v="13"/>
    <x v="7"/>
    <d v="2023-04-03T00:00:00"/>
    <s v="Michelle Torres"/>
    <d v="2023-04-10T00:00:00"/>
    <m/>
    <s v="rescinded"/>
    <x v="0"/>
    <x v="1"/>
    <x v="1"/>
    <b v="0"/>
    <x v="0"/>
    <x v="0"/>
    <b v="0"/>
  </r>
  <r>
    <n v="2167822"/>
    <s v="123-002-120-008"/>
    <x v="13"/>
    <x v="7"/>
    <d v="2022-11-03T00:00:00"/>
    <s v="Olivia Lee"/>
    <d v="2022-11-22T00:00:00"/>
    <m/>
    <s v="rescinded"/>
    <x v="0"/>
    <x v="1"/>
    <x v="1"/>
    <b v="0"/>
    <x v="0"/>
    <x v="0"/>
    <b v="0"/>
  </r>
  <r>
    <n v="2167822"/>
    <s v="123-002-120-009"/>
    <x v="13"/>
    <x v="7"/>
    <d v="2022-12-19T00:00:00"/>
    <s v="Ava Ramirez"/>
    <d v="2022-12-22T00:00:00"/>
    <d v="2023-01-29T00:00:00"/>
    <s v="new to org"/>
    <x v="1"/>
    <x v="1"/>
    <x v="0"/>
    <b v="0"/>
    <x v="0"/>
    <x v="0"/>
    <b v="1"/>
  </r>
  <r>
    <n v="1136218"/>
    <s v="123-009-120-001"/>
    <x v="13"/>
    <x v="8"/>
    <d v="2022-02-24T00:00:00"/>
    <s v="Patricia White"/>
    <d v="2022-02-25T00:00:00"/>
    <d v="2022-04-12T00:00:00"/>
    <s v="new to org"/>
    <x v="1"/>
    <x v="1"/>
    <x v="0"/>
    <b v="0"/>
    <x v="0"/>
    <x v="0"/>
    <b v="1"/>
  </r>
  <r>
    <n v="1136218"/>
    <s v="123-009-120-002"/>
    <x v="13"/>
    <x v="8"/>
    <d v="2022-10-16T00:00:00"/>
    <s v="Linda Parker"/>
    <d v="2022-11-13T00:00:00"/>
    <d v="2022-11-15T00:00:00"/>
    <s v="new to org"/>
    <x v="1"/>
    <x v="1"/>
    <x v="0"/>
    <b v="0"/>
    <x v="0"/>
    <x v="0"/>
    <b v="1"/>
  </r>
  <r>
    <n v="1136218"/>
    <s v="123-009-120-003"/>
    <x v="13"/>
    <x v="8"/>
    <d v="2023-02-08T00:00:00"/>
    <s v="Brian Nguyen"/>
    <d v="2023-03-01T00:00:00"/>
    <m/>
    <s v="rescinded"/>
    <x v="0"/>
    <x v="1"/>
    <x v="1"/>
    <b v="0"/>
    <x v="0"/>
    <x v="0"/>
    <b v="0"/>
  </r>
  <r>
    <n v="1136218"/>
    <s v="123-009-120-004"/>
    <x v="13"/>
    <x v="8"/>
    <d v="2023-03-22T00:00:00"/>
    <s v="Betty Harris"/>
    <d v="2023-04-09T00:00:00"/>
    <d v="2023-04-23T00:00:00"/>
    <m/>
    <x v="1"/>
    <x v="1"/>
    <x v="0"/>
    <b v="0"/>
    <x v="0"/>
    <x v="0"/>
    <b v="0"/>
  </r>
  <r>
    <n v="3909338"/>
    <s v="123-003-116-001"/>
    <x v="25"/>
    <x v="9"/>
    <d v="2022-06-07T00:00:00"/>
    <s v="Mason Clark"/>
    <d v="2022-06-17T00:00:00"/>
    <d v="2022-08-12T00:00:00"/>
    <s v="new to org"/>
    <x v="1"/>
    <x v="1"/>
    <x v="0"/>
    <b v="0"/>
    <x v="0"/>
    <x v="0"/>
    <b v="1"/>
  </r>
  <r>
    <n v="3909338"/>
    <s v="123-003-116-002"/>
    <x v="25"/>
    <x v="9"/>
    <d v="2022-01-17T00:00:00"/>
    <s v="James Jones"/>
    <d v="2022-01-22T00:00:00"/>
    <d v="2022-03-10T00:00:00"/>
    <s v="promo"/>
    <x v="1"/>
    <x v="1"/>
    <x v="0"/>
    <b v="0"/>
    <x v="0"/>
    <x v="1"/>
    <b v="0"/>
  </r>
  <r>
    <n v="9165493"/>
    <s v="123-007-122-001"/>
    <x v="17"/>
    <x v="4"/>
    <d v="2023-03-11T00:00:00"/>
    <s v="Sandra Allen"/>
    <d v="2023-03-29T00:00:00"/>
    <m/>
    <s v="declined"/>
    <x v="0"/>
    <x v="0"/>
    <x v="0"/>
    <b v="0"/>
    <x v="0"/>
    <x v="0"/>
    <b v="0"/>
  </r>
  <r>
    <n v="9165493"/>
    <s v="123-007-122-002"/>
    <x v="17"/>
    <x v="4"/>
    <d v="2023-03-12T00:00:00"/>
    <s v="Logan Robinson"/>
    <d v="2023-04-01T00:00:00"/>
    <d v="2023-04-13T00:00:00"/>
    <m/>
    <x v="1"/>
    <x v="1"/>
    <x v="0"/>
    <b v="0"/>
    <x v="0"/>
    <x v="0"/>
    <b v="0"/>
  </r>
  <r>
    <n v="8550515"/>
    <s v="123-006-113-001"/>
    <x v="6"/>
    <x v="2"/>
    <d v="2023-05-26T00:00:00"/>
    <s v="Joshua Smith"/>
    <d v="2023-06-23T00:00:00"/>
    <m/>
    <s v="declined"/>
    <x v="0"/>
    <x v="0"/>
    <x v="0"/>
    <b v="0"/>
    <x v="0"/>
    <x v="0"/>
    <b v="0"/>
  </r>
  <r>
    <n v="8550515"/>
    <s v="123-006-113-002"/>
    <x v="6"/>
    <x v="2"/>
    <d v="2023-01-11T00:00:00"/>
    <s v="Anthony Wright"/>
    <d v="2023-01-13T00:00:00"/>
    <d v="2023-01-16T00:00:00"/>
    <s v="new to org"/>
    <x v="1"/>
    <x v="1"/>
    <x v="0"/>
    <b v="0"/>
    <x v="0"/>
    <x v="0"/>
    <b v="1"/>
  </r>
  <r>
    <n v="9107893"/>
    <s v="123-006-123-004"/>
    <x v="19"/>
    <x v="2"/>
    <d v="2023-06-24T00:00:00"/>
    <s v="Elizabeth Campbell"/>
    <d v="2023-07-22T00:00:00"/>
    <d v="2023-09-09T00:00:00"/>
    <s v="transfer"/>
    <x v="1"/>
    <x v="1"/>
    <x v="0"/>
    <b v="0"/>
    <x v="1"/>
    <x v="0"/>
    <b v="0"/>
  </r>
  <r>
    <n v="5687895"/>
    <s v="123-009-115-003"/>
    <x v="22"/>
    <x v="8"/>
    <d v="2022-03-21T00:00:00"/>
    <s v="Jessica Walker"/>
    <d v="2022-04-12T00:00:00"/>
    <d v="2022-05-23T00:00:00"/>
    <s v="transfer"/>
    <x v="1"/>
    <x v="1"/>
    <x v="0"/>
    <b v="0"/>
    <x v="1"/>
    <x v="0"/>
    <b v="0"/>
  </r>
  <r>
    <n v="6242875"/>
    <s v="123-001-120-005"/>
    <x v="13"/>
    <x v="3"/>
    <d v="2023-06-09T00:00:00"/>
    <s v="Donald Robinson"/>
    <d v="2023-07-08T00:00:00"/>
    <d v="2023-08-08T00:00:00"/>
    <s v="transfer"/>
    <x v="1"/>
    <x v="1"/>
    <x v="0"/>
    <b v="0"/>
    <x v="1"/>
    <x v="0"/>
    <b v="0"/>
  </r>
  <r>
    <n v="6242875"/>
    <s v="123-001-120-006"/>
    <x v="13"/>
    <x v="3"/>
    <d v="2022-10-29T00:00:00"/>
    <s v="Anthony Thompson"/>
    <d v="2022-11-08T00:00:00"/>
    <d v="2022-11-19T00:00:00"/>
    <s v="new to org"/>
    <x v="1"/>
    <x v="1"/>
    <x v="0"/>
    <b v="0"/>
    <x v="0"/>
    <x v="0"/>
    <b v="1"/>
  </r>
  <r>
    <n v="6242875"/>
    <s v="123-001-120-007"/>
    <x v="13"/>
    <x v="3"/>
    <d v="2022-11-08T00:00:00"/>
    <s v="Jackson Hill"/>
    <d v="2022-12-02T00:00:00"/>
    <m/>
    <s v="declined"/>
    <x v="0"/>
    <x v="0"/>
    <x v="0"/>
    <b v="0"/>
    <x v="0"/>
    <x v="0"/>
    <b v="0"/>
  </r>
  <r>
    <n v="5369510"/>
    <s v="123-008-102-001"/>
    <x v="27"/>
    <x v="5"/>
    <d v="2022-10-26T00:00:00"/>
    <s v="Patricia Nelson"/>
    <d v="2022-11-21T00:00:00"/>
    <m/>
    <s v="declined"/>
    <x v="0"/>
    <x v="0"/>
    <x v="0"/>
    <b v="0"/>
    <x v="0"/>
    <x v="0"/>
    <b v="0"/>
  </r>
  <r>
    <n v="5369510"/>
    <s v="123-008-102-002"/>
    <x v="27"/>
    <x v="5"/>
    <d v="2022-03-26T00:00:00"/>
    <s v="Charles Young"/>
    <d v="2022-03-31T00:00:00"/>
    <d v="2022-05-03T00:00:00"/>
    <s v="transfer"/>
    <x v="1"/>
    <x v="1"/>
    <x v="0"/>
    <b v="0"/>
    <x v="1"/>
    <x v="0"/>
    <b v="0"/>
  </r>
  <r>
    <n v="5369510"/>
    <s v="123-008-102-003"/>
    <x v="27"/>
    <x v="5"/>
    <d v="2022-09-16T00:00:00"/>
    <s v="Sophia Moore"/>
    <d v="2022-09-21T00:00:00"/>
    <m/>
    <s v="declined"/>
    <x v="0"/>
    <x v="0"/>
    <x v="0"/>
    <b v="0"/>
    <x v="0"/>
    <x v="0"/>
    <b v="0"/>
  </r>
  <r>
    <n v="5369510"/>
    <s v="123-008-102-004"/>
    <x v="27"/>
    <x v="5"/>
    <d v="2022-01-15T00:00:00"/>
    <s v="Mia Taylor"/>
    <d v="2022-02-08T00:00:00"/>
    <d v="2022-02-16T00:00:00"/>
    <s v="new to org"/>
    <x v="1"/>
    <x v="1"/>
    <x v="0"/>
    <b v="0"/>
    <x v="0"/>
    <x v="0"/>
    <b v="1"/>
  </r>
  <r>
    <n v="5369510"/>
    <s v="123-008-102-005"/>
    <x v="27"/>
    <x v="5"/>
    <d v="2023-01-14T00:00:00"/>
    <s v="Kevin Lewis"/>
    <d v="2023-02-09T00:00:00"/>
    <d v="2023-02-21T00:00:00"/>
    <s v="promo"/>
    <x v="1"/>
    <x v="1"/>
    <x v="0"/>
    <b v="0"/>
    <x v="0"/>
    <x v="1"/>
    <b v="0"/>
  </r>
  <r>
    <n v="5383091"/>
    <s v="123-004-126-009"/>
    <x v="5"/>
    <x v="1"/>
    <d v="2022-02-03T00:00:00"/>
    <s v="Kimberly Parker"/>
    <d v="2022-02-14T00:00:00"/>
    <m/>
    <s v="declined"/>
    <x v="0"/>
    <x v="0"/>
    <x v="0"/>
    <b v="0"/>
    <x v="0"/>
    <x v="0"/>
    <b v="0"/>
  </r>
  <r>
    <n v="5383091"/>
    <s v="123-004-126-010"/>
    <x v="5"/>
    <x v="1"/>
    <d v="2022-06-07T00:00:00"/>
    <s v="Joshua Evans"/>
    <d v="2022-07-04T00:00:00"/>
    <d v="2022-08-05T00:00:00"/>
    <s v="promo"/>
    <x v="1"/>
    <x v="1"/>
    <x v="0"/>
    <b v="0"/>
    <x v="0"/>
    <x v="1"/>
    <b v="0"/>
  </r>
  <r>
    <n v="5383091"/>
    <s v="123-004-126-011"/>
    <x v="5"/>
    <x v="1"/>
    <d v="2022-09-01T00:00:00"/>
    <s v="Deborah Harris"/>
    <d v="2022-09-23T00:00:00"/>
    <d v="2022-10-22T00:00:00"/>
    <m/>
    <x v="1"/>
    <x v="1"/>
    <x v="0"/>
    <b v="0"/>
    <x v="0"/>
    <x v="0"/>
    <b v="0"/>
  </r>
  <r>
    <n v="5383091"/>
    <s v="123-004-126-012"/>
    <x v="5"/>
    <x v="1"/>
    <d v="2022-12-20T00:00:00"/>
    <s v="Susan Torres"/>
    <d v="2022-12-22T00:00:00"/>
    <d v="2023-02-02T00:00:00"/>
    <s v="promo"/>
    <x v="1"/>
    <x v="1"/>
    <x v="0"/>
    <b v="0"/>
    <x v="0"/>
    <x v="1"/>
    <b v="0"/>
  </r>
  <r>
    <n v="5435820"/>
    <s v="123-002-125-006"/>
    <x v="3"/>
    <x v="7"/>
    <d v="2022-11-05T00:00:00"/>
    <s v="Betty Walker"/>
    <d v="2022-11-21T00:00:00"/>
    <m/>
    <s v="declined"/>
    <x v="0"/>
    <x v="0"/>
    <x v="0"/>
    <b v="0"/>
    <x v="0"/>
    <x v="0"/>
    <b v="0"/>
  </r>
  <r>
    <n v="9934217"/>
    <s v="123-007-108-008"/>
    <x v="11"/>
    <x v="4"/>
    <d v="2023-03-22T00:00:00"/>
    <s v="Kimberly Parker"/>
    <d v="2023-03-23T00:00:00"/>
    <d v="2023-04-11T00:00:00"/>
    <s v="promo"/>
    <x v="1"/>
    <x v="1"/>
    <x v="0"/>
    <b v="0"/>
    <x v="0"/>
    <x v="1"/>
    <b v="0"/>
  </r>
  <r>
    <n v="9934217"/>
    <s v="123-007-108-009"/>
    <x v="11"/>
    <x v="4"/>
    <d v="2022-11-20T00:00:00"/>
    <s v="Matthew Baker"/>
    <d v="2022-12-07T00:00:00"/>
    <d v="2023-01-20T00:00:00"/>
    <m/>
    <x v="1"/>
    <x v="1"/>
    <x v="0"/>
    <b v="0"/>
    <x v="0"/>
    <x v="0"/>
    <b v="0"/>
  </r>
  <r>
    <n v="9934217"/>
    <s v="123-007-108-010"/>
    <x v="11"/>
    <x v="4"/>
    <d v="2022-12-29T00:00:00"/>
    <s v="Ava Wright"/>
    <d v="2023-01-26T00:00:00"/>
    <d v="2023-02-23T00:00:00"/>
    <s v="transfer"/>
    <x v="1"/>
    <x v="1"/>
    <x v="0"/>
    <b v="0"/>
    <x v="1"/>
    <x v="0"/>
    <b v="0"/>
  </r>
  <r>
    <n v="9934217"/>
    <s v="123-007-108-011"/>
    <x v="11"/>
    <x v="4"/>
    <d v="2022-10-01T00:00:00"/>
    <s v="Nancy Moore"/>
    <d v="2022-10-27T00:00:00"/>
    <d v="2022-11-03T00:00:00"/>
    <s v="new to org"/>
    <x v="1"/>
    <x v="1"/>
    <x v="0"/>
    <b v="0"/>
    <x v="0"/>
    <x v="0"/>
    <b v="1"/>
  </r>
  <r>
    <n v="5283960"/>
    <s v="123-010-121-007"/>
    <x v="20"/>
    <x v="6"/>
    <d v="2022-07-19T00:00:00"/>
    <s v="George Baker"/>
    <d v="2022-08-05T00:00:00"/>
    <d v="2022-08-27T00:00:00"/>
    <s v="promo"/>
    <x v="1"/>
    <x v="1"/>
    <x v="0"/>
    <b v="0"/>
    <x v="0"/>
    <x v="1"/>
    <b v="0"/>
  </r>
  <r>
    <n v="5283960"/>
    <s v="123-010-121-008"/>
    <x v="20"/>
    <x v="6"/>
    <d v="2022-01-11T00:00:00"/>
    <s v="Christopher Scott"/>
    <d v="2022-02-02T00:00:00"/>
    <d v="2022-02-03T00:00:00"/>
    <s v="promo"/>
    <x v="1"/>
    <x v="1"/>
    <x v="0"/>
    <b v="0"/>
    <x v="0"/>
    <x v="1"/>
    <b v="0"/>
  </r>
  <r>
    <n v="5283960"/>
    <s v="123-010-121-009"/>
    <x v="20"/>
    <x v="6"/>
    <d v="2023-06-22T00:00:00"/>
    <s v="Anthony Miller"/>
    <d v="2023-06-26T00:00:00"/>
    <d v="2023-08-09T00:00:00"/>
    <s v="transfer"/>
    <x v="1"/>
    <x v="1"/>
    <x v="0"/>
    <b v="0"/>
    <x v="1"/>
    <x v="0"/>
    <b v="0"/>
  </r>
  <r>
    <n v="5283960"/>
    <s v="123-010-121-010"/>
    <x v="20"/>
    <x v="6"/>
    <d v="2022-09-15T00:00:00"/>
    <s v="George Jackson"/>
    <d v="2022-09-22T00:00:00"/>
    <d v="2022-09-25T00:00:00"/>
    <s v="promo"/>
    <x v="1"/>
    <x v="1"/>
    <x v="0"/>
    <b v="0"/>
    <x v="0"/>
    <x v="1"/>
    <b v="0"/>
  </r>
  <r>
    <n v="1397627"/>
    <s v="123-002-120-010"/>
    <x v="13"/>
    <x v="7"/>
    <d v="2022-05-05T00:00:00"/>
    <s v="Charlotte Hill"/>
    <d v="2022-05-28T00:00:00"/>
    <d v="2022-06-05T00:00:00"/>
    <s v="promo"/>
    <x v="1"/>
    <x v="1"/>
    <x v="0"/>
    <b v="0"/>
    <x v="0"/>
    <x v="1"/>
    <b v="0"/>
  </r>
  <r>
    <n v="2449322"/>
    <s v="123-010-128-005"/>
    <x v="10"/>
    <x v="6"/>
    <d v="2022-07-09T00:00:00"/>
    <s v="Edward Edwards"/>
    <d v="2022-08-07T00:00:00"/>
    <m/>
    <s v="rescinded"/>
    <x v="0"/>
    <x v="1"/>
    <x v="1"/>
    <b v="0"/>
    <x v="0"/>
    <x v="0"/>
    <b v="0"/>
  </r>
  <r>
    <n v="2449322"/>
    <s v="123-010-128-006"/>
    <x v="10"/>
    <x v="6"/>
    <d v="2022-10-29T00:00:00"/>
    <s v="Barbara Taylor"/>
    <d v="2022-11-13T00:00:00"/>
    <m/>
    <s v="declined"/>
    <x v="0"/>
    <x v="0"/>
    <x v="0"/>
    <b v="0"/>
    <x v="0"/>
    <x v="0"/>
    <b v="0"/>
  </r>
  <r>
    <n v="2270273"/>
    <s v="123-008-121-006"/>
    <x v="20"/>
    <x v="5"/>
    <d v="2022-03-17T00:00:00"/>
    <s v="Thomas Hernandez"/>
    <d v="2022-03-26T00:00:00"/>
    <d v="2022-05-15T00:00:00"/>
    <s v="new to org"/>
    <x v="1"/>
    <x v="1"/>
    <x v="0"/>
    <b v="0"/>
    <x v="0"/>
    <x v="0"/>
    <b v="1"/>
  </r>
  <r>
    <n v="2270273"/>
    <s v="123-008-121-007"/>
    <x v="20"/>
    <x v="5"/>
    <d v="2022-03-03T00:00:00"/>
    <s v="Matthew Perez"/>
    <d v="2022-03-12T00:00:00"/>
    <m/>
    <s v="declined"/>
    <x v="0"/>
    <x v="0"/>
    <x v="0"/>
    <b v="0"/>
    <x v="0"/>
    <x v="0"/>
    <b v="0"/>
  </r>
  <r>
    <n v="2270273"/>
    <s v="123-008-121-008"/>
    <x v="20"/>
    <x v="5"/>
    <d v="2022-03-13T00:00:00"/>
    <s v="Barbara Lewis"/>
    <d v="2022-03-29T00:00:00"/>
    <d v="2022-05-28T00:00:00"/>
    <s v="new to org"/>
    <x v="1"/>
    <x v="1"/>
    <x v="0"/>
    <b v="0"/>
    <x v="0"/>
    <x v="0"/>
    <b v="1"/>
  </r>
  <r>
    <n v="4366669"/>
    <s v="123-007-120-001"/>
    <x v="13"/>
    <x v="4"/>
    <d v="2023-03-18T00:00:00"/>
    <s v="Elizabeth Wright"/>
    <d v="2023-03-25T00:00:00"/>
    <d v="2023-05-04T00:00:00"/>
    <s v="transfer"/>
    <x v="1"/>
    <x v="1"/>
    <x v="0"/>
    <b v="0"/>
    <x v="1"/>
    <x v="0"/>
    <b v="0"/>
  </r>
  <r>
    <n v="4366669"/>
    <s v="123-007-120-002"/>
    <x v="13"/>
    <x v="4"/>
    <d v="2022-04-16T00:00:00"/>
    <s v="Dorothy Taylor"/>
    <d v="2022-04-18T00:00:00"/>
    <d v="2022-04-23T00:00:00"/>
    <m/>
    <x v="1"/>
    <x v="1"/>
    <x v="0"/>
    <b v="0"/>
    <x v="0"/>
    <x v="0"/>
    <b v="0"/>
  </r>
  <r>
    <n v="2181322"/>
    <s v="123-005-119-005"/>
    <x v="2"/>
    <x v="0"/>
    <d v="2023-05-09T00:00:00"/>
    <s v="James Harris"/>
    <d v="2023-05-13T00:00:00"/>
    <m/>
    <s v="declined"/>
    <x v="0"/>
    <x v="0"/>
    <x v="0"/>
    <b v="0"/>
    <x v="0"/>
    <x v="0"/>
    <b v="0"/>
  </r>
  <r>
    <n v="2181322"/>
    <s v="123-005-119-006"/>
    <x v="2"/>
    <x v="0"/>
    <d v="2023-02-04T00:00:00"/>
    <s v="Jackson Williams"/>
    <d v="2023-02-13T00:00:00"/>
    <d v="2023-02-23T00:00:00"/>
    <s v="transfer"/>
    <x v="1"/>
    <x v="1"/>
    <x v="0"/>
    <b v="0"/>
    <x v="1"/>
    <x v="0"/>
    <b v="0"/>
  </r>
  <r>
    <n v="2181322"/>
    <s v="123-005-119-007"/>
    <x v="2"/>
    <x v="0"/>
    <d v="2023-06-12T00:00:00"/>
    <s v="Andrew Smith"/>
    <d v="2023-07-05T00:00:00"/>
    <d v="2023-08-24T00:00:00"/>
    <m/>
    <x v="1"/>
    <x v="1"/>
    <x v="0"/>
    <b v="0"/>
    <x v="0"/>
    <x v="0"/>
    <b v="0"/>
  </r>
  <r>
    <n v="2181322"/>
    <s v="123-005-119-008"/>
    <x v="2"/>
    <x v="0"/>
    <d v="2022-03-13T00:00:00"/>
    <s v="Betty Diaz"/>
    <d v="2022-03-31T00:00:00"/>
    <d v="2022-04-15T00:00:00"/>
    <m/>
    <x v="1"/>
    <x v="1"/>
    <x v="0"/>
    <b v="0"/>
    <x v="0"/>
    <x v="0"/>
    <b v="0"/>
  </r>
  <r>
    <n v="9980912"/>
    <s v="123-006-130-001"/>
    <x v="23"/>
    <x v="2"/>
    <d v="2022-04-03T00:00:00"/>
    <s v="Patricia Green"/>
    <d v="2022-04-15T00:00:00"/>
    <d v="2022-05-20T00:00:00"/>
    <m/>
    <x v="1"/>
    <x v="1"/>
    <x v="0"/>
    <b v="0"/>
    <x v="0"/>
    <x v="0"/>
    <b v="0"/>
  </r>
  <r>
    <n v="9980912"/>
    <s v="123-006-130-002"/>
    <x v="23"/>
    <x v="2"/>
    <d v="2023-04-16T00:00:00"/>
    <s v="Jennifer Turner"/>
    <d v="2023-05-11T00:00:00"/>
    <d v="2023-06-30T00:00:00"/>
    <s v="new to org"/>
    <x v="1"/>
    <x v="1"/>
    <x v="0"/>
    <b v="0"/>
    <x v="0"/>
    <x v="0"/>
    <b v="1"/>
  </r>
  <r>
    <n v="9980912"/>
    <s v="123-006-130-003"/>
    <x v="23"/>
    <x v="2"/>
    <d v="2022-02-10T00:00:00"/>
    <s v="Richard Lopez"/>
    <d v="2022-02-23T00:00:00"/>
    <m/>
    <s v="rescinded"/>
    <x v="0"/>
    <x v="1"/>
    <x v="1"/>
    <b v="0"/>
    <x v="0"/>
    <x v="0"/>
    <b v="0"/>
  </r>
  <r>
    <n v="4204501"/>
    <s v="123-007-110-006"/>
    <x v="12"/>
    <x v="4"/>
    <d v="2023-03-25T00:00:00"/>
    <s v="Ashley Garcia"/>
    <d v="2023-04-18T00:00:00"/>
    <d v="2023-05-01T00:00:00"/>
    <s v="new to org"/>
    <x v="1"/>
    <x v="1"/>
    <x v="0"/>
    <b v="0"/>
    <x v="0"/>
    <x v="0"/>
    <b v="1"/>
  </r>
  <r>
    <n v="3347853"/>
    <s v="123-004-102-001"/>
    <x v="27"/>
    <x v="1"/>
    <d v="2022-03-06T00:00:00"/>
    <s v="Ashley Harris"/>
    <d v="2022-04-01T00:00:00"/>
    <d v="2022-05-06T00:00:00"/>
    <s v="promo"/>
    <x v="1"/>
    <x v="1"/>
    <x v="0"/>
    <b v="0"/>
    <x v="0"/>
    <x v="1"/>
    <b v="0"/>
  </r>
  <r>
    <n v="6162867"/>
    <s v="123-009-116-005"/>
    <x v="25"/>
    <x v="8"/>
    <d v="2022-02-27T00:00:00"/>
    <s v="Robert Perez"/>
    <d v="2022-03-10T00:00:00"/>
    <d v="2022-04-30T00:00:00"/>
    <s v="transfer"/>
    <x v="1"/>
    <x v="1"/>
    <x v="0"/>
    <b v="0"/>
    <x v="1"/>
    <x v="0"/>
    <b v="0"/>
  </r>
  <r>
    <n v="6162867"/>
    <s v="123-009-116-006"/>
    <x v="25"/>
    <x v="8"/>
    <d v="2023-06-20T00:00:00"/>
    <s v="Linda Wilson"/>
    <d v="2023-07-05T00:00:00"/>
    <d v="2023-08-18T00:00:00"/>
    <m/>
    <x v="1"/>
    <x v="1"/>
    <x v="0"/>
    <b v="0"/>
    <x v="0"/>
    <x v="0"/>
    <b v="0"/>
  </r>
  <r>
    <n v="6162867"/>
    <s v="123-009-116-007"/>
    <x v="25"/>
    <x v="8"/>
    <d v="2022-08-27T00:00:00"/>
    <s v="Melissa Nguyen"/>
    <d v="2022-09-26T00:00:00"/>
    <d v="2022-10-01T00:00:00"/>
    <s v="promo"/>
    <x v="1"/>
    <x v="1"/>
    <x v="0"/>
    <b v="0"/>
    <x v="0"/>
    <x v="1"/>
    <b v="0"/>
  </r>
  <r>
    <n v="6162867"/>
    <s v="123-009-116-008"/>
    <x v="25"/>
    <x v="8"/>
    <d v="2022-01-20T00:00:00"/>
    <s v="Elizabeth Young"/>
    <d v="2022-02-05T00:00:00"/>
    <m/>
    <s v="declined"/>
    <x v="0"/>
    <x v="0"/>
    <x v="0"/>
    <b v="0"/>
    <x v="0"/>
    <x v="0"/>
    <b v="0"/>
  </r>
  <r>
    <n v="1768424"/>
    <s v="123-003-108-006"/>
    <x v="11"/>
    <x v="9"/>
    <d v="2022-11-11T00:00:00"/>
    <s v="Patricia Edwards"/>
    <d v="2022-12-08T00:00:00"/>
    <m/>
    <s v="declined"/>
    <x v="0"/>
    <x v="0"/>
    <x v="0"/>
    <b v="0"/>
    <x v="0"/>
    <x v="0"/>
    <b v="0"/>
  </r>
  <r>
    <n v="2632292"/>
    <s v="123-010-115-015"/>
    <x v="22"/>
    <x v="6"/>
    <d v="2022-04-19T00:00:00"/>
    <s v="Isabella Evans"/>
    <d v="2022-04-23T00:00:00"/>
    <d v="2022-05-25T00:00:00"/>
    <s v="transfer"/>
    <x v="1"/>
    <x v="1"/>
    <x v="0"/>
    <b v="0"/>
    <x v="1"/>
    <x v="0"/>
    <b v="0"/>
  </r>
  <r>
    <n v="2632292"/>
    <s v="123-010-115-016"/>
    <x v="22"/>
    <x v="6"/>
    <d v="2022-07-27T00:00:00"/>
    <s v="John Phillips"/>
    <d v="2022-08-10T00:00:00"/>
    <d v="2022-09-01T00:00:00"/>
    <s v="promo"/>
    <x v="1"/>
    <x v="1"/>
    <x v="0"/>
    <b v="0"/>
    <x v="0"/>
    <x v="1"/>
    <b v="0"/>
  </r>
  <r>
    <n v="7744585"/>
    <s v="123-002-111-006"/>
    <x v="29"/>
    <x v="7"/>
    <d v="2022-08-07T00:00:00"/>
    <s v="Mason Gomez"/>
    <d v="2022-09-01T00:00:00"/>
    <d v="2022-09-04T00:00:00"/>
    <s v="new to org"/>
    <x v="1"/>
    <x v="1"/>
    <x v="0"/>
    <b v="0"/>
    <x v="0"/>
    <x v="0"/>
    <b v="1"/>
  </r>
  <r>
    <n v="7744585"/>
    <s v="123-002-111-007"/>
    <x v="29"/>
    <x v="7"/>
    <d v="2022-10-08T00:00:00"/>
    <s v="John Davis"/>
    <d v="2022-10-13T00:00:00"/>
    <d v="2022-12-01T00:00:00"/>
    <s v="new to org"/>
    <x v="1"/>
    <x v="1"/>
    <x v="0"/>
    <b v="0"/>
    <x v="0"/>
    <x v="0"/>
    <b v="1"/>
  </r>
  <r>
    <n v="7744585"/>
    <s v="123-002-111-008"/>
    <x v="29"/>
    <x v="7"/>
    <d v="2023-03-26T00:00:00"/>
    <s v="Emily Hernandez"/>
    <d v="2023-04-03T00:00:00"/>
    <d v="2023-06-02T00:00:00"/>
    <s v="new to org"/>
    <x v="1"/>
    <x v="1"/>
    <x v="0"/>
    <b v="0"/>
    <x v="0"/>
    <x v="0"/>
    <b v="1"/>
  </r>
  <r>
    <n v="7744585"/>
    <s v="123-002-111-009"/>
    <x v="29"/>
    <x v="7"/>
    <d v="2023-01-21T00:00:00"/>
    <s v="Michael Gomez"/>
    <d v="2023-02-15T00:00:00"/>
    <d v="2023-02-26T00:00:00"/>
    <s v="promo"/>
    <x v="1"/>
    <x v="1"/>
    <x v="0"/>
    <b v="0"/>
    <x v="0"/>
    <x v="1"/>
    <b v="0"/>
  </r>
  <r>
    <n v="7744585"/>
    <s v="123-002-111-010"/>
    <x v="29"/>
    <x v="7"/>
    <d v="2022-01-07T00:00:00"/>
    <s v="Ashley Garcia"/>
    <d v="2022-01-08T00:00:00"/>
    <m/>
    <s v="declined"/>
    <x v="0"/>
    <x v="0"/>
    <x v="0"/>
    <b v="0"/>
    <x v="0"/>
    <x v="0"/>
    <b v="0"/>
  </r>
  <r>
    <n v="4010048"/>
    <s v="123-002-130-012"/>
    <x v="23"/>
    <x v="7"/>
    <d v="2023-05-03T00:00:00"/>
    <s v="Brian Phillips"/>
    <d v="2023-05-26T00:00:00"/>
    <d v="2023-06-04T00:00:00"/>
    <m/>
    <x v="1"/>
    <x v="1"/>
    <x v="0"/>
    <b v="0"/>
    <x v="0"/>
    <x v="0"/>
    <b v="0"/>
  </r>
  <r>
    <n v="4010048"/>
    <s v="123-002-130-013"/>
    <x v="23"/>
    <x v="7"/>
    <d v="2023-06-20T00:00:00"/>
    <s v="Kenneth Moore"/>
    <d v="2023-07-05T00:00:00"/>
    <m/>
    <s v="rescinded"/>
    <x v="0"/>
    <x v="1"/>
    <x v="1"/>
    <b v="0"/>
    <x v="0"/>
    <x v="0"/>
    <b v="0"/>
  </r>
  <r>
    <n v="4010048"/>
    <s v="123-002-130-014"/>
    <x v="23"/>
    <x v="7"/>
    <d v="2022-02-08T00:00:00"/>
    <s v="Michelle Hall"/>
    <d v="2022-02-28T00:00:00"/>
    <d v="2022-03-12T00:00:00"/>
    <s v="promo"/>
    <x v="1"/>
    <x v="1"/>
    <x v="0"/>
    <b v="0"/>
    <x v="0"/>
    <x v="1"/>
    <b v="0"/>
  </r>
  <r>
    <n v="4010048"/>
    <s v="123-002-130-015"/>
    <x v="23"/>
    <x v="7"/>
    <d v="2022-11-05T00:00:00"/>
    <s v="Kenneth Evans"/>
    <d v="2022-11-17T00:00:00"/>
    <d v="2022-12-14T00:00:00"/>
    <s v="transfer"/>
    <x v="1"/>
    <x v="1"/>
    <x v="0"/>
    <b v="0"/>
    <x v="1"/>
    <x v="0"/>
    <b v="0"/>
  </r>
  <r>
    <n v="4010048"/>
    <s v="123-002-130-016"/>
    <x v="23"/>
    <x v="7"/>
    <d v="2022-05-01T00:00:00"/>
    <s v="Jessica Gonzalez"/>
    <d v="2022-05-18T00:00:00"/>
    <m/>
    <s v="declined"/>
    <x v="0"/>
    <x v="0"/>
    <x v="0"/>
    <b v="0"/>
    <x v="0"/>
    <x v="0"/>
    <b v="0"/>
  </r>
  <r>
    <n v="2605308"/>
    <s v="123-006-120-001"/>
    <x v="13"/>
    <x v="2"/>
    <d v="2022-08-02T00:00:00"/>
    <s v="Deborah Green"/>
    <d v="2022-08-11T00:00:00"/>
    <d v="2022-08-15T00:00:00"/>
    <m/>
    <x v="1"/>
    <x v="1"/>
    <x v="0"/>
    <b v="0"/>
    <x v="0"/>
    <x v="0"/>
    <b v="0"/>
  </r>
  <r>
    <n v="2605308"/>
    <s v="123-006-120-002"/>
    <x v="13"/>
    <x v="2"/>
    <d v="2023-05-01T00:00:00"/>
    <s v="Sophia Martinez"/>
    <d v="2023-05-17T00:00:00"/>
    <m/>
    <s v="declined"/>
    <x v="0"/>
    <x v="0"/>
    <x v="0"/>
    <b v="0"/>
    <x v="0"/>
    <x v="0"/>
    <b v="0"/>
  </r>
  <r>
    <n v="2605308"/>
    <s v="123-006-120-003"/>
    <x v="13"/>
    <x v="2"/>
    <d v="2022-02-25T00:00:00"/>
    <s v="Kevin Williams"/>
    <d v="2022-03-18T00:00:00"/>
    <m/>
    <s v="declined"/>
    <x v="0"/>
    <x v="0"/>
    <x v="0"/>
    <b v="0"/>
    <x v="0"/>
    <x v="0"/>
    <b v="0"/>
  </r>
  <r>
    <n v="2605308"/>
    <s v="123-006-120-004"/>
    <x v="13"/>
    <x v="2"/>
    <d v="2022-12-09T00:00:00"/>
    <s v="Margaret Taylor"/>
    <d v="2022-12-29T00:00:00"/>
    <d v="2023-02-19T00:00:00"/>
    <s v="promo"/>
    <x v="1"/>
    <x v="1"/>
    <x v="0"/>
    <b v="0"/>
    <x v="0"/>
    <x v="1"/>
    <b v="0"/>
  </r>
  <r>
    <n v="2605308"/>
    <s v="123-006-120-005"/>
    <x v="13"/>
    <x v="2"/>
    <d v="2022-02-23T00:00:00"/>
    <s v="Robert Miller"/>
    <d v="2022-03-25T00:00:00"/>
    <d v="2022-04-29T00:00:00"/>
    <m/>
    <x v="1"/>
    <x v="1"/>
    <x v="0"/>
    <b v="0"/>
    <x v="0"/>
    <x v="0"/>
    <b v="0"/>
  </r>
  <r>
    <n v="3950904"/>
    <s v="123-001-106-005"/>
    <x v="4"/>
    <x v="3"/>
    <d v="2023-04-01T00:00:00"/>
    <s v="Lucas Thomas"/>
    <d v="2023-04-20T00:00:00"/>
    <d v="2023-05-28T00:00:00"/>
    <s v="transfer"/>
    <x v="1"/>
    <x v="1"/>
    <x v="0"/>
    <b v="0"/>
    <x v="1"/>
    <x v="0"/>
    <b v="0"/>
  </r>
  <r>
    <n v="3950904"/>
    <s v="123-001-106-006"/>
    <x v="4"/>
    <x v="3"/>
    <d v="2022-11-30T00:00:00"/>
    <s v="Melissa Baker"/>
    <d v="2022-12-08T00:00:00"/>
    <d v="2023-01-27T00:00:00"/>
    <s v="promo"/>
    <x v="1"/>
    <x v="1"/>
    <x v="0"/>
    <b v="0"/>
    <x v="0"/>
    <x v="1"/>
    <b v="0"/>
  </r>
  <r>
    <n v="3950904"/>
    <s v="123-001-106-007"/>
    <x v="4"/>
    <x v="3"/>
    <d v="2022-08-31T00:00:00"/>
    <s v="Joseph Miller"/>
    <d v="2022-09-24T00:00:00"/>
    <m/>
    <s v="declined"/>
    <x v="0"/>
    <x v="0"/>
    <x v="0"/>
    <b v="0"/>
    <x v="0"/>
    <x v="0"/>
    <b v="0"/>
  </r>
  <r>
    <n v="3950904"/>
    <s v="123-001-106-008"/>
    <x v="4"/>
    <x v="3"/>
    <d v="2022-08-14T00:00:00"/>
    <s v="Matthew Edwards"/>
    <d v="2022-08-17T00:00:00"/>
    <d v="2022-09-17T00:00:00"/>
    <s v="promo"/>
    <x v="1"/>
    <x v="1"/>
    <x v="0"/>
    <b v="0"/>
    <x v="0"/>
    <x v="1"/>
    <b v="0"/>
  </r>
  <r>
    <n v="9127012"/>
    <s v="123-007-102-001"/>
    <x v="27"/>
    <x v="4"/>
    <d v="2022-07-02T00:00:00"/>
    <s v="Michelle Robinson"/>
    <d v="2022-07-15T00:00:00"/>
    <m/>
    <s v="declined"/>
    <x v="0"/>
    <x v="0"/>
    <x v="0"/>
    <b v="0"/>
    <x v="0"/>
    <x v="0"/>
    <b v="0"/>
  </r>
  <r>
    <n v="9127012"/>
    <s v="123-007-102-002"/>
    <x v="27"/>
    <x v="4"/>
    <d v="2022-07-18T00:00:00"/>
    <s v="Sandra Campbell"/>
    <d v="2022-08-08T00:00:00"/>
    <m/>
    <s v="rescinded"/>
    <x v="0"/>
    <x v="1"/>
    <x v="1"/>
    <b v="0"/>
    <x v="0"/>
    <x v="0"/>
    <b v="0"/>
  </r>
  <r>
    <n v="7016144"/>
    <s v="123-004-109-002"/>
    <x v="21"/>
    <x v="1"/>
    <d v="2022-03-03T00:00:00"/>
    <s v="Brian Torres"/>
    <d v="2022-03-12T00:00:00"/>
    <m/>
    <s v="declined"/>
    <x v="0"/>
    <x v="0"/>
    <x v="0"/>
    <b v="0"/>
    <x v="0"/>
    <x v="0"/>
    <b v="0"/>
  </r>
  <r>
    <n v="7016144"/>
    <s v="123-004-109-003"/>
    <x v="21"/>
    <x v="1"/>
    <d v="2023-04-15T00:00:00"/>
    <s v="Mia Robinson"/>
    <d v="2023-04-29T00:00:00"/>
    <m/>
    <s v="declined"/>
    <x v="0"/>
    <x v="0"/>
    <x v="0"/>
    <b v="0"/>
    <x v="0"/>
    <x v="0"/>
    <b v="0"/>
  </r>
  <r>
    <n v="7016144"/>
    <s v="123-004-109-004"/>
    <x v="21"/>
    <x v="1"/>
    <d v="2022-10-30T00:00:00"/>
    <s v="Nancy Anderson"/>
    <d v="2022-11-19T00:00:00"/>
    <m/>
    <s v="declined"/>
    <x v="0"/>
    <x v="0"/>
    <x v="0"/>
    <b v="0"/>
    <x v="0"/>
    <x v="0"/>
    <b v="0"/>
  </r>
  <r>
    <n v="3630468"/>
    <s v="123-010-126-001"/>
    <x v="5"/>
    <x v="6"/>
    <d v="2023-06-19T00:00:00"/>
    <s v="Jennifer Clark"/>
    <d v="2023-07-05T00:00:00"/>
    <d v="2023-08-30T00:00:00"/>
    <s v="promo"/>
    <x v="1"/>
    <x v="1"/>
    <x v="0"/>
    <b v="0"/>
    <x v="0"/>
    <x v="1"/>
    <b v="0"/>
  </r>
  <r>
    <n v="3630468"/>
    <s v="123-010-126-002"/>
    <x v="5"/>
    <x v="6"/>
    <d v="2022-10-13T00:00:00"/>
    <s v="Mason Robinson"/>
    <d v="2022-10-14T00:00:00"/>
    <d v="2022-11-30T00:00:00"/>
    <m/>
    <x v="1"/>
    <x v="1"/>
    <x v="0"/>
    <b v="0"/>
    <x v="0"/>
    <x v="0"/>
    <b v="0"/>
  </r>
  <r>
    <n v="8182500"/>
    <s v="123-004-124-001"/>
    <x v="15"/>
    <x v="1"/>
    <d v="2022-06-02T00:00:00"/>
    <s v="Donna Anderson"/>
    <d v="2022-07-02T00:00:00"/>
    <m/>
    <s v="rescinded"/>
    <x v="0"/>
    <x v="1"/>
    <x v="1"/>
    <b v="0"/>
    <x v="0"/>
    <x v="0"/>
    <b v="0"/>
  </r>
  <r>
    <n v="8182500"/>
    <s v="123-004-124-002"/>
    <x v="15"/>
    <x v="1"/>
    <d v="2022-02-11T00:00:00"/>
    <s v="Anthony Williams"/>
    <d v="2022-02-27T00:00:00"/>
    <d v="2022-04-15T00:00:00"/>
    <s v="transfer"/>
    <x v="1"/>
    <x v="1"/>
    <x v="0"/>
    <b v="0"/>
    <x v="1"/>
    <x v="0"/>
    <b v="0"/>
  </r>
  <r>
    <n v="9459346"/>
    <s v="123-007-102-003"/>
    <x v="27"/>
    <x v="4"/>
    <d v="2022-04-11T00:00:00"/>
    <s v="Ethan Phillips"/>
    <d v="2022-04-26T00:00:00"/>
    <m/>
    <s v="rescinded"/>
    <x v="0"/>
    <x v="1"/>
    <x v="1"/>
    <b v="0"/>
    <x v="0"/>
    <x v="0"/>
    <b v="0"/>
  </r>
  <r>
    <n v="9459346"/>
    <s v="123-007-102-004"/>
    <x v="27"/>
    <x v="4"/>
    <d v="2022-01-13T00:00:00"/>
    <s v="Emily Carter"/>
    <d v="2022-02-05T00:00:00"/>
    <d v="2022-03-24T00:00:00"/>
    <s v="transfer"/>
    <x v="1"/>
    <x v="1"/>
    <x v="0"/>
    <b v="0"/>
    <x v="1"/>
    <x v="0"/>
    <b v="0"/>
  </r>
  <r>
    <n v="9459346"/>
    <s v="123-007-102-005"/>
    <x v="27"/>
    <x v="4"/>
    <d v="2022-10-30T00:00:00"/>
    <s v="William Thompson"/>
    <d v="2022-11-07T00:00:00"/>
    <d v="2022-12-19T00:00:00"/>
    <s v="promo"/>
    <x v="1"/>
    <x v="1"/>
    <x v="0"/>
    <b v="0"/>
    <x v="0"/>
    <x v="1"/>
    <b v="0"/>
  </r>
  <r>
    <n v="9459346"/>
    <s v="123-007-102-006"/>
    <x v="27"/>
    <x v="4"/>
    <d v="2022-11-09T00:00:00"/>
    <s v="Donald Nelson"/>
    <d v="2022-11-15T00:00:00"/>
    <d v="2022-12-31T00:00:00"/>
    <s v="transfer"/>
    <x v="1"/>
    <x v="1"/>
    <x v="0"/>
    <b v="0"/>
    <x v="1"/>
    <x v="0"/>
    <b v="0"/>
  </r>
  <r>
    <n v="9459346"/>
    <s v="123-007-102-007"/>
    <x v="27"/>
    <x v="4"/>
    <d v="2022-05-22T00:00:00"/>
    <s v="Sandra Robinson"/>
    <d v="2022-06-19T00:00:00"/>
    <d v="2022-08-04T00:00:00"/>
    <s v="transfer"/>
    <x v="1"/>
    <x v="1"/>
    <x v="0"/>
    <b v="0"/>
    <x v="1"/>
    <x v="0"/>
    <b v="0"/>
  </r>
  <r>
    <n v="7800818"/>
    <s v="123-006-106-006"/>
    <x v="4"/>
    <x v="2"/>
    <d v="2022-03-14T00:00:00"/>
    <s v="Logan Green"/>
    <d v="2022-03-27T00:00:00"/>
    <d v="2022-05-24T00:00:00"/>
    <s v="transfer"/>
    <x v="1"/>
    <x v="1"/>
    <x v="0"/>
    <b v="0"/>
    <x v="1"/>
    <x v="0"/>
    <b v="0"/>
  </r>
  <r>
    <n v="7800818"/>
    <s v="123-006-106-007"/>
    <x v="4"/>
    <x v="2"/>
    <d v="2022-10-04T00:00:00"/>
    <s v="Charles Ramirez"/>
    <d v="2022-10-27T00:00:00"/>
    <d v="2022-12-06T00:00:00"/>
    <s v="transfer"/>
    <x v="1"/>
    <x v="1"/>
    <x v="0"/>
    <b v="0"/>
    <x v="1"/>
    <x v="0"/>
    <b v="0"/>
  </r>
  <r>
    <n v="7800818"/>
    <s v="123-006-106-008"/>
    <x v="4"/>
    <x v="2"/>
    <d v="2022-03-24T00:00:00"/>
    <s v="Sophia Baker"/>
    <d v="2022-04-13T00:00:00"/>
    <d v="2022-06-09T00:00:00"/>
    <s v="promo"/>
    <x v="1"/>
    <x v="1"/>
    <x v="0"/>
    <b v="0"/>
    <x v="0"/>
    <x v="1"/>
    <b v="0"/>
  </r>
  <r>
    <n v="7800818"/>
    <s v="123-006-106-009"/>
    <x v="4"/>
    <x v="2"/>
    <d v="2023-01-08T00:00:00"/>
    <s v="Steven Collins"/>
    <d v="2023-02-06T00:00:00"/>
    <d v="2023-02-10T00:00:00"/>
    <s v="transfer"/>
    <x v="1"/>
    <x v="1"/>
    <x v="0"/>
    <b v="0"/>
    <x v="1"/>
    <x v="0"/>
    <b v="0"/>
  </r>
  <r>
    <n v="2861709"/>
    <s v="123-006-113-003"/>
    <x v="6"/>
    <x v="2"/>
    <d v="2022-03-10T00:00:00"/>
    <s v="Lisa Lopez"/>
    <d v="2022-03-28T00:00:00"/>
    <d v="2022-05-13T00:00:00"/>
    <s v="new to org"/>
    <x v="1"/>
    <x v="1"/>
    <x v="0"/>
    <b v="0"/>
    <x v="0"/>
    <x v="0"/>
    <b v="1"/>
  </r>
  <r>
    <n v="2861709"/>
    <s v="123-006-113-004"/>
    <x v="6"/>
    <x v="2"/>
    <d v="2022-04-27T00:00:00"/>
    <s v="Nancy Thomas"/>
    <d v="2022-05-18T00:00:00"/>
    <d v="2022-06-18T00:00:00"/>
    <s v="promo"/>
    <x v="1"/>
    <x v="1"/>
    <x v="0"/>
    <b v="0"/>
    <x v="0"/>
    <x v="1"/>
    <b v="0"/>
  </r>
  <r>
    <n v="2861709"/>
    <s v="123-006-113-005"/>
    <x v="6"/>
    <x v="2"/>
    <d v="2022-08-19T00:00:00"/>
    <s v="Edward Mitchell"/>
    <d v="2022-08-30T00:00:00"/>
    <d v="2022-09-22T00:00:00"/>
    <s v="promo"/>
    <x v="1"/>
    <x v="1"/>
    <x v="0"/>
    <b v="0"/>
    <x v="0"/>
    <x v="1"/>
    <b v="0"/>
  </r>
  <r>
    <n v="2861709"/>
    <s v="123-006-113-006"/>
    <x v="6"/>
    <x v="2"/>
    <d v="2022-03-06T00:00:00"/>
    <s v="Sarah Brown"/>
    <d v="2022-03-18T00:00:00"/>
    <d v="2022-04-10T00:00:00"/>
    <m/>
    <x v="1"/>
    <x v="1"/>
    <x v="0"/>
    <b v="0"/>
    <x v="0"/>
    <x v="0"/>
    <b v="0"/>
  </r>
  <r>
    <n v="8590191"/>
    <s v="123-009-116-009"/>
    <x v="25"/>
    <x v="8"/>
    <d v="2023-06-30T00:00:00"/>
    <s v="Dorothy Wright"/>
    <d v="2023-07-29T00:00:00"/>
    <d v="2023-08-17T00:00:00"/>
    <m/>
    <x v="1"/>
    <x v="1"/>
    <x v="0"/>
    <b v="0"/>
    <x v="0"/>
    <x v="0"/>
    <b v="0"/>
  </r>
  <r>
    <n v="8590191"/>
    <s v="123-009-116-010"/>
    <x v="25"/>
    <x v="8"/>
    <d v="2022-03-09T00:00:00"/>
    <s v="Ethan Baker"/>
    <d v="2022-03-16T00:00:00"/>
    <d v="2022-05-13T00:00:00"/>
    <s v="new to org"/>
    <x v="1"/>
    <x v="1"/>
    <x v="0"/>
    <b v="0"/>
    <x v="0"/>
    <x v="0"/>
    <b v="1"/>
  </r>
  <r>
    <n v="8590191"/>
    <s v="123-009-116-011"/>
    <x v="25"/>
    <x v="8"/>
    <d v="2022-07-03T00:00:00"/>
    <s v="Jennifer Sanchez"/>
    <d v="2022-07-13T00:00:00"/>
    <d v="2022-07-18T00:00:00"/>
    <s v="transfer"/>
    <x v="1"/>
    <x v="1"/>
    <x v="0"/>
    <b v="0"/>
    <x v="1"/>
    <x v="0"/>
    <b v="0"/>
  </r>
  <r>
    <n v="8590191"/>
    <s v="123-009-116-012"/>
    <x v="25"/>
    <x v="8"/>
    <d v="2022-06-01T00:00:00"/>
    <s v="Sarah Davis"/>
    <d v="2022-06-17T00:00:00"/>
    <m/>
    <s v="declined"/>
    <x v="0"/>
    <x v="0"/>
    <x v="0"/>
    <b v="0"/>
    <x v="0"/>
    <x v="0"/>
    <b v="0"/>
  </r>
  <r>
    <n v="8590191"/>
    <s v="123-009-116-013"/>
    <x v="25"/>
    <x v="8"/>
    <d v="2022-01-24T00:00:00"/>
    <s v="Susan King"/>
    <d v="2022-02-03T00:00:00"/>
    <m/>
    <s v="declined"/>
    <x v="0"/>
    <x v="0"/>
    <x v="0"/>
    <b v="0"/>
    <x v="0"/>
    <x v="0"/>
    <b v="0"/>
  </r>
  <r>
    <n v="7988325"/>
    <s v="123-009-122-001"/>
    <x v="17"/>
    <x v="8"/>
    <d v="2022-01-22T00:00:00"/>
    <s v="Mark Mitchell"/>
    <d v="2022-02-01T00:00:00"/>
    <d v="2022-02-14T00:00:00"/>
    <m/>
    <x v="1"/>
    <x v="1"/>
    <x v="0"/>
    <b v="0"/>
    <x v="0"/>
    <x v="0"/>
    <b v="0"/>
  </r>
  <r>
    <n v="7988325"/>
    <s v="123-009-122-002"/>
    <x v="17"/>
    <x v="8"/>
    <d v="2022-08-26T00:00:00"/>
    <s v="Logan Phillips"/>
    <d v="2022-09-22T00:00:00"/>
    <m/>
    <s v="declined"/>
    <x v="0"/>
    <x v="0"/>
    <x v="0"/>
    <b v="0"/>
    <x v="0"/>
    <x v="0"/>
    <b v="0"/>
  </r>
  <r>
    <n v="9717785"/>
    <s v="123-006-121-003"/>
    <x v="20"/>
    <x v="2"/>
    <d v="2023-06-27T00:00:00"/>
    <s v="Ashley Nguyen"/>
    <d v="2023-07-24T00:00:00"/>
    <d v="2023-08-29T00:00:00"/>
    <s v="new to org"/>
    <x v="1"/>
    <x v="1"/>
    <x v="0"/>
    <b v="0"/>
    <x v="0"/>
    <x v="0"/>
    <b v="1"/>
  </r>
  <r>
    <n v="9717785"/>
    <s v="123-006-121-004"/>
    <x v="20"/>
    <x v="2"/>
    <d v="2022-11-10T00:00:00"/>
    <s v="Andrew Rodriguez"/>
    <d v="2022-11-16T00:00:00"/>
    <d v="2023-01-06T00:00:00"/>
    <s v="new to org"/>
    <x v="1"/>
    <x v="1"/>
    <x v="0"/>
    <b v="0"/>
    <x v="0"/>
    <x v="0"/>
    <b v="1"/>
  </r>
  <r>
    <n v="9717785"/>
    <s v="123-006-121-005"/>
    <x v="20"/>
    <x v="2"/>
    <d v="2022-10-23T00:00:00"/>
    <s v="Donald White"/>
    <d v="2022-11-17T00:00:00"/>
    <m/>
    <s v="rescinded"/>
    <x v="0"/>
    <x v="1"/>
    <x v="1"/>
    <b v="0"/>
    <x v="0"/>
    <x v="0"/>
    <b v="0"/>
  </r>
  <r>
    <n v="9717785"/>
    <s v="123-006-121-006"/>
    <x v="20"/>
    <x v="2"/>
    <d v="2023-04-12T00:00:00"/>
    <s v="Daniel Jackson"/>
    <d v="2023-04-18T00:00:00"/>
    <d v="2023-05-28T00:00:00"/>
    <s v="promo"/>
    <x v="1"/>
    <x v="1"/>
    <x v="0"/>
    <b v="0"/>
    <x v="0"/>
    <x v="1"/>
    <b v="0"/>
  </r>
  <r>
    <n v="3697606"/>
    <s v="123-009-123-001"/>
    <x v="19"/>
    <x v="8"/>
    <d v="2022-06-07T00:00:00"/>
    <s v="Barbara Turner"/>
    <d v="2022-06-13T00:00:00"/>
    <m/>
    <s v="declined"/>
    <x v="0"/>
    <x v="0"/>
    <x v="0"/>
    <b v="0"/>
    <x v="0"/>
    <x v="0"/>
    <b v="0"/>
  </r>
  <r>
    <n v="3697606"/>
    <s v="123-009-123-002"/>
    <x v="19"/>
    <x v="8"/>
    <d v="2022-05-10T00:00:00"/>
    <s v="Robert Lee"/>
    <d v="2022-05-25T00:00:00"/>
    <m/>
    <s v="declined"/>
    <x v="0"/>
    <x v="0"/>
    <x v="0"/>
    <b v="0"/>
    <x v="0"/>
    <x v="0"/>
    <b v="0"/>
  </r>
  <r>
    <n v="3697606"/>
    <s v="123-009-123-003"/>
    <x v="19"/>
    <x v="8"/>
    <d v="2022-02-05T00:00:00"/>
    <s v="Barbara Wilson"/>
    <d v="2022-02-27T00:00:00"/>
    <m/>
    <s v="declined"/>
    <x v="0"/>
    <x v="0"/>
    <x v="0"/>
    <b v="0"/>
    <x v="0"/>
    <x v="0"/>
    <b v="0"/>
  </r>
  <r>
    <n v="6317433"/>
    <s v="123-003-112-005"/>
    <x v="28"/>
    <x v="9"/>
    <d v="2022-05-05T00:00:00"/>
    <s v="Paul Martin"/>
    <d v="2022-06-04T00:00:00"/>
    <d v="2022-06-06T00:00:00"/>
    <s v="promo"/>
    <x v="1"/>
    <x v="1"/>
    <x v="0"/>
    <b v="0"/>
    <x v="0"/>
    <x v="1"/>
    <b v="0"/>
  </r>
  <r>
    <n v="6317433"/>
    <s v="123-003-112-006"/>
    <x v="28"/>
    <x v="9"/>
    <d v="2023-04-15T00:00:00"/>
    <s v="Deborah Martinez"/>
    <d v="2023-05-15T00:00:00"/>
    <d v="2023-06-05T00:00:00"/>
    <m/>
    <x v="1"/>
    <x v="1"/>
    <x v="0"/>
    <b v="0"/>
    <x v="0"/>
    <x v="0"/>
    <b v="0"/>
  </r>
  <r>
    <n v="6317433"/>
    <s v="123-003-112-007"/>
    <x v="28"/>
    <x v="9"/>
    <d v="2023-06-04T00:00:00"/>
    <s v="Melissa Wright"/>
    <d v="2023-06-15T00:00:00"/>
    <m/>
    <s v="declined"/>
    <x v="0"/>
    <x v="0"/>
    <x v="0"/>
    <b v="0"/>
    <x v="0"/>
    <x v="0"/>
    <b v="0"/>
  </r>
  <r>
    <n v="5958621"/>
    <s v="123-005-116-005"/>
    <x v="25"/>
    <x v="0"/>
    <d v="2022-04-26T00:00:00"/>
    <s v="Nancy Hall"/>
    <d v="2022-05-20T00:00:00"/>
    <d v="2022-06-20T00:00:00"/>
    <m/>
    <x v="1"/>
    <x v="1"/>
    <x v="0"/>
    <b v="0"/>
    <x v="0"/>
    <x v="0"/>
    <b v="0"/>
  </r>
  <r>
    <n v="5958621"/>
    <s v="123-005-116-006"/>
    <x v="25"/>
    <x v="0"/>
    <d v="2022-04-30T00:00:00"/>
    <s v="Amanda Scott"/>
    <d v="2022-05-10T00:00:00"/>
    <d v="2022-05-12T00:00:00"/>
    <s v="promo"/>
    <x v="1"/>
    <x v="1"/>
    <x v="0"/>
    <b v="0"/>
    <x v="0"/>
    <x v="1"/>
    <b v="0"/>
  </r>
  <r>
    <n v="5958621"/>
    <s v="123-005-116-007"/>
    <x v="25"/>
    <x v="0"/>
    <d v="2022-04-05T00:00:00"/>
    <s v="Mark Thompson"/>
    <d v="2022-04-16T00:00:00"/>
    <d v="2022-04-20T00:00:00"/>
    <s v="promo"/>
    <x v="1"/>
    <x v="1"/>
    <x v="0"/>
    <b v="0"/>
    <x v="0"/>
    <x v="1"/>
    <b v="0"/>
  </r>
  <r>
    <n v="5958621"/>
    <s v="123-005-116-008"/>
    <x v="25"/>
    <x v="0"/>
    <d v="2022-08-16T00:00:00"/>
    <s v="Donna King"/>
    <d v="2022-09-11T00:00:00"/>
    <d v="2022-11-10T00:00:00"/>
    <s v="promo"/>
    <x v="1"/>
    <x v="1"/>
    <x v="0"/>
    <b v="0"/>
    <x v="0"/>
    <x v="1"/>
    <b v="0"/>
  </r>
  <r>
    <n v="5958621"/>
    <s v="123-005-116-009"/>
    <x v="25"/>
    <x v="0"/>
    <d v="2023-04-02T00:00:00"/>
    <s v="Mary Garcia"/>
    <d v="2023-04-24T00:00:00"/>
    <d v="2023-06-06T00:00:00"/>
    <s v="promo"/>
    <x v="1"/>
    <x v="1"/>
    <x v="0"/>
    <b v="0"/>
    <x v="0"/>
    <x v="1"/>
    <b v="0"/>
  </r>
  <r>
    <n v="2465941"/>
    <s v="123-007-117-001"/>
    <x v="9"/>
    <x v="4"/>
    <d v="2023-01-05T00:00:00"/>
    <s v="Ava Nelson"/>
    <d v="2023-01-18T00:00:00"/>
    <d v="2023-01-28T00:00:00"/>
    <s v="transfer"/>
    <x v="1"/>
    <x v="1"/>
    <x v="0"/>
    <b v="0"/>
    <x v="1"/>
    <x v="0"/>
    <b v="0"/>
  </r>
  <r>
    <n v="2465941"/>
    <s v="123-007-117-002"/>
    <x v="9"/>
    <x v="4"/>
    <d v="2023-01-17T00:00:00"/>
    <s v="Lisa Harris"/>
    <d v="2023-01-18T00:00:00"/>
    <d v="2023-02-06T00:00:00"/>
    <m/>
    <x v="1"/>
    <x v="1"/>
    <x v="0"/>
    <b v="0"/>
    <x v="0"/>
    <x v="0"/>
    <b v="0"/>
  </r>
  <r>
    <n v="6786800"/>
    <s v="123-005-112-001"/>
    <x v="28"/>
    <x v="0"/>
    <d v="2023-03-31T00:00:00"/>
    <s v="Susan Campbell"/>
    <d v="2023-04-24T00:00:00"/>
    <d v="2023-05-21T00:00:00"/>
    <s v="transfer"/>
    <x v="1"/>
    <x v="1"/>
    <x v="0"/>
    <b v="0"/>
    <x v="1"/>
    <x v="0"/>
    <b v="0"/>
  </r>
  <r>
    <n v="6786800"/>
    <s v="123-005-112-002"/>
    <x v="28"/>
    <x v="0"/>
    <d v="2023-03-11T00:00:00"/>
    <s v="David Phillips"/>
    <d v="2023-04-04T00:00:00"/>
    <d v="2023-06-01T00:00:00"/>
    <s v="new to org"/>
    <x v="1"/>
    <x v="1"/>
    <x v="0"/>
    <b v="0"/>
    <x v="0"/>
    <x v="0"/>
    <b v="1"/>
  </r>
  <r>
    <n v="6786800"/>
    <s v="123-005-112-003"/>
    <x v="28"/>
    <x v="0"/>
    <d v="2022-11-07T00:00:00"/>
    <s v="Elizabeth Wilson"/>
    <d v="2022-11-23T00:00:00"/>
    <d v="2023-01-18T00:00:00"/>
    <s v="transfer"/>
    <x v="1"/>
    <x v="1"/>
    <x v="0"/>
    <b v="0"/>
    <x v="1"/>
    <x v="0"/>
    <b v="0"/>
  </r>
  <r>
    <n v="6786800"/>
    <s v="123-005-112-004"/>
    <x v="28"/>
    <x v="0"/>
    <d v="2023-01-20T00:00:00"/>
    <s v="John Nguyen"/>
    <d v="2023-01-23T00:00:00"/>
    <d v="2023-01-24T00:00:00"/>
    <s v="new to org"/>
    <x v="1"/>
    <x v="1"/>
    <x v="0"/>
    <b v="0"/>
    <x v="0"/>
    <x v="0"/>
    <b v="1"/>
  </r>
  <r>
    <n v="7869609"/>
    <s v="123-005-121-001"/>
    <x v="20"/>
    <x v="0"/>
    <d v="2022-05-21T00:00:00"/>
    <s v="Sandra Rivera"/>
    <d v="2022-05-28T00:00:00"/>
    <m/>
    <s v="declined"/>
    <x v="0"/>
    <x v="0"/>
    <x v="0"/>
    <b v="0"/>
    <x v="0"/>
    <x v="0"/>
    <b v="0"/>
  </r>
  <r>
    <n v="7869609"/>
    <s v="123-005-121-002"/>
    <x v="20"/>
    <x v="0"/>
    <d v="2023-05-18T00:00:00"/>
    <s v="Matthew Jackson"/>
    <d v="2023-05-20T00:00:00"/>
    <m/>
    <s v="declined"/>
    <x v="0"/>
    <x v="0"/>
    <x v="0"/>
    <b v="0"/>
    <x v="0"/>
    <x v="0"/>
    <b v="0"/>
  </r>
  <r>
    <n v="7869609"/>
    <s v="123-005-121-003"/>
    <x v="20"/>
    <x v="0"/>
    <d v="2022-11-08T00:00:00"/>
    <s v="Mason Nguyen"/>
    <d v="2022-11-24T00:00:00"/>
    <d v="2022-12-30T00:00:00"/>
    <s v="new to org"/>
    <x v="1"/>
    <x v="1"/>
    <x v="0"/>
    <b v="0"/>
    <x v="0"/>
    <x v="0"/>
    <b v="1"/>
  </r>
  <r>
    <n v="7869609"/>
    <s v="123-005-121-004"/>
    <x v="20"/>
    <x v="0"/>
    <d v="2022-01-03T00:00:00"/>
    <s v="Mary Gomez"/>
    <d v="2022-01-08T00:00:00"/>
    <d v="2022-01-25T00:00:00"/>
    <s v="promo"/>
    <x v="1"/>
    <x v="1"/>
    <x v="0"/>
    <b v="0"/>
    <x v="0"/>
    <x v="1"/>
    <b v="0"/>
  </r>
  <r>
    <n v="6036006"/>
    <s v="123-008-121-009"/>
    <x v="20"/>
    <x v="5"/>
    <d v="2023-05-19T00:00:00"/>
    <s v="Anthony Lopez"/>
    <d v="2023-06-18T00:00:00"/>
    <d v="2023-08-02T00:00:00"/>
    <s v="new to org"/>
    <x v="1"/>
    <x v="1"/>
    <x v="0"/>
    <b v="0"/>
    <x v="0"/>
    <x v="0"/>
    <b v="1"/>
  </r>
  <r>
    <n v="5106228"/>
    <s v="123-002-101-001"/>
    <x v="0"/>
    <x v="7"/>
    <d v="2023-01-06T00:00:00"/>
    <s v="Joshua Mitchell"/>
    <d v="2023-01-25T00:00:00"/>
    <d v="2023-02-25T00:00:00"/>
    <s v="transfer"/>
    <x v="1"/>
    <x v="1"/>
    <x v="0"/>
    <b v="0"/>
    <x v="1"/>
    <x v="0"/>
    <b v="0"/>
  </r>
  <r>
    <n v="5106228"/>
    <s v="123-002-101-002"/>
    <x v="0"/>
    <x v="7"/>
    <d v="2023-05-03T00:00:00"/>
    <s v="Kenneth Baker"/>
    <d v="2023-05-26T00:00:00"/>
    <d v="2023-07-18T00:00:00"/>
    <s v="new to org"/>
    <x v="1"/>
    <x v="1"/>
    <x v="0"/>
    <b v="0"/>
    <x v="0"/>
    <x v="0"/>
    <b v="1"/>
  </r>
  <r>
    <n v="5106228"/>
    <s v="123-002-101-003"/>
    <x v="0"/>
    <x v="7"/>
    <d v="2022-01-18T00:00:00"/>
    <s v="Steven Campbell"/>
    <d v="2022-02-15T00:00:00"/>
    <m/>
    <s v="declined"/>
    <x v="0"/>
    <x v="0"/>
    <x v="0"/>
    <b v="0"/>
    <x v="0"/>
    <x v="0"/>
    <b v="0"/>
  </r>
  <r>
    <n v="5354311"/>
    <s v="123-010-106-006"/>
    <x v="4"/>
    <x v="6"/>
    <d v="2022-05-19T00:00:00"/>
    <s v="Sandra Cruz"/>
    <d v="2022-05-31T00:00:00"/>
    <m/>
    <s v="declined"/>
    <x v="0"/>
    <x v="0"/>
    <x v="0"/>
    <b v="0"/>
    <x v="0"/>
    <x v="0"/>
    <b v="0"/>
  </r>
  <r>
    <n v="3739867"/>
    <s v="123-005-102-001"/>
    <x v="27"/>
    <x v="0"/>
    <d v="2022-10-26T00:00:00"/>
    <s v="Patricia Jackson"/>
    <d v="2022-11-12T00:00:00"/>
    <d v="2022-12-23T00:00:00"/>
    <s v="new to org"/>
    <x v="1"/>
    <x v="1"/>
    <x v="0"/>
    <b v="0"/>
    <x v="0"/>
    <x v="0"/>
    <b v="1"/>
  </r>
  <r>
    <n v="3739867"/>
    <s v="123-005-102-002"/>
    <x v="27"/>
    <x v="0"/>
    <d v="2022-07-07T00:00:00"/>
    <s v="Deborah Green"/>
    <d v="2022-08-01T00:00:00"/>
    <d v="2022-08-08T00:00:00"/>
    <s v="promo"/>
    <x v="1"/>
    <x v="1"/>
    <x v="0"/>
    <b v="0"/>
    <x v="0"/>
    <x v="1"/>
    <b v="0"/>
  </r>
  <r>
    <n v="3739867"/>
    <s v="123-005-102-003"/>
    <x v="27"/>
    <x v="0"/>
    <d v="2022-11-20T00:00:00"/>
    <s v="Paul Lee"/>
    <d v="2022-12-17T00:00:00"/>
    <d v="2023-02-10T00:00:00"/>
    <s v="promo"/>
    <x v="1"/>
    <x v="1"/>
    <x v="0"/>
    <b v="0"/>
    <x v="0"/>
    <x v="1"/>
    <b v="0"/>
  </r>
  <r>
    <n v="6051155"/>
    <s v="123-006-109-004"/>
    <x v="21"/>
    <x v="2"/>
    <d v="2022-01-14T00:00:00"/>
    <s v="Isabella Martinez"/>
    <d v="2022-01-19T00:00:00"/>
    <d v="2022-02-22T00:00:00"/>
    <s v="new to org"/>
    <x v="1"/>
    <x v="1"/>
    <x v="0"/>
    <b v="0"/>
    <x v="0"/>
    <x v="0"/>
    <b v="1"/>
  </r>
  <r>
    <n v="5721406"/>
    <s v="123-008-112-001"/>
    <x v="28"/>
    <x v="5"/>
    <d v="2022-04-15T00:00:00"/>
    <s v="Ava Hernandez"/>
    <d v="2022-04-22T00:00:00"/>
    <m/>
    <s v="rescinded"/>
    <x v="0"/>
    <x v="1"/>
    <x v="1"/>
    <b v="0"/>
    <x v="0"/>
    <x v="0"/>
    <b v="0"/>
  </r>
  <r>
    <n v="5721406"/>
    <s v="123-008-112-002"/>
    <x v="28"/>
    <x v="5"/>
    <d v="2022-07-12T00:00:00"/>
    <s v="Joseph Turner"/>
    <d v="2022-08-07T00:00:00"/>
    <m/>
    <s v="declined"/>
    <x v="0"/>
    <x v="0"/>
    <x v="0"/>
    <b v="0"/>
    <x v="0"/>
    <x v="0"/>
    <b v="0"/>
  </r>
  <r>
    <n v="5721406"/>
    <s v="123-008-112-003"/>
    <x v="28"/>
    <x v="5"/>
    <d v="2022-03-20T00:00:00"/>
    <s v="Anthony Robinson"/>
    <d v="2022-03-24T00:00:00"/>
    <d v="2022-05-16T00:00:00"/>
    <s v="transfer"/>
    <x v="1"/>
    <x v="1"/>
    <x v="0"/>
    <b v="0"/>
    <x v="1"/>
    <x v="0"/>
    <b v="0"/>
  </r>
  <r>
    <n v="5721406"/>
    <s v="123-008-112-004"/>
    <x v="28"/>
    <x v="5"/>
    <d v="2022-12-23T00:00:00"/>
    <s v="Mary Walker"/>
    <d v="2023-01-02T00:00:00"/>
    <m/>
    <s v="declined"/>
    <x v="0"/>
    <x v="0"/>
    <x v="0"/>
    <b v="0"/>
    <x v="0"/>
    <x v="0"/>
    <b v="0"/>
  </r>
  <r>
    <n v="7082891"/>
    <s v="123-008-105-008"/>
    <x v="7"/>
    <x v="5"/>
    <d v="2022-11-08T00:00:00"/>
    <s v="Barbara Rivera"/>
    <d v="2022-11-09T00:00:00"/>
    <d v="2022-12-27T00:00:00"/>
    <s v="new to org"/>
    <x v="1"/>
    <x v="1"/>
    <x v="0"/>
    <b v="0"/>
    <x v="0"/>
    <x v="0"/>
    <b v="1"/>
  </r>
  <r>
    <n v="7082891"/>
    <s v="123-008-105-009"/>
    <x v="7"/>
    <x v="5"/>
    <d v="2022-05-26T00:00:00"/>
    <s v="William Diaz"/>
    <d v="2022-06-18T00:00:00"/>
    <d v="2022-07-03T00:00:00"/>
    <s v="promo"/>
    <x v="1"/>
    <x v="1"/>
    <x v="0"/>
    <b v="0"/>
    <x v="0"/>
    <x v="1"/>
    <b v="0"/>
  </r>
  <r>
    <n v="7082891"/>
    <s v="123-008-105-010"/>
    <x v="7"/>
    <x v="5"/>
    <d v="2023-03-12T00:00:00"/>
    <s v="William Garcia"/>
    <d v="2023-04-04T00:00:00"/>
    <d v="2023-05-23T00:00:00"/>
    <s v="promo"/>
    <x v="1"/>
    <x v="1"/>
    <x v="0"/>
    <b v="0"/>
    <x v="0"/>
    <x v="1"/>
    <b v="0"/>
  </r>
  <r>
    <n v="7082891"/>
    <s v="123-008-105-011"/>
    <x v="7"/>
    <x v="5"/>
    <d v="2023-05-11T00:00:00"/>
    <s v="Mary Roberts"/>
    <d v="2023-06-05T00:00:00"/>
    <d v="2023-07-03T00:00:00"/>
    <s v="transfer"/>
    <x v="1"/>
    <x v="1"/>
    <x v="0"/>
    <b v="0"/>
    <x v="1"/>
    <x v="0"/>
    <b v="0"/>
  </r>
  <r>
    <n v="7082891"/>
    <s v="123-008-105-012"/>
    <x v="7"/>
    <x v="5"/>
    <d v="2023-06-10T00:00:00"/>
    <s v="Michael Williams"/>
    <d v="2023-06-29T00:00:00"/>
    <m/>
    <s v="declined"/>
    <x v="0"/>
    <x v="0"/>
    <x v="0"/>
    <b v="0"/>
    <x v="0"/>
    <x v="0"/>
    <b v="0"/>
  </r>
  <r>
    <n v="1994305"/>
    <s v="123-002-116-004"/>
    <x v="25"/>
    <x v="7"/>
    <m/>
    <m/>
    <m/>
    <m/>
    <s v="cancelled"/>
    <x v="0"/>
    <x v="1"/>
    <x v="0"/>
    <b v="1"/>
    <x v="0"/>
    <x v="0"/>
    <b v="0"/>
  </r>
  <r>
    <n v="1994305"/>
    <s v="123-002-116-005"/>
    <x v="25"/>
    <x v="7"/>
    <d v="2022-04-09T00:00:00"/>
    <s v="James Carter"/>
    <d v="2022-05-05T00:00:00"/>
    <m/>
    <s v="rescinded"/>
    <x v="0"/>
    <x v="1"/>
    <x v="1"/>
    <b v="0"/>
    <x v="0"/>
    <x v="0"/>
    <b v="0"/>
  </r>
  <r>
    <n v="1994305"/>
    <s v="123-002-116-006"/>
    <x v="25"/>
    <x v="7"/>
    <d v="2022-07-24T00:00:00"/>
    <s v="Joshua Wilson"/>
    <d v="2022-07-30T00:00:00"/>
    <m/>
    <s v="declined"/>
    <x v="0"/>
    <x v="0"/>
    <x v="0"/>
    <b v="0"/>
    <x v="0"/>
    <x v="0"/>
    <b v="0"/>
  </r>
  <r>
    <n v="6897756"/>
    <s v="123-002-101-004"/>
    <x v="0"/>
    <x v="7"/>
    <d v="2022-12-23T00:00:00"/>
    <s v="Charlotte Nguyen"/>
    <d v="2023-01-04T00:00:00"/>
    <d v="2023-01-15T00:00:00"/>
    <s v="new to org"/>
    <x v="1"/>
    <x v="1"/>
    <x v="0"/>
    <b v="0"/>
    <x v="0"/>
    <x v="0"/>
    <b v="1"/>
  </r>
  <r>
    <n v="6897756"/>
    <s v="123-002-101-005"/>
    <x v="0"/>
    <x v="7"/>
    <d v="2022-03-11T00:00:00"/>
    <s v="Steven Torres"/>
    <d v="2022-03-15T00:00:00"/>
    <d v="2022-05-07T00:00:00"/>
    <s v="promo"/>
    <x v="1"/>
    <x v="1"/>
    <x v="0"/>
    <b v="0"/>
    <x v="0"/>
    <x v="1"/>
    <b v="0"/>
  </r>
  <r>
    <n v="1234617"/>
    <s v="123-004-117-002"/>
    <x v="9"/>
    <x v="1"/>
    <d v="2022-01-05T00:00:00"/>
    <s v="Lucas Carter"/>
    <d v="2022-01-29T00:00:00"/>
    <d v="2022-02-05T00:00:00"/>
    <s v="promo"/>
    <x v="1"/>
    <x v="1"/>
    <x v="0"/>
    <b v="0"/>
    <x v="0"/>
    <x v="1"/>
    <b v="0"/>
  </r>
  <r>
    <n v="1234617"/>
    <s v="123-004-117-003"/>
    <x v="9"/>
    <x v="1"/>
    <d v="2022-07-09T00:00:00"/>
    <s v="Lisa Hall"/>
    <d v="2022-07-24T00:00:00"/>
    <d v="2022-09-06T00:00:00"/>
    <m/>
    <x v="1"/>
    <x v="1"/>
    <x v="0"/>
    <b v="0"/>
    <x v="0"/>
    <x v="0"/>
    <b v="0"/>
  </r>
  <r>
    <n v="2800606"/>
    <s v="123-006-106-010"/>
    <x v="4"/>
    <x v="2"/>
    <d v="2022-11-18T00:00:00"/>
    <s v="Anthony Davis"/>
    <d v="2022-11-22T00:00:00"/>
    <d v="2022-12-22T00:00:00"/>
    <s v="promo"/>
    <x v="1"/>
    <x v="1"/>
    <x v="0"/>
    <b v="0"/>
    <x v="0"/>
    <x v="1"/>
    <b v="0"/>
  </r>
  <r>
    <n v="2800606"/>
    <s v="123-006-106-011"/>
    <x v="4"/>
    <x v="2"/>
    <d v="2023-01-05T00:00:00"/>
    <s v="William Young"/>
    <d v="2023-01-28T00:00:00"/>
    <m/>
    <s v="declined"/>
    <x v="0"/>
    <x v="0"/>
    <x v="0"/>
    <b v="0"/>
    <x v="0"/>
    <x v="0"/>
    <b v="0"/>
  </r>
  <r>
    <n v="2800606"/>
    <s v="123-006-106-012"/>
    <x v="4"/>
    <x v="2"/>
    <d v="2022-03-26T00:00:00"/>
    <s v="George Williams"/>
    <d v="2022-04-06T00:00:00"/>
    <m/>
    <s v="rescinded"/>
    <x v="0"/>
    <x v="1"/>
    <x v="1"/>
    <b v="0"/>
    <x v="0"/>
    <x v="0"/>
    <b v="0"/>
  </r>
  <r>
    <n v="2800606"/>
    <s v="123-006-106-013"/>
    <x v="4"/>
    <x v="2"/>
    <d v="2022-11-16T00:00:00"/>
    <s v="Charles Robinson"/>
    <d v="2022-12-08T00:00:00"/>
    <d v="2023-01-31T00:00:00"/>
    <m/>
    <x v="1"/>
    <x v="1"/>
    <x v="0"/>
    <b v="0"/>
    <x v="0"/>
    <x v="0"/>
    <b v="0"/>
  </r>
  <r>
    <n v="8448343"/>
    <s v="123-009-108-001"/>
    <x v="11"/>
    <x v="8"/>
    <d v="2022-07-13T00:00:00"/>
    <s v="Mia Ramirez"/>
    <d v="2022-08-10T00:00:00"/>
    <m/>
    <s v="declined"/>
    <x v="0"/>
    <x v="0"/>
    <x v="0"/>
    <b v="0"/>
    <x v="0"/>
    <x v="0"/>
    <b v="0"/>
  </r>
  <r>
    <n v="8448343"/>
    <s v="123-009-108-002"/>
    <x v="11"/>
    <x v="8"/>
    <d v="2022-03-29T00:00:00"/>
    <s v="Kevin Baker"/>
    <d v="2022-04-02T00:00:00"/>
    <m/>
    <s v="declined"/>
    <x v="0"/>
    <x v="0"/>
    <x v="0"/>
    <b v="0"/>
    <x v="0"/>
    <x v="0"/>
    <b v="0"/>
  </r>
  <r>
    <n v="8448343"/>
    <s v="123-009-108-003"/>
    <x v="11"/>
    <x v="8"/>
    <d v="2023-01-12T00:00:00"/>
    <s v="Charlotte Baker"/>
    <d v="2023-01-18T00:00:00"/>
    <d v="2023-01-19T00:00:00"/>
    <m/>
    <x v="1"/>
    <x v="1"/>
    <x v="0"/>
    <b v="0"/>
    <x v="0"/>
    <x v="0"/>
    <b v="0"/>
  </r>
  <r>
    <n v="8448343"/>
    <s v="123-009-108-004"/>
    <x v="11"/>
    <x v="8"/>
    <d v="2023-02-10T00:00:00"/>
    <s v="Amanda Miller"/>
    <d v="2023-02-25T00:00:00"/>
    <d v="2023-03-31T00:00:00"/>
    <m/>
    <x v="1"/>
    <x v="1"/>
    <x v="0"/>
    <b v="0"/>
    <x v="0"/>
    <x v="0"/>
    <b v="0"/>
  </r>
  <r>
    <n v="3405308"/>
    <s v="123-007-113-010"/>
    <x v="6"/>
    <x v="4"/>
    <d v="2022-07-23T00:00:00"/>
    <s v="John White"/>
    <d v="2022-08-03T00:00:00"/>
    <d v="2022-08-16T00:00:00"/>
    <s v="promo"/>
    <x v="1"/>
    <x v="1"/>
    <x v="0"/>
    <b v="0"/>
    <x v="0"/>
    <x v="1"/>
    <b v="0"/>
  </r>
  <r>
    <n v="3405308"/>
    <s v="123-007-113-011"/>
    <x v="6"/>
    <x v="4"/>
    <d v="2023-03-11T00:00:00"/>
    <s v="Linda Anderson"/>
    <d v="2023-04-04T00:00:00"/>
    <d v="2023-05-06T00:00:00"/>
    <m/>
    <x v="1"/>
    <x v="1"/>
    <x v="0"/>
    <b v="0"/>
    <x v="0"/>
    <x v="0"/>
    <b v="0"/>
  </r>
  <r>
    <n v="3405308"/>
    <s v="123-007-113-012"/>
    <x v="6"/>
    <x v="4"/>
    <d v="2022-10-07T00:00:00"/>
    <s v="Dorothy Roberts"/>
    <d v="2022-11-01T00:00:00"/>
    <m/>
    <s v="rescinded"/>
    <x v="0"/>
    <x v="1"/>
    <x v="1"/>
    <b v="0"/>
    <x v="0"/>
    <x v="0"/>
    <b v="0"/>
  </r>
  <r>
    <n v="3405308"/>
    <s v="123-007-113-013"/>
    <x v="6"/>
    <x v="4"/>
    <d v="2023-02-19T00:00:00"/>
    <s v="Daniel Walker"/>
    <d v="2023-03-07T00:00:00"/>
    <d v="2023-04-09T00:00:00"/>
    <m/>
    <x v="1"/>
    <x v="1"/>
    <x v="0"/>
    <b v="0"/>
    <x v="0"/>
    <x v="0"/>
    <b v="0"/>
  </r>
  <r>
    <n v="3405308"/>
    <s v="123-007-113-014"/>
    <x v="6"/>
    <x v="4"/>
    <d v="2022-04-21T00:00:00"/>
    <s v="Deborah Robinson"/>
    <d v="2022-04-25T00:00:00"/>
    <m/>
    <s v="rescinded"/>
    <x v="0"/>
    <x v="1"/>
    <x v="1"/>
    <b v="0"/>
    <x v="0"/>
    <x v="0"/>
    <b v="0"/>
  </r>
  <r>
    <n v="5205877"/>
    <s v="123-008-116-008"/>
    <x v="25"/>
    <x v="5"/>
    <d v="2022-02-24T00:00:00"/>
    <s v="Mary Miller"/>
    <d v="2022-03-23T00:00:00"/>
    <d v="2022-03-28T00:00:00"/>
    <s v="promo"/>
    <x v="1"/>
    <x v="1"/>
    <x v="0"/>
    <b v="0"/>
    <x v="0"/>
    <x v="1"/>
    <b v="0"/>
  </r>
  <r>
    <n v="5205877"/>
    <s v="123-008-116-009"/>
    <x v="25"/>
    <x v="5"/>
    <d v="2022-12-01T00:00:00"/>
    <s v="Barbara Harris"/>
    <d v="2022-12-06T00:00:00"/>
    <d v="2022-12-26T00:00:00"/>
    <s v="transfer"/>
    <x v="1"/>
    <x v="1"/>
    <x v="0"/>
    <b v="0"/>
    <x v="1"/>
    <x v="0"/>
    <b v="0"/>
  </r>
  <r>
    <n v="2616210"/>
    <s v="123-002-125-007"/>
    <x v="3"/>
    <x v="7"/>
    <d v="2023-05-25T00:00:00"/>
    <s v="Richard Jackson"/>
    <d v="2023-06-10T00:00:00"/>
    <d v="2023-07-13T00:00:00"/>
    <m/>
    <x v="1"/>
    <x v="1"/>
    <x v="0"/>
    <b v="0"/>
    <x v="0"/>
    <x v="0"/>
    <b v="0"/>
  </r>
  <r>
    <n v="2616210"/>
    <s v="123-002-125-008"/>
    <x v="3"/>
    <x v="7"/>
    <d v="2022-01-19T00:00:00"/>
    <s v="Nancy Phillips"/>
    <d v="2022-02-13T00:00:00"/>
    <m/>
    <s v="rescinded"/>
    <x v="0"/>
    <x v="1"/>
    <x v="1"/>
    <b v="0"/>
    <x v="0"/>
    <x v="0"/>
    <b v="0"/>
  </r>
  <r>
    <n v="2616210"/>
    <s v="123-002-125-009"/>
    <x v="3"/>
    <x v="7"/>
    <d v="2022-05-02T00:00:00"/>
    <s v="Margaret Cruz"/>
    <d v="2022-05-15T00:00:00"/>
    <m/>
    <s v="declined"/>
    <x v="0"/>
    <x v="0"/>
    <x v="0"/>
    <b v="0"/>
    <x v="0"/>
    <x v="0"/>
    <b v="0"/>
  </r>
  <r>
    <n v="2616210"/>
    <s v="123-002-125-010"/>
    <x v="3"/>
    <x v="7"/>
    <d v="2022-02-06T00:00:00"/>
    <s v="Mark Robinson"/>
    <d v="2022-02-08T00:00:00"/>
    <d v="2022-02-20T00:00:00"/>
    <m/>
    <x v="1"/>
    <x v="1"/>
    <x v="0"/>
    <b v="0"/>
    <x v="0"/>
    <x v="0"/>
    <b v="0"/>
  </r>
  <r>
    <n v="2616210"/>
    <s v="123-002-125-011"/>
    <x v="3"/>
    <x v="7"/>
    <d v="2022-06-18T00:00:00"/>
    <s v="Olivia Rivera"/>
    <d v="2022-07-04T00:00:00"/>
    <d v="2022-08-01T00:00:00"/>
    <s v="new to org"/>
    <x v="1"/>
    <x v="1"/>
    <x v="0"/>
    <b v="0"/>
    <x v="0"/>
    <x v="0"/>
    <b v="1"/>
  </r>
  <r>
    <n v="3256338"/>
    <s v="123-007-110-007"/>
    <x v="12"/>
    <x v="4"/>
    <d v="2023-04-27T00:00:00"/>
    <s v="Kevin Scott"/>
    <d v="2023-05-13T00:00:00"/>
    <d v="2023-06-18T00:00:00"/>
    <m/>
    <x v="1"/>
    <x v="1"/>
    <x v="0"/>
    <b v="0"/>
    <x v="0"/>
    <x v="0"/>
    <b v="0"/>
  </r>
  <r>
    <n v="3256338"/>
    <s v="123-007-110-008"/>
    <x v="12"/>
    <x v="4"/>
    <d v="2023-05-22T00:00:00"/>
    <s v="Betty Taylor"/>
    <d v="2023-06-10T00:00:00"/>
    <d v="2023-07-05T00:00:00"/>
    <s v="transfer"/>
    <x v="1"/>
    <x v="1"/>
    <x v="0"/>
    <b v="0"/>
    <x v="1"/>
    <x v="0"/>
    <b v="0"/>
  </r>
  <r>
    <n v="3256338"/>
    <s v="123-007-110-009"/>
    <x v="12"/>
    <x v="4"/>
    <d v="2022-11-25T00:00:00"/>
    <s v="Deborah Jackson"/>
    <d v="2022-11-27T00:00:00"/>
    <d v="2022-11-29T00:00:00"/>
    <s v="new to org"/>
    <x v="1"/>
    <x v="1"/>
    <x v="0"/>
    <b v="0"/>
    <x v="0"/>
    <x v="0"/>
    <b v="1"/>
  </r>
  <r>
    <n v="3256338"/>
    <s v="123-007-110-010"/>
    <x v="12"/>
    <x v="4"/>
    <d v="2022-12-24T00:00:00"/>
    <s v="Mason White"/>
    <d v="2023-01-19T00:00:00"/>
    <d v="2023-03-08T00:00:00"/>
    <s v="promo"/>
    <x v="1"/>
    <x v="1"/>
    <x v="0"/>
    <b v="0"/>
    <x v="0"/>
    <x v="1"/>
    <b v="0"/>
  </r>
  <r>
    <n v="1451304"/>
    <s v="123-006-125-001"/>
    <x v="3"/>
    <x v="2"/>
    <d v="2022-11-30T00:00:00"/>
    <s v="Mary Wright"/>
    <d v="2022-12-02T00:00:00"/>
    <m/>
    <s v="declined"/>
    <x v="0"/>
    <x v="0"/>
    <x v="0"/>
    <b v="0"/>
    <x v="0"/>
    <x v="0"/>
    <b v="0"/>
  </r>
  <r>
    <n v="1451304"/>
    <s v="123-006-125-002"/>
    <x v="3"/>
    <x v="2"/>
    <d v="2022-12-26T00:00:00"/>
    <s v="Daniel Clark"/>
    <d v="2022-12-28T00:00:00"/>
    <m/>
    <s v="rescinded"/>
    <x v="0"/>
    <x v="1"/>
    <x v="1"/>
    <b v="0"/>
    <x v="0"/>
    <x v="0"/>
    <b v="0"/>
  </r>
  <r>
    <n v="1451304"/>
    <s v="123-006-125-003"/>
    <x v="3"/>
    <x v="2"/>
    <d v="2022-11-16T00:00:00"/>
    <s v="Jessica Adams"/>
    <d v="2022-12-05T00:00:00"/>
    <d v="2022-12-11T00:00:00"/>
    <s v="promo"/>
    <x v="1"/>
    <x v="1"/>
    <x v="0"/>
    <b v="0"/>
    <x v="0"/>
    <x v="1"/>
    <b v="0"/>
  </r>
  <r>
    <n v="1451304"/>
    <s v="123-006-125-004"/>
    <x v="3"/>
    <x v="2"/>
    <d v="2022-04-28T00:00:00"/>
    <s v="Logan Martin"/>
    <d v="2022-05-09T00:00:00"/>
    <d v="2022-05-20T00:00:00"/>
    <s v="transfer"/>
    <x v="1"/>
    <x v="1"/>
    <x v="0"/>
    <b v="0"/>
    <x v="1"/>
    <x v="0"/>
    <b v="0"/>
  </r>
  <r>
    <n v="8732776"/>
    <s v="123-007-122-003"/>
    <x v="17"/>
    <x v="4"/>
    <d v="2023-04-26T00:00:00"/>
    <s v="Sarah Johnson"/>
    <d v="2023-05-15T00:00:00"/>
    <d v="2023-05-17T00:00:00"/>
    <m/>
    <x v="1"/>
    <x v="1"/>
    <x v="0"/>
    <b v="0"/>
    <x v="0"/>
    <x v="0"/>
    <b v="0"/>
  </r>
  <r>
    <n v="8732776"/>
    <s v="123-007-122-004"/>
    <x v="17"/>
    <x v="4"/>
    <d v="2022-11-27T00:00:00"/>
    <s v="Andrew Harris"/>
    <d v="2022-12-16T00:00:00"/>
    <d v="2022-12-23T00:00:00"/>
    <m/>
    <x v="1"/>
    <x v="1"/>
    <x v="0"/>
    <b v="0"/>
    <x v="0"/>
    <x v="0"/>
    <b v="0"/>
  </r>
  <r>
    <n v="8732776"/>
    <s v="123-007-122-005"/>
    <x v="17"/>
    <x v="4"/>
    <d v="2022-07-30T00:00:00"/>
    <s v="Brian Baker"/>
    <d v="2022-08-10T00:00:00"/>
    <d v="2022-09-11T00:00:00"/>
    <s v="transfer"/>
    <x v="1"/>
    <x v="1"/>
    <x v="0"/>
    <b v="0"/>
    <x v="1"/>
    <x v="0"/>
    <b v="0"/>
  </r>
  <r>
    <n v="8732776"/>
    <s v="123-007-122-006"/>
    <x v="17"/>
    <x v="4"/>
    <d v="2022-11-03T00:00:00"/>
    <s v="David Flores"/>
    <d v="2022-11-15T00:00:00"/>
    <d v="2022-12-13T00:00:00"/>
    <s v="new to org"/>
    <x v="1"/>
    <x v="1"/>
    <x v="0"/>
    <b v="0"/>
    <x v="0"/>
    <x v="0"/>
    <b v="1"/>
  </r>
  <r>
    <n v="8732776"/>
    <s v="123-007-122-007"/>
    <x v="17"/>
    <x v="4"/>
    <d v="2022-03-19T00:00:00"/>
    <s v="Kenneth Diaz"/>
    <d v="2022-04-15T00:00:00"/>
    <m/>
    <s v="rescinded"/>
    <x v="0"/>
    <x v="1"/>
    <x v="1"/>
    <b v="0"/>
    <x v="0"/>
    <x v="0"/>
    <b v="0"/>
  </r>
  <r>
    <n v="9989803"/>
    <s v="123-005-107-001"/>
    <x v="26"/>
    <x v="0"/>
    <d v="2022-03-20T00:00:00"/>
    <s v="Susan Thompson"/>
    <d v="2022-04-10T00:00:00"/>
    <m/>
    <s v="declined"/>
    <x v="0"/>
    <x v="0"/>
    <x v="0"/>
    <b v="0"/>
    <x v="0"/>
    <x v="0"/>
    <b v="0"/>
  </r>
  <r>
    <n v="9989803"/>
    <s v="123-005-107-002"/>
    <x v="26"/>
    <x v="0"/>
    <d v="2022-04-05T00:00:00"/>
    <s v="Ethan Anderson"/>
    <d v="2022-04-28T00:00:00"/>
    <d v="2022-06-22T00:00:00"/>
    <m/>
    <x v="1"/>
    <x v="1"/>
    <x v="0"/>
    <b v="0"/>
    <x v="0"/>
    <x v="0"/>
    <b v="0"/>
  </r>
  <r>
    <n v="9989803"/>
    <s v="123-005-107-003"/>
    <x v="26"/>
    <x v="0"/>
    <d v="2023-06-28T00:00:00"/>
    <s v="Sarah Jones"/>
    <d v="2023-07-14T00:00:00"/>
    <d v="2023-08-11T00:00:00"/>
    <s v="new to org"/>
    <x v="1"/>
    <x v="1"/>
    <x v="0"/>
    <b v="0"/>
    <x v="0"/>
    <x v="0"/>
    <b v="1"/>
  </r>
  <r>
    <n v="6064152"/>
    <s v="123-005-117-001"/>
    <x v="9"/>
    <x v="0"/>
    <d v="2023-02-16T00:00:00"/>
    <s v="Richard Clark"/>
    <d v="2023-02-25T00:00:00"/>
    <d v="2023-04-06T00:00:00"/>
    <s v="new to org"/>
    <x v="1"/>
    <x v="1"/>
    <x v="0"/>
    <b v="0"/>
    <x v="0"/>
    <x v="0"/>
    <b v="1"/>
  </r>
  <r>
    <n v="6064152"/>
    <s v="123-005-117-002"/>
    <x v="9"/>
    <x v="0"/>
    <d v="2023-06-13T00:00:00"/>
    <s v="Olivia Johnson"/>
    <d v="2023-07-11T00:00:00"/>
    <d v="2023-07-23T00:00:00"/>
    <s v="promo"/>
    <x v="1"/>
    <x v="1"/>
    <x v="0"/>
    <b v="0"/>
    <x v="0"/>
    <x v="1"/>
    <b v="0"/>
  </r>
  <r>
    <n v="6064152"/>
    <s v="123-005-117-003"/>
    <x v="9"/>
    <x v="0"/>
    <d v="2023-04-24T00:00:00"/>
    <s v="Kevin Evans"/>
    <d v="2023-05-03T00:00:00"/>
    <d v="2023-07-02T00:00:00"/>
    <s v="promo"/>
    <x v="1"/>
    <x v="1"/>
    <x v="0"/>
    <b v="0"/>
    <x v="0"/>
    <x v="1"/>
    <b v="0"/>
  </r>
  <r>
    <n v="6064152"/>
    <s v="123-005-117-004"/>
    <x v="9"/>
    <x v="0"/>
    <d v="2022-03-03T00:00:00"/>
    <s v="Jackson Torres"/>
    <d v="2022-03-20T00:00:00"/>
    <d v="2022-04-02T00:00:00"/>
    <m/>
    <x v="1"/>
    <x v="1"/>
    <x v="0"/>
    <b v="0"/>
    <x v="0"/>
    <x v="0"/>
    <b v="0"/>
  </r>
  <r>
    <n v="7111514"/>
    <s v="123-003-115-001"/>
    <x v="22"/>
    <x v="9"/>
    <d v="2022-11-04T00:00:00"/>
    <s v="Amanda Carter"/>
    <d v="2022-12-02T00:00:00"/>
    <m/>
    <s v="declined"/>
    <x v="0"/>
    <x v="0"/>
    <x v="0"/>
    <b v="0"/>
    <x v="0"/>
    <x v="0"/>
    <b v="0"/>
  </r>
  <r>
    <n v="7111514"/>
    <s v="123-003-115-002"/>
    <x v="22"/>
    <x v="9"/>
    <d v="2022-03-07T00:00:00"/>
    <s v="Logan Turner"/>
    <d v="2022-03-28T00:00:00"/>
    <d v="2022-04-11T00:00:00"/>
    <s v="new to org"/>
    <x v="1"/>
    <x v="1"/>
    <x v="0"/>
    <b v="0"/>
    <x v="0"/>
    <x v="0"/>
    <b v="1"/>
  </r>
  <r>
    <n v="7919567"/>
    <s v="123-005-109-001"/>
    <x v="21"/>
    <x v="0"/>
    <d v="2023-02-20T00:00:00"/>
    <s v="Joshua Thomas"/>
    <d v="2023-02-28T00:00:00"/>
    <m/>
    <s v="declined"/>
    <x v="0"/>
    <x v="0"/>
    <x v="0"/>
    <b v="0"/>
    <x v="0"/>
    <x v="0"/>
    <b v="0"/>
  </r>
  <r>
    <n v="7919567"/>
    <s v="123-005-109-002"/>
    <x v="21"/>
    <x v="0"/>
    <d v="2022-09-09T00:00:00"/>
    <s v="Richard Johnson"/>
    <d v="2022-10-05T00:00:00"/>
    <m/>
    <s v="declined"/>
    <x v="0"/>
    <x v="0"/>
    <x v="0"/>
    <b v="0"/>
    <x v="0"/>
    <x v="0"/>
    <b v="0"/>
  </r>
  <r>
    <n v="6210006"/>
    <s v="123-008-115-004"/>
    <x v="22"/>
    <x v="5"/>
    <d v="2022-02-07T00:00:00"/>
    <s v="Carol Edwards"/>
    <d v="2022-02-14T00:00:00"/>
    <d v="2022-02-25T00:00:00"/>
    <m/>
    <x v="1"/>
    <x v="1"/>
    <x v="0"/>
    <b v="0"/>
    <x v="0"/>
    <x v="0"/>
    <b v="0"/>
  </r>
  <r>
    <n v="6210006"/>
    <s v="123-008-115-005"/>
    <x v="22"/>
    <x v="5"/>
    <d v="2022-10-12T00:00:00"/>
    <s v="Mary Taylor"/>
    <d v="2022-11-03T00:00:00"/>
    <m/>
    <s v="rescinded"/>
    <x v="0"/>
    <x v="1"/>
    <x v="1"/>
    <b v="0"/>
    <x v="0"/>
    <x v="0"/>
    <b v="0"/>
  </r>
  <r>
    <n v="6210006"/>
    <s v="123-008-115-006"/>
    <x v="22"/>
    <x v="5"/>
    <d v="2022-01-21T00:00:00"/>
    <s v="George Young"/>
    <d v="2022-01-23T00:00:00"/>
    <d v="2022-03-20T00:00:00"/>
    <s v="transfer"/>
    <x v="1"/>
    <x v="1"/>
    <x v="0"/>
    <b v="0"/>
    <x v="1"/>
    <x v="0"/>
    <b v="0"/>
  </r>
  <r>
    <n v="6210006"/>
    <s v="123-008-115-007"/>
    <x v="22"/>
    <x v="5"/>
    <d v="2022-03-07T00:00:00"/>
    <s v="Joshua Martin"/>
    <d v="2022-04-05T00:00:00"/>
    <d v="2022-05-02T00:00:00"/>
    <s v="new to org"/>
    <x v="1"/>
    <x v="1"/>
    <x v="0"/>
    <b v="0"/>
    <x v="0"/>
    <x v="0"/>
    <b v="1"/>
  </r>
  <r>
    <n v="6210006"/>
    <s v="123-008-115-008"/>
    <x v="22"/>
    <x v="5"/>
    <d v="2022-05-24T00:00:00"/>
    <s v="Betty Turner"/>
    <d v="2022-06-01T00:00:00"/>
    <d v="2022-06-09T00:00:00"/>
    <s v="transfer"/>
    <x v="1"/>
    <x v="1"/>
    <x v="0"/>
    <b v="0"/>
    <x v="1"/>
    <x v="0"/>
    <b v="0"/>
  </r>
  <r>
    <n v="9392777"/>
    <s v="123-002-130-017"/>
    <x v="23"/>
    <x v="7"/>
    <d v="2022-04-03T00:00:00"/>
    <s v="Ashley Cruz"/>
    <d v="2022-04-11T00:00:00"/>
    <d v="2022-05-20T00:00:00"/>
    <s v="new to org"/>
    <x v="1"/>
    <x v="1"/>
    <x v="0"/>
    <b v="0"/>
    <x v="0"/>
    <x v="0"/>
    <b v="1"/>
  </r>
  <r>
    <n v="9392777"/>
    <s v="123-002-130-018"/>
    <x v="23"/>
    <x v="7"/>
    <d v="2022-12-04T00:00:00"/>
    <s v="Ethan Lee"/>
    <d v="2022-12-31T00:00:00"/>
    <m/>
    <s v="declined"/>
    <x v="0"/>
    <x v="0"/>
    <x v="0"/>
    <b v="0"/>
    <x v="0"/>
    <x v="0"/>
    <b v="0"/>
  </r>
  <r>
    <n v="9392777"/>
    <s v="123-002-130-019"/>
    <x v="23"/>
    <x v="7"/>
    <d v="2022-08-30T00:00:00"/>
    <s v="Ethan Mitchell"/>
    <d v="2022-09-29T00:00:00"/>
    <d v="2022-10-27T00:00:00"/>
    <m/>
    <x v="1"/>
    <x v="1"/>
    <x v="0"/>
    <b v="0"/>
    <x v="0"/>
    <x v="0"/>
    <b v="0"/>
  </r>
  <r>
    <n v="9392777"/>
    <s v="123-002-130-020"/>
    <x v="23"/>
    <x v="7"/>
    <d v="2022-08-08T00:00:00"/>
    <s v="Michael Lopez"/>
    <d v="2022-08-17T00:00:00"/>
    <m/>
    <s v="rescinded"/>
    <x v="0"/>
    <x v="1"/>
    <x v="1"/>
    <b v="0"/>
    <x v="0"/>
    <x v="0"/>
    <b v="0"/>
  </r>
  <r>
    <n v="9392777"/>
    <s v="123-002-130-021"/>
    <x v="23"/>
    <x v="7"/>
    <d v="2022-02-27T00:00:00"/>
    <s v="Logan Nguyen"/>
    <d v="2022-03-15T00:00:00"/>
    <d v="2022-04-19T00:00:00"/>
    <s v="new to org"/>
    <x v="1"/>
    <x v="1"/>
    <x v="0"/>
    <b v="0"/>
    <x v="0"/>
    <x v="0"/>
    <b v="1"/>
  </r>
  <r>
    <n v="7286506"/>
    <s v="123-002-123-001"/>
    <x v="19"/>
    <x v="7"/>
    <d v="2022-10-12T00:00:00"/>
    <s v="Amanda Thomas"/>
    <d v="2022-11-10T00:00:00"/>
    <d v="2022-12-31T00:00:00"/>
    <m/>
    <x v="1"/>
    <x v="1"/>
    <x v="0"/>
    <b v="0"/>
    <x v="0"/>
    <x v="0"/>
    <b v="0"/>
  </r>
  <r>
    <n v="7286506"/>
    <s v="123-002-123-002"/>
    <x v="19"/>
    <x v="7"/>
    <d v="2023-01-12T00:00:00"/>
    <s v="Donald Rivera"/>
    <d v="2023-02-08T00:00:00"/>
    <d v="2023-02-28T00:00:00"/>
    <s v="new to org"/>
    <x v="1"/>
    <x v="1"/>
    <x v="0"/>
    <b v="0"/>
    <x v="0"/>
    <x v="0"/>
    <b v="1"/>
  </r>
  <r>
    <n v="7286506"/>
    <s v="123-002-123-003"/>
    <x v="19"/>
    <x v="7"/>
    <d v="2022-02-05T00:00:00"/>
    <s v="Lucas Hill"/>
    <d v="2022-03-04T00:00:00"/>
    <m/>
    <s v="declined"/>
    <x v="0"/>
    <x v="0"/>
    <x v="0"/>
    <b v="0"/>
    <x v="0"/>
    <x v="0"/>
    <b v="0"/>
  </r>
  <r>
    <n v="1917249"/>
    <s v="123-004-123-001"/>
    <x v="19"/>
    <x v="1"/>
    <d v="2023-01-07T00:00:00"/>
    <s v="Kenneth Hall"/>
    <d v="2023-02-05T00:00:00"/>
    <d v="2023-03-29T00:00:00"/>
    <s v="new to org"/>
    <x v="1"/>
    <x v="1"/>
    <x v="0"/>
    <b v="0"/>
    <x v="0"/>
    <x v="0"/>
    <b v="1"/>
  </r>
  <r>
    <n v="1917249"/>
    <s v="123-004-123-002"/>
    <x v="19"/>
    <x v="1"/>
    <d v="2023-02-02T00:00:00"/>
    <s v="Mia Lewis"/>
    <d v="2023-02-03T00:00:00"/>
    <d v="2023-04-03T00:00:00"/>
    <s v="promo"/>
    <x v="1"/>
    <x v="1"/>
    <x v="0"/>
    <b v="0"/>
    <x v="0"/>
    <x v="1"/>
    <b v="0"/>
  </r>
  <r>
    <n v="1917249"/>
    <s v="123-004-123-003"/>
    <x v="19"/>
    <x v="1"/>
    <d v="2022-08-30T00:00:00"/>
    <s v="Karen Garcia"/>
    <d v="2022-09-09T00:00:00"/>
    <d v="2022-09-23T00:00:00"/>
    <s v="new to org"/>
    <x v="1"/>
    <x v="1"/>
    <x v="0"/>
    <b v="0"/>
    <x v="0"/>
    <x v="0"/>
    <b v="1"/>
  </r>
  <r>
    <n v="3688166"/>
    <s v="123-008-130-004"/>
    <x v="23"/>
    <x v="5"/>
    <d v="2022-10-08T00:00:00"/>
    <s v="Sophia Williams"/>
    <d v="2022-11-05T00:00:00"/>
    <d v="2022-11-11T00:00:00"/>
    <m/>
    <x v="1"/>
    <x v="1"/>
    <x v="0"/>
    <b v="0"/>
    <x v="0"/>
    <x v="0"/>
    <b v="0"/>
  </r>
  <r>
    <n v="3688166"/>
    <s v="123-008-130-005"/>
    <x v="23"/>
    <x v="5"/>
    <d v="2023-02-27T00:00:00"/>
    <s v="Donald Mitchell"/>
    <d v="2023-03-29T00:00:00"/>
    <d v="2023-05-22T00:00:00"/>
    <m/>
    <x v="1"/>
    <x v="1"/>
    <x v="0"/>
    <b v="0"/>
    <x v="0"/>
    <x v="0"/>
    <b v="0"/>
  </r>
  <r>
    <n v="3688166"/>
    <s v="123-008-130-006"/>
    <x v="23"/>
    <x v="5"/>
    <d v="2022-04-13T00:00:00"/>
    <s v="Olivia Collins"/>
    <d v="2022-05-10T00:00:00"/>
    <d v="2022-05-21T00:00:00"/>
    <m/>
    <x v="1"/>
    <x v="1"/>
    <x v="0"/>
    <b v="0"/>
    <x v="0"/>
    <x v="0"/>
    <b v="0"/>
  </r>
  <r>
    <n v="5378351"/>
    <s v="123-002-117-005"/>
    <x v="9"/>
    <x v="7"/>
    <d v="2022-01-29T00:00:00"/>
    <s v="Sandra Hall"/>
    <d v="2022-02-23T00:00:00"/>
    <d v="2022-02-27T00:00:00"/>
    <s v="new to org"/>
    <x v="1"/>
    <x v="1"/>
    <x v="0"/>
    <b v="0"/>
    <x v="0"/>
    <x v="0"/>
    <b v="1"/>
  </r>
  <r>
    <n v="5378351"/>
    <s v="123-002-117-006"/>
    <x v="9"/>
    <x v="7"/>
    <d v="2022-05-20T00:00:00"/>
    <s v="Kenneth Lewis"/>
    <d v="2022-05-21T00:00:00"/>
    <d v="2022-06-16T00:00:00"/>
    <s v="promo"/>
    <x v="1"/>
    <x v="1"/>
    <x v="0"/>
    <b v="0"/>
    <x v="0"/>
    <x v="1"/>
    <b v="0"/>
  </r>
  <r>
    <n v="5378351"/>
    <s v="123-002-117-007"/>
    <x v="9"/>
    <x v="7"/>
    <d v="2022-03-26T00:00:00"/>
    <s v="Karen Lee"/>
    <d v="2022-03-30T00:00:00"/>
    <m/>
    <s v="rescinded"/>
    <x v="0"/>
    <x v="1"/>
    <x v="1"/>
    <b v="0"/>
    <x v="0"/>
    <x v="0"/>
    <b v="0"/>
  </r>
  <r>
    <n v="3647821"/>
    <s v="123-009-108-005"/>
    <x v="11"/>
    <x v="8"/>
    <d v="2023-04-08T00:00:00"/>
    <s v="Sophia Lee"/>
    <d v="2023-04-24T00:00:00"/>
    <d v="2023-06-19T00:00:00"/>
    <m/>
    <x v="1"/>
    <x v="1"/>
    <x v="0"/>
    <b v="0"/>
    <x v="0"/>
    <x v="0"/>
    <b v="0"/>
  </r>
  <r>
    <n v="3647821"/>
    <s v="123-009-108-006"/>
    <x v="11"/>
    <x v="8"/>
    <d v="2022-12-02T00:00:00"/>
    <s v="Barbara Baker"/>
    <d v="2022-12-28T00:00:00"/>
    <d v="2023-01-16T00:00:00"/>
    <s v="new to org"/>
    <x v="1"/>
    <x v="1"/>
    <x v="0"/>
    <b v="0"/>
    <x v="0"/>
    <x v="0"/>
    <b v="1"/>
  </r>
  <r>
    <n v="4333024"/>
    <s v="123-007-103-005"/>
    <x v="8"/>
    <x v="4"/>
    <d v="2022-08-18T00:00:00"/>
    <s v="Olivia Harris"/>
    <d v="2022-08-19T00:00:00"/>
    <m/>
    <s v="declined"/>
    <x v="0"/>
    <x v="0"/>
    <x v="0"/>
    <b v="0"/>
    <x v="0"/>
    <x v="0"/>
    <b v="0"/>
  </r>
  <r>
    <n v="4333024"/>
    <s v="123-007-103-006"/>
    <x v="8"/>
    <x v="4"/>
    <d v="2023-04-19T00:00:00"/>
    <s v="Ava Garcia"/>
    <d v="2023-04-26T00:00:00"/>
    <d v="2023-05-13T00:00:00"/>
    <s v="promo"/>
    <x v="1"/>
    <x v="1"/>
    <x v="0"/>
    <b v="0"/>
    <x v="0"/>
    <x v="1"/>
    <b v="0"/>
  </r>
  <r>
    <n v="4333024"/>
    <s v="123-007-103-007"/>
    <x v="8"/>
    <x v="4"/>
    <d v="2023-03-16T00:00:00"/>
    <s v="Patricia Sanchez"/>
    <d v="2023-04-05T00:00:00"/>
    <d v="2023-04-22T00:00:00"/>
    <s v="promo"/>
    <x v="1"/>
    <x v="1"/>
    <x v="0"/>
    <b v="0"/>
    <x v="0"/>
    <x v="1"/>
    <b v="0"/>
  </r>
  <r>
    <n v="3504019"/>
    <s v="123-006-103-001"/>
    <x v="8"/>
    <x v="2"/>
    <d v="2023-06-23T00:00:00"/>
    <s v="James Rivera"/>
    <d v="2023-07-07T00:00:00"/>
    <d v="2023-08-26T00:00:00"/>
    <s v="transfer"/>
    <x v="1"/>
    <x v="1"/>
    <x v="0"/>
    <b v="0"/>
    <x v="1"/>
    <x v="0"/>
    <b v="0"/>
  </r>
  <r>
    <n v="3504019"/>
    <s v="123-006-103-002"/>
    <x v="8"/>
    <x v="2"/>
    <d v="2023-05-22T00:00:00"/>
    <s v="Isabella Baker"/>
    <d v="2023-05-26T00:00:00"/>
    <d v="2023-06-10T00:00:00"/>
    <m/>
    <x v="1"/>
    <x v="1"/>
    <x v="0"/>
    <b v="0"/>
    <x v="0"/>
    <x v="0"/>
    <b v="0"/>
  </r>
  <r>
    <n v="4408213"/>
    <s v="123-005-107-004"/>
    <x v="26"/>
    <x v="0"/>
    <d v="2022-07-31T00:00:00"/>
    <s v="William Ramirez"/>
    <d v="2022-08-20T00:00:00"/>
    <d v="2022-09-03T00:00:00"/>
    <m/>
    <x v="1"/>
    <x v="1"/>
    <x v="0"/>
    <b v="0"/>
    <x v="0"/>
    <x v="0"/>
    <b v="0"/>
  </r>
  <r>
    <n v="4408213"/>
    <s v="123-005-107-005"/>
    <x v="26"/>
    <x v="0"/>
    <d v="2022-07-13T00:00:00"/>
    <s v="George Baker"/>
    <d v="2022-07-27T00:00:00"/>
    <d v="2022-08-08T00:00:00"/>
    <s v="new to org"/>
    <x v="1"/>
    <x v="1"/>
    <x v="0"/>
    <b v="0"/>
    <x v="0"/>
    <x v="0"/>
    <b v="1"/>
  </r>
  <r>
    <n v="4408213"/>
    <s v="123-005-107-006"/>
    <x v="26"/>
    <x v="0"/>
    <d v="2022-09-26T00:00:00"/>
    <s v="Mary Jackson"/>
    <d v="2022-10-04T00:00:00"/>
    <d v="2022-11-13T00:00:00"/>
    <s v="promo"/>
    <x v="1"/>
    <x v="1"/>
    <x v="0"/>
    <b v="0"/>
    <x v="0"/>
    <x v="1"/>
    <b v="0"/>
  </r>
  <r>
    <n v="8566133"/>
    <s v="123-004-130-006"/>
    <x v="23"/>
    <x v="1"/>
    <d v="2023-04-26T00:00:00"/>
    <s v="Jennifer Smith"/>
    <d v="2023-05-01T00:00:00"/>
    <d v="2023-06-26T00:00:00"/>
    <m/>
    <x v="1"/>
    <x v="1"/>
    <x v="0"/>
    <b v="0"/>
    <x v="0"/>
    <x v="0"/>
    <b v="0"/>
  </r>
  <r>
    <n v="8566133"/>
    <s v="123-004-130-007"/>
    <x v="23"/>
    <x v="1"/>
    <d v="2023-01-28T00:00:00"/>
    <s v="Amanda Wilson"/>
    <d v="2023-02-20T00:00:00"/>
    <d v="2023-03-20T00:00:00"/>
    <m/>
    <x v="1"/>
    <x v="1"/>
    <x v="0"/>
    <b v="0"/>
    <x v="0"/>
    <x v="0"/>
    <b v="0"/>
  </r>
  <r>
    <n v="8566133"/>
    <s v="123-004-130-008"/>
    <x v="23"/>
    <x v="1"/>
    <d v="2022-03-02T00:00:00"/>
    <s v="John Miller"/>
    <d v="2022-03-04T00:00:00"/>
    <d v="2022-03-26T00:00:00"/>
    <s v="new to org"/>
    <x v="1"/>
    <x v="1"/>
    <x v="0"/>
    <b v="0"/>
    <x v="0"/>
    <x v="0"/>
    <b v="1"/>
  </r>
  <r>
    <n v="4939985"/>
    <s v="123-006-116-001"/>
    <x v="25"/>
    <x v="2"/>
    <d v="2023-06-01T00:00:00"/>
    <s v="James Taylor"/>
    <d v="2023-06-21T00:00:00"/>
    <d v="2023-07-16T00:00:00"/>
    <s v="transfer"/>
    <x v="1"/>
    <x v="1"/>
    <x v="0"/>
    <b v="0"/>
    <x v="1"/>
    <x v="0"/>
    <b v="0"/>
  </r>
  <r>
    <n v="4939985"/>
    <s v="123-006-116-002"/>
    <x v="25"/>
    <x v="2"/>
    <d v="2022-05-16T00:00:00"/>
    <s v="Kevin White"/>
    <d v="2022-06-14T00:00:00"/>
    <d v="2022-07-20T00:00:00"/>
    <m/>
    <x v="1"/>
    <x v="1"/>
    <x v="0"/>
    <b v="0"/>
    <x v="0"/>
    <x v="0"/>
    <b v="0"/>
  </r>
  <r>
    <n v="4939985"/>
    <s v="123-006-116-003"/>
    <x v="25"/>
    <x v="2"/>
    <d v="2022-06-23T00:00:00"/>
    <s v="Barbara Taylor"/>
    <d v="2022-07-10T00:00:00"/>
    <m/>
    <s v="declined"/>
    <x v="0"/>
    <x v="0"/>
    <x v="0"/>
    <b v="0"/>
    <x v="0"/>
    <x v="0"/>
    <b v="0"/>
  </r>
  <r>
    <n v="4939985"/>
    <s v="123-006-116-004"/>
    <x v="25"/>
    <x v="2"/>
    <d v="2022-05-16T00:00:00"/>
    <s v="Olivia Robinson"/>
    <d v="2022-05-19T00:00:00"/>
    <d v="2022-06-09T00:00:00"/>
    <s v="new to org"/>
    <x v="1"/>
    <x v="1"/>
    <x v="0"/>
    <b v="0"/>
    <x v="0"/>
    <x v="0"/>
    <b v="1"/>
  </r>
  <r>
    <n v="4939985"/>
    <s v="123-006-116-005"/>
    <x v="25"/>
    <x v="2"/>
    <d v="2022-04-30T00:00:00"/>
    <s v="Elizabeth Taylor"/>
    <d v="2022-05-11T00:00:00"/>
    <d v="2022-05-14T00:00:00"/>
    <m/>
    <x v="1"/>
    <x v="1"/>
    <x v="0"/>
    <b v="0"/>
    <x v="0"/>
    <x v="0"/>
    <b v="0"/>
  </r>
  <r>
    <n v="3145327"/>
    <s v="123-005-116-010"/>
    <x v="25"/>
    <x v="0"/>
    <d v="2022-09-27T00:00:00"/>
    <s v="Lucas Cruz"/>
    <d v="2022-10-17T00:00:00"/>
    <d v="2022-12-10T00:00:00"/>
    <s v="new to org"/>
    <x v="1"/>
    <x v="1"/>
    <x v="0"/>
    <b v="0"/>
    <x v="0"/>
    <x v="0"/>
    <b v="1"/>
  </r>
  <r>
    <n v="3145327"/>
    <s v="123-005-116-011"/>
    <x v="25"/>
    <x v="0"/>
    <d v="2023-03-23T00:00:00"/>
    <s v="Kimberly Lee"/>
    <d v="2023-04-21T00:00:00"/>
    <d v="2023-05-02T00:00:00"/>
    <s v="new to org"/>
    <x v="1"/>
    <x v="1"/>
    <x v="0"/>
    <b v="0"/>
    <x v="0"/>
    <x v="0"/>
    <b v="1"/>
  </r>
  <r>
    <n v="3145327"/>
    <s v="123-005-116-012"/>
    <x v="25"/>
    <x v="0"/>
    <d v="2023-03-27T00:00:00"/>
    <s v="Edward Martinez"/>
    <d v="2023-03-29T00:00:00"/>
    <d v="2023-04-11T00:00:00"/>
    <m/>
    <x v="1"/>
    <x v="1"/>
    <x v="0"/>
    <b v="0"/>
    <x v="0"/>
    <x v="0"/>
    <b v="0"/>
  </r>
  <r>
    <n v="3493443"/>
    <s v="123-004-102-002"/>
    <x v="27"/>
    <x v="1"/>
    <m/>
    <m/>
    <m/>
    <m/>
    <s v="cancelled"/>
    <x v="0"/>
    <x v="1"/>
    <x v="0"/>
    <b v="1"/>
    <x v="0"/>
    <x v="0"/>
    <b v="0"/>
  </r>
  <r>
    <n v="3493443"/>
    <s v="123-004-102-003"/>
    <x v="27"/>
    <x v="1"/>
    <d v="2023-03-23T00:00:00"/>
    <s v="Dorothy Robinson"/>
    <d v="2023-03-27T00:00:00"/>
    <m/>
    <s v="declined"/>
    <x v="0"/>
    <x v="0"/>
    <x v="0"/>
    <b v="0"/>
    <x v="0"/>
    <x v="0"/>
    <b v="0"/>
  </r>
  <r>
    <n v="9303225"/>
    <s v="123-008-102-006"/>
    <x v="27"/>
    <x v="5"/>
    <d v="2022-04-26T00:00:00"/>
    <s v="Sandra Young"/>
    <d v="2022-05-24T00:00:00"/>
    <d v="2022-07-10T00:00:00"/>
    <m/>
    <x v="1"/>
    <x v="1"/>
    <x v="0"/>
    <b v="0"/>
    <x v="0"/>
    <x v="0"/>
    <b v="0"/>
  </r>
  <r>
    <n v="9303225"/>
    <s v="123-008-102-007"/>
    <x v="27"/>
    <x v="5"/>
    <d v="2022-07-28T00:00:00"/>
    <s v="Daniel Garcia"/>
    <d v="2022-08-25T00:00:00"/>
    <d v="2022-09-13T00:00:00"/>
    <s v="transfer"/>
    <x v="1"/>
    <x v="1"/>
    <x v="0"/>
    <b v="0"/>
    <x v="1"/>
    <x v="0"/>
    <b v="0"/>
  </r>
  <r>
    <n v="9303225"/>
    <s v="123-008-102-008"/>
    <x v="27"/>
    <x v="5"/>
    <d v="2023-06-05T00:00:00"/>
    <s v="David Mitchell"/>
    <d v="2023-07-02T00:00:00"/>
    <m/>
    <s v="declined"/>
    <x v="0"/>
    <x v="0"/>
    <x v="0"/>
    <b v="0"/>
    <x v="0"/>
    <x v="0"/>
    <b v="0"/>
  </r>
  <r>
    <n v="5576682"/>
    <s v="123-010-119-007"/>
    <x v="2"/>
    <x v="6"/>
    <d v="2022-07-04T00:00:00"/>
    <s v="Kimberly Roberts"/>
    <d v="2022-07-18T00:00:00"/>
    <d v="2022-09-15T00:00:00"/>
    <s v="transfer"/>
    <x v="1"/>
    <x v="1"/>
    <x v="0"/>
    <b v="0"/>
    <x v="1"/>
    <x v="0"/>
    <b v="0"/>
  </r>
  <r>
    <n v="5576682"/>
    <s v="123-010-119-008"/>
    <x v="2"/>
    <x v="6"/>
    <d v="2022-04-07T00:00:00"/>
    <s v="Deborah Young"/>
    <d v="2022-05-06T00:00:00"/>
    <m/>
    <s v="declined"/>
    <x v="0"/>
    <x v="0"/>
    <x v="0"/>
    <b v="0"/>
    <x v="0"/>
    <x v="0"/>
    <b v="0"/>
  </r>
  <r>
    <n v="6513962"/>
    <s v="123-005-101-007"/>
    <x v="0"/>
    <x v="0"/>
    <d v="2022-11-28T00:00:00"/>
    <s v="Donna Miller"/>
    <d v="2022-12-03T00:00:00"/>
    <m/>
    <s v="rescinded"/>
    <x v="0"/>
    <x v="1"/>
    <x v="1"/>
    <b v="0"/>
    <x v="0"/>
    <x v="0"/>
    <b v="0"/>
  </r>
  <r>
    <n v="1484433"/>
    <s v="123-008-103-011"/>
    <x v="8"/>
    <x v="5"/>
    <d v="2022-01-06T00:00:00"/>
    <s v="Joshua Nelson"/>
    <d v="2022-01-17T00:00:00"/>
    <d v="2022-01-20T00:00:00"/>
    <s v="new to org"/>
    <x v="1"/>
    <x v="1"/>
    <x v="0"/>
    <b v="0"/>
    <x v="0"/>
    <x v="0"/>
    <b v="1"/>
  </r>
  <r>
    <n v="1484433"/>
    <s v="123-008-103-012"/>
    <x v="8"/>
    <x v="5"/>
    <d v="2022-05-13T00:00:00"/>
    <s v="Christopher Campbell"/>
    <d v="2022-05-20T00:00:00"/>
    <d v="2022-07-15T00:00:00"/>
    <m/>
    <x v="1"/>
    <x v="1"/>
    <x v="0"/>
    <b v="0"/>
    <x v="0"/>
    <x v="0"/>
    <b v="0"/>
  </r>
  <r>
    <n v="1484433"/>
    <s v="123-008-103-013"/>
    <x v="8"/>
    <x v="5"/>
    <d v="2022-11-27T00:00:00"/>
    <s v="Carol Jackson"/>
    <d v="2022-12-23T00:00:00"/>
    <m/>
    <s v="declined"/>
    <x v="0"/>
    <x v="0"/>
    <x v="0"/>
    <b v="0"/>
    <x v="0"/>
    <x v="0"/>
    <b v="0"/>
  </r>
  <r>
    <n v="1484433"/>
    <s v="123-008-103-014"/>
    <x v="8"/>
    <x v="5"/>
    <d v="2023-01-26T00:00:00"/>
    <s v="John Scott"/>
    <d v="2023-01-29T00:00:00"/>
    <m/>
    <s v="declined"/>
    <x v="0"/>
    <x v="0"/>
    <x v="0"/>
    <b v="0"/>
    <x v="0"/>
    <x v="0"/>
    <b v="0"/>
  </r>
  <r>
    <n v="7691735"/>
    <s v="123-003-109-001"/>
    <x v="21"/>
    <x v="9"/>
    <d v="2022-08-02T00:00:00"/>
    <s v="Jennifer Johnson"/>
    <d v="2022-08-08T00:00:00"/>
    <d v="2022-09-02T00:00:00"/>
    <m/>
    <x v="1"/>
    <x v="1"/>
    <x v="0"/>
    <b v="0"/>
    <x v="0"/>
    <x v="0"/>
    <b v="0"/>
  </r>
  <r>
    <n v="7691735"/>
    <s v="123-003-109-002"/>
    <x v="21"/>
    <x v="9"/>
    <d v="2022-06-07T00:00:00"/>
    <s v="Carol Carter"/>
    <d v="2022-06-11T00:00:00"/>
    <d v="2022-07-01T00:00:00"/>
    <s v="new to org"/>
    <x v="1"/>
    <x v="1"/>
    <x v="0"/>
    <b v="0"/>
    <x v="0"/>
    <x v="0"/>
    <b v="1"/>
  </r>
  <r>
    <n v="9235014"/>
    <s v="123-007-126-003"/>
    <x v="5"/>
    <x v="4"/>
    <d v="2022-04-09T00:00:00"/>
    <s v="Daniel Nelson"/>
    <d v="2022-05-06T00:00:00"/>
    <d v="2022-05-30T00:00:00"/>
    <s v="promo"/>
    <x v="1"/>
    <x v="1"/>
    <x v="0"/>
    <b v="0"/>
    <x v="0"/>
    <x v="1"/>
    <b v="0"/>
  </r>
  <r>
    <n v="9235014"/>
    <s v="123-007-126-004"/>
    <x v="5"/>
    <x v="4"/>
    <d v="2023-02-02T00:00:00"/>
    <s v="Mark Cruz"/>
    <d v="2023-02-18T00:00:00"/>
    <d v="2023-03-08T00:00:00"/>
    <m/>
    <x v="1"/>
    <x v="1"/>
    <x v="0"/>
    <b v="0"/>
    <x v="0"/>
    <x v="0"/>
    <b v="0"/>
  </r>
  <r>
    <n v="9235014"/>
    <s v="123-007-126-005"/>
    <x v="5"/>
    <x v="4"/>
    <d v="2023-03-09T00:00:00"/>
    <s v="Jennifer Carter"/>
    <d v="2023-04-04T00:00:00"/>
    <d v="2023-04-28T00:00:00"/>
    <m/>
    <x v="1"/>
    <x v="1"/>
    <x v="0"/>
    <b v="0"/>
    <x v="0"/>
    <x v="0"/>
    <b v="0"/>
  </r>
  <r>
    <n v="4126532"/>
    <s v="123-007-114-001"/>
    <x v="24"/>
    <x v="4"/>
    <m/>
    <m/>
    <m/>
    <m/>
    <s v="cancelled"/>
    <x v="0"/>
    <x v="1"/>
    <x v="0"/>
    <b v="1"/>
    <x v="0"/>
    <x v="0"/>
    <b v="0"/>
  </r>
  <r>
    <n v="6733527"/>
    <s v="123-004-115-001"/>
    <x v="22"/>
    <x v="1"/>
    <d v="2023-03-24T00:00:00"/>
    <s v="Charles Robinson"/>
    <d v="2023-03-27T00:00:00"/>
    <d v="2023-05-25T00:00:00"/>
    <s v="transfer"/>
    <x v="1"/>
    <x v="1"/>
    <x v="0"/>
    <b v="0"/>
    <x v="1"/>
    <x v="0"/>
    <b v="0"/>
  </r>
  <r>
    <n v="6733527"/>
    <s v="123-004-115-002"/>
    <x v="22"/>
    <x v="1"/>
    <d v="2022-11-04T00:00:00"/>
    <s v="Elizabeth Rodriguez"/>
    <d v="2022-12-01T00:00:00"/>
    <d v="2022-12-17T00:00:00"/>
    <s v="new to org"/>
    <x v="1"/>
    <x v="1"/>
    <x v="0"/>
    <b v="0"/>
    <x v="0"/>
    <x v="0"/>
    <b v="1"/>
  </r>
  <r>
    <n v="9776028"/>
    <s v="123-005-114-001"/>
    <x v="24"/>
    <x v="0"/>
    <d v="2023-04-19T00:00:00"/>
    <s v="Mary Davis"/>
    <d v="2023-04-25T00:00:00"/>
    <m/>
    <s v="declined"/>
    <x v="0"/>
    <x v="0"/>
    <x v="0"/>
    <b v="0"/>
    <x v="0"/>
    <x v="0"/>
    <b v="0"/>
  </r>
  <r>
    <n v="9776028"/>
    <s v="123-005-114-002"/>
    <x v="24"/>
    <x v="0"/>
    <d v="2023-02-07T00:00:00"/>
    <s v="Sophia Lopez"/>
    <d v="2023-02-09T00:00:00"/>
    <m/>
    <s v="declined"/>
    <x v="0"/>
    <x v="0"/>
    <x v="0"/>
    <b v="0"/>
    <x v="0"/>
    <x v="0"/>
    <b v="0"/>
  </r>
  <r>
    <n v="9776028"/>
    <s v="123-005-114-003"/>
    <x v="24"/>
    <x v="0"/>
    <d v="2022-11-01T00:00:00"/>
    <s v="Jennifer Clark"/>
    <d v="2022-11-12T00:00:00"/>
    <m/>
    <s v="declined"/>
    <x v="0"/>
    <x v="0"/>
    <x v="0"/>
    <b v="0"/>
    <x v="0"/>
    <x v="0"/>
    <b v="0"/>
  </r>
  <r>
    <n v="9776028"/>
    <s v="123-005-114-004"/>
    <x v="24"/>
    <x v="0"/>
    <d v="2022-04-07T00:00:00"/>
    <s v="Margaret Clark"/>
    <d v="2022-04-22T00:00:00"/>
    <m/>
    <s v="declined"/>
    <x v="0"/>
    <x v="0"/>
    <x v="0"/>
    <b v="0"/>
    <x v="0"/>
    <x v="0"/>
    <b v="0"/>
  </r>
  <r>
    <n v="9776028"/>
    <s v="123-005-114-005"/>
    <x v="24"/>
    <x v="0"/>
    <d v="2022-03-25T00:00:00"/>
    <s v="Daniel Taylor"/>
    <d v="2022-04-19T00:00:00"/>
    <d v="2022-05-22T00:00:00"/>
    <s v="new to org"/>
    <x v="1"/>
    <x v="1"/>
    <x v="0"/>
    <b v="0"/>
    <x v="0"/>
    <x v="0"/>
    <b v="1"/>
  </r>
  <r>
    <n v="8633602"/>
    <s v="123-008-125-006"/>
    <x v="3"/>
    <x v="5"/>
    <d v="2022-07-11T00:00:00"/>
    <s v="Ava Parker"/>
    <d v="2022-07-18T00:00:00"/>
    <d v="2022-07-30T00:00:00"/>
    <s v="new to org"/>
    <x v="1"/>
    <x v="1"/>
    <x v="0"/>
    <b v="0"/>
    <x v="0"/>
    <x v="0"/>
    <b v="1"/>
  </r>
  <r>
    <n v="8633602"/>
    <s v="123-008-125-007"/>
    <x v="3"/>
    <x v="5"/>
    <d v="2022-04-19T00:00:00"/>
    <s v="Joshua Taylor"/>
    <d v="2022-05-03T00:00:00"/>
    <m/>
    <s v="declined"/>
    <x v="0"/>
    <x v="0"/>
    <x v="0"/>
    <b v="0"/>
    <x v="0"/>
    <x v="0"/>
    <b v="0"/>
  </r>
  <r>
    <n v="8633602"/>
    <s v="123-008-125-008"/>
    <x v="3"/>
    <x v="5"/>
    <d v="2022-01-14T00:00:00"/>
    <s v="Betty Davis"/>
    <d v="2022-01-20T00:00:00"/>
    <d v="2022-03-03T00:00:00"/>
    <s v="transfer"/>
    <x v="1"/>
    <x v="1"/>
    <x v="0"/>
    <b v="0"/>
    <x v="1"/>
    <x v="0"/>
    <b v="0"/>
  </r>
  <r>
    <n v="8633602"/>
    <s v="123-008-125-009"/>
    <x v="3"/>
    <x v="5"/>
    <d v="2023-05-14T00:00:00"/>
    <s v="Logan Nelson"/>
    <d v="2023-05-24T00:00:00"/>
    <d v="2023-07-03T00:00:00"/>
    <m/>
    <x v="1"/>
    <x v="1"/>
    <x v="0"/>
    <b v="0"/>
    <x v="0"/>
    <x v="0"/>
    <b v="0"/>
  </r>
  <r>
    <n v="8633602"/>
    <s v="123-008-125-010"/>
    <x v="3"/>
    <x v="5"/>
    <d v="2023-02-09T00:00:00"/>
    <s v="Brian Baker"/>
    <d v="2023-03-07T00:00:00"/>
    <d v="2023-03-27T00:00:00"/>
    <s v="new to org"/>
    <x v="1"/>
    <x v="1"/>
    <x v="0"/>
    <b v="0"/>
    <x v="0"/>
    <x v="0"/>
    <b v="1"/>
  </r>
  <r>
    <n v="2470273"/>
    <s v="123-003-105-002"/>
    <x v="7"/>
    <x v="9"/>
    <d v="2022-07-12T00:00:00"/>
    <s v="Isabella Johnson"/>
    <d v="2022-08-09T00:00:00"/>
    <m/>
    <s v="declined"/>
    <x v="0"/>
    <x v="0"/>
    <x v="0"/>
    <b v="0"/>
    <x v="0"/>
    <x v="0"/>
    <b v="0"/>
  </r>
  <r>
    <n v="1449886"/>
    <s v="123-008-107-003"/>
    <x v="26"/>
    <x v="5"/>
    <d v="2022-07-15T00:00:00"/>
    <s v="Mason Green"/>
    <d v="2022-07-18T00:00:00"/>
    <d v="2022-08-07T00:00:00"/>
    <m/>
    <x v="1"/>
    <x v="1"/>
    <x v="0"/>
    <b v="0"/>
    <x v="0"/>
    <x v="0"/>
    <b v="0"/>
  </r>
  <r>
    <n v="1449886"/>
    <s v="123-008-107-004"/>
    <x v="26"/>
    <x v="5"/>
    <d v="2022-01-23T00:00:00"/>
    <s v="Donald Ramirez"/>
    <d v="2022-01-27T00:00:00"/>
    <d v="2022-02-07T00:00:00"/>
    <s v="promo"/>
    <x v="1"/>
    <x v="1"/>
    <x v="0"/>
    <b v="0"/>
    <x v="0"/>
    <x v="1"/>
    <b v="0"/>
  </r>
  <r>
    <n v="3557220"/>
    <s v="123-008-124-006"/>
    <x v="15"/>
    <x v="5"/>
    <d v="2022-07-26T00:00:00"/>
    <s v="Donna Thomas"/>
    <d v="2022-08-05T00:00:00"/>
    <d v="2022-09-11T00:00:00"/>
    <m/>
    <x v="1"/>
    <x v="1"/>
    <x v="0"/>
    <b v="0"/>
    <x v="0"/>
    <x v="0"/>
    <b v="0"/>
  </r>
  <r>
    <n v="3557220"/>
    <s v="123-008-124-007"/>
    <x v="15"/>
    <x v="5"/>
    <d v="2022-01-09T00:00:00"/>
    <s v="Patricia Perez"/>
    <d v="2022-01-13T00:00:00"/>
    <d v="2022-02-23T00:00:00"/>
    <m/>
    <x v="1"/>
    <x v="1"/>
    <x v="0"/>
    <b v="0"/>
    <x v="0"/>
    <x v="0"/>
    <b v="0"/>
  </r>
  <r>
    <n v="3557220"/>
    <s v="123-008-124-008"/>
    <x v="15"/>
    <x v="5"/>
    <d v="2023-05-23T00:00:00"/>
    <s v="Anthony Diaz"/>
    <d v="2023-06-16T00:00:00"/>
    <d v="2023-07-24T00:00:00"/>
    <m/>
    <x v="1"/>
    <x v="1"/>
    <x v="0"/>
    <b v="0"/>
    <x v="0"/>
    <x v="0"/>
    <b v="0"/>
  </r>
  <r>
    <n v="3557220"/>
    <s v="123-008-124-009"/>
    <x v="15"/>
    <x v="5"/>
    <d v="2023-02-14T00:00:00"/>
    <s v="Robert Young"/>
    <d v="2023-03-02T00:00:00"/>
    <d v="2023-04-04T00:00:00"/>
    <s v="new to org"/>
    <x v="1"/>
    <x v="1"/>
    <x v="0"/>
    <b v="0"/>
    <x v="0"/>
    <x v="0"/>
    <b v="1"/>
  </r>
  <r>
    <n v="9185628"/>
    <s v="123-001-108-001"/>
    <x v="11"/>
    <x v="3"/>
    <d v="2023-04-25T00:00:00"/>
    <s v="Mia Turner"/>
    <d v="2023-04-30T00:00:00"/>
    <m/>
    <s v="declined"/>
    <x v="0"/>
    <x v="0"/>
    <x v="0"/>
    <b v="0"/>
    <x v="0"/>
    <x v="0"/>
    <b v="0"/>
  </r>
  <r>
    <n v="9185628"/>
    <s v="123-001-108-002"/>
    <x v="11"/>
    <x v="3"/>
    <d v="2023-03-04T00:00:00"/>
    <s v="Sarah Edwards"/>
    <d v="2023-04-02T00:00:00"/>
    <d v="2023-05-03T00:00:00"/>
    <s v="transfer"/>
    <x v="1"/>
    <x v="1"/>
    <x v="0"/>
    <b v="0"/>
    <x v="1"/>
    <x v="0"/>
    <b v="0"/>
  </r>
  <r>
    <n v="9185628"/>
    <s v="123-001-108-003"/>
    <x v="11"/>
    <x v="3"/>
    <d v="2022-12-22T00:00:00"/>
    <s v="Michelle Adams"/>
    <d v="2023-01-06T00:00:00"/>
    <m/>
    <s v="declined"/>
    <x v="0"/>
    <x v="0"/>
    <x v="0"/>
    <b v="0"/>
    <x v="0"/>
    <x v="0"/>
    <b v="0"/>
  </r>
  <r>
    <n v="9185628"/>
    <s v="123-001-108-004"/>
    <x v="11"/>
    <x v="3"/>
    <d v="2022-07-16T00:00:00"/>
    <s v="David Jackson"/>
    <d v="2022-08-01T00:00:00"/>
    <d v="2022-08-24T00:00:00"/>
    <s v="transfer"/>
    <x v="1"/>
    <x v="1"/>
    <x v="0"/>
    <b v="0"/>
    <x v="1"/>
    <x v="0"/>
    <b v="0"/>
  </r>
  <r>
    <n v="9185628"/>
    <s v="123-001-108-005"/>
    <x v="11"/>
    <x v="3"/>
    <d v="2022-12-14T00:00:00"/>
    <s v="Donna Collins"/>
    <d v="2023-01-13T00:00:00"/>
    <d v="2023-02-21T00:00:00"/>
    <s v="promo"/>
    <x v="1"/>
    <x v="1"/>
    <x v="0"/>
    <b v="0"/>
    <x v="0"/>
    <x v="1"/>
    <b v="0"/>
  </r>
  <r>
    <n v="5922335"/>
    <s v="123-007-124-001"/>
    <x v="15"/>
    <x v="4"/>
    <d v="2022-06-15T00:00:00"/>
    <s v="Sophia Walker"/>
    <d v="2022-07-05T00:00:00"/>
    <d v="2022-07-19T00:00:00"/>
    <s v="new to org"/>
    <x v="1"/>
    <x v="1"/>
    <x v="0"/>
    <b v="0"/>
    <x v="0"/>
    <x v="0"/>
    <b v="1"/>
  </r>
  <r>
    <n v="5922335"/>
    <s v="123-007-124-002"/>
    <x v="15"/>
    <x v="4"/>
    <d v="2023-05-10T00:00:00"/>
    <s v="Melissa Garcia"/>
    <d v="2023-05-15T00:00:00"/>
    <m/>
    <s v="rescinded"/>
    <x v="0"/>
    <x v="1"/>
    <x v="1"/>
    <b v="0"/>
    <x v="0"/>
    <x v="0"/>
    <b v="0"/>
  </r>
  <r>
    <n v="5922335"/>
    <s v="123-007-124-003"/>
    <x v="15"/>
    <x v="4"/>
    <d v="2023-05-19T00:00:00"/>
    <s v="David Hill"/>
    <d v="2023-05-23T00:00:00"/>
    <m/>
    <s v="declined"/>
    <x v="0"/>
    <x v="0"/>
    <x v="0"/>
    <b v="0"/>
    <x v="0"/>
    <x v="0"/>
    <b v="0"/>
  </r>
  <r>
    <n v="5922335"/>
    <s v="123-007-124-004"/>
    <x v="15"/>
    <x v="4"/>
    <d v="2022-08-03T00:00:00"/>
    <s v="Karen Thomas"/>
    <d v="2022-08-21T00:00:00"/>
    <d v="2022-08-25T00:00:00"/>
    <m/>
    <x v="1"/>
    <x v="1"/>
    <x v="0"/>
    <b v="0"/>
    <x v="0"/>
    <x v="0"/>
    <b v="0"/>
  </r>
  <r>
    <n v="1304180"/>
    <s v="123-005-112-005"/>
    <x v="28"/>
    <x v="0"/>
    <d v="2023-05-31T00:00:00"/>
    <s v="Isabella Parker"/>
    <d v="2023-06-02T00:00:00"/>
    <d v="2023-07-24T00:00:00"/>
    <s v="promo"/>
    <x v="1"/>
    <x v="1"/>
    <x v="0"/>
    <b v="0"/>
    <x v="0"/>
    <x v="1"/>
    <b v="0"/>
  </r>
  <r>
    <n v="1304180"/>
    <s v="123-005-112-006"/>
    <x v="28"/>
    <x v="0"/>
    <d v="2022-08-21T00:00:00"/>
    <s v="Margaret Davis"/>
    <d v="2022-08-25T00:00:00"/>
    <m/>
    <s v="declined"/>
    <x v="0"/>
    <x v="0"/>
    <x v="0"/>
    <b v="0"/>
    <x v="0"/>
    <x v="0"/>
    <b v="0"/>
  </r>
  <r>
    <n v="1304180"/>
    <s v="123-005-112-007"/>
    <x v="28"/>
    <x v="0"/>
    <d v="2022-12-30T00:00:00"/>
    <s v="Thomas Perez"/>
    <d v="2023-01-24T00:00:00"/>
    <d v="2023-01-27T00:00:00"/>
    <m/>
    <x v="1"/>
    <x v="1"/>
    <x v="0"/>
    <b v="0"/>
    <x v="0"/>
    <x v="0"/>
    <b v="0"/>
  </r>
  <r>
    <n v="5487758"/>
    <s v="123-003-129-005"/>
    <x v="14"/>
    <x v="9"/>
    <d v="2023-03-25T00:00:00"/>
    <s v="Dorothy Brown"/>
    <d v="2023-04-20T00:00:00"/>
    <d v="2023-05-20T00:00:00"/>
    <s v="transfer"/>
    <x v="1"/>
    <x v="1"/>
    <x v="0"/>
    <b v="0"/>
    <x v="1"/>
    <x v="0"/>
    <b v="0"/>
  </r>
  <r>
    <n v="5487758"/>
    <s v="123-003-129-006"/>
    <x v="14"/>
    <x v="9"/>
    <d v="2022-04-15T00:00:00"/>
    <s v="Michael Gomez"/>
    <d v="2022-05-12T00:00:00"/>
    <d v="2022-06-17T00:00:00"/>
    <s v="transfer"/>
    <x v="1"/>
    <x v="1"/>
    <x v="0"/>
    <b v="0"/>
    <x v="1"/>
    <x v="0"/>
    <b v="0"/>
  </r>
  <r>
    <n v="5487758"/>
    <s v="123-003-129-007"/>
    <x v="14"/>
    <x v="9"/>
    <d v="2022-05-01T00:00:00"/>
    <s v="Michael Hernandez"/>
    <d v="2022-05-29T00:00:00"/>
    <m/>
    <s v="declined"/>
    <x v="0"/>
    <x v="0"/>
    <x v="0"/>
    <b v="0"/>
    <x v="0"/>
    <x v="0"/>
    <b v="0"/>
  </r>
  <r>
    <n v="5487758"/>
    <s v="123-003-129-008"/>
    <x v="14"/>
    <x v="9"/>
    <d v="2022-10-27T00:00:00"/>
    <s v="Lisa Hernandez"/>
    <d v="2022-11-19T00:00:00"/>
    <m/>
    <s v="rescinded"/>
    <x v="0"/>
    <x v="1"/>
    <x v="1"/>
    <b v="0"/>
    <x v="0"/>
    <x v="0"/>
    <b v="0"/>
  </r>
  <r>
    <n v="5487758"/>
    <s v="123-003-129-009"/>
    <x v="14"/>
    <x v="9"/>
    <d v="2022-04-12T00:00:00"/>
    <s v="George Parker"/>
    <d v="2022-04-17T00:00:00"/>
    <d v="2022-05-29T00:00:00"/>
    <m/>
    <x v="1"/>
    <x v="1"/>
    <x v="0"/>
    <b v="0"/>
    <x v="0"/>
    <x v="0"/>
    <b v="0"/>
  </r>
  <r>
    <n v="7102492"/>
    <s v="123-003-111-005"/>
    <x v="29"/>
    <x v="9"/>
    <d v="2022-01-07T00:00:00"/>
    <s v="Anthony Roberts"/>
    <d v="2022-01-15T00:00:00"/>
    <d v="2022-03-10T00:00:00"/>
    <m/>
    <x v="1"/>
    <x v="1"/>
    <x v="0"/>
    <b v="0"/>
    <x v="0"/>
    <x v="0"/>
    <b v="0"/>
  </r>
  <r>
    <n v="8946752"/>
    <s v="123-005-111-008"/>
    <x v="29"/>
    <x v="0"/>
    <d v="2023-03-01T00:00:00"/>
    <s v="Sarah White"/>
    <d v="2023-03-13T00:00:00"/>
    <m/>
    <s v="declined"/>
    <x v="0"/>
    <x v="0"/>
    <x v="0"/>
    <b v="0"/>
    <x v="0"/>
    <x v="0"/>
    <b v="0"/>
  </r>
  <r>
    <n v="8946752"/>
    <s v="123-005-111-009"/>
    <x v="29"/>
    <x v="0"/>
    <d v="2023-06-27T00:00:00"/>
    <s v="Elizabeth Carter"/>
    <d v="2023-07-11T00:00:00"/>
    <d v="2023-08-31T00:00:00"/>
    <s v="promo"/>
    <x v="1"/>
    <x v="1"/>
    <x v="0"/>
    <b v="0"/>
    <x v="0"/>
    <x v="1"/>
    <b v="0"/>
  </r>
  <r>
    <n v="8946752"/>
    <s v="123-005-111-010"/>
    <x v="29"/>
    <x v="0"/>
    <d v="2023-02-28T00:00:00"/>
    <s v="Ethan Ramirez"/>
    <d v="2023-03-30T00:00:00"/>
    <m/>
    <s v="rescinded"/>
    <x v="0"/>
    <x v="1"/>
    <x v="1"/>
    <b v="0"/>
    <x v="0"/>
    <x v="0"/>
    <b v="0"/>
  </r>
  <r>
    <n v="8946752"/>
    <s v="123-005-111-011"/>
    <x v="29"/>
    <x v="0"/>
    <d v="2023-06-13T00:00:00"/>
    <s v="Charlotte Diaz"/>
    <d v="2023-07-09T00:00:00"/>
    <d v="2023-08-22T00:00:00"/>
    <m/>
    <x v="1"/>
    <x v="1"/>
    <x v="0"/>
    <b v="0"/>
    <x v="0"/>
    <x v="0"/>
    <b v="0"/>
  </r>
  <r>
    <n v="8946752"/>
    <s v="123-005-111-012"/>
    <x v="29"/>
    <x v="0"/>
    <d v="2022-01-11T00:00:00"/>
    <s v="Mark Martinez"/>
    <d v="2022-02-03T00:00:00"/>
    <d v="2022-03-27T00:00:00"/>
    <s v="transfer"/>
    <x v="1"/>
    <x v="1"/>
    <x v="0"/>
    <b v="0"/>
    <x v="1"/>
    <x v="0"/>
    <b v="0"/>
  </r>
  <r>
    <n v="9679670"/>
    <s v="123-002-103-004"/>
    <x v="8"/>
    <x v="7"/>
    <d v="2023-03-21T00:00:00"/>
    <s v="Deborah Hernandez"/>
    <d v="2023-03-23T00:00:00"/>
    <m/>
    <s v="rescinded"/>
    <x v="0"/>
    <x v="1"/>
    <x v="1"/>
    <b v="0"/>
    <x v="0"/>
    <x v="0"/>
    <b v="0"/>
  </r>
  <r>
    <n v="9679670"/>
    <s v="123-002-103-005"/>
    <x v="8"/>
    <x v="7"/>
    <d v="2022-06-04T00:00:00"/>
    <s v="Robert Nelson"/>
    <d v="2022-07-03T00:00:00"/>
    <m/>
    <s v="rescinded"/>
    <x v="0"/>
    <x v="1"/>
    <x v="1"/>
    <b v="0"/>
    <x v="0"/>
    <x v="0"/>
    <b v="0"/>
  </r>
  <r>
    <n v="9679670"/>
    <s v="123-002-103-006"/>
    <x v="8"/>
    <x v="7"/>
    <d v="2022-11-08T00:00:00"/>
    <s v="Anthony Sanchez"/>
    <d v="2022-12-02T00:00:00"/>
    <d v="2023-01-19T00:00:00"/>
    <s v="new to org"/>
    <x v="1"/>
    <x v="1"/>
    <x v="0"/>
    <b v="0"/>
    <x v="0"/>
    <x v="0"/>
    <b v="1"/>
  </r>
  <r>
    <n v="6262932"/>
    <s v="123-006-130-004"/>
    <x v="23"/>
    <x v="2"/>
    <d v="2023-04-02T00:00:00"/>
    <s v="Brian Sanchez"/>
    <d v="2023-04-23T00:00:00"/>
    <d v="2023-05-07T00:00:00"/>
    <s v="promo"/>
    <x v="1"/>
    <x v="1"/>
    <x v="0"/>
    <b v="0"/>
    <x v="0"/>
    <x v="1"/>
    <b v="0"/>
  </r>
  <r>
    <n v="8417942"/>
    <s v="123-006-123-005"/>
    <x v="19"/>
    <x v="2"/>
    <d v="2022-12-09T00:00:00"/>
    <s v="Jennifer Williams"/>
    <d v="2022-12-22T00:00:00"/>
    <d v="2023-02-07T00:00:00"/>
    <s v="new to org"/>
    <x v="1"/>
    <x v="1"/>
    <x v="0"/>
    <b v="0"/>
    <x v="0"/>
    <x v="0"/>
    <b v="1"/>
  </r>
  <r>
    <n v="8417942"/>
    <s v="123-006-123-006"/>
    <x v="19"/>
    <x v="2"/>
    <d v="2022-10-18T00:00:00"/>
    <s v="Kimberly Wright"/>
    <d v="2022-10-25T00:00:00"/>
    <d v="2022-10-31T00:00:00"/>
    <s v="promo"/>
    <x v="1"/>
    <x v="1"/>
    <x v="0"/>
    <b v="0"/>
    <x v="0"/>
    <x v="1"/>
    <b v="0"/>
  </r>
  <r>
    <n v="8417942"/>
    <s v="123-006-123-007"/>
    <x v="19"/>
    <x v="2"/>
    <d v="2022-06-13T00:00:00"/>
    <s v="Kimberly Perez"/>
    <d v="2022-06-14T00:00:00"/>
    <d v="2022-06-16T00:00:00"/>
    <s v="new to org"/>
    <x v="1"/>
    <x v="1"/>
    <x v="0"/>
    <b v="0"/>
    <x v="0"/>
    <x v="0"/>
    <b v="1"/>
  </r>
  <r>
    <n v="8417942"/>
    <s v="123-006-123-008"/>
    <x v="19"/>
    <x v="2"/>
    <d v="2022-11-08T00:00:00"/>
    <s v="Jessica Turner"/>
    <d v="2022-12-02T00:00:00"/>
    <d v="2022-12-30T00:00:00"/>
    <s v="new to org"/>
    <x v="1"/>
    <x v="1"/>
    <x v="0"/>
    <b v="0"/>
    <x v="0"/>
    <x v="0"/>
    <b v="1"/>
  </r>
  <r>
    <n v="9477100"/>
    <s v="123-001-104-001"/>
    <x v="18"/>
    <x v="3"/>
    <d v="2022-05-07T00:00:00"/>
    <s v="Steven Thompson"/>
    <d v="2022-05-09T00:00:00"/>
    <m/>
    <s v="declined"/>
    <x v="0"/>
    <x v="0"/>
    <x v="0"/>
    <b v="0"/>
    <x v="0"/>
    <x v="0"/>
    <b v="0"/>
  </r>
  <r>
    <n v="9477100"/>
    <s v="123-001-104-002"/>
    <x v="18"/>
    <x v="3"/>
    <d v="2022-01-06T00:00:00"/>
    <s v="Mark Martin"/>
    <d v="2022-01-21T00:00:00"/>
    <d v="2022-02-12T00:00:00"/>
    <s v="transfer"/>
    <x v="1"/>
    <x v="1"/>
    <x v="0"/>
    <b v="0"/>
    <x v="1"/>
    <x v="0"/>
    <b v="0"/>
  </r>
  <r>
    <n v="9477100"/>
    <s v="123-001-104-003"/>
    <x v="18"/>
    <x v="3"/>
    <d v="2022-10-19T00:00:00"/>
    <s v="Daniel Martin"/>
    <d v="2022-11-10T00:00:00"/>
    <d v="2022-12-31T00:00:00"/>
    <s v="promo"/>
    <x v="1"/>
    <x v="1"/>
    <x v="0"/>
    <b v="0"/>
    <x v="0"/>
    <x v="1"/>
    <b v="0"/>
  </r>
  <r>
    <n v="3348331"/>
    <s v="123-007-123-001"/>
    <x v="19"/>
    <x v="4"/>
    <d v="2022-07-17T00:00:00"/>
    <s v="Christopher King"/>
    <d v="2022-08-13T00:00:00"/>
    <d v="2022-10-02T00:00:00"/>
    <s v="transfer"/>
    <x v="1"/>
    <x v="1"/>
    <x v="0"/>
    <b v="0"/>
    <x v="1"/>
    <x v="0"/>
    <b v="0"/>
  </r>
  <r>
    <n v="3348331"/>
    <s v="123-007-123-002"/>
    <x v="19"/>
    <x v="4"/>
    <d v="2023-03-12T00:00:00"/>
    <s v="Elizabeth Rivera"/>
    <d v="2023-04-08T00:00:00"/>
    <d v="2023-05-05T00:00:00"/>
    <s v="transfer"/>
    <x v="1"/>
    <x v="1"/>
    <x v="0"/>
    <b v="0"/>
    <x v="1"/>
    <x v="0"/>
    <b v="0"/>
  </r>
  <r>
    <n v="3348331"/>
    <s v="123-007-123-003"/>
    <x v="19"/>
    <x v="4"/>
    <d v="2022-05-14T00:00:00"/>
    <s v="Patricia Ramirez"/>
    <d v="2022-05-30T00:00:00"/>
    <m/>
    <s v="declined"/>
    <x v="0"/>
    <x v="0"/>
    <x v="0"/>
    <b v="0"/>
    <x v="0"/>
    <x v="0"/>
    <b v="0"/>
  </r>
  <r>
    <n v="3348331"/>
    <s v="123-007-123-004"/>
    <x v="19"/>
    <x v="4"/>
    <d v="2023-06-23T00:00:00"/>
    <s v="John White"/>
    <d v="2023-07-06T00:00:00"/>
    <m/>
    <s v="rescinded"/>
    <x v="0"/>
    <x v="1"/>
    <x v="1"/>
    <b v="0"/>
    <x v="0"/>
    <x v="0"/>
    <b v="0"/>
  </r>
  <r>
    <n v="3348331"/>
    <s v="123-007-123-005"/>
    <x v="19"/>
    <x v="4"/>
    <d v="2023-05-26T00:00:00"/>
    <s v="Logan Taylor"/>
    <d v="2023-06-16T00:00:00"/>
    <d v="2023-07-14T00:00:00"/>
    <m/>
    <x v="1"/>
    <x v="1"/>
    <x v="0"/>
    <b v="0"/>
    <x v="0"/>
    <x v="0"/>
    <b v="0"/>
  </r>
  <r>
    <n v="8383316"/>
    <s v="123-008-123-006"/>
    <x v="19"/>
    <x v="5"/>
    <d v="2023-05-12T00:00:00"/>
    <s v="Steven Rodriguez"/>
    <d v="2023-06-04T00:00:00"/>
    <d v="2023-07-04T00:00:00"/>
    <s v="promo"/>
    <x v="1"/>
    <x v="1"/>
    <x v="0"/>
    <b v="0"/>
    <x v="0"/>
    <x v="1"/>
    <b v="0"/>
  </r>
  <r>
    <n v="8383316"/>
    <s v="123-008-123-007"/>
    <x v="19"/>
    <x v="5"/>
    <d v="2023-06-26T00:00:00"/>
    <s v="Dorothy Allen"/>
    <d v="2023-06-30T00:00:00"/>
    <m/>
    <s v="declined"/>
    <x v="0"/>
    <x v="0"/>
    <x v="0"/>
    <b v="0"/>
    <x v="0"/>
    <x v="0"/>
    <b v="0"/>
  </r>
  <r>
    <n v="8383316"/>
    <s v="123-008-123-008"/>
    <x v="19"/>
    <x v="5"/>
    <d v="2022-06-10T00:00:00"/>
    <s v="Donald Williams"/>
    <d v="2022-06-28T00:00:00"/>
    <d v="2022-07-22T00:00:00"/>
    <m/>
    <x v="1"/>
    <x v="1"/>
    <x v="0"/>
    <b v="0"/>
    <x v="0"/>
    <x v="0"/>
    <b v="0"/>
  </r>
  <r>
    <n v="8383316"/>
    <s v="123-008-123-009"/>
    <x v="19"/>
    <x v="5"/>
    <d v="2023-02-23T00:00:00"/>
    <s v="Joshua Diaz"/>
    <d v="2023-02-27T00:00:00"/>
    <d v="2023-03-07T00:00:00"/>
    <s v="transfer"/>
    <x v="1"/>
    <x v="1"/>
    <x v="0"/>
    <b v="0"/>
    <x v="1"/>
    <x v="0"/>
    <b v="0"/>
  </r>
  <r>
    <n v="7200623"/>
    <s v="123-005-119-009"/>
    <x v="2"/>
    <x v="0"/>
    <d v="2023-01-19T00:00:00"/>
    <s v="Lisa Martin"/>
    <d v="2023-01-29T00:00:00"/>
    <d v="2023-02-17T00:00:00"/>
    <s v="transfer"/>
    <x v="1"/>
    <x v="1"/>
    <x v="0"/>
    <b v="0"/>
    <x v="1"/>
    <x v="0"/>
    <b v="0"/>
  </r>
  <r>
    <n v="9152477"/>
    <s v="123-003-101-001"/>
    <x v="0"/>
    <x v="9"/>
    <d v="2022-11-09T00:00:00"/>
    <s v="Patricia Edwards"/>
    <d v="2022-12-08T00:00:00"/>
    <d v="2022-12-27T00:00:00"/>
    <m/>
    <x v="1"/>
    <x v="1"/>
    <x v="0"/>
    <b v="0"/>
    <x v="0"/>
    <x v="0"/>
    <b v="0"/>
  </r>
  <r>
    <n v="9152477"/>
    <s v="123-003-101-002"/>
    <x v="0"/>
    <x v="9"/>
    <d v="2023-05-16T00:00:00"/>
    <s v="Isabella Mitchell"/>
    <d v="2023-05-17T00:00:00"/>
    <m/>
    <s v="rescinded"/>
    <x v="0"/>
    <x v="1"/>
    <x v="1"/>
    <b v="0"/>
    <x v="0"/>
    <x v="0"/>
    <b v="0"/>
  </r>
  <r>
    <n v="3052321"/>
    <s v="123-006-118-002"/>
    <x v="1"/>
    <x v="2"/>
    <d v="2022-11-14T00:00:00"/>
    <s v="Donald Torres"/>
    <d v="2022-12-03T00:00:00"/>
    <d v="2023-01-01T00:00:00"/>
    <m/>
    <x v="1"/>
    <x v="1"/>
    <x v="0"/>
    <b v="0"/>
    <x v="0"/>
    <x v="0"/>
    <b v="0"/>
  </r>
  <r>
    <n v="6667733"/>
    <s v="123-007-126-006"/>
    <x v="5"/>
    <x v="4"/>
    <d v="2023-06-01T00:00:00"/>
    <s v="Edward Rodriguez"/>
    <d v="2023-06-22T00:00:00"/>
    <d v="2023-07-22T00:00:00"/>
    <s v="promo"/>
    <x v="1"/>
    <x v="1"/>
    <x v="0"/>
    <b v="0"/>
    <x v="0"/>
    <x v="1"/>
    <b v="0"/>
  </r>
  <r>
    <n v="6667733"/>
    <s v="123-007-126-007"/>
    <x v="5"/>
    <x v="4"/>
    <d v="2022-11-30T00:00:00"/>
    <s v="Elizabeth Parker"/>
    <d v="2022-12-03T00:00:00"/>
    <d v="2023-01-24T00:00:00"/>
    <m/>
    <x v="1"/>
    <x v="1"/>
    <x v="0"/>
    <b v="0"/>
    <x v="0"/>
    <x v="0"/>
    <b v="0"/>
  </r>
  <r>
    <n v="6667733"/>
    <s v="123-007-126-008"/>
    <x v="5"/>
    <x v="4"/>
    <d v="2023-02-09T00:00:00"/>
    <s v="Matthew Anderson"/>
    <d v="2023-02-20T00:00:00"/>
    <d v="2023-03-27T00:00:00"/>
    <m/>
    <x v="1"/>
    <x v="1"/>
    <x v="0"/>
    <b v="0"/>
    <x v="0"/>
    <x v="0"/>
    <b v="0"/>
  </r>
  <r>
    <n v="6667733"/>
    <s v="123-007-126-009"/>
    <x v="5"/>
    <x v="4"/>
    <d v="2023-03-30T00:00:00"/>
    <s v="Kevin Cruz"/>
    <d v="2023-04-23T00:00:00"/>
    <m/>
    <s v="declined"/>
    <x v="0"/>
    <x v="0"/>
    <x v="0"/>
    <b v="0"/>
    <x v="0"/>
    <x v="0"/>
    <b v="0"/>
  </r>
  <r>
    <n v="5653581"/>
    <s v="123-002-121-003"/>
    <x v="20"/>
    <x v="7"/>
    <d v="2022-05-07T00:00:00"/>
    <s v="Emily Adams"/>
    <d v="2022-05-28T00:00:00"/>
    <d v="2022-07-03T00:00:00"/>
    <s v="new to org"/>
    <x v="1"/>
    <x v="1"/>
    <x v="0"/>
    <b v="0"/>
    <x v="0"/>
    <x v="0"/>
    <b v="1"/>
  </r>
  <r>
    <n v="5653581"/>
    <s v="123-002-121-004"/>
    <x v="20"/>
    <x v="7"/>
    <d v="2022-02-24T00:00:00"/>
    <s v="Michelle Wright"/>
    <d v="2022-03-15T00:00:00"/>
    <m/>
    <s v="declined"/>
    <x v="0"/>
    <x v="0"/>
    <x v="0"/>
    <b v="0"/>
    <x v="0"/>
    <x v="0"/>
    <b v="0"/>
  </r>
  <r>
    <n v="9753576"/>
    <s v="123-008-107-005"/>
    <x v="26"/>
    <x v="5"/>
    <d v="2022-07-04T00:00:00"/>
    <s v="Kevin Wright"/>
    <d v="2022-07-05T00:00:00"/>
    <d v="2022-07-23T00:00:00"/>
    <s v="transfer"/>
    <x v="1"/>
    <x v="1"/>
    <x v="0"/>
    <b v="0"/>
    <x v="1"/>
    <x v="0"/>
    <b v="0"/>
  </r>
  <r>
    <n v="9753576"/>
    <s v="123-008-107-006"/>
    <x v="26"/>
    <x v="5"/>
    <d v="2023-03-31T00:00:00"/>
    <s v="Mason Rivera"/>
    <d v="2023-04-03T00:00:00"/>
    <d v="2023-05-25T00:00:00"/>
    <s v="promo"/>
    <x v="1"/>
    <x v="1"/>
    <x v="0"/>
    <b v="0"/>
    <x v="0"/>
    <x v="1"/>
    <b v="0"/>
  </r>
  <r>
    <n v="9753576"/>
    <s v="123-008-107-007"/>
    <x v="26"/>
    <x v="5"/>
    <d v="2022-02-16T00:00:00"/>
    <s v="Betty Nguyen"/>
    <d v="2022-03-04T00:00:00"/>
    <d v="2022-04-29T00:00:00"/>
    <s v="new to org"/>
    <x v="1"/>
    <x v="1"/>
    <x v="0"/>
    <b v="0"/>
    <x v="0"/>
    <x v="0"/>
    <b v="1"/>
  </r>
  <r>
    <n v="9753576"/>
    <s v="123-008-107-008"/>
    <x v="26"/>
    <x v="5"/>
    <d v="2023-03-01T00:00:00"/>
    <s v="Margaret Lopez"/>
    <d v="2023-03-02T00:00:00"/>
    <d v="2023-04-27T00:00:00"/>
    <s v="new to org"/>
    <x v="1"/>
    <x v="1"/>
    <x v="0"/>
    <b v="0"/>
    <x v="0"/>
    <x v="0"/>
    <b v="1"/>
  </r>
  <r>
    <n v="9753576"/>
    <s v="123-008-107-009"/>
    <x v="26"/>
    <x v="5"/>
    <d v="2022-04-28T00:00:00"/>
    <s v="Thomas Garcia"/>
    <d v="2022-05-02T00:00:00"/>
    <d v="2022-06-06T00:00:00"/>
    <m/>
    <x v="1"/>
    <x v="1"/>
    <x v="0"/>
    <b v="0"/>
    <x v="0"/>
    <x v="0"/>
    <b v="0"/>
  </r>
  <r>
    <n v="3821189"/>
    <s v="123-003-110-001"/>
    <x v="12"/>
    <x v="9"/>
    <d v="2022-11-11T00:00:00"/>
    <s v="Jennifer Martinez"/>
    <d v="2022-11-25T00:00:00"/>
    <m/>
    <s v="declined"/>
    <x v="0"/>
    <x v="0"/>
    <x v="0"/>
    <b v="0"/>
    <x v="0"/>
    <x v="0"/>
    <b v="0"/>
  </r>
  <r>
    <n v="3821189"/>
    <s v="123-003-110-002"/>
    <x v="12"/>
    <x v="9"/>
    <d v="2022-07-05T00:00:00"/>
    <s v="Michelle Lee"/>
    <d v="2022-07-06T00:00:00"/>
    <d v="2022-08-21T00:00:00"/>
    <s v="transfer"/>
    <x v="1"/>
    <x v="1"/>
    <x v="0"/>
    <b v="0"/>
    <x v="1"/>
    <x v="0"/>
    <b v="0"/>
  </r>
  <r>
    <n v="1981497"/>
    <s v="123-007-110-011"/>
    <x v="12"/>
    <x v="4"/>
    <d v="2022-11-28T00:00:00"/>
    <s v="Anthony Edwards"/>
    <d v="2022-12-07T00:00:00"/>
    <m/>
    <s v="rescinded"/>
    <x v="0"/>
    <x v="1"/>
    <x v="1"/>
    <b v="0"/>
    <x v="0"/>
    <x v="0"/>
    <b v="0"/>
  </r>
  <r>
    <n v="7300065"/>
    <s v="123-002-127-008"/>
    <x v="16"/>
    <x v="7"/>
    <d v="2022-08-31T00:00:00"/>
    <s v="Edward Hill"/>
    <d v="2022-09-16T00:00:00"/>
    <m/>
    <s v="declined"/>
    <x v="0"/>
    <x v="0"/>
    <x v="0"/>
    <b v="0"/>
    <x v="0"/>
    <x v="0"/>
    <b v="0"/>
  </r>
  <r>
    <n v="9533248"/>
    <s v="123-009-125-009"/>
    <x v="3"/>
    <x v="8"/>
    <d v="2023-04-21T00:00:00"/>
    <s v="Patricia Lee"/>
    <d v="2023-05-09T00:00:00"/>
    <d v="2023-06-05T00:00:00"/>
    <s v="new to org"/>
    <x v="1"/>
    <x v="1"/>
    <x v="0"/>
    <b v="0"/>
    <x v="0"/>
    <x v="0"/>
    <b v="1"/>
  </r>
  <r>
    <n v="9533248"/>
    <s v="123-009-125-010"/>
    <x v="3"/>
    <x v="8"/>
    <d v="2022-08-28T00:00:00"/>
    <s v="Mary Clark"/>
    <d v="2022-09-27T00:00:00"/>
    <m/>
    <s v="declined"/>
    <x v="0"/>
    <x v="0"/>
    <x v="0"/>
    <b v="0"/>
    <x v="0"/>
    <x v="0"/>
    <b v="0"/>
  </r>
  <r>
    <n v="9533248"/>
    <s v="123-009-125-011"/>
    <x v="3"/>
    <x v="8"/>
    <d v="2022-04-14T00:00:00"/>
    <s v="Emily Nguyen"/>
    <d v="2022-04-22T00:00:00"/>
    <d v="2022-06-10T00:00:00"/>
    <s v="new to org"/>
    <x v="1"/>
    <x v="1"/>
    <x v="0"/>
    <b v="0"/>
    <x v="0"/>
    <x v="0"/>
    <b v="1"/>
  </r>
  <r>
    <n v="9533248"/>
    <s v="123-009-125-012"/>
    <x v="3"/>
    <x v="8"/>
    <d v="2023-02-21T00:00:00"/>
    <s v="Karen Torres"/>
    <d v="2023-03-08T00:00:00"/>
    <d v="2023-03-14T00:00:00"/>
    <s v="promo"/>
    <x v="1"/>
    <x v="1"/>
    <x v="0"/>
    <b v="0"/>
    <x v="0"/>
    <x v="1"/>
    <b v="0"/>
  </r>
  <r>
    <n v="9395862"/>
    <s v="123-003-107-010"/>
    <x v="26"/>
    <x v="9"/>
    <d v="2023-03-10T00:00:00"/>
    <s v="Sophia Thomas"/>
    <d v="2023-04-09T00:00:00"/>
    <d v="2023-05-15T00:00:00"/>
    <s v="promo"/>
    <x v="1"/>
    <x v="1"/>
    <x v="0"/>
    <b v="0"/>
    <x v="0"/>
    <x v="1"/>
    <b v="0"/>
  </r>
  <r>
    <n v="9395862"/>
    <s v="123-003-107-011"/>
    <x v="26"/>
    <x v="9"/>
    <d v="2022-10-24T00:00:00"/>
    <s v="Isabella Robinson"/>
    <d v="2022-11-14T00:00:00"/>
    <d v="2022-11-25T00:00:00"/>
    <s v="transfer"/>
    <x v="1"/>
    <x v="1"/>
    <x v="0"/>
    <b v="0"/>
    <x v="1"/>
    <x v="0"/>
    <b v="0"/>
  </r>
  <r>
    <n v="9395862"/>
    <s v="123-003-107-012"/>
    <x v="26"/>
    <x v="9"/>
    <d v="2023-05-09T00:00:00"/>
    <s v="Jackson Collins"/>
    <d v="2023-05-18T00:00:00"/>
    <m/>
    <s v="declined"/>
    <x v="0"/>
    <x v="0"/>
    <x v="0"/>
    <b v="0"/>
    <x v="0"/>
    <x v="0"/>
    <b v="0"/>
  </r>
  <r>
    <n v="5209218"/>
    <s v="123-007-127-006"/>
    <x v="16"/>
    <x v="4"/>
    <d v="2023-06-07T00:00:00"/>
    <s v="Donna Turner"/>
    <d v="2023-06-17T00:00:00"/>
    <d v="2023-06-20T00:00:00"/>
    <s v="promo"/>
    <x v="1"/>
    <x v="1"/>
    <x v="0"/>
    <b v="0"/>
    <x v="0"/>
    <x v="1"/>
    <b v="0"/>
  </r>
  <r>
    <n v="5209218"/>
    <s v="123-007-127-007"/>
    <x v="16"/>
    <x v="4"/>
    <d v="2022-03-13T00:00:00"/>
    <s v="Paul Torres"/>
    <d v="2022-03-23T00:00:00"/>
    <m/>
    <s v="declined"/>
    <x v="0"/>
    <x v="0"/>
    <x v="0"/>
    <b v="0"/>
    <x v="0"/>
    <x v="0"/>
    <b v="0"/>
  </r>
  <r>
    <n v="5209218"/>
    <s v="123-007-127-008"/>
    <x v="16"/>
    <x v="4"/>
    <d v="2022-05-24T00:00:00"/>
    <s v="Brian Davis"/>
    <d v="2022-06-17T00:00:00"/>
    <m/>
    <s v="declined"/>
    <x v="0"/>
    <x v="0"/>
    <x v="0"/>
    <b v="0"/>
    <x v="0"/>
    <x v="0"/>
    <b v="0"/>
  </r>
  <r>
    <n v="5688532"/>
    <s v="123-007-129-004"/>
    <x v="14"/>
    <x v="4"/>
    <d v="2022-12-17T00:00:00"/>
    <s v="Olivia Baker"/>
    <d v="2023-01-07T00:00:00"/>
    <d v="2023-01-24T00:00:00"/>
    <s v="new to org"/>
    <x v="1"/>
    <x v="1"/>
    <x v="0"/>
    <b v="0"/>
    <x v="0"/>
    <x v="0"/>
    <b v="1"/>
  </r>
  <r>
    <n v="5688532"/>
    <s v="123-007-129-005"/>
    <x v="14"/>
    <x v="4"/>
    <d v="2022-11-26T00:00:00"/>
    <s v="Sarah Thomas"/>
    <d v="2022-12-07T00:00:00"/>
    <d v="2022-12-21T00:00:00"/>
    <m/>
    <x v="1"/>
    <x v="1"/>
    <x v="0"/>
    <b v="0"/>
    <x v="0"/>
    <x v="0"/>
    <b v="0"/>
  </r>
  <r>
    <n v="8714152"/>
    <s v="123-006-120-006"/>
    <x v="13"/>
    <x v="2"/>
    <d v="2023-05-03T00:00:00"/>
    <s v="Carol Smith"/>
    <d v="2023-05-04T00:00:00"/>
    <d v="2023-07-01T00:00:00"/>
    <s v="promo"/>
    <x v="1"/>
    <x v="1"/>
    <x v="0"/>
    <b v="0"/>
    <x v="0"/>
    <x v="1"/>
    <b v="0"/>
  </r>
  <r>
    <n v="1160702"/>
    <s v="123-003-122-010"/>
    <x v="17"/>
    <x v="9"/>
    <d v="2022-03-25T00:00:00"/>
    <s v="Edward Sanchez"/>
    <d v="2022-04-20T00:00:00"/>
    <d v="2022-06-16T00:00:00"/>
    <m/>
    <x v="1"/>
    <x v="1"/>
    <x v="0"/>
    <b v="0"/>
    <x v="0"/>
    <x v="0"/>
    <b v="0"/>
  </r>
  <r>
    <n v="1160702"/>
    <s v="123-003-122-011"/>
    <x v="17"/>
    <x v="9"/>
    <d v="2023-04-01T00:00:00"/>
    <s v="Paul Johnson"/>
    <d v="2023-04-23T00:00:00"/>
    <d v="2023-05-01T00:00:00"/>
    <s v="transfer"/>
    <x v="1"/>
    <x v="1"/>
    <x v="0"/>
    <b v="0"/>
    <x v="1"/>
    <x v="0"/>
    <b v="0"/>
  </r>
  <r>
    <n v="1160702"/>
    <s v="123-003-122-012"/>
    <x v="17"/>
    <x v="9"/>
    <d v="2023-01-02T00:00:00"/>
    <s v="Isabella Hill"/>
    <d v="2023-01-15T00:00:00"/>
    <d v="2023-01-27T00:00:00"/>
    <m/>
    <x v="1"/>
    <x v="1"/>
    <x v="0"/>
    <b v="0"/>
    <x v="0"/>
    <x v="0"/>
    <b v="0"/>
  </r>
  <r>
    <n v="1160702"/>
    <s v="123-003-122-013"/>
    <x v="17"/>
    <x v="9"/>
    <d v="2023-01-15T00:00:00"/>
    <s v="Linda Robinson"/>
    <d v="2023-02-14T00:00:00"/>
    <d v="2023-02-27T00:00:00"/>
    <s v="transfer"/>
    <x v="1"/>
    <x v="1"/>
    <x v="0"/>
    <b v="0"/>
    <x v="1"/>
    <x v="0"/>
    <b v="0"/>
  </r>
  <r>
    <n v="8458775"/>
    <s v="123-004-101-001"/>
    <x v="0"/>
    <x v="1"/>
    <d v="2022-11-07T00:00:00"/>
    <s v="Richard Garcia"/>
    <d v="2022-12-03T00:00:00"/>
    <d v="2023-01-18T00:00:00"/>
    <s v="new to org"/>
    <x v="1"/>
    <x v="1"/>
    <x v="0"/>
    <b v="0"/>
    <x v="0"/>
    <x v="0"/>
    <b v="1"/>
  </r>
  <r>
    <n v="4710242"/>
    <s v="123-008-108-005"/>
    <x v="11"/>
    <x v="5"/>
    <d v="2022-06-29T00:00:00"/>
    <s v="Richard Nelson"/>
    <d v="2022-07-02T00:00:00"/>
    <m/>
    <s v="declined"/>
    <x v="0"/>
    <x v="0"/>
    <x v="0"/>
    <b v="0"/>
    <x v="0"/>
    <x v="0"/>
    <b v="0"/>
  </r>
  <r>
    <n v="4710242"/>
    <s v="123-008-108-006"/>
    <x v="11"/>
    <x v="5"/>
    <d v="2023-02-10T00:00:00"/>
    <s v="James Gonzalez"/>
    <d v="2023-02-14T00:00:00"/>
    <d v="2023-04-11T00:00:00"/>
    <s v="promo"/>
    <x v="1"/>
    <x v="1"/>
    <x v="0"/>
    <b v="0"/>
    <x v="0"/>
    <x v="1"/>
    <b v="0"/>
  </r>
  <r>
    <n v="4710242"/>
    <s v="123-008-108-007"/>
    <x v="11"/>
    <x v="5"/>
    <d v="2022-06-24T00:00:00"/>
    <s v="Steven Young"/>
    <d v="2022-07-12T00:00:00"/>
    <m/>
    <s v="rescinded"/>
    <x v="0"/>
    <x v="1"/>
    <x v="1"/>
    <b v="0"/>
    <x v="0"/>
    <x v="0"/>
    <b v="0"/>
  </r>
  <r>
    <n v="3151617"/>
    <s v="123-002-124-001"/>
    <x v="15"/>
    <x v="7"/>
    <d v="2022-08-22T00:00:00"/>
    <s v="Andrew Diaz"/>
    <d v="2022-09-20T00:00:00"/>
    <m/>
    <s v="declined"/>
    <x v="0"/>
    <x v="0"/>
    <x v="0"/>
    <b v="0"/>
    <x v="0"/>
    <x v="0"/>
    <b v="0"/>
  </r>
  <r>
    <n v="3151617"/>
    <s v="123-002-124-002"/>
    <x v="15"/>
    <x v="7"/>
    <d v="2022-01-24T00:00:00"/>
    <s v="Richard Diaz"/>
    <d v="2022-02-16T00:00:00"/>
    <d v="2022-04-01T00:00:00"/>
    <s v="new to org"/>
    <x v="1"/>
    <x v="1"/>
    <x v="0"/>
    <b v="0"/>
    <x v="0"/>
    <x v="0"/>
    <b v="1"/>
  </r>
  <r>
    <n v="9941274"/>
    <s v="123-005-120-009"/>
    <x v="13"/>
    <x v="0"/>
    <d v="2022-02-23T00:00:00"/>
    <s v="Charlotte Ramirez"/>
    <d v="2022-03-23T00:00:00"/>
    <d v="2022-04-13T00:00:00"/>
    <s v="transfer"/>
    <x v="1"/>
    <x v="1"/>
    <x v="0"/>
    <b v="0"/>
    <x v="1"/>
    <x v="0"/>
    <b v="0"/>
  </r>
  <r>
    <n v="9941274"/>
    <s v="123-005-120-010"/>
    <x v="13"/>
    <x v="0"/>
    <d v="2023-06-15T00:00:00"/>
    <s v="Sarah Davis"/>
    <d v="2023-06-30T00:00:00"/>
    <d v="2023-08-01T00:00:00"/>
    <m/>
    <x v="1"/>
    <x v="1"/>
    <x v="0"/>
    <b v="0"/>
    <x v="0"/>
    <x v="0"/>
    <b v="0"/>
  </r>
  <r>
    <n v="9941274"/>
    <s v="123-005-120-011"/>
    <x v="13"/>
    <x v="0"/>
    <d v="2022-08-18T00:00:00"/>
    <s v="Olivia Campbell"/>
    <d v="2022-08-20T00:00:00"/>
    <d v="2022-09-07T00:00:00"/>
    <s v="transfer"/>
    <x v="1"/>
    <x v="1"/>
    <x v="0"/>
    <b v="0"/>
    <x v="1"/>
    <x v="0"/>
    <b v="0"/>
  </r>
  <r>
    <n v="9941274"/>
    <s v="123-005-120-012"/>
    <x v="13"/>
    <x v="0"/>
    <d v="2023-02-06T00:00:00"/>
    <s v="Christopher Smith"/>
    <d v="2023-02-13T00:00:00"/>
    <d v="2023-03-07T00:00:00"/>
    <m/>
    <x v="1"/>
    <x v="1"/>
    <x v="0"/>
    <b v="0"/>
    <x v="0"/>
    <x v="0"/>
    <b v="0"/>
  </r>
  <r>
    <n v="9941274"/>
    <s v="123-005-120-013"/>
    <x v="13"/>
    <x v="0"/>
    <d v="2022-01-26T00:00:00"/>
    <s v="Andrew Phillips"/>
    <d v="2022-02-19T00:00:00"/>
    <m/>
    <s v="declined"/>
    <x v="0"/>
    <x v="0"/>
    <x v="0"/>
    <b v="0"/>
    <x v="0"/>
    <x v="0"/>
    <b v="0"/>
  </r>
  <r>
    <n v="4785409"/>
    <s v="123-007-123-006"/>
    <x v="19"/>
    <x v="4"/>
    <d v="2022-11-15T00:00:00"/>
    <s v="David Perez"/>
    <d v="2022-11-18T00:00:00"/>
    <d v="2022-12-29T00:00:00"/>
    <s v="promo"/>
    <x v="1"/>
    <x v="1"/>
    <x v="0"/>
    <b v="0"/>
    <x v="0"/>
    <x v="1"/>
    <b v="0"/>
  </r>
  <r>
    <n v="2622794"/>
    <s v="123-008-101-001"/>
    <x v="0"/>
    <x v="5"/>
    <d v="2022-09-11T00:00:00"/>
    <s v="Mason Taylor"/>
    <d v="2022-09-15T00:00:00"/>
    <d v="2022-10-16T00:00:00"/>
    <s v="new to org"/>
    <x v="1"/>
    <x v="1"/>
    <x v="0"/>
    <b v="0"/>
    <x v="0"/>
    <x v="0"/>
    <b v="1"/>
  </r>
  <r>
    <n v="2622794"/>
    <s v="123-008-101-002"/>
    <x v="0"/>
    <x v="5"/>
    <d v="2022-02-25T00:00:00"/>
    <s v="Nancy Turner"/>
    <d v="2022-03-24T00:00:00"/>
    <m/>
    <s v="rescinded"/>
    <x v="0"/>
    <x v="1"/>
    <x v="1"/>
    <b v="0"/>
    <x v="0"/>
    <x v="0"/>
    <b v="0"/>
  </r>
  <r>
    <n v="2622794"/>
    <s v="123-008-101-003"/>
    <x v="0"/>
    <x v="5"/>
    <d v="2023-03-26T00:00:00"/>
    <s v="Charlotte Jones"/>
    <d v="2023-04-20T00:00:00"/>
    <d v="2023-04-27T00:00:00"/>
    <s v="promo"/>
    <x v="1"/>
    <x v="1"/>
    <x v="0"/>
    <b v="0"/>
    <x v="0"/>
    <x v="1"/>
    <b v="0"/>
  </r>
  <r>
    <n v="2622794"/>
    <s v="123-008-101-004"/>
    <x v="0"/>
    <x v="5"/>
    <d v="2022-02-04T00:00:00"/>
    <s v="Jennifer Brown"/>
    <d v="2022-02-17T00:00:00"/>
    <d v="2022-03-10T00:00:00"/>
    <s v="transfer"/>
    <x v="1"/>
    <x v="1"/>
    <x v="0"/>
    <b v="0"/>
    <x v="1"/>
    <x v="0"/>
    <b v="0"/>
  </r>
  <r>
    <n v="2090992"/>
    <s v="123-003-126-008"/>
    <x v="5"/>
    <x v="9"/>
    <d v="2023-03-19T00:00:00"/>
    <s v="Patricia Martin"/>
    <d v="2023-03-22T00:00:00"/>
    <d v="2023-03-29T00:00:00"/>
    <m/>
    <x v="1"/>
    <x v="1"/>
    <x v="0"/>
    <b v="0"/>
    <x v="0"/>
    <x v="0"/>
    <b v="0"/>
  </r>
  <r>
    <n v="1936000"/>
    <s v="123-001-118-004"/>
    <x v="1"/>
    <x v="3"/>
    <d v="2023-02-25T00:00:00"/>
    <s v="Michael Flores"/>
    <d v="2023-03-05T00:00:00"/>
    <d v="2023-04-30T00:00:00"/>
    <m/>
    <x v="1"/>
    <x v="1"/>
    <x v="0"/>
    <b v="0"/>
    <x v="0"/>
    <x v="0"/>
    <b v="0"/>
  </r>
  <r>
    <n v="1936000"/>
    <s v="123-001-118-005"/>
    <x v="1"/>
    <x v="3"/>
    <d v="2023-04-21T00:00:00"/>
    <s v="Sandra Harris"/>
    <d v="2023-05-17T00:00:00"/>
    <d v="2023-06-14T00:00:00"/>
    <s v="transfer"/>
    <x v="1"/>
    <x v="1"/>
    <x v="0"/>
    <b v="0"/>
    <x v="1"/>
    <x v="0"/>
    <b v="0"/>
  </r>
  <r>
    <n v="1936000"/>
    <s v="123-001-118-006"/>
    <x v="1"/>
    <x v="3"/>
    <d v="2022-01-27T00:00:00"/>
    <s v="Nancy Adams"/>
    <d v="2022-02-11T00:00:00"/>
    <d v="2022-03-17T00:00:00"/>
    <s v="transfer"/>
    <x v="1"/>
    <x v="1"/>
    <x v="0"/>
    <b v="0"/>
    <x v="1"/>
    <x v="0"/>
    <b v="0"/>
  </r>
  <r>
    <n v="6506176"/>
    <s v="123-004-119-006"/>
    <x v="2"/>
    <x v="1"/>
    <d v="2022-03-11T00:00:00"/>
    <s v="Joshua Rivera"/>
    <d v="2022-03-30T00:00:00"/>
    <m/>
    <s v="declined"/>
    <x v="0"/>
    <x v="0"/>
    <x v="0"/>
    <b v="0"/>
    <x v="0"/>
    <x v="0"/>
    <b v="0"/>
  </r>
  <r>
    <n v="4248312"/>
    <s v="123-010-129-001"/>
    <x v="14"/>
    <x v="6"/>
    <d v="2023-05-08T00:00:00"/>
    <s v="Daniel Clark"/>
    <d v="2023-06-01T00:00:00"/>
    <d v="2023-07-11T00:00:00"/>
    <s v="new to org"/>
    <x v="1"/>
    <x v="1"/>
    <x v="0"/>
    <b v="0"/>
    <x v="0"/>
    <x v="0"/>
    <b v="1"/>
  </r>
  <r>
    <n v="4248312"/>
    <s v="123-010-129-002"/>
    <x v="14"/>
    <x v="6"/>
    <d v="2022-02-15T00:00:00"/>
    <s v="William Phillips"/>
    <d v="2022-02-17T00:00:00"/>
    <d v="2022-02-26T00:00:00"/>
    <s v="promo"/>
    <x v="1"/>
    <x v="1"/>
    <x v="0"/>
    <b v="0"/>
    <x v="0"/>
    <x v="1"/>
    <b v="0"/>
  </r>
  <r>
    <n v="6228902"/>
    <s v="123-007-119-001"/>
    <x v="2"/>
    <x v="4"/>
    <d v="2022-05-30T00:00:00"/>
    <s v="Karen Nguyen"/>
    <d v="2022-06-04T00:00:00"/>
    <d v="2022-07-05T00:00:00"/>
    <s v="new to org"/>
    <x v="1"/>
    <x v="1"/>
    <x v="0"/>
    <b v="0"/>
    <x v="0"/>
    <x v="0"/>
    <b v="1"/>
  </r>
  <r>
    <n v="6228902"/>
    <s v="123-007-119-002"/>
    <x v="2"/>
    <x v="4"/>
    <d v="2022-01-09T00:00:00"/>
    <s v="Charles White"/>
    <d v="2022-01-26T00:00:00"/>
    <d v="2022-03-05T00:00:00"/>
    <s v="new to org"/>
    <x v="1"/>
    <x v="1"/>
    <x v="0"/>
    <b v="0"/>
    <x v="0"/>
    <x v="0"/>
    <b v="1"/>
  </r>
  <r>
    <n v="6228902"/>
    <s v="123-007-119-003"/>
    <x v="2"/>
    <x v="4"/>
    <d v="2023-06-04T00:00:00"/>
    <s v="Patricia Thomas"/>
    <d v="2023-07-01T00:00:00"/>
    <d v="2023-08-24T00:00:00"/>
    <s v="promo"/>
    <x v="1"/>
    <x v="1"/>
    <x v="0"/>
    <b v="0"/>
    <x v="0"/>
    <x v="1"/>
    <b v="0"/>
  </r>
  <r>
    <n v="6228902"/>
    <s v="123-007-119-004"/>
    <x v="2"/>
    <x v="4"/>
    <d v="2022-07-20T00:00:00"/>
    <s v="Margaret Thompson"/>
    <d v="2022-07-27T00:00:00"/>
    <d v="2022-09-06T00:00:00"/>
    <s v="transfer"/>
    <x v="1"/>
    <x v="1"/>
    <x v="0"/>
    <b v="0"/>
    <x v="1"/>
    <x v="0"/>
    <b v="0"/>
  </r>
  <r>
    <n v="6228902"/>
    <s v="123-007-119-005"/>
    <x v="2"/>
    <x v="4"/>
    <d v="2023-05-03T00:00:00"/>
    <s v="Nancy Gonzalez"/>
    <d v="2023-05-26T00:00:00"/>
    <d v="2023-07-10T00:00:00"/>
    <s v="transfer"/>
    <x v="1"/>
    <x v="1"/>
    <x v="0"/>
    <b v="0"/>
    <x v="1"/>
    <x v="0"/>
    <b v="0"/>
  </r>
  <r>
    <n v="8841710"/>
    <s v="123-006-120-007"/>
    <x v="13"/>
    <x v="2"/>
    <d v="2023-03-05T00:00:00"/>
    <s v="Michelle Martin"/>
    <d v="2023-03-16T00:00:00"/>
    <d v="2023-03-27T00:00:00"/>
    <s v="new to org"/>
    <x v="1"/>
    <x v="1"/>
    <x v="0"/>
    <b v="0"/>
    <x v="0"/>
    <x v="0"/>
    <b v="1"/>
  </r>
  <r>
    <n v="8841710"/>
    <s v="123-006-120-008"/>
    <x v="13"/>
    <x v="2"/>
    <d v="2022-02-13T00:00:00"/>
    <s v="Olivia Gomez"/>
    <d v="2022-03-01T00:00:00"/>
    <m/>
    <s v="declined"/>
    <x v="0"/>
    <x v="0"/>
    <x v="0"/>
    <b v="0"/>
    <x v="0"/>
    <x v="0"/>
    <b v="0"/>
  </r>
  <r>
    <n v="8841710"/>
    <s v="123-006-120-009"/>
    <x v="13"/>
    <x v="2"/>
    <d v="2022-08-17T00:00:00"/>
    <s v="James Green"/>
    <d v="2022-09-09T00:00:00"/>
    <m/>
    <s v="rescinded"/>
    <x v="0"/>
    <x v="1"/>
    <x v="1"/>
    <b v="0"/>
    <x v="0"/>
    <x v="0"/>
    <b v="0"/>
  </r>
  <r>
    <n v="8841710"/>
    <s v="123-006-120-010"/>
    <x v="13"/>
    <x v="2"/>
    <d v="2022-09-02T00:00:00"/>
    <s v="Michelle Wilson"/>
    <d v="2022-09-18T00:00:00"/>
    <m/>
    <s v="rescinded"/>
    <x v="0"/>
    <x v="1"/>
    <x v="1"/>
    <b v="0"/>
    <x v="0"/>
    <x v="0"/>
    <b v="0"/>
  </r>
  <r>
    <n v="8841710"/>
    <s v="123-006-120-011"/>
    <x v="13"/>
    <x v="2"/>
    <d v="2023-01-20T00:00:00"/>
    <s v="Ethan Mitchell"/>
    <d v="2023-01-27T00:00:00"/>
    <d v="2023-02-22T00:00:00"/>
    <s v="new to org"/>
    <x v="1"/>
    <x v="1"/>
    <x v="0"/>
    <b v="0"/>
    <x v="0"/>
    <x v="0"/>
    <b v="1"/>
  </r>
  <r>
    <n v="4091109"/>
    <s v="123-001-127-001"/>
    <x v="16"/>
    <x v="3"/>
    <d v="2022-09-26T00:00:00"/>
    <s v="Barbara Anderson"/>
    <d v="2022-10-20T00:00:00"/>
    <m/>
    <s v="declined"/>
    <x v="0"/>
    <x v="0"/>
    <x v="0"/>
    <b v="0"/>
    <x v="0"/>
    <x v="0"/>
    <b v="0"/>
  </r>
  <r>
    <n v="4091109"/>
    <s v="123-001-127-002"/>
    <x v="16"/>
    <x v="3"/>
    <d v="2022-05-26T00:00:00"/>
    <s v="Emily Davis"/>
    <d v="2022-06-05T00:00:00"/>
    <m/>
    <s v="rescinded"/>
    <x v="0"/>
    <x v="1"/>
    <x v="1"/>
    <b v="0"/>
    <x v="0"/>
    <x v="0"/>
    <b v="0"/>
  </r>
  <r>
    <n v="4091109"/>
    <s v="123-001-127-003"/>
    <x v="16"/>
    <x v="3"/>
    <d v="2022-07-23T00:00:00"/>
    <s v="Robert Johnson"/>
    <d v="2022-07-30T00:00:00"/>
    <d v="2022-08-18T00:00:00"/>
    <s v="new to org"/>
    <x v="1"/>
    <x v="1"/>
    <x v="0"/>
    <b v="0"/>
    <x v="0"/>
    <x v="0"/>
    <b v="1"/>
  </r>
  <r>
    <n v="3924009"/>
    <s v="123-009-111-006"/>
    <x v="29"/>
    <x v="8"/>
    <d v="2022-09-26T00:00:00"/>
    <s v="Mary Lopez"/>
    <d v="2022-10-26T00:00:00"/>
    <m/>
    <s v="declined"/>
    <x v="0"/>
    <x v="0"/>
    <x v="0"/>
    <b v="0"/>
    <x v="0"/>
    <x v="0"/>
    <b v="0"/>
  </r>
  <r>
    <n v="3924009"/>
    <s v="123-009-111-007"/>
    <x v="29"/>
    <x v="8"/>
    <d v="2022-05-21T00:00:00"/>
    <s v="Mason Baker"/>
    <d v="2022-06-03T00:00:00"/>
    <m/>
    <s v="declined"/>
    <x v="0"/>
    <x v="0"/>
    <x v="0"/>
    <b v="0"/>
    <x v="0"/>
    <x v="0"/>
    <b v="0"/>
  </r>
  <r>
    <n v="2861751"/>
    <s v="123-004-111-006"/>
    <x v="29"/>
    <x v="1"/>
    <d v="2022-06-25T00:00:00"/>
    <s v="Ethan White"/>
    <d v="2022-07-12T00:00:00"/>
    <d v="2022-09-02T00:00:00"/>
    <s v="new to org"/>
    <x v="1"/>
    <x v="1"/>
    <x v="0"/>
    <b v="0"/>
    <x v="0"/>
    <x v="0"/>
    <b v="1"/>
  </r>
  <r>
    <n v="2861751"/>
    <s v="123-004-111-007"/>
    <x v="29"/>
    <x v="1"/>
    <d v="2022-03-08T00:00:00"/>
    <s v="Olivia Rivera"/>
    <d v="2022-03-12T00:00:00"/>
    <d v="2022-03-22T00:00:00"/>
    <m/>
    <x v="1"/>
    <x v="1"/>
    <x v="0"/>
    <b v="0"/>
    <x v="0"/>
    <x v="0"/>
    <b v="0"/>
  </r>
  <r>
    <n v="2861751"/>
    <s v="123-004-111-008"/>
    <x v="29"/>
    <x v="1"/>
    <d v="2022-07-16T00:00:00"/>
    <s v="Sophia Gonzalez"/>
    <d v="2022-08-03T00:00:00"/>
    <d v="2022-08-28T00:00:00"/>
    <s v="promo"/>
    <x v="1"/>
    <x v="1"/>
    <x v="0"/>
    <b v="0"/>
    <x v="0"/>
    <x v="1"/>
    <b v="0"/>
  </r>
  <r>
    <n v="7278962"/>
    <s v="123-010-111-006"/>
    <x v="29"/>
    <x v="6"/>
    <d v="2022-07-13T00:00:00"/>
    <s v="Ava Williams"/>
    <d v="2022-08-10T00:00:00"/>
    <d v="2022-09-14T00:00:00"/>
    <s v="promo"/>
    <x v="1"/>
    <x v="1"/>
    <x v="0"/>
    <b v="0"/>
    <x v="0"/>
    <x v="1"/>
    <b v="0"/>
  </r>
  <r>
    <n v="7278962"/>
    <s v="123-010-111-007"/>
    <x v="29"/>
    <x v="6"/>
    <d v="2022-09-11T00:00:00"/>
    <s v="Elizabeth Lee"/>
    <d v="2022-09-13T00:00:00"/>
    <m/>
    <s v="rescinded"/>
    <x v="0"/>
    <x v="1"/>
    <x v="1"/>
    <b v="0"/>
    <x v="0"/>
    <x v="0"/>
    <b v="0"/>
  </r>
  <r>
    <n v="7278962"/>
    <s v="123-010-111-008"/>
    <x v="29"/>
    <x v="6"/>
    <d v="2023-06-05T00:00:00"/>
    <s v="Logan Rodriguez"/>
    <d v="2023-06-24T00:00:00"/>
    <d v="2023-08-20T00:00:00"/>
    <s v="new to org"/>
    <x v="1"/>
    <x v="1"/>
    <x v="0"/>
    <b v="0"/>
    <x v="0"/>
    <x v="0"/>
    <b v="1"/>
  </r>
  <r>
    <n v="7278962"/>
    <s v="123-010-111-009"/>
    <x v="29"/>
    <x v="6"/>
    <d v="2022-03-08T00:00:00"/>
    <s v="Sophia Walker"/>
    <d v="2022-03-14T00:00:00"/>
    <d v="2022-04-16T00:00:00"/>
    <s v="transfer"/>
    <x v="1"/>
    <x v="1"/>
    <x v="0"/>
    <b v="0"/>
    <x v="1"/>
    <x v="0"/>
    <b v="0"/>
  </r>
  <r>
    <n v="7511503"/>
    <s v="123-009-125-013"/>
    <x v="3"/>
    <x v="8"/>
    <d v="2023-01-18T00:00:00"/>
    <s v="Barbara Lee"/>
    <d v="2023-02-04T00:00:00"/>
    <d v="2023-03-21T00:00:00"/>
    <m/>
    <x v="1"/>
    <x v="1"/>
    <x v="0"/>
    <b v="0"/>
    <x v="0"/>
    <x v="0"/>
    <b v="0"/>
  </r>
  <r>
    <n v="7511503"/>
    <s v="123-009-125-014"/>
    <x v="3"/>
    <x v="8"/>
    <d v="2023-02-15T00:00:00"/>
    <s v="Donald Moore"/>
    <d v="2023-03-08T00:00:00"/>
    <d v="2023-05-06T00:00:00"/>
    <m/>
    <x v="1"/>
    <x v="1"/>
    <x v="0"/>
    <b v="0"/>
    <x v="0"/>
    <x v="0"/>
    <b v="0"/>
  </r>
  <r>
    <n v="7511503"/>
    <s v="123-009-125-015"/>
    <x v="3"/>
    <x v="8"/>
    <d v="2022-07-27T00:00:00"/>
    <s v="Susan Anderson"/>
    <d v="2022-08-11T00:00:00"/>
    <d v="2022-10-06T00:00:00"/>
    <s v="transfer"/>
    <x v="1"/>
    <x v="1"/>
    <x v="0"/>
    <b v="0"/>
    <x v="1"/>
    <x v="0"/>
    <b v="0"/>
  </r>
  <r>
    <n v="4932320"/>
    <s v="123-004-113-001"/>
    <x v="6"/>
    <x v="1"/>
    <d v="2023-01-19T00:00:00"/>
    <s v="Andrew Hernandez"/>
    <d v="2023-01-28T00:00:00"/>
    <d v="2023-03-05T00:00:00"/>
    <m/>
    <x v="1"/>
    <x v="1"/>
    <x v="0"/>
    <b v="0"/>
    <x v="0"/>
    <x v="0"/>
    <b v="0"/>
  </r>
  <r>
    <n v="4932320"/>
    <s v="123-004-113-002"/>
    <x v="6"/>
    <x v="1"/>
    <d v="2022-10-30T00:00:00"/>
    <s v="Edward Garcia"/>
    <d v="2022-11-14T00:00:00"/>
    <m/>
    <s v="declined"/>
    <x v="0"/>
    <x v="0"/>
    <x v="0"/>
    <b v="0"/>
    <x v="0"/>
    <x v="0"/>
    <b v="0"/>
  </r>
  <r>
    <n v="4932320"/>
    <s v="123-004-113-003"/>
    <x v="6"/>
    <x v="1"/>
    <d v="2023-04-22T00:00:00"/>
    <s v="Donna Williams"/>
    <d v="2023-05-09T00:00:00"/>
    <d v="2023-06-18T00:00:00"/>
    <s v="promo"/>
    <x v="1"/>
    <x v="1"/>
    <x v="0"/>
    <b v="0"/>
    <x v="0"/>
    <x v="1"/>
    <b v="0"/>
  </r>
  <r>
    <n v="6643418"/>
    <s v="123-008-114-004"/>
    <x v="24"/>
    <x v="5"/>
    <d v="2022-11-21T00:00:00"/>
    <s v="Ethan Young"/>
    <d v="2022-11-30T00:00:00"/>
    <d v="2022-12-25T00:00:00"/>
    <s v="new to org"/>
    <x v="1"/>
    <x v="1"/>
    <x v="0"/>
    <b v="0"/>
    <x v="0"/>
    <x v="0"/>
    <b v="1"/>
  </r>
  <r>
    <n v="6643418"/>
    <s v="123-008-114-005"/>
    <x v="24"/>
    <x v="5"/>
    <d v="2022-09-29T00:00:00"/>
    <s v="Mark Anderson"/>
    <d v="2022-10-20T00:00:00"/>
    <m/>
    <s v="declined"/>
    <x v="0"/>
    <x v="0"/>
    <x v="0"/>
    <b v="0"/>
    <x v="0"/>
    <x v="0"/>
    <b v="0"/>
  </r>
  <r>
    <n v="6643418"/>
    <s v="123-008-114-006"/>
    <x v="24"/>
    <x v="5"/>
    <d v="2022-10-29T00:00:00"/>
    <s v="Lucas Garcia"/>
    <d v="2022-11-25T00:00:00"/>
    <m/>
    <s v="declined"/>
    <x v="0"/>
    <x v="0"/>
    <x v="0"/>
    <b v="0"/>
    <x v="0"/>
    <x v="0"/>
    <b v="0"/>
  </r>
  <r>
    <n v="6643418"/>
    <s v="123-008-114-007"/>
    <x v="24"/>
    <x v="5"/>
    <d v="2022-08-22T00:00:00"/>
    <s v="Sophia Moore"/>
    <d v="2022-08-26T00:00:00"/>
    <d v="2022-09-03T00:00:00"/>
    <s v="transfer"/>
    <x v="1"/>
    <x v="1"/>
    <x v="0"/>
    <b v="0"/>
    <x v="1"/>
    <x v="0"/>
    <b v="0"/>
  </r>
  <r>
    <n v="2197032"/>
    <s v="123-001-112-005"/>
    <x v="28"/>
    <x v="3"/>
    <d v="2022-12-04T00:00:00"/>
    <s v="Richard Baker"/>
    <d v="2022-12-13T00:00:00"/>
    <m/>
    <s v="declined"/>
    <x v="0"/>
    <x v="0"/>
    <x v="0"/>
    <b v="0"/>
    <x v="0"/>
    <x v="0"/>
    <b v="0"/>
  </r>
  <r>
    <n v="2197032"/>
    <s v="123-001-112-006"/>
    <x v="28"/>
    <x v="3"/>
    <d v="2022-10-09T00:00:00"/>
    <s v="Isabella Roberts"/>
    <d v="2022-10-16T00:00:00"/>
    <m/>
    <s v="rescinded"/>
    <x v="0"/>
    <x v="1"/>
    <x v="1"/>
    <b v="0"/>
    <x v="0"/>
    <x v="0"/>
    <b v="0"/>
  </r>
  <r>
    <n v="2197032"/>
    <s v="123-001-112-007"/>
    <x v="28"/>
    <x v="3"/>
    <d v="2022-09-25T00:00:00"/>
    <s v="Mia Carter"/>
    <d v="2022-09-26T00:00:00"/>
    <d v="2022-11-15T00:00:00"/>
    <s v="promo"/>
    <x v="1"/>
    <x v="1"/>
    <x v="0"/>
    <b v="0"/>
    <x v="0"/>
    <x v="1"/>
    <b v="0"/>
  </r>
  <r>
    <n v="2197032"/>
    <s v="123-001-112-008"/>
    <x v="28"/>
    <x v="3"/>
    <d v="2023-02-18T00:00:00"/>
    <s v="Isabella Thompson"/>
    <d v="2023-03-03T00:00:00"/>
    <m/>
    <s v="rescinded"/>
    <x v="0"/>
    <x v="1"/>
    <x v="1"/>
    <b v="0"/>
    <x v="0"/>
    <x v="0"/>
    <b v="0"/>
  </r>
  <r>
    <n v="2197032"/>
    <s v="123-001-112-009"/>
    <x v="28"/>
    <x v="3"/>
    <d v="2023-06-09T00:00:00"/>
    <s v="Donald Adams"/>
    <d v="2023-07-04T00:00:00"/>
    <d v="2023-07-14T00:00:00"/>
    <s v="transfer"/>
    <x v="1"/>
    <x v="1"/>
    <x v="0"/>
    <b v="0"/>
    <x v="1"/>
    <x v="0"/>
    <b v="0"/>
  </r>
  <r>
    <n v="7669032"/>
    <s v="123-004-108-006"/>
    <x v="11"/>
    <x v="1"/>
    <d v="2023-04-18T00:00:00"/>
    <s v="George Evans"/>
    <d v="2023-04-29T00:00:00"/>
    <d v="2023-06-19T00:00:00"/>
    <m/>
    <x v="1"/>
    <x v="1"/>
    <x v="0"/>
    <b v="0"/>
    <x v="0"/>
    <x v="0"/>
    <b v="0"/>
  </r>
  <r>
    <n v="7669032"/>
    <s v="123-004-108-007"/>
    <x v="11"/>
    <x v="1"/>
    <d v="2023-03-16T00:00:00"/>
    <s v="Mia Gonzalez"/>
    <d v="2023-04-10T00:00:00"/>
    <m/>
    <s v="declined"/>
    <x v="0"/>
    <x v="0"/>
    <x v="0"/>
    <b v="0"/>
    <x v="0"/>
    <x v="0"/>
    <b v="0"/>
  </r>
  <r>
    <n v="8007639"/>
    <s v="123-008-107-010"/>
    <x v="26"/>
    <x v="5"/>
    <d v="2022-05-12T00:00:00"/>
    <s v="Lisa Rodriguez"/>
    <d v="2022-05-22T00:00:00"/>
    <d v="2022-07-09T00:00:00"/>
    <s v="transfer"/>
    <x v="1"/>
    <x v="1"/>
    <x v="0"/>
    <b v="0"/>
    <x v="1"/>
    <x v="0"/>
    <b v="0"/>
  </r>
  <r>
    <n v="8007639"/>
    <s v="123-008-107-011"/>
    <x v="26"/>
    <x v="5"/>
    <d v="2022-12-30T00:00:00"/>
    <s v="Ethan Nelson"/>
    <d v="2023-01-10T00:00:00"/>
    <m/>
    <s v="declined"/>
    <x v="0"/>
    <x v="0"/>
    <x v="0"/>
    <b v="0"/>
    <x v="0"/>
    <x v="0"/>
    <b v="0"/>
  </r>
  <r>
    <n v="8007639"/>
    <s v="123-008-107-012"/>
    <x v="26"/>
    <x v="5"/>
    <d v="2023-02-18T00:00:00"/>
    <s v="Margaret Baker"/>
    <d v="2023-03-15T00:00:00"/>
    <m/>
    <s v="rescinded"/>
    <x v="0"/>
    <x v="1"/>
    <x v="1"/>
    <b v="0"/>
    <x v="0"/>
    <x v="0"/>
    <b v="0"/>
  </r>
  <r>
    <n v="8007639"/>
    <s v="123-008-107-013"/>
    <x v="26"/>
    <x v="5"/>
    <d v="2022-01-24T00:00:00"/>
    <s v="Christopher Nguyen"/>
    <d v="2022-02-12T00:00:00"/>
    <d v="2022-04-04T00:00:00"/>
    <s v="new to org"/>
    <x v="1"/>
    <x v="1"/>
    <x v="0"/>
    <b v="0"/>
    <x v="0"/>
    <x v="0"/>
    <b v="1"/>
  </r>
  <r>
    <n v="1540377"/>
    <s v="123-003-130-001"/>
    <x v="23"/>
    <x v="9"/>
    <d v="2023-02-05T00:00:00"/>
    <s v="Andrew Green"/>
    <d v="2023-02-18T00:00:00"/>
    <d v="2023-03-04T00:00:00"/>
    <s v="new to org"/>
    <x v="1"/>
    <x v="1"/>
    <x v="0"/>
    <b v="0"/>
    <x v="0"/>
    <x v="0"/>
    <b v="1"/>
  </r>
  <r>
    <n v="1540377"/>
    <s v="123-003-130-002"/>
    <x v="23"/>
    <x v="9"/>
    <d v="2022-07-12T00:00:00"/>
    <s v="Paul Harris"/>
    <d v="2022-07-28T00:00:00"/>
    <d v="2022-08-04T00:00:00"/>
    <s v="transfer"/>
    <x v="1"/>
    <x v="1"/>
    <x v="0"/>
    <b v="0"/>
    <x v="1"/>
    <x v="0"/>
    <b v="0"/>
  </r>
  <r>
    <n v="6517042"/>
    <s v="123-008-119-001"/>
    <x v="2"/>
    <x v="5"/>
    <d v="2022-07-30T00:00:00"/>
    <s v="Matthew Jackson"/>
    <d v="2022-08-07T00:00:00"/>
    <m/>
    <s v="declined"/>
    <x v="0"/>
    <x v="0"/>
    <x v="0"/>
    <b v="0"/>
    <x v="0"/>
    <x v="0"/>
    <b v="0"/>
  </r>
  <r>
    <n v="6517042"/>
    <s v="123-008-119-002"/>
    <x v="2"/>
    <x v="5"/>
    <d v="2022-02-02T00:00:00"/>
    <s v="Emily Lopez"/>
    <d v="2022-03-01T00:00:00"/>
    <m/>
    <s v="declined"/>
    <x v="0"/>
    <x v="0"/>
    <x v="0"/>
    <b v="0"/>
    <x v="0"/>
    <x v="0"/>
    <b v="0"/>
  </r>
  <r>
    <n v="6517042"/>
    <s v="123-008-119-003"/>
    <x v="2"/>
    <x v="5"/>
    <d v="2022-07-23T00:00:00"/>
    <s v="Mary Lopez"/>
    <d v="2022-07-26T00:00:00"/>
    <d v="2022-09-23T00:00:00"/>
    <m/>
    <x v="1"/>
    <x v="1"/>
    <x v="0"/>
    <b v="0"/>
    <x v="0"/>
    <x v="0"/>
    <b v="0"/>
  </r>
  <r>
    <n v="5883940"/>
    <s v="123-009-122-003"/>
    <x v="17"/>
    <x v="8"/>
    <d v="2022-06-25T00:00:00"/>
    <s v="Kimberly Smith"/>
    <d v="2022-07-06T00:00:00"/>
    <d v="2022-08-31T00:00:00"/>
    <s v="new to org"/>
    <x v="1"/>
    <x v="1"/>
    <x v="0"/>
    <b v="0"/>
    <x v="0"/>
    <x v="0"/>
    <b v="1"/>
  </r>
  <r>
    <n v="7893107"/>
    <s v="123-003-113-004"/>
    <x v="6"/>
    <x v="9"/>
    <d v="2022-03-12T00:00:00"/>
    <s v="Anthony Walker"/>
    <d v="2022-03-25T00:00:00"/>
    <m/>
    <s v="declined"/>
    <x v="0"/>
    <x v="0"/>
    <x v="0"/>
    <b v="0"/>
    <x v="0"/>
    <x v="0"/>
    <b v="0"/>
  </r>
  <r>
    <n v="4464154"/>
    <s v="123-004-105-002"/>
    <x v="7"/>
    <x v="1"/>
    <d v="2022-11-14T00:00:00"/>
    <s v="David Hill"/>
    <d v="2022-12-03T00:00:00"/>
    <d v="2022-12-16T00:00:00"/>
    <m/>
    <x v="1"/>
    <x v="1"/>
    <x v="0"/>
    <b v="0"/>
    <x v="0"/>
    <x v="0"/>
    <b v="0"/>
  </r>
  <r>
    <n v="4464154"/>
    <s v="123-004-105-003"/>
    <x v="7"/>
    <x v="1"/>
    <d v="2022-01-08T00:00:00"/>
    <s v="Sarah Gonzalez"/>
    <d v="2022-01-13T00:00:00"/>
    <d v="2022-02-11T00:00:00"/>
    <m/>
    <x v="1"/>
    <x v="1"/>
    <x v="0"/>
    <b v="0"/>
    <x v="0"/>
    <x v="0"/>
    <b v="0"/>
  </r>
  <r>
    <n v="4464154"/>
    <s v="123-004-105-004"/>
    <x v="7"/>
    <x v="1"/>
    <d v="2022-09-10T00:00:00"/>
    <s v="Betty Hill"/>
    <d v="2022-09-27T00:00:00"/>
    <m/>
    <s v="declined"/>
    <x v="0"/>
    <x v="0"/>
    <x v="0"/>
    <b v="0"/>
    <x v="0"/>
    <x v="0"/>
    <b v="0"/>
  </r>
  <r>
    <n v="6517883"/>
    <s v="123-010-130-003"/>
    <x v="23"/>
    <x v="6"/>
    <d v="2022-10-22T00:00:00"/>
    <s v="Melissa Garcia"/>
    <d v="2022-11-12T00:00:00"/>
    <d v="2023-01-08T00:00:00"/>
    <s v="transfer"/>
    <x v="1"/>
    <x v="1"/>
    <x v="0"/>
    <b v="0"/>
    <x v="1"/>
    <x v="0"/>
    <b v="0"/>
  </r>
  <r>
    <n v="6517883"/>
    <s v="123-010-130-004"/>
    <x v="23"/>
    <x v="6"/>
    <d v="2022-11-01T00:00:00"/>
    <s v="Brian Turner"/>
    <d v="2022-11-14T00:00:00"/>
    <d v="2022-12-24T00:00:00"/>
    <s v="new to org"/>
    <x v="1"/>
    <x v="1"/>
    <x v="0"/>
    <b v="0"/>
    <x v="0"/>
    <x v="0"/>
    <b v="1"/>
  </r>
  <r>
    <n v="6517883"/>
    <s v="123-010-130-005"/>
    <x v="23"/>
    <x v="6"/>
    <d v="2022-07-03T00:00:00"/>
    <s v="Anthony Thomas"/>
    <d v="2022-08-01T00:00:00"/>
    <d v="2022-09-10T00:00:00"/>
    <s v="promo"/>
    <x v="1"/>
    <x v="1"/>
    <x v="0"/>
    <b v="0"/>
    <x v="0"/>
    <x v="1"/>
    <b v="0"/>
  </r>
  <r>
    <n v="6517883"/>
    <s v="123-010-130-006"/>
    <x v="23"/>
    <x v="6"/>
    <d v="2022-07-07T00:00:00"/>
    <s v="Matthew Collins"/>
    <d v="2022-07-30T00:00:00"/>
    <d v="2022-09-05T00:00:00"/>
    <m/>
    <x v="1"/>
    <x v="1"/>
    <x v="0"/>
    <b v="0"/>
    <x v="0"/>
    <x v="0"/>
    <b v="0"/>
  </r>
  <r>
    <n v="2602797"/>
    <s v="123-001-113-001"/>
    <x v="6"/>
    <x v="3"/>
    <d v="2022-10-26T00:00:00"/>
    <s v="Sarah Cruz"/>
    <d v="2022-11-17T00:00:00"/>
    <d v="2023-01-15T00:00:00"/>
    <s v="promo"/>
    <x v="1"/>
    <x v="1"/>
    <x v="0"/>
    <b v="0"/>
    <x v="0"/>
    <x v="1"/>
    <b v="0"/>
  </r>
  <r>
    <n v="2602797"/>
    <s v="123-001-113-002"/>
    <x v="6"/>
    <x v="3"/>
    <d v="2022-08-11T00:00:00"/>
    <s v="George Campbell"/>
    <d v="2022-09-10T00:00:00"/>
    <m/>
    <s v="declined"/>
    <x v="0"/>
    <x v="0"/>
    <x v="0"/>
    <b v="0"/>
    <x v="0"/>
    <x v="0"/>
    <b v="0"/>
  </r>
  <r>
    <n v="9279347"/>
    <s v="123-009-114-005"/>
    <x v="24"/>
    <x v="8"/>
    <d v="2023-06-01T00:00:00"/>
    <s v="Edward Miller"/>
    <d v="2023-06-26T00:00:00"/>
    <d v="2023-08-15T00:00:00"/>
    <s v="transfer"/>
    <x v="1"/>
    <x v="1"/>
    <x v="0"/>
    <b v="0"/>
    <x v="1"/>
    <x v="0"/>
    <b v="0"/>
  </r>
  <r>
    <n v="6469592"/>
    <s v="123-008-114-008"/>
    <x v="24"/>
    <x v="5"/>
    <d v="2023-04-19T00:00:00"/>
    <s v="Steven Williams"/>
    <d v="2023-04-20T00:00:00"/>
    <m/>
    <s v="declined"/>
    <x v="0"/>
    <x v="0"/>
    <x v="0"/>
    <b v="0"/>
    <x v="0"/>
    <x v="0"/>
    <b v="0"/>
  </r>
  <r>
    <n v="6469592"/>
    <s v="123-008-114-009"/>
    <x v="24"/>
    <x v="5"/>
    <m/>
    <m/>
    <m/>
    <m/>
    <s v="cancelled"/>
    <x v="0"/>
    <x v="1"/>
    <x v="0"/>
    <b v="1"/>
    <x v="0"/>
    <x v="0"/>
    <b v="0"/>
  </r>
  <r>
    <n v="8749462"/>
    <s v="123-006-113-007"/>
    <x v="6"/>
    <x v="2"/>
    <d v="2022-09-14T00:00:00"/>
    <s v="Robert Smith"/>
    <d v="2022-09-18T00:00:00"/>
    <d v="2022-11-03T00:00:00"/>
    <m/>
    <x v="1"/>
    <x v="1"/>
    <x v="0"/>
    <b v="0"/>
    <x v="0"/>
    <x v="0"/>
    <b v="0"/>
  </r>
  <r>
    <n v="8749462"/>
    <s v="123-006-113-008"/>
    <x v="6"/>
    <x v="2"/>
    <d v="2023-04-21T00:00:00"/>
    <s v="Kevin Mitchell"/>
    <d v="2023-05-07T00:00:00"/>
    <d v="2023-06-06T00:00:00"/>
    <s v="new to org"/>
    <x v="1"/>
    <x v="1"/>
    <x v="0"/>
    <b v="0"/>
    <x v="0"/>
    <x v="0"/>
    <b v="1"/>
  </r>
  <r>
    <n v="8749462"/>
    <s v="123-006-113-009"/>
    <x v="6"/>
    <x v="2"/>
    <d v="2022-09-06T00:00:00"/>
    <s v="Emily Nelson"/>
    <d v="2022-09-29T00:00:00"/>
    <m/>
    <s v="declined"/>
    <x v="0"/>
    <x v="0"/>
    <x v="0"/>
    <b v="0"/>
    <x v="0"/>
    <x v="0"/>
    <b v="0"/>
  </r>
  <r>
    <n v="8749462"/>
    <s v="123-006-113-010"/>
    <x v="6"/>
    <x v="2"/>
    <d v="2022-10-13T00:00:00"/>
    <s v="Donald Evans"/>
    <d v="2022-11-09T00:00:00"/>
    <d v="2022-11-20T00:00:00"/>
    <s v="promo"/>
    <x v="1"/>
    <x v="1"/>
    <x v="0"/>
    <b v="0"/>
    <x v="0"/>
    <x v="1"/>
    <b v="0"/>
  </r>
  <r>
    <n v="3862010"/>
    <s v="123-001-127-004"/>
    <x v="16"/>
    <x v="3"/>
    <d v="2023-02-05T00:00:00"/>
    <s v="Charles Davis"/>
    <d v="2023-02-11T00:00:00"/>
    <m/>
    <s v="declined"/>
    <x v="0"/>
    <x v="0"/>
    <x v="0"/>
    <b v="0"/>
    <x v="0"/>
    <x v="0"/>
    <b v="0"/>
  </r>
  <r>
    <n v="3862010"/>
    <s v="123-001-127-005"/>
    <x v="16"/>
    <x v="3"/>
    <d v="2022-02-19T00:00:00"/>
    <s v="Joshua Smith"/>
    <d v="2022-03-16T00:00:00"/>
    <m/>
    <s v="declined"/>
    <x v="0"/>
    <x v="0"/>
    <x v="0"/>
    <b v="0"/>
    <x v="0"/>
    <x v="0"/>
    <b v="0"/>
  </r>
  <r>
    <n v="3862010"/>
    <s v="123-001-127-006"/>
    <x v="16"/>
    <x v="3"/>
    <d v="2023-01-02T00:00:00"/>
    <s v="Elizabeth Lewis"/>
    <d v="2023-01-08T00:00:00"/>
    <d v="2023-01-22T00:00:00"/>
    <s v="new to org"/>
    <x v="1"/>
    <x v="1"/>
    <x v="0"/>
    <b v="0"/>
    <x v="0"/>
    <x v="0"/>
    <b v="1"/>
  </r>
  <r>
    <n v="3862010"/>
    <s v="123-001-127-007"/>
    <x v="16"/>
    <x v="3"/>
    <d v="2022-02-18T00:00:00"/>
    <s v="Mark Hall"/>
    <d v="2022-03-17T00:00:00"/>
    <d v="2022-04-27T00:00:00"/>
    <s v="promo"/>
    <x v="1"/>
    <x v="1"/>
    <x v="0"/>
    <b v="0"/>
    <x v="0"/>
    <x v="1"/>
    <b v="0"/>
  </r>
  <r>
    <n v="3862010"/>
    <s v="123-001-127-008"/>
    <x v="16"/>
    <x v="3"/>
    <d v="2022-11-12T00:00:00"/>
    <s v="Matthew Hall"/>
    <d v="2022-11-27T00:00:00"/>
    <d v="2022-12-01T00:00:00"/>
    <s v="transfer"/>
    <x v="1"/>
    <x v="1"/>
    <x v="0"/>
    <b v="0"/>
    <x v="1"/>
    <x v="0"/>
    <b v="0"/>
  </r>
  <r>
    <n v="7331646"/>
    <s v="123-004-125-012"/>
    <x v="3"/>
    <x v="1"/>
    <d v="2022-04-04T00:00:00"/>
    <s v="Jessica Gonzalez"/>
    <d v="2022-04-05T00:00:00"/>
    <m/>
    <s v="rescinded"/>
    <x v="0"/>
    <x v="1"/>
    <x v="1"/>
    <b v="0"/>
    <x v="0"/>
    <x v="0"/>
    <b v="0"/>
  </r>
  <r>
    <n v="7331646"/>
    <s v="123-004-125-013"/>
    <x v="3"/>
    <x v="1"/>
    <d v="2022-07-16T00:00:00"/>
    <s v="Nancy Evans"/>
    <d v="2022-08-07T00:00:00"/>
    <d v="2022-09-19T00:00:00"/>
    <s v="transfer"/>
    <x v="1"/>
    <x v="1"/>
    <x v="0"/>
    <b v="0"/>
    <x v="1"/>
    <x v="0"/>
    <b v="0"/>
  </r>
  <r>
    <n v="2059841"/>
    <s v="123-002-108-006"/>
    <x v="11"/>
    <x v="7"/>
    <d v="2022-04-21T00:00:00"/>
    <s v="Anthony Allen"/>
    <d v="2022-05-18T00:00:00"/>
    <d v="2022-06-08T00:00:00"/>
    <s v="transfer"/>
    <x v="1"/>
    <x v="1"/>
    <x v="0"/>
    <b v="0"/>
    <x v="1"/>
    <x v="0"/>
    <b v="0"/>
  </r>
  <r>
    <n v="2059841"/>
    <s v="123-002-108-007"/>
    <x v="11"/>
    <x v="7"/>
    <d v="2023-02-09T00:00:00"/>
    <s v="Michelle Wilson"/>
    <d v="2023-02-23T00:00:00"/>
    <d v="2023-03-03T00:00:00"/>
    <s v="promo"/>
    <x v="1"/>
    <x v="1"/>
    <x v="0"/>
    <b v="0"/>
    <x v="0"/>
    <x v="1"/>
    <b v="0"/>
  </r>
  <r>
    <n v="4899161"/>
    <s v="123-002-107-001"/>
    <x v="26"/>
    <x v="7"/>
    <d v="2022-11-20T00:00:00"/>
    <s v="James Sanchez"/>
    <d v="2022-11-21T00:00:00"/>
    <m/>
    <s v="rescinded"/>
    <x v="0"/>
    <x v="1"/>
    <x v="1"/>
    <b v="0"/>
    <x v="0"/>
    <x v="0"/>
    <b v="0"/>
  </r>
  <r>
    <n v="4899161"/>
    <s v="123-002-107-002"/>
    <x v="26"/>
    <x v="7"/>
    <d v="2022-03-09T00:00:00"/>
    <s v="Sandra Anderson"/>
    <d v="2022-03-31T00:00:00"/>
    <m/>
    <s v="rescinded"/>
    <x v="0"/>
    <x v="1"/>
    <x v="1"/>
    <b v="0"/>
    <x v="0"/>
    <x v="0"/>
    <b v="0"/>
  </r>
  <r>
    <n v="4899161"/>
    <s v="123-002-107-003"/>
    <x v="26"/>
    <x v="7"/>
    <d v="2022-08-12T00:00:00"/>
    <s v="Robert Jones"/>
    <d v="2022-08-26T00:00:00"/>
    <d v="2022-09-15T00:00:00"/>
    <s v="new to org"/>
    <x v="1"/>
    <x v="1"/>
    <x v="0"/>
    <b v="0"/>
    <x v="0"/>
    <x v="0"/>
    <b v="1"/>
  </r>
  <r>
    <n v="9381494"/>
    <s v="123-009-104-005"/>
    <x v="18"/>
    <x v="8"/>
    <d v="2022-11-29T00:00:00"/>
    <s v="Michael Hill"/>
    <d v="2022-12-20T00:00:00"/>
    <m/>
    <s v="declined"/>
    <x v="0"/>
    <x v="0"/>
    <x v="0"/>
    <b v="0"/>
    <x v="0"/>
    <x v="0"/>
    <b v="0"/>
  </r>
  <r>
    <n v="9381494"/>
    <s v="123-009-104-006"/>
    <x v="18"/>
    <x v="8"/>
    <d v="2022-11-22T00:00:00"/>
    <s v="Nancy Lopez"/>
    <d v="2022-12-20T00:00:00"/>
    <d v="2023-02-01T00:00:00"/>
    <s v="promo"/>
    <x v="1"/>
    <x v="1"/>
    <x v="0"/>
    <b v="0"/>
    <x v="0"/>
    <x v="1"/>
    <b v="0"/>
  </r>
  <r>
    <n v="9381494"/>
    <s v="123-009-104-007"/>
    <x v="18"/>
    <x v="8"/>
    <d v="2023-04-05T00:00:00"/>
    <s v="Mary Hill"/>
    <d v="2023-04-18T00:00:00"/>
    <d v="2023-05-21T00:00:00"/>
    <s v="new to org"/>
    <x v="1"/>
    <x v="1"/>
    <x v="0"/>
    <b v="0"/>
    <x v="0"/>
    <x v="0"/>
    <b v="1"/>
  </r>
  <r>
    <n v="9381494"/>
    <s v="123-009-104-008"/>
    <x v="18"/>
    <x v="8"/>
    <d v="2022-01-14T00:00:00"/>
    <s v="Steven Nguyen"/>
    <d v="2022-01-22T00:00:00"/>
    <d v="2022-01-24T00:00:00"/>
    <s v="promo"/>
    <x v="1"/>
    <x v="1"/>
    <x v="0"/>
    <b v="0"/>
    <x v="0"/>
    <x v="1"/>
    <b v="0"/>
  </r>
  <r>
    <n v="9381494"/>
    <s v="123-009-104-009"/>
    <x v="18"/>
    <x v="8"/>
    <d v="2023-03-15T00:00:00"/>
    <s v="Karen Thomas"/>
    <d v="2023-04-09T00:00:00"/>
    <d v="2023-04-25T00:00:00"/>
    <s v="transfer"/>
    <x v="1"/>
    <x v="1"/>
    <x v="0"/>
    <b v="0"/>
    <x v="1"/>
    <x v="0"/>
    <b v="0"/>
  </r>
  <r>
    <n v="2331937"/>
    <s v="123-003-102-001"/>
    <x v="27"/>
    <x v="9"/>
    <d v="2022-07-29T00:00:00"/>
    <s v="Elizabeth Harris"/>
    <d v="2022-08-19T00:00:00"/>
    <d v="2022-08-22T00:00:00"/>
    <s v="promo"/>
    <x v="1"/>
    <x v="1"/>
    <x v="0"/>
    <b v="0"/>
    <x v="0"/>
    <x v="1"/>
    <b v="0"/>
  </r>
  <r>
    <n v="2331937"/>
    <s v="123-003-102-002"/>
    <x v="27"/>
    <x v="9"/>
    <d v="2023-03-31T00:00:00"/>
    <s v="George Hill"/>
    <d v="2023-04-24T00:00:00"/>
    <m/>
    <s v="rescinded"/>
    <x v="0"/>
    <x v="1"/>
    <x v="1"/>
    <b v="0"/>
    <x v="0"/>
    <x v="0"/>
    <b v="0"/>
  </r>
  <r>
    <n v="2331937"/>
    <s v="123-003-102-003"/>
    <x v="27"/>
    <x v="9"/>
    <d v="2022-02-10T00:00:00"/>
    <s v="Sarah Lee"/>
    <d v="2022-02-27T00:00:00"/>
    <d v="2022-04-19T00:00:00"/>
    <s v="promo"/>
    <x v="1"/>
    <x v="1"/>
    <x v="0"/>
    <b v="0"/>
    <x v="0"/>
    <x v="1"/>
    <b v="0"/>
  </r>
  <r>
    <n v="7960756"/>
    <s v="123-005-121-005"/>
    <x v="20"/>
    <x v="0"/>
    <d v="2022-12-17T00:00:00"/>
    <s v="George Perez"/>
    <d v="2022-12-25T00:00:00"/>
    <m/>
    <s v="declined"/>
    <x v="0"/>
    <x v="0"/>
    <x v="0"/>
    <b v="0"/>
    <x v="0"/>
    <x v="0"/>
    <b v="0"/>
  </r>
  <r>
    <n v="4453043"/>
    <s v="123-001-118-007"/>
    <x v="1"/>
    <x v="3"/>
    <d v="2023-01-26T00:00:00"/>
    <s v="Joshua Parker"/>
    <d v="2023-02-12T00:00:00"/>
    <d v="2023-03-05T00:00:00"/>
    <s v="promo"/>
    <x v="1"/>
    <x v="1"/>
    <x v="0"/>
    <b v="0"/>
    <x v="0"/>
    <x v="1"/>
    <b v="0"/>
  </r>
  <r>
    <n v="4453043"/>
    <s v="123-001-118-008"/>
    <x v="1"/>
    <x v="3"/>
    <d v="2022-03-08T00:00:00"/>
    <s v="Kenneth Smith"/>
    <d v="2022-04-05T00:00:00"/>
    <m/>
    <s v="declined"/>
    <x v="0"/>
    <x v="0"/>
    <x v="0"/>
    <b v="0"/>
    <x v="0"/>
    <x v="0"/>
    <b v="0"/>
  </r>
  <r>
    <n v="9248388"/>
    <s v="123-004-103-006"/>
    <x v="8"/>
    <x v="1"/>
    <d v="2022-05-09T00:00:00"/>
    <s v="Charlotte Wilson"/>
    <d v="2022-05-12T00:00:00"/>
    <d v="2022-05-24T00:00:00"/>
    <s v="promo"/>
    <x v="1"/>
    <x v="1"/>
    <x v="0"/>
    <b v="0"/>
    <x v="0"/>
    <x v="1"/>
    <b v="0"/>
  </r>
  <r>
    <n v="4428815"/>
    <s v="123-009-108-007"/>
    <x v="11"/>
    <x v="8"/>
    <d v="2022-07-22T00:00:00"/>
    <s v="Karen Hernandez"/>
    <d v="2022-07-30T00:00:00"/>
    <d v="2022-08-27T00:00:00"/>
    <m/>
    <x v="1"/>
    <x v="1"/>
    <x v="0"/>
    <b v="0"/>
    <x v="0"/>
    <x v="0"/>
    <b v="0"/>
  </r>
  <r>
    <n v="3960096"/>
    <s v="123-004-120-008"/>
    <x v="13"/>
    <x v="1"/>
    <d v="2022-07-26T00:00:00"/>
    <s v="Mark Green"/>
    <d v="2022-08-04T00:00:00"/>
    <m/>
    <s v="declined"/>
    <x v="0"/>
    <x v="0"/>
    <x v="0"/>
    <b v="0"/>
    <x v="0"/>
    <x v="0"/>
    <b v="0"/>
  </r>
  <r>
    <n v="3960096"/>
    <s v="123-004-120-009"/>
    <x v="13"/>
    <x v="1"/>
    <d v="2023-02-12T00:00:00"/>
    <s v="Jennifer White"/>
    <d v="2023-02-25T00:00:00"/>
    <d v="2023-03-08T00:00:00"/>
    <m/>
    <x v="1"/>
    <x v="1"/>
    <x v="0"/>
    <b v="0"/>
    <x v="0"/>
    <x v="0"/>
    <b v="0"/>
  </r>
  <r>
    <n v="3960096"/>
    <s v="123-004-120-010"/>
    <x v="13"/>
    <x v="1"/>
    <d v="2023-03-20T00:00:00"/>
    <s v="Steven Flores"/>
    <d v="2023-04-14T00:00:00"/>
    <d v="2023-04-24T00:00:00"/>
    <m/>
    <x v="1"/>
    <x v="1"/>
    <x v="0"/>
    <b v="0"/>
    <x v="0"/>
    <x v="0"/>
    <b v="0"/>
  </r>
  <r>
    <n v="9086630"/>
    <s v="123-007-101-006"/>
    <x v="0"/>
    <x v="4"/>
    <d v="2022-06-06T00:00:00"/>
    <s v="Joshua Wright"/>
    <d v="2022-06-24T00:00:00"/>
    <d v="2022-08-10T00:00:00"/>
    <s v="new to org"/>
    <x v="1"/>
    <x v="1"/>
    <x v="0"/>
    <b v="0"/>
    <x v="0"/>
    <x v="0"/>
    <b v="1"/>
  </r>
  <r>
    <n v="9086630"/>
    <s v="123-007-101-007"/>
    <x v="0"/>
    <x v="4"/>
    <d v="2022-11-10T00:00:00"/>
    <s v="Matthew Robinson"/>
    <d v="2022-11-25T00:00:00"/>
    <m/>
    <s v="declined"/>
    <x v="0"/>
    <x v="0"/>
    <x v="0"/>
    <b v="0"/>
    <x v="0"/>
    <x v="0"/>
    <b v="0"/>
  </r>
  <r>
    <n v="9086630"/>
    <s v="123-007-101-008"/>
    <x v="0"/>
    <x v="4"/>
    <d v="2023-05-08T00:00:00"/>
    <s v="Emily Hill"/>
    <d v="2023-05-11T00:00:00"/>
    <m/>
    <s v="rescinded"/>
    <x v="0"/>
    <x v="1"/>
    <x v="1"/>
    <b v="0"/>
    <x v="0"/>
    <x v="0"/>
    <b v="0"/>
  </r>
  <r>
    <n v="9086630"/>
    <s v="123-007-101-009"/>
    <x v="0"/>
    <x v="4"/>
    <d v="2022-07-14T00:00:00"/>
    <s v="Richard Martinez"/>
    <d v="2022-07-15T00:00:00"/>
    <d v="2022-07-16T00:00:00"/>
    <m/>
    <x v="1"/>
    <x v="1"/>
    <x v="0"/>
    <b v="0"/>
    <x v="0"/>
    <x v="0"/>
    <b v="0"/>
  </r>
  <r>
    <n v="9400348"/>
    <s v="123-006-124-001"/>
    <x v="15"/>
    <x v="2"/>
    <d v="2023-01-18T00:00:00"/>
    <s v="Charlotte Sanchez"/>
    <d v="2023-01-31T00:00:00"/>
    <d v="2023-03-04T00:00:00"/>
    <m/>
    <x v="1"/>
    <x v="1"/>
    <x v="0"/>
    <b v="0"/>
    <x v="0"/>
    <x v="0"/>
    <b v="0"/>
  </r>
  <r>
    <n v="9400348"/>
    <s v="123-006-124-002"/>
    <x v="15"/>
    <x v="2"/>
    <d v="2022-02-09T00:00:00"/>
    <s v="Anthony Cruz"/>
    <d v="2022-03-11T00:00:00"/>
    <d v="2022-03-19T00:00:00"/>
    <s v="transfer"/>
    <x v="1"/>
    <x v="1"/>
    <x v="0"/>
    <b v="0"/>
    <x v="1"/>
    <x v="0"/>
    <b v="0"/>
  </r>
  <r>
    <n v="9400348"/>
    <s v="123-006-124-003"/>
    <x v="15"/>
    <x v="2"/>
    <d v="2023-03-23T00:00:00"/>
    <s v="Richard Carter"/>
    <d v="2023-04-01T00:00:00"/>
    <d v="2023-05-21T00:00:00"/>
    <s v="promo"/>
    <x v="1"/>
    <x v="1"/>
    <x v="0"/>
    <b v="0"/>
    <x v="0"/>
    <x v="1"/>
    <b v="0"/>
  </r>
  <r>
    <n v="9400348"/>
    <s v="123-006-124-004"/>
    <x v="15"/>
    <x v="2"/>
    <d v="2023-05-16T00:00:00"/>
    <s v="Steven Rivera"/>
    <d v="2023-06-06T00:00:00"/>
    <d v="2023-07-21T00:00:00"/>
    <s v="new to org"/>
    <x v="1"/>
    <x v="1"/>
    <x v="0"/>
    <b v="0"/>
    <x v="0"/>
    <x v="0"/>
    <b v="1"/>
  </r>
  <r>
    <n v="7177044"/>
    <s v="123-001-123-001"/>
    <x v="19"/>
    <x v="3"/>
    <d v="2022-02-05T00:00:00"/>
    <s v="Jessica Walker"/>
    <d v="2022-03-07T00:00:00"/>
    <d v="2022-04-29T00:00:00"/>
    <s v="promo"/>
    <x v="1"/>
    <x v="1"/>
    <x v="0"/>
    <b v="0"/>
    <x v="0"/>
    <x v="1"/>
    <b v="0"/>
  </r>
  <r>
    <n v="7177044"/>
    <s v="123-001-123-002"/>
    <x v="19"/>
    <x v="3"/>
    <d v="2022-06-01T00:00:00"/>
    <s v="Brian Nelson"/>
    <d v="2022-06-10T00:00:00"/>
    <d v="2022-07-19T00:00:00"/>
    <s v="transfer"/>
    <x v="1"/>
    <x v="1"/>
    <x v="0"/>
    <b v="0"/>
    <x v="1"/>
    <x v="0"/>
    <b v="0"/>
  </r>
  <r>
    <n v="7177044"/>
    <s v="123-001-123-003"/>
    <x v="19"/>
    <x v="3"/>
    <d v="2022-06-15T00:00:00"/>
    <s v="Thomas Thomas"/>
    <d v="2022-06-16T00:00:00"/>
    <d v="2022-06-24T00:00:00"/>
    <s v="promo"/>
    <x v="1"/>
    <x v="1"/>
    <x v="0"/>
    <b v="0"/>
    <x v="0"/>
    <x v="1"/>
    <b v="0"/>
  </r>
  <r>
    <n v="7177044"/>
    <s v="123-001-123-004"/>
    <x v="19"/>
    <x v="3"/>
    <d v="2022-03-24T00:00:00"/>
    <s v="Betty Rivera"/>
    <d v="2022-04-10T00:00:00"/>
    <d v="2022-06-08T00:00:00"/>
    <m/>
    <x v="1"/>
    <x v="1"/>
    <x v="0"/>
    <b v="0"/>
    <x v="0"/>
    <x v="0"/>
    <b v="0"/>
  </r>
  <r>
    <n v="4167928"/>
    <s v="123-007-129-006"/>
    <x v="14"/>
    <x v="4"/>
    <d v="2023-05-28T00:00:00"/>
    <s v="Brian Martin"/>
    <d v="2023-06-15T00:00:00"/>
    <d v="2023-07-28T00:00:00"/>
    <s v="new to org"/>
    <x v="1"/>
    <x v="1"/>
    <x v="0"/>
    <b v="0"/>
    <x v="0"/>
    <x v="0"/>
    <b v="1"/>
  </r>
  <r>
    <n v="4167928"/>
    <s v="123-007-129-007"/>
    <x v="14"/>
    <x v="4"/>
    <d v="2022-04-02T00:00:00"/>
    <s v="George Clark"/>
    <d v="2022-04-06T00:00:00"/>
    <d v="2022-05-17T00:00:00"/>
    <s v="new to org"/>
    <x v="1"/>
    <x v="1"/>
    <x v="0"/>
    <b v="0"/>
    <x v="0"/>
    <x v="0"/>
    <b v="1"/>
  </r>
  <r>
    <n v="6777952"/>
    <s v="123-003-127-001"/>
    <x v="16"/>
    <x v="9"/>
    <d v="2022-01-07T00:00:00"/>
    <s v="Brian Martin"/>
    <d v="2022-01-13T00:00:00"/>
    <d v="2022-03-07T00:00:00"/>
    <m/>
    <x v="1"/>
    <x v="1"/>
    <x v="0"/>
    <b v="0"/>
    <x v="0"/>
    <x v="0"/>
    <b v="0"/>
  </r>
  <r>
    <n v="6777952"/>
    <s v="123-003-127-002"/>
    <x v="16"/>
    <x v="9"/>
    <d v="2023-03-04T00:00:00"/>
    <s v="John Roberts"/>
    <d v="2023-03-21T00:00:00"/>
    <d v="2023-04-17T00:00:00"/>
    <s v="transfer"/>
    <x v="1"/>
    <x v="1"/>
    <x v="0"/>
    <b v="0"/>
    <x v="1"/>
    <x v="0"/>
    <b v="0"/>
  </r>
  <r>
    <n v="6777952"/>
    <s v="123-003-127-003"/>
    <x v="16"/>
    <x v="9"/>
    <d v="2023-01-19T00:00:00"/>
    <s v="David Lopez"/>
    <d v="2023-01-25T00:00:00"/>
    <d v="2023-03-12T00:00:00"/>
    <m/>
    <x v="1"/>
    <x v="1"/>
    <x v="0"/>
    <b v="0"/>
    <x v="0"/>
    <x v="0"/>
    <b v="0"/>
  </r>
  <r>
    <n v="3253718"/>
    <s v="123-008-107-014"/>
    <x v="26"/>
    <x v="5"/>
    <d v="2022-08-06T00:00:00"/>
    <s v="Mark Torres"/>
    <d v="2022-08-12T00:00:00"/>
    <d v="2022-08-25T00:00:00"/>
    <s v="transfer"/>
    <x v="1"/>
    <x v="1"/>
    <x v="0"/>
    <b v="0"/>
    <x v="1"/>
    <x v="0"/>
    <b v="0"/>
  </r>
  <r>
    <n v="3253718"/>
    <s v="123-008-107-015"/>
    <x v="26"/>
    <x v="5"/>
    <d v="2022-07-16T00:00:00"/>
    <s v="Barbara Phillips"/>
    <d v="2022-07-25T00:00:00"/>
    <m/>
    <s v="declined"/>
    <x v="0"/>
    <x v="0"/>
    <x v="0"/>
    <b v="0"/>
    <x v="0"/>
    <x v="0"/>
    <b v="0"/>
  </r>
  <r>
    <n v="7858398"/>
    <s v="123-010-115-017"/>
    <x v="22"/>
    <x v="6"/>
    <d v="2022-03-29T00:00:00"/>
    <s v="Jennifer Jackson"/>
    <d v="2022-04-11T00:00:00"/>
    <d v="2022-04-19T00:00:00"/>
    <s v="promo"/>
    <x v="1"/>
    <x v="1"/>
    <x v="0"/>
    <b v="0"/>
    <x v="0"/>
    <x v="1"/>
    <b v="0"/>
  </r>
  <r>
    <n v="5643299"/>
    <s v="123-006-103-003"/>
    <x v="8"/>
    <x v="2"/>
    <d v="2022-04-14T00:00:00"/>
    <s v="Ashley Baker"/>
    <d v="2022-04-15T00:00:00"/>
    <d v="2022-04-19T00:00:00"/>
    <m/>
    <x v="1"/>
    <x v="1"/>
    <x v="0"/>
    <b v="0"/>
    <x v="0"/>
    <x v="0"/>
    <b v="0"/>
  </r>
  <r>
    <n v="5464094"/>
    <s v="123-001-125-002"/>
    <x v="3"/>
    <x v="3"/>
    <d v="2023-06-19T00:00:00"/>
    <s v="Michael Wilson"/>
    <d v="2023-07-15T00:00:00"/>
    <d v="2023-07-16T00:00:00"/>
    <s v="transfer"/>
    <x v="1"/>
    <x v="1"/>
    <x v="0"/>
    <b v="0"/>
    <x v="1"/>
    <x v="0"/>
    <b v="0"/>
  </r>
  <r>
    <n v="5464094"/>
    <s v="123-001-125-003"/>
    <x v="3"/>
    <x v="3"/>
    <d v="2023-04-30T00:00:00"/>
    <s v="Jackson Young"/>
    <d v="2023-05-25T00:00:00"/>
    <d v="2023-06-16T00:00:00"/>
    <s v="new to org"/>
    <x v="1"/>
    <x v="1"/>
    <x v="0"/>
    <b v="0"/>
    <x v="0"/>
    <x v="0"/>
    <b v="1"/>
  </r>
  <r>
    <n v="5464094"/>
    <s v="123-001-125-004"/>
    <x v="3"/>
    <x v="3"/>
    <d v="2022-12-18T00:00:00"/>
    <s v="Lisa Baker"/>
    <d v="2022-12-29T00:00:00"/>
    <d v="2023-02-20T00:00:00"/>
    <s v="new to org"/>
    <x v="1"/>
    <x v="1"/>
    <x v="0"/>
    <b v="0"/>
    <x v="0"/>
    <x v="0"/>
    <b v="1"/>
  </r>
  <r>
    <n v="5464094"/>
    <s v="123-001-125-005"/>
    <x v="3"/>
    <x v="3"/>
    <d v="2023-02-13T00:00:00"/>
    <s v="Lisa Nelson"/>
    <d v="2023-02-26T00:00:00"/>
    <m/>
    <s v="rescinded"/>
    <x v="0"/>
    <x v="1"/>
    <x v="1"/>
    <b v="0"/>
    <x v="0"/>
    <x v="0"/>
    <b v="0"/>
  </r>
  <r>
    <n v="5464094"/>
    <s v="123-001-125-006"/>
    <x v="3"/>
    <x v="3"/>
    <d v="2022-04-13T00:00:00"/>
    <s v="Logan Perez"/>
    <d v="2022-04-14T00:00:00"/>
    <d v="2022-05-14T00:00:00"/>
    <s v="new to org"/>
    <x v="1"/>
    <x v="1"/>
    <x v="0"/>
    <b v="0"/>
    <x v="0"/>
    <x v="0"/>
    <b v="1"/>
  </r>
  <r>
    <n v="7741225"/>
    <s v="123-003-124-001"/>
    <x v="15"/>
    <x v="9"/>
    <d v="2022-09-12T00:00:00"/>
    <s v="Charlotte Hall"/>
    <d v="2022-09-24T00:00:00"/>
    <d v="2022-10-23T00:00:00"/>
    <s v="new to org"/>
    <x v="1"/>
    <x v="1"/>
    <x v="0"/>
    <b v="0"/>
    <x v="0"/>
    <x v="0"/>
    <b v="1"/>
  </r>
  <r>
    <n v="8972523"/>
    <s v="123-007-117-003"/>
    <x v="9"/>
    <x v="4"/>
    <d v="2022-11-30T00:00:00"/>
    <s v="Ethan Mitchell"/>
    <d v="2022-12-22T00:00:00"/>
    <m/>
    <s v="declined"/>
    <x v="0"/>
    <x v="0"/>
    <x v="0"/>
    <b v="0"/>
    <x v="0"/>
    <x v="0"/>
    <b v="0"/>
  </r>
  <r>
    <n v="8972523"/>
    <s v="123-007-117-004"/>
    <x v="9"/>
    <x v="4"/>
    <d v="2023-01-04T00:00:00"/>
    <s v="Mary Green"/>
    <d v="2023-02-01T00:00:00"/>
    <d v="2023-02-04T00:00:00"/>
    <s v="new to org"/>
    <x v="1"/>
    <x v="1"/>
    <x v="0"/>
    <b v="0"/>
    <x v="0"/>
    <x v="0"/>
    <b v="1"/>
  </r>
  <r>
    <n v="8454220"/>
    <s v="123-010-108-001"/>
    <x v="11"/>
    <x v="6"/>
    <d v="2023-05-03T00:00:00"/>
    <s v="Daniel Ramirez"/>
    <d v="2023-05-25T00:00:00"/>
    <d v="2023-07-19T00:00:00"/>
    <s v="transfer"/>
    <x v="1"/>
    <x v="1"/>
    <x v="0"/>
    <b v="0"/>
    <x v="1"/>
    <x v="0"/>
    <b v="0"/>
  </r>
  <r>
    <n v="8454220"/>
    <s v="123-010-108-002"/>
    <x v="11"/>
    <x v="6"/>
    <d v="2022-10-28T00:00:00"/>
    <s v="George Harris"/>
    <d v="2022-11-17T00:00:00"/>
    <d v="2022-11-30T00:00:00"/>
    <s v="transfer"/>
    <x v="1"/>
    <x v="1"/>
    <x v="0"/>
    <b v="0"/>
    <x v="1"/>
    <x v="0"/>
    <b v="0"/>
  </r>
  <r>
    <n v="8454220"/>
    <s v="123-010-108-003"/>
    <x v="11"/>
    <x v="6"/>
    <d v="2022-03-31T00:00:00"/>
    <s v="William Young"/>
    <d v="2022-04-10T00:00:00"/>
    <d v="2022-06-03T00:00:00"/>
    <s v="transfer"/>
    <x v="1"/>
    <x v="1"/>
    <x v="0"/>
    <b v="0"/>
    <x v="1"/>
    <x v="0"/>
    <b v="0"/>
  </r>
  <r>
    <n v="8454220"/>
    <s v="123-010-108-004"/>
    <x v="11"/>
    <x v="6"/>
    <d v="2023-04-02T00:00:00"/>
    <s v="David Edwards"/>
    <d v="2023-04-06T00:00:00"/>
    <d v="2023-05-07T00:00:00"/>
    <m/>
    <x v="1"/>
    <x v="1"/>
    <x v="0"/>
    <b v="0"/>
    <x v="0"/>
    <x v="0"/>
    <b v="0"/>
  </r>
  <r>
    <n v="5041658"/>
    <s v="123-004-108-008"/>
    <x v="11"/>
    <x v="1"/>
    <d v="2022-01-30T00:00:00"/>
    <s v="Michael Ramirez"/>
    <d v="2022-02-05T00:00:00"/>
    <d v="2022-04-06T00:00:00"/>
    <s v="transfer"/>
    <x v="1"/>
    <x v="1"/>
    <x v="0"/>
    <b v="0"/>
    <x v="1"/>
    <x v="0"/>
    <b v="0"/>
  </r>
  <r>
    <n v="5041658"/>
    <s v="123-004-108-009"/>
    <x v="11"/>
    <x v="1"/>
    <d v="2022-08-14T00:00:00"/>
    <s v="Deborah Moore"/>
    <d v="2022-09-07T00:00:00"/>
    <d v="2022-09-24T00:00:00"/>
    <m/>
    <x v="1"/>
    <x v="1"/>
    <x v="0"/>
    <b v="0"/>
    <x v="0"/>
    <x v="0"/>
    <b v="0"/>
  </r>
  <r>
    <n v="8991026"/>
    <s v="123-002-129-003"/>
    <x v="14"/>
    <x v="7"/>
    <d v="2022-12-07T00:00:00"/>
    <s v="Jennifer Gomez"/>
    <d v="2023-01-04T00:00:00"/>
    <d v="2023-01-19T00:00:00"/>
    <m/>
    <x v="1"/>
    <x v="1"/>
    <x v="0"/>
    <b v="0"/>
    <x v="0"/>
    <x v="0"/>
    <b v="0"/>
  </r>
  <r>
    <n v="8991026"/>
    <s v="123-002-129-004"/>
    <x v="14"/>
    <x v="7"/>
    <d v="2023-01-22T00:00:00"/>
    <s v="Carol Perez"/>
    <d v="2023-02-21T00:00:00"/>
    <d v="2023-04-08T00:00:00"/>
    <s v="transfer"/>
    <x v="1"/>
    <x v="1"/>
    <x v="0"/>
    <b v="0"/>
    <x v="1"/>
    <x v="0"/>
    <b v="0"/>
  </r>
  <r>
    <n v="7403032"/>
    <s v="123-009-121-011"/>
    <x v="20"/>
    <x v="8"/>
    <d v="2022-10-25T00:00:00"/>
    <s v="Thomas Davis"/>
    <d v="2022-10-28T00:00:00"/>
    <d v="2022-11-05T00:00:00"/>
    <s v="promo"/>
    <x v="1"/>
    <x v="1"/>
    <x v="0"/>
    <b v="0"/>
    <x v="0"/>
    <x v="1"/>
    <b v="0"/>
  </r>
  <r>
    <n v="7403032"/>
    <s v="123-009-121-012"/>
    <x v="20"/>
    <x v="8"/>
    <d v="2022-07-12T00:00:00"/>
    <s v="Melissa Nguyen"/>
    <d v="2022-08-05T00:00:00"/>
    <m/>
    <s v="declined"/>
    <x v="0"/>
    <x v="0"/>
    <x v="0"/>
    <b v="0"/>
    <x v="0"/>
    <x v="0"/>
    <b v="0"/>
  </r>
  <r>
    <n v="7403032"/>
    <s v="123-009-121-013"/>
    <x v="20"/>
    <x v="8"/>
    <d v="2022-11-17T00:00:00"/>
    <s v="William Diaz"/>
    <d v="2022-11-30T00:00:00"/>
    <d v="2023-01-06T00:00:00"/>
    <s v="new to org"/>
    <x v="1"/>
    <x v="1"/>
    <x v="0"/>
    <b v="0"/>
    <x v="0"/>
    <x v="0"/>
    <b v="1"/>
  </r>
  <r>
    <n v="7403032"/>
    <s v="123-009-121-014"/>
    <x v="20"/>
    <x v="8"/>
    <d v="2022-07-14T00:00:00"/>
    <s v="Patricia Nguyen"/>
    <d v="2022-08-11T00:00:00"/>
    <d v="2022-09-05T00:00:00"/>
    <s v="new to org"/>
    <x v="1"/>
    <x v="1"/>
    <x v="0"/>
    <b v="0"/>
    <x v="0"/>
    <x v="0"/>
    <b v="1"/>
  </r>
  <r>
    <n v="8108481"/>
    <s v="123-006-111-008"/>
    <x v="29"/>
    <x v="2"/>
    <d v="2022-01-10T00:00:00"/>
    <s v="Michael Sanchez"/>
    <d v="2022-01-28T00:00:00"/>
    <d v="2022-03-24T00:00:00"/>
    <s v="promo"/>
    <x v="1"/>
    <x v="1"/>
    <x v="0"/>
    <b v="0"/>
    <x v="0"/>
    <x v="1"/>
    <b v="0"/>
  </r>
  <r>
    <n v="8108481"/>
    <s v="123-006-111-009"/>
    <x v="29"/>
    <x v="2"/>
    <d v="2022-08-13T00:00:00"/>
    <s v="Isabella Jackson"/>
    <d v="2022-08-29T00:00:00"/>
    <d v="2022-10-12T00:00:00"/>
    <s v="promo"/>
    <x v="1"/>
    <x v="1"/>
    <x v="0"/>
    <b v="0"/>
    <x v="0"/>
    <x v="1"/>
    <b v="0"/>
  </r>
  <r>
    <n v="8646795"/>
    <s v="123-010-105-001"/>
    <x v="7"/>
    <x v="6"/>
    <d v="2022-02-05T00:00:00"/>
    <s v="Kevin Diaz"/>
    <d v="2022-02-25T00:00:00"/>
    <m/>
    <s v="declined"/>
    <x v="0"/>
    <x v="0"/>
    <x v="0"/>
    <b v="0"/>
    <x v="0"/>
    <x v="0"/>
    <b v="0"/>
  </r>
  <r>
    <n v="8646795"/>
    <s v="123-010-105-002"/>
    <x v="7"/>
    <x v="6"/>
    <d v="2022-05-07T00:00:00"/>
    <s v="Steven Hall"/>
    <d v="2022-05-16T00:00:00"/>
    <m/>
    <s v="rescinded"/>
    <x v="0"/>
    <x v="1"/>
    <x v="1"/>
    <b v="0"/>
    <x v="0"/>
    <x v="0"/>
    <b v="0"/>
  </r>
  <r>
    <n v="8646795"/>
    <s v="123-010-105-003"/>
    <x v="7"/>
    <x v="6"/>
    <d v="2022-08-09T00:00:00"/>
    <s v="Kenneth Turner"/>
    <d v="2022-08-25T00:00:00"/>
    <d v="2022-09-13T00:00:00"/>
    <m/>
    <x v="1"/>
    <x v="1"/>
    <x v="0"/>
    <b v="0"/>
    <x v="0"/>
    <x v="0"/>
    <b v="0"/>
  </r>
  <r>
    <n v="7320122"/>
    <s v="123-006-102-006"/>
    <x v="27"/>
    <x v="2"/>
    <d v="2022-08-19T00:00:00"/>
    <s v="Mia Campbell"/>
    <d v="2022-09-11T00:00:00"/>
    <d v="2022-10-29T00:00:00"/>
    <s v="promo"/>
    <x v="1"/>
    <x v="1"/>
    <x v="0"/>
    <b v="0"/>
    <x v="0"/>
    <x v="1"/>
    <b v="0"/>
  </r>
  <r>
    <n v="7320122"/>
    <s v="123-006-102-007"/>
    <x v="27"/>
    <x v="2"/>
    <d v="2022-07-03T00:00:00"/>
    <s v="Logan Roberts"/>
    <d v="2022-07-31T00:00:00"/>
    <m/>
    <s v="declined"/>
    <x v="0"/>
    <x v="0"/>
    <x v="0"/>
    <b v="0"/>
    <x v="0"/>
    <x v="0"/>
    <b v="0"/>
  </r>
  <r>
    <n v="9178970"/>
    <s v="123-007-124-005"/>
    <x v="15"/>
    <x v="4"/>
    <d v="2023-02-06T00:00:00"/>
    <s v="Mary Scott"/>
    <d v="2023-02-17T00:00:00"/>
    <d v="2023-03-17T00:00:00"/>
    <s v="promo"/>
    <x v="1"/>
    <x v="1"/>
    <x v="0"/>
    <b v="0"/>
    <x v="0"/>
    <x v="1"/>
    <b v="0"/>
  </r>
  <r>
    <n v="9178970"/>
    <s v="123-007-124-006"/>
    <x v="15"/>
    <x v="4"/>
    <d v="2023-02-05T00:00:00"/>
    <s v="Edward Sanchez"/>
    <d v="2023-02-08T00:00:00"/>
    <d v="2023-03-14T00:00:00"/>
    <s v="new to org"/>
    <x v="1"/>
    <x v="1"/>
    <x v="0"/>
    <b v="0"/>
    <x v="0"/>
    <x v="0"/>
    <b v="1"/>
  </r>
  <r>
    <n v="9178970"/>
    <s v="123-007-124-007"/>
    <x v="15"/>
    <x v="4"/>
    <d v="2023-02-08T00:00:00"/>
    <s v="Brian Gonzalez"/>
    <d v="2023-02-12T00:00:00"/>
    <d v="2023-02-21T00:00:00"/>
    <s v="new to org"/>
    <x v="1"/>
    <x v="1"/>
    <x v="0"/>
    <b v="0"/>
    <x v="0"/>
    <x v="0"/>
    <b v="1"/>
  </r>
  <r>
    <n v="6426063"/>
    <s v="123-010-125-001"/>
    <x v="3"/>
    <x v="6"/>
    <d v="2022-06-17T00:00:00"/>
    <s v="Sandra Adams"/>
    <d v="2022-07-06T00:00:00"/>
    <d v="2022-07-15T00:00:00"/>
    <s v="new to org"/>
    <x v="1"/>
    <x v="1"/>
    <x v="0"/>
    <b v="0"/>
    <x v="0"/>
    <x v="0"/>
    <b v="1"/>
  </r>
  <r>
    <n v="8413578"/>
    <s v="123-008-123-010"/>
    <x v="19"/>
    <x v="5"/>
    <d v="2022-07-20T00:00:00"/>
    <s v="Susan Phillips"/>
    <d v="2022-08-13T00:00:00"/>
    <d v="2022-09-24T00:00:00"/>
    <s v="promo"/>
    <x v="1"/>
    <x v="1"/>
    <x v="0"/>
    <b v="0"/>
    <x v="0"/>
    <x v="1"/>
    <b v="0"/>
  </r>
  <r>
    <n v="8413578"/>
    <s v="123-008-123-011"/>
    <x v="19"/>
    <x v="5"/>
    <d v="2022-04-15T00:00:00"/>
    <s v="George Diaz"/>
    <d v="2022-05-07T00:00:00"/>
    <m/>
    <s v="declined"/>
    <x v="0"/>
    <x v="0"/>
    <x v="0"/>
    <b v="0"/>
    <x v="0"/>
    <x v="0"/>
    <b v="0"/>
  </r>
  <r>
    <n v="8413578"/>
    <s v="123-008-123-012"/>
    <x v="19"/>
    <x v="5"/>
    <d v="2022-06-22T00:00:00"/>
    <s v="Matthew Ramirez"/>
    <d v="2022-07-22T00:00:00"/>
    <d v="2022-07-26T00:00:00"/>
    <s v="promo"/>
    <x v="1"/>
    <x v="1"/>
    <x v="0"/>
    <b v="0"/>
    <x v="0"/>
    <x v="1"/>
    <b v="0"/>
  </r>
  <r>
    <n v="2611413"/>
    <s v="123-008-112-005"/>
    <x v="28"/>
    <x v="5"/>
    <d v="2022-12-13T00:00:00"/>
    <s v="Steven Adams"/>
    <d v="2023-01-01T00:00:00"/>
    <d v="2023-01-29T00:00:00"/>
    <s v="transfer"/>
    <x v="1"/>
    <x v="1"/>
    <x v="0"/>
    <b v="0"/>
    <x v="1"/>
    <x v="0"/>
    <b v="0"/>
  </r>
  <r>
    <n v="2611413"/>
    <s v="123-008-112-006"/>
    <x v="28"/>
    <x v="5"/>
    <d v="2022-05-02T00:00:00"/>
    <s v="Jessica Williams"/>
    <d v="2022-05-10T00:00:00"/>
    <d v="2022-06-05T00:00:00"/>
    <m/>
    <x v="1"/>
    <x v="1"/>
    <x v="0"/>
    <b v="0"/>
    <x v="0"/>
    <x v="0"/>
    <b v="0"/>
  </r>
  <r>
    <n v="9197782"/>
    <s v="123-010-110-001"/>
    <x v="12"/>
    <x v="6"/>
    <d v="2022-04-02T00:00:00"/>
    <s v="Deborah Hall"/>
    <d v="2022-04-27T00:00:00"/>
    <d v="2022-05-27T00:00:00"/>
    <m/>
    <x v="1"/>
    <x v="1"/>
    <x v="0"/>
    <b v="0"/>
    <x v="0"/>
    <x v="0"/>
    <b v="0"/>
  </r>
  <r>
    <n v="9197782"/>
    <s v="123-010-110-002"/>
    <x v="12"/>
    <x v="6"/>
    <d v="2023-04-01T00:00:00"/>
    <s v="Sarah Green"/>
    <d v="2023-04-13T00:00:00"/>
    <d v="2023-04-14T00:00:00"/>
    <m/>
    <x v="1"/>
    <x v="1"/>
    <x v="0"/>
    <b v="0"/>
    <x v="0"/>
    <x v="0"/>
    <b v="0"/>
  </r>
  <r>
    <n v="3013272"/>
    <s v="123-002-104-005"/>
    <x v="18"/>
    <x v="7"/>
    <d v="2023-05-07T00:00:00"/>
    <s v="Mary Nguyen"/>
    <d v="2023-05-16T00:00:00"/>
    <d v="2023-06-30T00:00:00"/>
    <s v="promo"/>
    <x v="1"/>
    <x v="1"/>
    <x v="0"/>
    <b v="0"/>
    <x v="0"/>
    <x v="1"/>
    <b v="0"/>
  </r>
  <r>
    <n v="2586340"/>
    <s v="123-010-126-003"/>
    <x v="5"/>
    <x v="6"/>
    <d v="2023-03-21T00:00:00"/>
    <s v="Carol Hall"/>
    <d v="2023-03-31T00:00:00"/>
    <m/>
    <s v="rescinded"/>
    <x v="0"/>
    <x v="1"/>
    <x v="1"/>
    <b v="0"/>
    <x v="0"/>
    <x v="0"/>
    <b v="0"/>
  </r>
  <r>
    <n v="2586340"/>
    <s v="123-010-126-004"/>
    <x v="5"/>
    <x v="6"/>
    <d v="2022-07-09T00:00:00"/>
    <s v="Christopher Jones"/>
    <d v="2022-07-22T00:00:00"/>
    <d v="2022-09-13T00:00:00"/>
    <s v="transfer"/>
    <x v="1"/>
    <x v="1"/>
    <x v="0"/>
    <b v="0"/>
    <x v="1"/>
    <x v="0"/>
    <b v="0"/>
  </r>
  <r>
    <n v="1331289"/>
    <s v="123-009-113-001"/>
    <x v="6"/>
    <x v="8"/>
    <d v="2022-05-08T00:00:00"/>
    <s v="John King"/>
    <d v="2022-06-02T00:00:00"/>
    <d v="2022-07-21T00:00:00"/>
    <m/>
    <x v="1"/>
    <x v="1"/>
    <x v="0"/>
    <b v="0"/>
    <x v="0"/>
    <x v="0"/>
    <b v="0"/>
  </r>
  <r>
    <n v="1331289"/>
    <s v="123-009-113-002"/>
    <x v="6"/>
    <x v="8"/>
    <d v="2022-05-01T00:00:00"/>
    <s v="Kevin Edwards"/>
    <d v="2022-05-07T00:00:00"/>
    <m/>
    <s v="rescinded"/>
    <x v="0"/>
    <x v="1"/>
    <x v="1"/>
    <b v="0"/>
    <x v="0"/>
    <x v="0"/>
    <b v="0"/>
  </r>
  <r>
    <n v="1331289"/>
    <s v="123-009-113-003"/>
    <x v="6"/>
    <x v="8"/>
    <d v="2023-04-03T00:00:00"/>
    <s v="James Scott"/>
    <d v="2023-04-29T00:00:00"/>
    <d v="2023-05-20T00:00:00"/>
    <s v="promo"/>
    <x v="1"/>
    <x v="1"/>
    <x v="0"/>
    <b v="0"/>
    <x v="0"/>
    <x v="1"/>
    <b v="0"/>
  </r>
  <r>
    <n v="1331289"/>
    <s v="123-009-113-004"/>
    <x v="6"/>
    <x v="8"/>
    <d v="2022-07-31T00:00:00"/>
    <s v="William Torres"/>
    <d v="2022-08-21T00:00:00"/>
    <m/>
    <s v="declined"/>
    <x v="0"/>
    <x v="0"/>
    <x v="0"/>
    <b v="0"/>
    <x v="0"/>
    <x v="0"/>
    <b v="0"/>
  </r>
  <r>
    <n v="1331289"/>
    <s v="123-009-113-005"/>
    <x v="6"/>
    <x v="8"/>
    <d v="2022-02-05T00:00:00"/>
    <s v="Emily Taylor"/>
    <d v="2022-02-08T00:00:00"/>
    <m/>
    <s v="declined"/>
    <x v="0"/>
    <x v="0"/>
    <x v="0"/>
    <b v="0"/>
    <x v="0"/>
    <x v="0"/>
    <b v="0"/>
  </r>
  <r>
    <n v="3092406"/>
    <s v="123-005-117-005"/>
    <x v="9"/>
    <x v="0"/>
    <d v="2022-01-01T00:00:00"/>
    <s v="Margaret Nelson"/>
    <d v="2022-01-09T00:00:00"/>
    <d v="2022-01-29T00:00:00"/>
    <s v="promo"/>
    <x v="1"/>
    <x v="1"/>
    <x v="0"/>
    <b v="0"/>
    <x v="0"/>
    <x v="1"/>
    <b v="0"/>
  </r>
  <r>
    <n v="3092406"/>
    <s v="123-005-117-006"/>
    <x v="9"/>
    <x v="0"/>
    <d v="2022-10-28T00:00:00"/>
    <s v="Charlotte King"/>
    <d v="2022-11-19T00:00:00"/>
    <m/>
    <s v="declined"/>
    <x v="0"/>
    <x v="0"/>
    <x v="0"/>
    <b v="0"/>
    <x v="0"/>
    <x v="0"/>
    <b v="0"/>
  </r>
  <r>
    <n v="3092406"/>
    <s v="123-005-117-007"/>
    <x v="9"/>
    <x v="0"/>
    <d v="2022-11-17T00:00:00"/>
    <s v="Andrew Young"/>
    <d v="2022-12-04T00:00:00"/>
    <d v="2023-02-01T00:00:00"/>
    <s v="promo"/>
    <x v="1"/>
    <x v="1"/>
    <x v="0"/>
    <b v="0"/>
    <x v="0"/>
    <x v="1"/>
    <b v="0"/>
  </r>
  <r>
    <n v="6907545"/>
    <s v="123-009-120-005"/>
    <x v="13"/>
    <x v="8"/>
    <d v="2022-02-15T00:00:00"/>
    <s v="Michael Nelson"/>
    <d v="2022-02-23T00:00:00"/>
    <m/>
    <s v="declined"/>
    <x v="0"/>
    <x v="0"/>
    <x v="0"/>
    <b v="0"/>
    <x v="0"/>
    <x v="0"/>
    <b v="0"/>
  </r>
  <r>
    <n v="6907545"/>
    <s v="123-009-120-006"/>
    <x v="13"/>
    <x v="8"/>
    <d v="2023-02-14T00:00:00"/>
    <s v="Lucas Hernandez"/>
    <d v="2023-03-01T00:00:00"/>
    <m/>
    <s v="declined"/>
    <x v="0"/>
    <x v="0"/>
    <x v="0"/>
    <b v="0"/>
    <x v="0"/>
    <x v="0"/>
    <b v="0"/>
  </r>
  <r>
    <n v="6907545"/>
    <s v="123-009-120-007"/>
    <x v="13"/>
    <x v="8"/>
    <d v="2022-08-09T00:00:00"/>
    <s v="Mia Turner"/>
    <d v="2022-08-14T00:00:00"/>
    <m/>
    <s v="declined"/>
    <x v="0"/>
    <x v="0"/>
    <x v="0"/>
    <b v="0"/>
    <x v="0"/>
    <x v="0"/>
    <b v="0"/>
  </r>
  <r>
    <n v="6907545"/>
    <s v="123-009-120-008"/>
    <x v="13"/>
    <x v="8"/>
    <d v="2022-10-12T00:00:00"/>
    <s v="Donna Thompson"/>
    <d v="2022-10-17T00:00:00"/>
    <d v="2022-12-03T00:00:00"/>
    <s v="promo"/>
    <x v="1"/>
    <x v="1"/>
    <x v="0"/>
    <b v="0"/>
    <x v="0"/>
    <x v="1"/>
    <b v="0"/>
  </r>
  <r>
    <n v="6907545"/>
    <s v="123-009-120-009"/>
    <x v="13"/>
    <x v="8"/>
    <d v="2022-09-24T00:00:00"/>
    <s v="Emily Taylor"/>
    <d v="2022-10-07T00:00:00"/>
    <d v="2022-11-18T00:00:00"/>
    <s v="transfer"/>
    <x v="1"/>
    <x v="1"/>
    <x v="0"/>
    <b v="0"/>
    <x v="1"/>
    <x v="0"/>
    <b v="0"/>
  </r>
  <r>
    <n v="2396771"/>
    <s v="123-007-109-001"/>
    <x v="21"/>
    <x v="4"/>
    <d v="2022-10-03T00:00:00"/>
    <s v="Kenneth Campbell"/>
    <d v="2022-10-24T00:00:00"/>
    <d v="2022-12-08T00:00:00"/>
    <s v="transfer"/>
    <x v="1"/>
    <x v="1"/>
    <x v="0"/>
    <b v="0"/>
    <x v="1"/>
    <x v="0"/>
    <b v="0"/>
  </r>
  <r>
    <n v="2396771"/>
    <s v="123-007-109-002"/>
    <x v="21"/>
    <x v="4"/>
    <d v="2023-06-08T00:00:00"/>
    <s v="Andrew Nelson"/>
    <d v="2023-06-28T00:00:00"/>
    <d v="2023-07-09T00:00:00"/>
    <s v="new to org"/>
    <x v="1"/>
    <x v="1"/>
    <x v="0"/>
    <b v="0"/>
    <x v="0"/>
    <x v="0"/>
    <b v="1"/>
  </r>
  <r>
    <n v="8041170"/>
    <s v="123-003-127-004"/>
    <x v="16"/>
    <x v="9"/>
    <d v="2022-09-11T00:00:00"/>
    <s v="Matthew Johnson"/>
    <d v="2022-09-14T00:00:00"/>
    <d v="2022-10-02T00:00:00"/>
    <m/>
    <x v="1"/>
    <x v="1"/>
    <x v="0"/>
    <b v="0"/>
    <x v="0"/>
    <x v="0"/>
    <b v="0"/>
  </r>
  <r>
    <n v="8041170"/>
    <s v="123-003-127-005"/>
    <x v="16"/>
    <x v="9"/>
    <d v="2023-02-21T00:00:00"/>
    <s v="Linda Baker"/>
    <d v="2023-02-24T00:00:00"/>
    <m/>
    <s v="declined"/>
    <x v="0"/>
    <x v="0"/>
    <x v="0"/>
    <b v="0"/>
    <x v="0"/>
    <x v="0"/>
    <b v="0"/>
  </r>
  <r>
    <n v="8041170"/>
    <s v="123-003-127-006"/>
    <x v="16"/>
    <x v="9"/>
    <d v="2022-12-08T00:00:00"/>
    <s v="Lisa Collins"/>
    <d v="2023-01-02T00:00:00"/>
    <d v="2023-01-20T00:00:00"/>
    <s v="transfer"/>
    <x v="1"/>
    <x v="1"/>
    <x v="0"/>
    <b v="0"/>
    <x v="1"/>
    <x v="0"/>
    <b v="0"/>
  </r>
  <r>
    <n v="3455003"/>
    <s v="123-004-128-001"/>
    <x v="10"/>
    <x v="1"/>
    <d v="2022-04-08T00:00:00"/>
    <s v="Ethan Young"/>
    <d v="2022-04-25T00:00:00"/>
    <m/>
    <s v="declined"/>
    <x v="0"/>
    <x v="0"/>
    <x v="0"/>
    <b v="0"/>
    <x v="0"/>
    <x v="0"/>
    <b v="0"/>
  </r>
  <r>
    <n v="3455003"/>
    <s v="123-004-128-002"/>
    <x v="10"/>
    <x v="1"/>
    <d v="2022-04-18T00:00:00"/>
    <s v="Joseph Harris"/>
    <d v="2022-05-14T00:00:00"/>
    <m/>
    <s v="rescinded"/>
    <x v="0"/>
    <x v="1"/>
    <x v="1"/>
    <b v="0"/>
    <x v="0"/>
    <x v="0"/>
    <b v="0"/>
  </r>
  <r>
    <n v="3455003"/>
    <s v="123-004-128-003"/>
    <x v="10"/>
    <x v="1"/>
    <d v="2022-11-10T00:00:00"/>
    <s v="Kimberly Campbell"/>
    <d v="2022-11-29T00:00:00"/>
    <d v="2023-01-21T00:00:00"/>
    <s v="promo"/>
    <x v="1"/>
    <x v="1"/>
    <x v="0"/>
    <b v="0"/>
    <x v="0"/>
    <x v="1"/>
    <b v="0"/>
  </r>
  <r>
    <n v="6853574"/>
    <s v="123-010-123-001"/>
    <x v="19"/>
    <x v="6"/>
    <d v="2022-06-24T00:00:00"/>
    <s v="Lucas Brown"/>
    <d v="2022-07-05T00:00:00"/>
    <d v="2022-08-23T00:00:00"/>
    <s v="transfer"/>
    <x v="1"/>
    <x v="1"/>
    <x v="0"/>
    <b v="0"/>
    <x v="1"/>
    <x v="0"/>
    <b v="0"/>
  </r>
  <r>
    <n v="6853574"/>
    <s v="123-010-123-002"/>
    <x v="19"/>
    <x v="6"/>
    <d v="2023-06-29T00:00:00"/>
    <s v="Ethan Mitchell"/>
    <d v="2023-07-17T00:00:00"/>
    <d v="2023-08-25T00:00:00"/>
    <s v="new to org"/>
    <x v="1"/>
    <x v="1"/>
    <x v="0"/>
    <b v="0"/>
    <x v="0"/>
    <x v="0"/>
    <b v="1"/>
  </r>
  <r>
    <n v="6853574"/>
    <s v="123-010-123-003"/>
    <x v="19"/>
    <x v="6"/>
    <d v="2022-05-11T00:00:00"/>
    <s v="Donald Nguyen"/>
    <d v="2022-05-20T00:00:00"/>
    <d v="2022-05-21T00:00:00"/>
    <m/>
    <x v="1"/>
    <x v="1"/>
    <x v="0"/>
    <b v="0"/>
    <x v="0"/>
    <x v="0"/>
    <b v="0"/>
  </r>
  <r>
    <n v="9616197"/>
    <s v="123-003-123-003"/>
    <x v="19"/>
    <x v="9"/>
    <d v="2022-10-01T00:00:00"/>
    <s v="Andrew Mitchell"/>
    <d v="2022-10-03T00:00:00"/>
    <m/>
    <s v="declined"/>
    <x v="0"/>
    <x v="0"/>
    <x v="0"/>
    <b v="0"/>
    <x v="0"/>
    <x v="0"/>
    <b v="0"/>
  </r>
  <r>
    <n v="9616197"/>
    <s v="123-003-123-004"/>
    <x v="19"/>
    <x v="9"/>
    <d v="2022-09-13T00:00:00"/>
    <s v="Dorothy Roberts"/>
    <d v="2022-10-05T00:00:00"/>
    <d v="2022-11-13T00:00:00"/>
    <s v="new to org"/>
    <x v="1"/>
    <x v="1"/>
    <x v="0"/>
    <b v="0"/>
    <x v="0"/>
    <x v="0"/>
    <b v="1"/>
  </r>
  <r>
    <n v="8016965"/>
    <s v="123-008-123-013"/>
    <x v="19"/>
    <x v="5"/>
    <d v="2023-05-30T00:00:00"/>
    <s v="Ethan Robinson"/>
    <d v="2023-06-09T00:00:00"/>
    <d v="2023-06-27T00:00:00"/>
    <s v="new to org"/>
    <x v="1"/>
    <x v="1"/>
    <x v="0"/>
    <b v="0"/>
    <x v="0"/>
    <x v="0"/>
    <b v="1"/>
  </r>
  <r>
    <n v="8016965"/>
    <s v="123-008-123-014"/>
    <x v="19"/>
    <x v="5"/>
    <d v="2022-03-31T00:00:00"/>
    <s v="Karen Green"/>
    <d v="2022-04-10T00:00:00"/>
    <d v="2022-05-07T00:00:00"/>
    <s v="promo"/>
    <x v="1"/>
    <x v="1"/>
    <x v="0"/>
    <b v="0"/>
    <x v="0"/>
    <x v="1"/>
    <b v="0"/>
  </r>
  <r>
    <n v="6246854"/>
    <s v="123-002-128-005"/>
    <x v="10"/>
    <x v="7"/>
    <m/>
    <m/>
    <m/>
    <m/>
    <s v="cancelled"/>
    <x v="0"/>
    <x v="1"/>
    <x v="0"/>
    <b v="1"/>
    <x v="0"/>
    <x v="0"/>
    <b v="0"/>
  </r>
  <r>
    <n v="5027148"/>
    <s v="123-003-103-006"/>
    <x v="8"/>
    <x v="9"/>
    <d v="2023-06-25T00:00:00"/>
    <s v="Kevin Collins"/>
    <d v="2023-07-17T00:00:00"/>
    <m/>
    <s v="declined"/>
    <x v="0"/>
    <x v="0"/>
    <x v="0"/>
    <b v="0"/>
    <x v="0"/>
    <x v="0"/>
    <b v="0"/>
  </r>
  <r>
    <n v="5027148"/>
    <s v="123-003-103-007"/>
    <x v="8"/>
    <x v="9"/>
    <d v="2022-01-11T00:00:00"/>
    <s v="Ethan Parker"/>
    <d v="2022-01-25T00:00:00"/>
    <d v="2022-03-10T00:00:00"/>
    <m/>
    <x v="1"/>
    <x v="1"/>
    <x v="0"/>
    <b v="0"/>
    <x v="0"/>
    <x v="0"/>
    <b v="0"/>
  </r>
  <r>
    <n v="5027148"/>
    <s v="123-003-103-008"/>
    <x v="8"/>
    <x v="9"/>
    <d v="2023-06-12T00:00:00"/>
    <s v="Donald Young"/>
    <d v="2023-07-04T00:00:00"/>
    <d v="2023-08-17T00:00:00"/>
    <s v="promo"/>
    <x v="1"/>
    <x v="1"/>
    <x v="0"/>
    <b v="0"/>
    <x v="0"/>
    <x v="1"/>
    <b v="0"/>
  </r>
  <r>
    <n v="5027148"/>
    <s v="123-003-103-009"/>
    <x v="8"/>
    <x v="9"/>
    <d v="2022-07-14T00:00:00"/>
    <s v="Betty Smith"/>
    <d v="2022-08-13T00:00:00"/>
    <d v="2022-10-06T00:00:00"/>
    <s v="transfer"/>
    <x v="1"/>
    <x v="1"/>
    <x v="0"/>
    <b v="0"/>
    <x v="1"/>
    <x v="0"/>
    <b v="0"/>
  </r>
  <r>
    <n v="5027148"/>
    <s v="123-003-103-010"/>
    <x v="8"/>
    <x v="9"/>
    <d v="2022-12-20T00:00:00"/>
    <s v="Brian Wright"/>
    <d v="2022-12-28T00:00:00"/>
    <d v="2023-02-14T00:00:00"/>
    <m/>
    <x v="1"/>
    <x v="1"/>
    <x v="0"/>
    <b v="0"/>
    <x v="0"/>
    <x v="0"/>
    <b v="0"/>
  </r>
  <r>
    <n v="1710615"/>
    <s v="123-008-120-001"/>
    <x v="13"/>
    <x v="5"/>
    <d v="2023-01-11T00:00:00"/>
    <s v="Barbara Jones"/>
    <d v="2023-02-07T00:00:00"/>
    <d v="2023-02-16T00:00:00"/>
    <s v="promo"/>
    <x v="1"/>
    <x v="1"/>
    <x v="0"/>
    <b v="0"/>
    <x v="0"/>
    <x v="1"/>
    <b v="0"/>
  </r>
  <r>
    <n v="1710615"/>
    <s v="123-008-120-002"/>
    <x v="13"/>
    <x v="5"/>
    <d v="2023-01-24T00:00:00"/>
    <s v="Margaret Young"/>
    <d v="2023-01-30T00:00:00"/>
    <d v="2023-02-23T00:00:00"/>
    <s v="transfer"/>
    <x v="1"/>
    <x v="1"/>
    <x v="0"/>
    <b v="0"/>
    <x v="1"/>
    <x v="0"/>
    <b v="0"/>
  </r>
  <r>
    <n v="2899743"/>
    <s v="123-004-111-009"/>
    <x v="29"/>
    <x v="1"/>
    <d v="2023-05-10T00:00:00"/>
    <s v="Charles Martin"/>
    <d v="2023-05-20T00:00:00"/>
    <d v="2023-06-06T00:00:00"/>
    <s v="transfer"/>
    <x v="1"/>
    <x v="1"/>
    <x v="0"/>
    <b v="0"/>
    <x v="1"/>
    <x v="0"/>
    <b v="0"/>
  </r>
  <r>
    <n v="2899743"/>
    <s v="123-004-111-010"/>
    <x v="29"/>
    <x v="1"/>
    <d v="2023-02-08T00:00:00"/>
    <s v="Melissa Green"/>
    <d v="2023-02-15T00:00:00"/>
    <m/>
    <s v="rescinded"/>
    <x v="0"/>
    <x v="1"/>
    <x v="1"/>
    <b v="0"/>
    <x v="0"/>
    <x v="0"/>
    <b v="0"/>
  </r>
  <r>
    <n v="2899743"/>
    <s v="123-004-111-011"/>
    <x v="29"/>
    <x v="1"/>
    <d v="2023-05-15T00:00:00"/>
    <s v="Jackson Robinson"/>
    <d v="2023-05-17T00:00:00"/>
    <d v="2023-06-09T00:00:00"/>
    <s v="transfer"/>
    <x v="1"/>
    <x v="1"/>
    <x v="0"/>
    <b v="0"/>
    <x v="1"/>
    <x v="0"/>
    <b v="0"/>
  </r>
  <r>
    <n v="2899743"/>
    <s v="123-004-111-012"/>
    <x v="29"/>
    <x v="1"/>
    <d v="2022-11-02T00:00:00"/>
    <s v="Sandra Perez"/>
    <d v="2022-11-14T00:00:00"/>
    <m/>
    <s v="declined"/>
    <x v="0"/>
    <x v="0"/>
    <x v="0"/>
    <b v="0"/>
    <x v="0"/>
    <x v="0"/>
    <b v="0"/>
  </r>
  <r>
    <n v="2899743"/>
    <s v="123-004-111-013"/>
    <x v="29"/>
    <x v="1"/>
    <d v="2022-07-10T00:00:00"/>
    <s v="Daniel Cruz"/>
    <d v="2022-07-23T00:00:00"/>
    <m/>
    <s v="declined"/>
    <x v="0"/>
    <x v="0"/>
    <x v="0"/>
    <b v="0"/>
    <x v="0"/>
    <x v="0"/>
    <b v="0"/>
  </r>
  <r>
    <n v="6948065"/>
    <s v="123-002-101-006"/>
    <x v="0"/>
    <x v="7"/>
    <d v="2022-06-07T00:00:00"/>
    <s v="Kimberly Allen"/>
    <d v="2022-06-21T00:00:00"/>
    <d v="2022-06-29T00:00:00"/>
    <s v="transfer"/>
    <x v="1"/>
    <x v="1"/>
    <x v="0"/>
    <b v="0"/>
    <x v="1"/>
    <x v="0"/>
    <b v="0"/>
  </r>
  <r>
    <n v="6948065"/>
    <s v="123-002-101-007"/>
    <x v="0"/>
    <x v="7"/>
    <d v="2022-09-14T00:00:00"/>
    <s v="Elizabeth Roberts"/>
    <d v="2022-09-22T00:00:00"/>
    <d v="2022-10-23T00:00:00"/>
    <s v="transfer"/>
    <x v="1"/>
    <x v="1"/>
    <x v="0"/>
    <b v="0"/>
    <x v="1"/>
    <x v="0"/>
    <b v="0"/>
  </r>
  <r>
    <n v="6948065"/>
    <s v="123-002-101-008"/>
    <x v="0"/>
    <x v="7"/>
    <d v="2022-07-06T00:00:00"/>
    <s v="Lisa Ramirez"/>
    <d v="2022-07-24T00:00:00"/>
    <d v="2022-09-14T00:00:00"/>
    <s v="new to org"/>
    <x v="1"/>
    <x v="1"/>
    <x v="0"/>
    <b v="0"/>
    <x v="0"/>
    <x v="0"/>
    <b v="1"/>
  </r>
  <r>
    <n v="6948065"/>
    <s v="123-002-101-009"/>
    <x v="0"/>
    <x v="7"/>
    <d v="2023-03-26T00:00:00"/>
    <s v="Mark Nelson"/>
    <d v="2023-04-01T00:00:00"/>
    <m/>
    <s v="rescinded"/>
    <x v="0"/>
    <x v="1"/>
    <x v="1"/>
    <b v="0"/>
    <x v="0"/>
    <x v="0"/>
    <b v="0"/>
  </r>
  <r>
    <n v="3346703"/>
    <s v="123-007-112-022"/>
    <x v="28"/>
    <x v="4"/>
    <d v="2022-07-23T00:00:00"/>
    <s v="Logan Rivera"/>
    <d v="2022-07-27T00:00:00"/>
    <m/>
    <s v="rescinded"/>
    <x v="0"/>
    <x v="1"/>
    <x v="1"/>
    <b v="0"/>
    <x v="0"/>
    <x v="0"/>
    <b v="0"/>
  </r>
  <r>
    <n v="4180407"/>
    <s v="123-001-110-007"/>
    <x v="12"/>
    <x v="3"/>
    <d v="2022-02-02T00:00:00"/>
    <s v="Melissa Perez"/>
    <d v="2022-02-08T00:00:00"/>
    <m/>
    <s v="rescinded"/>
    <x v="0"/>
    <x v="1"/>
    <x v="1"/>
    <b v="0"/>
    <x v="0"/>
    <x v="0"/>
    <b v="0"/>
  </r>
  <r>
    <n v="4180407"/>
    <s v="123-001-110-008"/>
    <x v="12"/>
    <x v="3"/>
    <d v="2022-05-02T00:00:00"/>
    <s v="Kevin Moore"/>
    <d v="2022-05-16T00:00:00"/>
    <d v="2022-06-17T00:00:00"/>
    <m/>
    <x v="1"/>
    <x v="1"/>
    <x v="0"/>
    <b v="0"/>
    <x v="0"/>
    <x v="0"/>
    <b v="0"/>
  </r>
  <r>
    <n v="9314244"/>
    <s v="123-003-126-009"/>
    <x v="5"/>
    <x v="9"/>
    <d v="2023-02-03T00:00:00"/>
    <s v="Steven Campbell"/>
    <d v="2023-02-08T00:00:00"/>
    <d v="2023-02-16T00:00:00"/>
    <m/>
    <x v="1"/>
    <x v="1"/>
    <x v="0"/>
    <b v="0"/>
    <x v="0"/>
    <x v="0"/>
    <b v="0"/>
  </r>
  <r>
    <n v="9314244"/>
    <s v="123-003-126-010"/>
    <x v="5"/>
    <x v="9"/>
    <d v="2022-12-19T00:00:00"/>
    <s v="William Martinez"/>
    <d v="2023-01-05T00:00:00"/>
    <d v="2023-01-06T00:00:00"/>
    <s v="transfer"/>
    <x v="1"/>
    <x v="1"/>
    <x v="0"/>
    <b v="0"/>
    <x v="1"/>
    <x v="0"/>
    <b v="0"/>
  </r>
  <r>
    <n v="9314244"/>
    <s v="123-003-126-011"/>
    <x v="5"/>
    <x v="9"/>
    <d v="2022-12-17T00:00:00"/>
    <s v="Patricia Baker"/>
    <d v="2022-12-31T00:00:00"/>
    <d v="2023-02-08T00:00:00"/>
    <s v="promo"/>
    <x v="1"/>
    <x v="1"/>
    <x v="0"/>
    <b v="0"/>
    <x v="0"/>
    <x v="1"/>
    <b v="0"/>
  </r>
  <r>
    <n v="1134702"/>
    <s v="123-008-114-010"/>
    <x v="24"/>
    <x v="5"/>
    <d v="2023-03-16T00:00:00"/>
    <s v="Jennifer Carter"/>
    <d v="2023-03-24T00:00:00"/>
    <m/>
    <s v="declined"/>
    <x v="0"/>
    <x v="0"/>
    <x v="0"/>
    <b v="0"/>
    <x v="0"/>
    <x v="0"/>
    <b v="0"/>
  </r>
  <r>
    <n v="1134702"/>
    <s v="123-008-114-011"/>
    <x v="24"/>
    <x v="5"/>
    <d v="2022-04-28T00:00:00"/>
    <s v="Jessica Moore"/>
    <d v="2022-05-26T00:00:00"/>
    <d v="2022-06-12T00:00:00"/>
    <s v="promo"/>
    <x v="1"/>
    <x v="1"/>
    <x v="0"/>
    <b v="0"/>
    <x v="0"/>
    <x v="1"/>
    <b v="0"/>
  </r>
  <r>
    <n v="1134702"/>
    <s v="123-008-114-012"/>
    <x v="24"/>
    <x v="5"/>
    <d v="2023-03-16T00:00:00"/>
    <s v="Kevin Evans"/>
    <d v="2023-03-23T00:00:00"/>
    <d v="2023-04-23T00:00:00"/>
    <s v="promo"/>
    <x v="1"/>
    <x v="1"/>
    <x v="0"/>
    <b v="0"/>
    <x v="0"/>
    <x v="1"/>
    <b v="0"/>
  </r>
  <r>
    <n v="2729141"/>
    <s v="123-009-123-004"/>
    <x v="19"/>
    <x v="8"/>
    <d v="2022-06-02T00:00:00"/>
    <s v="Mia Nguyen"/>
    <d v="2022-06-10T00:00:00"/>
    <m/>
    <s v="declined"/>
    <x v="0"/>
    <x v="0"/>
    <x v="0"/>
    <b v="0"/>
    <x v="0"/>
    <x v="0"/>
    <b v="0"/>
  </r>
  <r>
    <n v="2729141"/>
    <s v="123-009-123-005"/>
    <x v="19"/>
    <x v="8"/>
    <d v="2022-10-08T00:00:00"/>
    <s v="Betty Williams"/>
    <d v="2022-10-15T00:00:00"/>
    <m/>
    <s v="declined"/>
    <x v="0"/>
    <x v="0"/>
    <x v="0"/>
    <b v="0"/>
    <x v="0"/>
    <x v="0"/>
    <b v="0"/>
  </r>
  <r>
    <n v="2729141"/>
    <s v="123-009-123-006"/>
    <x v="19"/>
    <x v="8"/>
    <d v="2022-07-24T00:00:00"/>
    <s v="Mary Flores"/>
    <d v="2022-07-27T00:00:00"/>
    <d v="2022-09-21T00:00:00"/>
    <m/>
    <x v="1"/>
    <x v="1"/>
    <x v="0"/>
    <b v="0"/>
    <x v="0"/>
    <x v="0"/>
    <b v="0"/>
  </r>
  <r>
    <n v="2729141"/>
    <s v="123-009-123-007"/>
    <x v="19"/>
    <x v="8"/>
    <d v="2022-11-10T00:00:00"/>
    <s v="Anthony King"/>
    <d v="2022-12-03T00:00:00"/>
    <m/>
    <s v="declined"/>
    <x v="0"/>
    <x v="0"/>
    <x v="0"/>
    <b v="0"/>
    <x v="0"/>
    <x v="0"/>
    <b v="0"/>
  </r>
  <r>
    <n v="2729141"/>
    <s v="123-009-123-008"/>
    <x v="19"/>
    <x v="8"/>
    <d v="2023-03-13T00:00:00"/>
    <s v="Joseph Perez"/>
    <d v="2023-03-29T00:00:00"/>
    <d v="2023-04-02T00:00:00"/>
    <s v="promo"/>
    <x v="1"/>
    <x v="1"/>
    <x v="0"/>
    <b v="0"/>
    <x v="0"/>
    <x v="1"/>
    <b v="0"/>
  </r>
  <r>
    <n v="9554093"/>
    <s v="123-001-114-001"/>
    <x v="24"/>
    <x v="3"/>
    <d v="2022-12-26T00:00:00"/>
    <s v="Lisa Moore"/>
    <d v="2023-01-18T00:00:00"/>
    <m/>
    <s v="declined"/>
    <x v="0"/>
    <x v="0"/>
    <x v="0"/>
    <b v="0"/>
    <x v="0"/>
    <x v="0"/>
    <b v="0"/>
  </r>
  <r>
    <n v="9554093"/>
    <s v="123-001-114-002"/>
    <x v="24"/>
    <x v="3"/>
    <d v="2022-07-06T00:00:00"/>
    <s v="Lucas Brown"/>
    <d v="2022-07-08T00:00:00"/>
    <d v="2022-07-09T00:00:00"/>
    <s v="new to org"/>
    <x v="1"/>
    <x v="1"/>
    <x v="0"/>
    <b v="0"/>
    <x v="0"/>
    <x v="0"/>
    <b v="1"/>
  </r>
  <r>
    <n v="9554093"/>
    <s v="123-001-114-003"/>
    <x v="24"/>
    <x v="3"/>
    <d v="2022-08-06T00:00:00"/>
    <s v="Melissa Lee"/>
    <d v="2022-08-16T00:00:00"/>
    <m/>
    <s v="declined"/>
    <x v="0"/>
    <x v="0"/>
    <x v="0"/>
    <b v="0"/>
    <x v="0"/>
    <x v="0"/>
    <b v="0"/>
  </r>
  <r>
    <n v="8919821"/>
    <s v="123-010-109-002"/>
    <x v="21"/>
    <x v="6"/>
    <d v="2023-01-08T00:00:00"/>
    <s v="Charlotte Young"/>
    <d v="2023-01-19T00:00:00"/>
    <d v="2023-02-08T00:00:00"/>
    <s v="new to org"/>
    <x v="1"/>
    <x v="1"/>
    <x v="0"/>
    <b v="0"/>
    <x v="0"/>
    <x v="0"/>
    <b v="1"/>
  </r>
  <r>
    <n v="2871139"/>
    <s v="123-001-104-004"/>
    <x v="18"/>
    <x v="3"/>
    <d v="2023-01-06T00:00:00"/>
    <s v="Nancy White"/>
    <d v="2023-01-30T00:00:00"/>
    <d v="2023-03-21T00:00:00"/>
    <s v="promo"/>
    <x v="1"/>
    <x v="1"/>
    <x v="0"/>
    <b v="0"/>
    <x v="0"/>
    <x v="1"/>
    <b v="0"/>
  </r>
  <r>
    <n v="2871139"/>
    <s v="123-001-104-005"/>
    <x v="18"/>
    <x v="3"/>
    <d v="2022-10-10T00:00:00"/>
    <s v="Jessica Adams"/>
    <d v="2022-10-17T00:00:00"/>
    <d v="2022-11-24T00:00:00"/>
    <s v="new to org"/>
    <x v="1"/>
    <x v="1"/>
    <x v="0"/>
    <b v="0"/>
    <x v="0"/>
    <x v="0"/>
    <b v="1"/>
  </r>
  <r>
    <n v="2871139"/>
    <s v="123-001-104-006"/>
    <x v="18"/>
    <x v="3"/>
    <d v="2022-05-04T00:00:00"/>
    <s v="William Green"/>
    <d v="2022-05-06T00:00:00"/>
    <d v="2022-06-13T00:00:00"/>
    <s v="transfer"/>
    <x v="1"/>
    <x v="1"/>
    <x v="0"/>
    <b v="0"/>
    <x v="1"/>
    <x v="0"/>
    <b v="0"/>
  </r>
  <r>
    <n v="2871139"/>
    <s v="123-001-104-007"/>
    <x v="18"/>
    <x v="3"/>
    <d v="2023-04-02T00:00:00"/>
    <s v="Richard Rivera"/>
    <d v="2023-05-02T00:00:00"/>
    <d v="2023-05-09T00:00:00"/>
    <s v="promo"/>
    <x v="1"/>
    <x v="1"/>
    <x v="0"/>
    <b v="0"/>
    <x v="0"/>
    <x v="1"/>
    <b v="0"/>
  </r>
  <r>
    <n v="2871139"/>
    <s v="123-001-104-008"/>
    <x v="18"/>
    <x v="3"/>
    <d v="2022-12-18T00:00:00"/>
    <s v="Paul Flores"/>
    <d v="2022-12-28T00:00:00"/>
    <m/>
    <s v="declined"/>
    <x v="0"/>
    <x v="0"/>
    <x v="0"/>
    <b v="0"/>
    <x v="0"/>
    <x v="0"/>
    <b v="0"/>
  </r>
  <r>
    <n v="8955730"/>
    <s v="123-004-125-014"/>
    <x v="3"/>
    <x v="1"/>
    <d v="2023-03-05T00:00:00"/>
    <s v="William Gonzalez"/>
    <d v="2023-03-23T00:00:00"/>
    <d v="2023-05-08T00:00:00"/>
    <s v="transfer"/>
    <x v="1"/>
    <x v="1"/>
    <x v="0"/>
    <b v="0"/>
    <x v="1"/>
    <x v="0"/>
    <b v="0"/>
  </r>
  <r>
    <n v="8955730"/>
    <s v="123-004-125-015"/>
    <x v="3"/>
    <x v="1"/>
    <d v="2022-12-22T00:00:00"/>
    <s v="Olivia Carter"/>
    <d v="2023-01-20T00:00:00"/>
    <m/>
    <s v="rescinded"/>
    <x v="0"/>
    <x v="1"/>
    <x v="1"/>
    <b v="0"/>
    <x v="0"/>
    <x v="0"/>
    <b v="0"/>
  </r>
  <r>
    <n v="8955730"/>
    <s v="123-004-125-016"/>
    <x v="3"/>
    <x v="1"/>
    <d v="2022-03-11T00:00:00"/>
    <s v="Ava Ramirez"/>
    <d v="2022-03-27T00:00:00"/>
    <d v="2022-04-23T00:00:00"/>
    <s v="transfer"/>
    <x v="1"/>
    <x v="1"/>
    <x v="0"/>
    <b v="0"/>
    <x v="1"/>
    <x v="0"/>
    <b v="0"/>
  </r>
  <r>
    <n v="8955730"/>
    <s v="123-004-125-017"/>
    <x v="3"/>
    <x v="1"/>
    <d v="2022-10-08T00:00:00"/>
    <s v="David Hill"/>
    <d v="2022-10-31T00:00:00"/>
    <d v="2022-11-09T00:00:00"/>
    <s v="transfer"/>
    <x v="1"/>
    <x v="1"/>
    <x v="0"/>
    <b v="0"/>
    <x v="1"/>
    <x v="0"/>
    <b v="0"/>
  </r>
  <r>
    <n v="8955730"/>
    <s v="123-004-125-018"/>
    <x v="3"/>
    <x v="1"/>
    <d v="2022-07-14T00:00:00"/>
    <s v="Andrew Brown"/>
    <d v="2022-08-07T00:00:00"/>
    <m/>
    <s v="rescinded"/>
    <x v="0"/>
    <x v="1"/>
    <x v="1"/>
    <b v="0"/>
    <x v="0"/>
    <x v="0"/>
    <b v="0"/>
  </r>
  <r>
    <n v="7668839"/>
    <s v="123-009-116-014"/>
    <x v="25"/>
    <x v="8"/>
    <d v="2023-06-06T00:00:00"/>
    <s v="Mark Carter"/>
    <d v="2023-06-19T00:00:00"/>
    <d v="2023-07-25T00:00:00"/>
    <s v="promo"/>
    <x v="1"/>
    <x v="1"/>
    <x v="0"/>
    <b v="0"/>
    <x v="0"/>
    <x v="1"/>
    <b v="0"/>
  </r>
  <r>
    <n v="7668839"/>
    <s v="123-009-116-015"/>
    <x v="25"/>
    <x v="8"/>
    <d v="2022-07-31T00:00:00"/>
    <s v="Joshua Moore"/>
    <d v="2022-08-06T00:00:00"/>
    <d v="2022-08-07T00:00:00"/>
    <m/>
    <x v="1"/>
    <x v="1"/>
    <x v="0"/>
    <b v="0"/>
    <x v="0"/>
    <x v="0"/>
    <b v="0"/>
  </r>
  <r>
    <n v="7668839"/>
    <s v="123-009-116-016"/>
    <x v="25"/>
    <x v="8"/>
    <d v="2022-01-10T00:00:00"/>
    <s v="Susan Nguyen"/>
    <d v="2022-02-08T00:00:00"/>
    <m/>
    <s v="declined"/>
    <x v="0"/>
    <x v="0"/>
    <x v="0"/>
    <b v="0"/>
    <x v="0"/>
    <x v="0"/>
    <b v="0"/>
  </r>
  <r>
    <n v="7668839"/>
    <s v="123-009-116-017"/>
    <x v="25"/>
    <x v="8"/>
    <d v="2023-06-22T00:00:00"/>
    <s v="Steven Rivera"/>
    <d v="2023-07-01T00:00:00"/>
    <d v="2023-07-21T00:00:00"/>
    <m/>
    <x v="1"/>
    <x v="1"/>
    <x v="0"/>
    <b v="0"/>
    <x v="0"/>
    <x v="0"/>
    <b v="0"/>
  </r>
  <r>
    <n v="7668839"/>
    <s v="123-009-116-018"/>
    <x v="25"/>
    <x v="8"/>
    <d v="2022-05-02T00:00:00"/>
    <s v="Dorothy Moore"/>
    <d v="2022-05-08T00:00:00"/>
    <d v="2022-05-23T00:00:00"/>
    <s v="new to org"/>
    <x v="1"/>
    <x v="1"/>
    <x v="0"/>
    <b v="0"/>
    <x v="0"/>
    <x v="0"/>
    <b v="1"/>
  </r>
  <r>
    <n v="1765250"/>
    <s v="123-004-118-007"/>
    <x v="1"/>
    <x v="1"/>
    <d v="2022-12-22T00:00:00"/>
    <s v="James Adams"/>
    <d v="2023-01-12T00:00:00"/>
    <m/>
    <s v="declined"/>
    <x v="0"/>
    <x v="0"/>
    <x v="0"/>
    <b v="0"/>
    <x v="0"/>
    <x v="0"/>
    <b v="0"/>
  </r>
  <r>
    <n v="1765250"/>
    <s v="123-004-118-008"/>
    <x v="1"/>
    <x v="1"/>
    <d v="2022-05-17T00:00:00"/>
    <s v="Olivia Moore"/>
    <d v="2022-05-26T00:00:00"/>
    <m/>
    <s v="declined"/>
    <x v="0"/>
    <x v="0"/>
    <x v="0"/>
    <b v="0"/>
    <x v="0"/>
    <x v="0"/>
    <b v="0"/>
  </r>
  <r>
    <n v="1765250"/>
    <s v="123-004-118-009"/>
    <x v="1"/>
    <x v="1"/>
    <d v="2022-08-04T00:00:00"/>
    <s v="Carol Thomas"/>
    <d v="2022-08-22T00:00:00"/>
    <d v="2022-08-30T00:00:00"/>
    <s v="transfer"/>
    <x v="1"/>
    <x v="1"/>
    <x v="0"/>
    <b v="0"/>
    <x v="1"/>
    <x v="0"/>
    <b v="0"/>
  </r>
  <r>
    <n v="7192640"/>
    <s v="123-002-111-011"/>
    <x v="29"/>
    <x v="7"/>
    <d v="2022-10-29T00:00:00"/>
    <s v="William Clark"/>
    <d v="2022-11-09T00:00:00"/>
    <m/>
    <s v="declined"/>
    <x v="0"/>
    <x v="0"/>
    <x v="0"/>
    <b v="0"/>
    <x v="0"/>
    <x v="0"/>
    <b v="0"/>
  </r>
  <r>
    <n v="7192640"/>
    <s v="123-002-111-012"/>
    <x v="29"/>
    <x v="7"/>
    <d v="2022-08-13T00:00:00"/>
    <s v="Isabella Thompson"/>
    <d v="2022-09-06T00:00:00"/>
    <d v="2022-09-24T00:00:00"/>
    <s v="transfer"/>
    <x v="1"/>
    <x v="1"/>
    <x v="0"/>
    <b v="0"/>
    <x v="1"/>
    <x v="0"/>
    <b v="0"/>
  </r>
  <r>
    <n v="7192640"/>
    <s v="123-002-111-013"/>
    <x v="29"/>
    <x v="7"/>
    <d v="2022-04-19T00:00:00"/>
    <s v="Mary Wright"/>
    <d v="2022-05-13T00:00:00"/>
    <m/>
    <s v="declined"/>
    <x v="0"/>
    <x v="0"/>
    <x v="0"/>
    <b v="0"/>
    <x v="0"/>
    <x v="0"/>
    <b v="0"/>
  </r>
  <r>
    <n v="7192640"/>
    <s v="123-002-111-014"/>
    <x v="29"/>
    <x v="7"/>
    <d v="2022-09-21T00:00:00"/>
    <s v="Charlotte Adams"/>
    <d v="2022-10-19T00:00:00"/>
    <d v="2022-11-29T00:00:00"/>
    <m/>
    <x v="1"/>
    <x v="1"/>
    <x v="0"/>
    <b v="0"/>
    <x v="0"/>
    <x v="0"/>
    <b v="0"/>
  </r>
  <r>
    <n v="7192640"/>
    <s v="123-002-111-015"/>
    <x v="29"/>
    <x v="7"/>
    <d v="2022-08-14T00:00:00"/>
    <s v="Isabella Lewis"/>
    <d v="2022-08-25T00:00:00"/>
    <d v="2022-09-12T00:00:00"/>
    <s v="promo"/>
    <x v="1"/>
    <x v="1"/>
    <x v="0"/>
    <b v="0"/>
    <x v="0"/>
    <x v="1"/>
    <b v="0"/>
  </r>
  <r>
    <n v="4421186"/>
    <s v="123-007-119-006"/>
    <x v="2"/>
    <x v="4"/>
    <d v="2023-05-06T00:00:00"/>
    <s v="Lisa Martinez"/>
    <d v="2023-05-09T00:00:00"/>
    <d v="2023-06-10T00:00:00"/>
    <m/>
    <x v="1"/>
    <x v="1"/>
    <x v="0"/>
    <b v="0"/>
    <x v="0"/>
    <x v="0"/>
    <b v="0"/>
  </r>
  <r>
    <n v="4421186"/>
    <s v="123-007-119-007"/>
    <x v="2"/>
    <x v="4"/>
    <d v="2022-06-30T00:00:00"/>
    <s v="Barbara Evans"/>
    <d v="2022-07-07T00:00:00"/>
    <m/>
    <s v="declined"/>
    <x v="0"/>
    <x v="0"/>
    <x v="0"/>
    <b v="0"/>
    <x v="0"/>
    <x v="0"/>
    <b v="0"/>
  </r>
  <r>
    <n v="9229532"/>
    <s v="123-003-124-002"/>
    <x v="15"/>
    <x v="9"/>
    <d v="2023-02-17T00:00:00"/>
    <s v="Ava Adams"/>
    <d v="2023-02-21T00:00:00"/>
    <m/>
    <s v="declined"/>
    <x v="0"/>
    <x v="0"/>
    <x v="0"/>
    <b v="0"/>
    <x v="0"/>
    <x v="0"/>
    <b v="0"/>
  </r>
  <r>
    <n v="9229532"/>
    <s v="123-003-124-003"/>
    <x v="15"/>
    <x v="9"/>
    <d v="2023-02-08T00:00:00"/>
    <s v="Barbara Evans"/>
    <d v="2023-03-02T00:00:00"/>
    <m/>
    <s v="declined"/>
    <x v="0"/>
    <x v="0"/>
    <x v="0"/>
    <b v="0"/>
    <x v="0"/>
    <x v="0"/>
    <b v="0"/>
  </r>
  <r>
    <n v="9229532"/>
    <s v="123-003-124-004"/>
    <x v="15"/>
    <x v="9"/>
    <d v="2023-03-13T00:00:00"/>
    <s v="Elizabeth Jones"/>
    <d v="2023-03-21T00:00:00"/>
    <d v="2023-04-20T00:00:00"/>
    <s v="transfer"/>
    <x v="1"/>
    <x v="1"/>
    <x v="0"/>
    <b v="0"/>
    <x v="1"/>
    <x v="0"/>
    <b v="0"/>
  </r>
  <r>
    <n v="9837877"/>
    <s v="123-001-105-002"/>
    <x v="7"/>
    <x v="3"/>
    <d v="2022-06-17T00:00:00"/>
    <s v="Lucas Lewis"/>
    <d v="2022-06-27T00:00:00"/>
    <m/>
    <s v="declined"/>
    <x v="0"/>
    <x v="0"/>
    <x v="0"/>
    <b v="0"/>
    <x v="0"/>
    <x v="0"/>
    <b v="0"/>
  </r>
  <r>
    <n v="9837877"/>
    <s v="123-001-105-003"/>
    <x v="7"/>
    <x v="3"/>
    <d v="2022-01-14T00:00:00"/>
    <s v="Linda Evans"/>
    <d v="2022-02-08T00:00:00"/>
    <m/>
    <s v="rescinded"/>
    <x v="0"/>
    <x v="1"/>
    <x v="1"/>
    <b v="0"/>
    <x v="0"/>
    <x v="0"/>
    <b v="0"/>
  </r>
  <r>
    <n v="9837877"/>
    <s v="123-001-105-004"/>
    <x v="7"/>
    <x v="3"/>
    <d v="2022-03-27T00:00:00"/>
    <s v="William Thomas"/>
    <d v="2022-04-05T00:00:00"/>
    <d v="2022-04-15T00:00:00"/>
    <s v="transfer"/>
    <x v="1"/>
    <x v="1"/>
    <x v="0"/>
    <b v="0"/>
    <x v="1"/>
    <x v="0"/>
    <b v="0"/>
  </r>
  <r>
    <n v="9837877"/>
    <s v="123-001-105-005"/>
    <x v="7"/>
    <x v="3"/>
    <d v="2022-04-19T00:00:00"/>
    <s v="Sophia Smith"/>
    <d v="2022-05-07T00:00:00"/>
    <d v="2022-06-24T00:00:00"/>
    <s v="transfer"/>
    <x v="1"/>
    <x v="1"/>
    <x v="0"/>
    <b v="0"/>
    <x v="1"/>
    <x v="0"/>
    <b v="0"/>
  </r>
  <r>
    <n v="9837877"/>
    <s v="123-001-105-006"/>
    <x v="7"/>
    <x v="3"/>
    <d v="2023-05-07T00:00:00"/>
    <s v="Richard Rodriguez"/>
    <d v="2023-06-01T00:00:00"/>
    <d v="2023-07-08T00:00:00"/>
    <s v="transfer"/>
    <x v="1"/>
    <x v="1"/>
    <x v="0"/>
    <b v="0"/>
    <x v="1"/>
    <x v="0"/>
    <b v="0"/>
  </r>
  <r>
    <n v="6565947"/>
    <s v="123-003-116-003"/>
    <x v="25"/>
    <x v="9"/>
    <d v="2023-06-08T00:00:00"/>
    <s v="Charles Miller"/>
    <d v="2023-07-07T00:00:00"/>
    <m/>
    <s v="declined"/>
    <x v="0"/>
    <x v="0"/>
    <x v="0"/>
    <b v="0"/>
    <x v="0"/>
    <x v="0"/>
    <b v="0"/>
  </r>
  <r>
    <n v="6565947"/>
    <s v="123-003-116-004"/>
    <x v="25"/>
    <x v="9"/>
    <d v="2022-02-15T00:00:00"/>
    <s v="Mary Evans"/>
    <d v="2022-02-19T00:00:00"/>
    <d v="2022-03-26T00:00:00"/>
    <s v="transfer"/>
    <x v="1"/>
    <x v="1"/>
    <x v="0"/>
    <b v="0"/>
    <x v="1"/>
    <x v="0"/>
    <b v="0"/>
  </r>
  <r>
    <n v="7967320"/>
    <s v="123-001-105-007"/>
    <x v="7"/>
    <x v="3"/>
    <d v="2023-01-29T00:00:00"/>
    <s v="Olivia Baker"/>
    <d v="2023-02-20T00:00:00"/>
    <m/>
    <s v="declined"/>
    <x v="0"/>
    <x v="0"/>
    <x v="0"/>
    <b v="0"/>
    <x v="0"/>
    <x v="0"/>
    <b v="0"/>
  </r>
  <r>
    <n v="7967320"/>
    <s v="123-001-105-008"/>
    <x v="7"/>
    <x v="3"/>
    <d v="2022-10-21T00:00:00"/>
    <s v="Daniel Adams"/>
    <d v="2022-10-29T00:00:00"/>
    <d v="2022-12-27T00:00:00"/>
    <s v="promo"/>
    <x v="1"/>
    <x v="1"/>
    <x v="0"/>
    <b v="0"/>
    <x v="0"/>
    <x v="1"/>
    <b v="0"/>
  </r>
  <r>
    <n v="2885904"/>
    <s v="123-003-116-005"/>
    <x v="25"/>
    <x v="9"/>
    <d v="2022-03-20T00:00:00"/>
    <s v="Charles Thompson"/>
    <d v="2022-04-09T00:00:00"/>
    <m/>
    <s v="declined"/>
    <x v="0"/>
    <x v="0"/>
    <x v="0"/>
    <b v="0"/>
    <x v="0"/>
    <x v="0"/>
    <b v="0"/>
  </r>
  <r>
    <n v="6598972"/>
    <s v="123-006-104-005"/>
    <x v="18"/>
    <x v="2"/>
    <d v="2023-06-28T00:00:00"/>
    <s v="Barbara Ramirez"/>
    <d v="2023-07-09T00:00:00"/>
    <d v="2023-08-17T00:00:00"/>
    <s v="promo"/>
    <x v="1"/>
    <x v="1"/>
    <x v="0"/>
    <b v="0"/>
    <x v="0"/>
    <x v="1"/>
    <b v="0"/>
  </r>
  <r>
    <n v="4042807"/>
    <s v="123-007-122-008"/>
    <x v="17"/>
    <x v="4"/>
    <d v="2022-10-21T00:00:00"/>
    <s v="Michelle Evans"/>
    <d v="2022-11-02T00:00:00"/>
    <d v="2022-12-29T00:00:00"/>
    <s v="new to org"/>
    <x v="1"/>
    <x v="1"/>
    <x v="0"/>
    <b v="0"/>
    <x v="0"/>
    <x v="0"/>
    <b v="1"/>
  </r>
  <r>
    <n v="4042807"/>
    <s v="123-007-122-009"/>
    <x v="17"/>
    <x v="4"/>
    <d v="2023-01-13T00:00:00"/>
    <s v="Ava Young"/>
    <d v="2023-02-12T00:00:00"/>
    <m/>
    <s v="declined"/>
    <x v="0"/>
    <x v="0"/>
    <x v="0"/>
    <b v="0"/>
    <x v="0"/>
    <x v="0"/>
    <b v="0"/>
  </r>
  <r>
    <n v="5452689"/>
    <s v="123-002-126-001"/>
    <x v="5"/>
    <x v="7"/>
    <d v="2022-05-31T00:00:00"/>
    <s v="Deborah Adams"/>
    <d v="2022-06-11T00:00:00"/>
    <d v="2022-06-21T00:00:00"/>
    <s v="promo"/>
    <x v="1"/>
    <x v="1"/>
    <x v="0"/>
    <b v="0"/>
    <x v="0"/>
    <x v="1"/>
    <b v="0"/>
  </r>
  <r>
    <n v="7553173"/>
    <s v="123-008-115-009"/>
    <x v="22"/>
    <x v="5"/>
    <d v="2022-10-13T00:00:00"/>
    <s v="Margaret Campbell"/>
    <d v="2022-10-18T00:00:00"/>
    <m/>
    <s v="declined"/>
    <x v="0"/>
    <x v="0"/>
    <x v="0"/>
    <b v="0"/>
    <x v="0"/>
    <x v="0"/>
    <b v="0"/>
  </r>
  <r>
    <n v="2517449"/>
    <s v="123-003-111-006"/>
    <x v="29"/>
    <x v="9"/>
    <d v="2023-03-11T00:00:00"/>
    <s v="Christopher Young"/>
    <d v="2023-03-27T00:00:00"/>
    <d v="2023-05-11T00:00:00"/>
    <s v="new to org"/>
    <x v="1"/>
    <x v="1"/>
    <x v="0"/>
    <b v="0"/>
    <x v="0"/>
    <x v="0"/>
    <b v="1"/>
  </r>
  <r>
    <n v="2517449"/>
    <s v="123-003-111-007"/>
    <x v="29"/>
    <x v="9"/>
    <d v="2022-09-09T00:00:00"/>
    <s v="William Phillips"/>
    <d v="2022-09-22T00:00:00"/>
    <d v="2022-10-19T00:00:00"/>
    <s v="new to org"/>
    <x v="1"/>
    <x v="1"/>
    <x v="0"/>
    <b v="0"/>
    <x v="0"/>
    <x v="0"/>
    <b v="1"/>
  </r>
  <r>
    <n v="9339992"/>
    <s v="123-009-118-006"/>
    <x v="1"/>
    <x v="8"/>
    <d v="2023-03-08T00:00:00"/>
    <s v="Matthew Garcia"/>
    <d v="2023-03-25T00:00:00"/>
    <d v="2023-05-01T00:00:00"/>
    <s v="promo"/>
    <x v="1"/>
    <x v="1"/>
    <x v="0"/>
    <b v="0"/>
    <x v="0"/>
    <x v="1"/>
    <b v="0"/>
  </r>
  <r>
    <n v="9339992"/>
    <s v="123-009-118-007"/>
    <x v="1"/>
    <x v="8"/>
    <d v="2022-08-29T00:00:00"/>
    <s v="Brian Garcia"/>
    <d v="2022-09-10T00:00:00"/>
    <d v="2022-09-11T00:00:00"/>
    <s v="promo"/>
    <x v="1"/>
    <x v="1"/>
    <x v="0"/>
    <b v="0"/>
    <x v="0"/>
    <x v="1"/>
    <b v="0"/>
  </r>
  <r>
    <n v="9339992"/>
    <s v="123-009-118-008"/>
    <x v="1"/>
    <x v="8"/>
    <d v="2023-01-07T00:00:00"/>
    <s v="Mia Johnson"/>
    <d v="2023-01-25T00:00:00"/>
    <m/>
    <s v="rescinded"/>
    <x v="0"/>
    <x v="1"/>
    <x v="1"/>
    <b v="0"/>
    <x v="0"/>
    <x v="0"/>
    <b v="0"/>
  </r>
  <r>
    <n v="9339992"/>
    <s v="123-009-118-009"/>
    <x v="1"/>
    <x v="8"/>
    <d v="2022-03-03T00:00:00"/>
    <s v="Ava Davis"/>
    <d v="2022-04-02T00:00:00"/>
    <d v="2022-04-25T00:00:00"/>
    <s v="promo"/>
    <x v="1"/>
    <x v="1"/>
    <x v="0"/>
    <b v="0"/>
    <x v="0"/>
    <x v="1"/>
    <b v="0"/>
  </r>
  <r>
    <n v="7054201"/>
    <s v="123-003-128-005"/>
    <x v="10"/>
    <x v="9"/>
    <d v="2022-08-18T00:00:00"/>
    <s v="Jessica Wilson"/>
    <d v="2022-08-20T00:00:00"/>
    <d v="2022-10-07T00:00:00"/>
    <m/>
    <x v="1"/>
    <x v="1"/>
    <x v="0"/>
    <b v="0"/>
    <x v="0"/>
    <x v="0"/>
    <b v="0"/>
  </r>
  <r>
    <n v="7054201"/>
    <s v="123-003-128-006"/>
    <x v="10"/>
    <x v="9"/>
    <d v="2022-05-27T00:00:00"/>
    <s v="Brian Rivera"/>
    <d v="2022-06-09T00:00:00"/>
    <m/>
    <s v="declined"/>
    <x v="0"/>
    <x v="0"/>
    <x v="0"/>
    <b v="0"/>
    <x v="0"/>
    <x v="0"/>
    <b v="0"/>
  </r>
  <r>
    <n v="7054201"/>
    <s v="123-003-128-007"/>
    <x v="10"/>
    <x v="9"/>
    <d v="2022-04-19T00:00:00"/>
    <s v="Lisa Brown"/>
    <d v="2022-05-11T00:00:00"/>
    <d v="2022-06-18T00:00:00"/>
    <m/>
    <x v="1"/>
    <x v="1"/>
    <x v="0"/>
    <b v="0"/>
    <x v="0"/>
    <x v="0"/>
    <b v="0"/>
  </r>
  <r>
    <n v="2237660"/>
    <s v="123-010-116-008"/>
    <x v="25"/>
    <x v="6"/>
    <m/>
    <m/>
    <m/>
    <m/>
    <s v="cancelled"/>
    <x v="0"/>
    <x v="1"/>
    <x v="0"/>
    <b v="1"/>
    <x v="0"/>
    <x v="0"/>
    <b v="0"/>
  </r>
  <r>
    <n v="2237660"/>
    <s v="123-010-116-009"/>
    <x v="25"/>
    <x v="6"/>
    <d v="2022-03-20T00:00:00"/>
    <s v="Jennifer Thomas"/>
    <d v="2022-03-21T00:00:00"/>
    <m/>
    <s v="rescinded"/>
    <x v="0"/>
    <x v="1"/>
    <x v="1"/>
    <b v="0"/>
    <x v="0"/>
    <x v="0"/>
    <b v="0"/>
  </r>
  <r>
    <n v="7987624"/>
    <s v="123-003-105-003"/>
    <x v="7"/>
    <x v="9"/>
    <d v="2022-12-12T00:00:00"/>
    <s v="Donald Clark"/>
    <d v="2022-12-27T00:00:00"/>
    <d v="2023-02-16T00:00:00"/>
    <s v="new to org"/>
    <x v="1"/>
    <x v="1"/>
    <x v="0"/>
    <b v="0"/>
    <x v="0"/>
    <x v="0"/>
    <b v="1"/>
  </r>
  <r>
    <n v="7987624"/>
    <s v="123-003-105-004"/>
    <x v="7"/>
    <x v="9"/>
    <d v="2022-06-09T00:00:00"/>
    <s v="Charles Davis"/>
    <d v="2022-06-11T00:00:00"/>
    <d v="2022-08-07T00:00:00"/>
    <s v="transfer"/>
    <x v="1"/>
    <x v="1"/>
    <x v="0"/>
    <b v="0"/>
    <x v="1"/>
    <x v="0"/>
    <b v="0"/>
  </r>
  <r>
    <n v="7987624"/>
    <s v="123-003-105-005"/>
    <x v="7"/>
    <x v="9"/>
    <d v="2022-01-12T00:00:00"/>
    <s v="Steven Hernandez"/>
    <d v="2022-01-25T00:00:00"/>
    <d v="2022-03-20T00:00:00"/>
    <s v="promo"/>
    <x v="1"/>
    <x v="1"/>
    <x v="0"/>
    <b v="0"/>
    <x v="0"/>
    <x v="1"/>
    <b v="0"/>
  </r>
  <r>
    <n v="7987624"/>
    <s v="123-003-105-006"/>
    <x v="7"/>
    <x v="9"/>
    <d v="2022-09-22T00:00:00"/>
    <s v="Emily Rivera"/>
    <d v="2022-10-22T00:00:00"/>
    <d v="2022-11-28T00:00:00"/>
    <m/>
    <x v="1"/>
    <x v="1"/>
    <x v="0"/>
    <b v="0"/>
    <x v="0"/>
    <x v="0"/>
    <b v="0"/>
  </r>
  <r>
    <n v="9420022"/>
    <s v="123-004-110-003"/>
    <x v="12"/>
    <x v="1"/>
    <d v="2023-01-22T00:00:00"/>
    <s v="Jennifer King"/>
    <d v="2023-01-27T00:00:00"/>
    <d v="2023-03-16T00:00:00"/>
    <s v="new to org"/>
    <x v="1"/>
    <x v="1"/>
    <x v="0"/>
    <b v="0"/>
    <x v="0"/>
    <x v="0"/>
    <b v="1"/>
  </r>
  <r>
    <n v="9420022"/>
    <s v="123-004-110-004"/>
    <x v="12"/>
    <x v="1"/>
    <d v="2022-08-13T00:00:00"/>
    <s v="Michelle Brown"/>
    <d v="2022-08-26T00:00:00"/>
    <m/>
    <s v="rescinded"/>
    <x v="0"/>
    <x v="1"/>
    <x v="1"/>
    <b v="0"/>
    <x v="0"/>
    <x v="0"/>
    <b v="0"/>
  </r>
  <r>
    <n v="9420022"/>
    <s v="123-004-110-005"/>
    <x v="12"/>
    <x v="1"/>
    <d v="2022-03-21T00:00:00"/>
    <s v="Melissa Scott"/>
    <d v="2022-04-17T00:00:00"/>
    <m/>
    <s v="declined"/>
    <x v="0"/>
    <x v="0"/>
    <x v="0"/>
    <b v="0"/>
    <x v="0"/>
    <x v="0"/>
    <b v="0"/>
  </r>
  <r>
    <n v="9420022"/>
    <s v="123-004-110-006"/>
    <x v="12"/>
    <x v="1"/>
    <d v="2023-02-19T00:00:00"/>
    <s v="Christopher Adams"/>
    <d v="2023-03-18T00:00:00"/>
    <d v="2023-04-12T00:00:00"/>
    <m/>
    <x v="1"/>
    <x v="1"/>
    <x v="0"/>
    <b v="0"/>
    <x v="0"/>
    <x v="0"/>
    <b v="0"/>
  </r>
  <r>
    <n v="3765293"/>
    <s v="123-006-102-008"/>
    <x v="27"/>
    <x v="2"/>
    <d v="2022-03-21T00:00:00"/>
    <s v="Michael Miller"/>
    <d v="2022-04-02T00:00:00"/>
    <m/>
    <s v="declined"/>
    <x v="0"/>
    <x v="0"/>
    <x v="0"/>
    <b v="0"/>
    <x v="0"/>
    <x v="0"/>
    <b v="0"/>
  </r>
  <r>
    <n v="3765293"/>
    <s v="123-006-102-009"/>
    <x v="27"/>
    <x v="2"/>
    <d v="2022-10-16T00:00:00"/>
    <s v="Mary Thomas"/>
    <d v="2022-10-22T00:00:00"/>
    <d v="2022-11-26T00:00:00"/>
    <s v="new to org"/>
    <x v="1"/>
    <x v="1"/>
    <x v="0"/>
    <b v="0"/>
    <x v="0"/>
    <x v="0"/>
    <b v="1"/>
  </r>
  <r>
    <n v="3765293"/>
    <s v="123-006-102-010"/>
    <x v="27"/>
    <x v="2"/>
    <d v="2022-01-12T00:00:00"/>
    <s v="Susan Hill"/>
    <d v="2022-02-06T00:00:00"/>
    <m/>
    <s v="declined"/>
    <x v="0"/>
    <x v="0"/>
    <x v="0"/>
    <b v="0"/>
    <x v="0"/>
    <x v="0"/>
    <b v="0"/>
  </r>
  <r>
    <n v="3765293"/>
    <s v="123-006-102-011"/>
    <x v="27"/>
    <x v="2"/>
    <d v="2022-02-03T00:00:00"/>
    <s v="Emily Gonzalez"/>
    <d v="2022-02-11T00:00:00"/>
    <d v="2022-03-01T00:00:00"/>
    <s v="promo"/>
    <x v="1"/>
    <x v="1"/>
    <x v="0"/>
    <b v="0"/>
    <x v="0"/>
    <x v="1"/>
    <b v="0"/>
  </r>
  <r>
    <n v="2426723"/>
    <s v="123-010-119-009"/>
    <x v="2"/>
    <x v="6"/>
    <d v="2022-11-19T00:00:00"/>
    <s v="Robert Brown"/>
    <d v="2022-11-22T00:00:00"/>
    <d v="2022-12-12T00:00:00"/>
    <m/>
    <x v="1"/>
    <x v="1"/>
    <x v="0"/>
    <b v="0"/>
    <x v="0"/>
    <x v="0"/>
    <b v="0"/>
  </r>
  <r>
    <n v="1142249"/>
    <s v="123-005-112-008"/>
    <x v="28"/>
    <x v="0"/>
    <d v="2022-12-31T00:00:00"/>
    <s v="Edward Sanchez"/>
    <d v="2023-01-05T00:00:00"/>
    <d v="2023-02-19T00:00:00"/>
    <s v="new to org"/>
    <x v="1"/>
    <x v="1"/>
    <x v="0"/>
    <b v="0"/>
    <x v="0"/>
    <x v="0"/>
    <b v="1"/>
  </r>
  <r>
    <n v="1142249"/>
    <s v="123-005-112-009"/>
    <x v="28"/>
    <x v="0"/>
    <d v="2023-05-31T00:00:00"/>
    <s v="Anthony Edwards"/>
    <d v="2023-06-04T00:00:00"/>
    <d v="2023-07-07T00:00:00"/>
    <s v="new to org"/>
    <x v="1"/>
    <x v="1"/>
    <x v="0"/>
    <b v="0"/>
    <x v="0"/>
    <x v="0"/>
    <b v="1"/>
  </r>
  <r>
    <n v="1142249"/>
    <s v="123-005-112-010"/>
    <x v="28"/>
    <x v="0"/>
    <d v="2023-01-27T00:00:00"/>
    <s v="Mary Nguyen"/>
    <d v="2023-02-12T00:00:00"/>
    <d v="2023-03-22T00:00:00"/>
    <s v="promo"/>
    <x v="1"/>
    <x v="1"/>
    <x v="0"/>
    <b v="0"/>
    <x v="0"/>
    <x v="1"/>
    <b v="0"/>
  </r>
  <r>
    <n v="1142249"/>
    <s v="123-005-112-011"/>
    <x v="28"/>
    <x v="0"/>
    <d v="2022-06-05T00:00:00"/>
    <s v="Charles Hernandez"/>
    <d v="2022-06-27T00:00:00"/>
    <d v="2022-07-27T00:00:00"/>
    <s v="transfer"/>
    <x v="1"/>
    <x v="1"/>
    <x v="0"/>
    <b v="0"/>
    <x v="1"/>
    <x v="0"/>
    <b v="0"/>
  </r>
  <r>
    <n v="2321253"/>
    <s v="123-002-129-005"/>
    <x v="14"/>
    <x v="7"/>
    <d v="2022-06-14T00:00:00"/>
    <s v="Deborah Rivera"/>
    <d v="2022-07-01T00:00:00"/>
    <d v="2022-08-04T00:00:00"/>
    <s v="promo"/>
    <x v="1"/>
    <x v="1"/>
    <x v="0"/>
    <b v="0"/>
    <x v="0"/>
    <x v="1"/>
    <b v="0"/>
  </r>
  <r>
    <n v="2321253"/>
    <s v="123-002-129-006"/>
    <x v="14"/>
    <x v="7"/>
    <d v="2022-05-15T00:00:00"/>
    <s v="Mark Gomez"/>
    <d v="2022-05-26T00:00:00"/>
    <d v="2022-06-14T00:00:00"/>
    <s v="new to org"/>
    <x v="1"/>
    <x v="1"/>
    <x v="0"/>
    <b v="0"/>
    <x v="0"/>
    <x v="0"/>
    <b v="1"/>
  </r>
  <r>
    <n v="7045105"/>
    <s v="123-007-120-003"/>
    <x v="13"/>
    <x v="4"/>
    <d v="2022-03-18T00:00:00"/>
    <s v="Jessica Wilson"/>
    <d v="2022-03-23T00:00:00"/>
    <d v="2022-04-29T00:00:00"/>
    <m/>
    <x v="1"/>
    <x v="1"/>
    <x v="0"/>
    <b v="0"/>
    <x v="0"/>
    <x v="0"/>
    <b v="0"/>
  </r>
  <r>
    <n v="9347047"/>
    <s v="123-001-104-009"/>
    <x v="18"/>
    <x v="3"/>
    <d v="2022-03-31T00:00:00"/>
    <s v="Emily Parker"/>
    <d v="2022-04-16T00:00:00"/>
    <d v="2022-04-23T00:00:00"/>
    <s v="new to org"/>
    <x v="1"/>
    <x v="1"/>
    <x v="0"/>
    <b v="0"/>
    <x v="0"/>
    <x v="0"/>
    <b v="1"/>
  </r>
  <r>
    <n v="9347047"/>
    <s v="123-001-104-010"/>
    <x v="18"/>
    <x v="3"/>
    <d v="2022-06-15T00:00:00"/>
    <s v="Jackson Jackson"/>
    <d v="2022-06-18T00:00:00"/>
    <d v="2022-07-06T00:00:00"/>
    <s v="promo"/>
    <x v="1"/>
    <x v="1"/>
    <x v="0"/>
    <b v="0"/>
    <x v="0"/>
    <x v="1"/>
    <b v="0"/>
  </r>
  <r>
    <n v="7095636"/>
    <s v="123-002-112-001"/>
    <x v="28"/>
    <x v="7"/>
    <d v="2022-09-22T00:00:00"/>
    <s v="Deborah Robinson"/>
    <d v="2022-10-08T00:00:00"/>
    <m/>
    <s v="declined"/>
    <x v="0"/>
    <x v="0"/>
    <x v="0"/>
    <b v="0"/>
    <x v="0"/>
    <x v="0"/>
    <b v="0"/>
  </r>
  <r>
    <n v="5295408"/>
    <s v="123-008-125-011"/>
    <x v="3"/>
    <x v="5"/>
    <d v="2022-10-21T00:00:00"/>
    <s v="Robert White"/>
    <d v="2022-11-03T00:00:00"/>
    <d v="2022-11-30T00:00:00"/>
    <m/>
    <x v="1"/>
    <x v="1"/>
    <x v="0"/>
    <b v="0"/>
    <x v="0"/>
    <x v="0"/>
    <b v="0"/>
  </r>
  <r>
    <n v="5295408"/>
    <s v="123-008-125-012"/>
    <x v="3"/>
    <x v="5"/>
    <d v="2023-06-09T00:00:00"/>
    <s v="Mark White"/>
    <d v="2023-07-07T00:00:00"/>
    <d v="2023-08-16T00:00:00"/>
    <s v="promo"/>
    <x v="1"/>
    <x v="1"/>
    <x v="0"/>
    <b v="0"/>
    <x v="0"/>
    <x v="1"/>
    <b v="0"/>
  </r>
  <r>
    <n v="6262096"/>
    <s v="123-002-112-002"/>
    <x v="28"/>
    <x v="7"/>
    <d v="2022-02-13T00:00:00"/>
    <s v="Olivia Cruz"/>
    <d v="2022-03-05T00:00:00"/>
    <d v="2022-04-16T00:00:00"/>
    <s v="new to org"/>
    <x v="1"/>
    <x v="1"/>
    <x v="0"/>
    <b v="0"/>
    <x v="0"/>
    <x v="0"/>
    <b v="1"/>
  </r>
  <r>
    <n v="6262096"/>
    <s v="123-002-112-003"/>
    <x v="28"/>
    <x v="7"/>
    <d v="2022-01-09T00:00:00"/>
    <s v="Sophia Thomas"/>
    <d v="2022-01-14T00:00:00"/>
    <m/>
    <s v="declined"/>
    <x v="0"/>
    <x v="0"/>
    <x v="0"/>
    <b v="0"/>
    <x v="0"/>
    <x v="0"/>
    <b v="0"/>
  </r>
  <r>
    <n v="6262096"/>
    <s v="123-002-112-004"/>
    <x v="28"/>
    <x v="7"/>
    <d v="2023-02-13T00:00:00"/>
    <s v="Matthew Hernandez"/>
    <d v="2023-03-13T00:00:00"/>
    <d v="2023-03-18T00:00:00"/>
    <s v="new to org"/>
    <x v="1"/>
    <x v="1"/>
    <x v="0"/>
    <b v="0"/>
    <x v="0"/>
    <x v="0"/>
    <b v="1"/>
  </r>
  <r>
    <n v="6262096"/>
    <s v="123-002-112-005"/>
    <x v="28"/>
    <x v="7"/>
    <d v="2022-04-06T00:00:00"/>
    <s v="Logan Robinson"/>
    <d v="2022-04-18T00:00:00"/>
    <m/>
    <s v="rescinded"/>
    <x v="0"/>
    <x v="1"/>
    <x v="1"/>
    <b v="0"/>
    <x v="0"/>
    <x v="0"/>
    <b v="0"/>
  </r>
  <r>
    <n v="8816129"/>
    <s v="123-009-115-004"/>
    <x v="22"/>
    <x v="8"/>
    <d v="2022-04-21T00:00:00"/>
    <s v="Barbara Campbell"/>
    <d v="2022-05-21T00:00:00"/>
    <m/>
    <s v="declined"/>
    <x v="0"/>
    <x v="0"/>
    <x v="0"/>
    <b v="0"/>
    <x v="0"/>
    <x v="0"/>
    <b v="0"/>
  </r>
  <r>
    <n v="8816129"/>
    <s v="123-009-115-005"/>
    <x v="22"/>
    <x v="8"/>
    <d v="2022-07-24T00:00:00"/>
    <s v="Deborah Ramirez"/>
    <d v="2022-08-06T00:00:00"/>
    <d v="2022-08-28T00:00:00"/>
    <m/>
    <x v="1"/>
    <x v="1"/>
    <x v="0"/>
    <b v="0"/>
    <x v="0"/>
    <x v="0"/>
    <b v="0"/>
  </r>
  <r>
    <n v="8816129"/>
    <s v="123-009-115-006"/>
    <x v="22"/>
    <x v="8"/>
    <d v="2023-05-13T00:00:00"/>
    <s v="Nancy Hill"/>
    <d v="2023-05-20T00:00:00"/>
    <m/>
    <s v="declined"/>
    <x v="0"/>
    <x v="0"/>
    <x v="0"/>
    <b v="0"/>
    <x v="0"/>
    <x v="0"/>
    <b v="0"/>
  </r>
  <r>
    <n v="8816129"/>
    <s v="123-009-115-007"/>
    <x v="22"/>
    <x v="8"/>
    <d v="2023-04-11T00:00:00"/>
    <s v="Linda Moore"/>
    <d v="2023-04-13T00:00:00"/>
    <d v="2023-05-18T00:00:00"/>
    <m/>
    <x v="1"/>
    <x v="1"/>
    <x v="0"/>
    <b v="0"/>
    <x v="0"/>
    <x v="0"/>
    <b v="0"/>
  </r>
  <r>
    <n v="3612902"/>
    <s v="123-003-116-006"/>
    <x v="25"/>
    <x v="9"/>
    <d v="2023-01-25T00:00:00"/>
    <s v="Robert Hill"/>
    <d v="2023-01-27T00:00:00"/>
    <m/>
    <s v="rescinded"/>
    <x v="0"/>
    <x v="1"/>
    <x v="1"/>
    <b v="0"/>
    <x v="0"/>
    <x v="0"/>
    <b v="0"/>
  </r>
  <r>
    <n v="3612902"/>
    <s v="123-003-116-007"/>
    <x v="25"/>
    <x v="9"/>
    <d v="2023-04-30T00:00:00"/>
    <s v="Sophia Ramirez"/>
    <d v="2023-05-07T00:00:00"/>
    <d v="2023-05-11T00:00:00"/>
    <s v="new to org"/>
    <x v="1"/>
    <x v="1"/>
    <x v="0"/>
    <b v="0"/>
    <x v="0"/>
    <x v="0"/>
    <b v="1"/>
  </r>
  <r>
    <n v="4548261"/>
    <s v="123-001-128-001"/>
    <x v="10"/>
    <x v="3"/>
    <d v="2022-03-27T00:00:00"/>
    <s v="Kenneth Lopez"/>
    <d v="2022-04-01T00:00:00"/>
    <m/>
    <s v="declined"/>
    <x v="0"/>
    <x v="0"/>
    <x v="0"/>
    <b v="0"/>
    <x v="0"/>
    <x v="0"/>
    <b v="0"/>
  </r>
  <r>
    <n v="4548261"/>
    <s v="123-001-128-002"/>
    <x v="10"/>
    <x v="3"/>
    <d v="2022-12-17T00:00:00"/>
    <s v="Lucas Ramirez"/>
    <d v="2023-01-11T00:00:00"/>
    <m/>
    <s v="declined"/>
    <x v="0"/>
    <x v="0"/>
    <x v="0"/>
    <b v="0"/>
    <x v="0"/>
    <x v="0"/>
    <b v="0"/>
  </r>
  <r>
    <n v="4548261"/>
    <s v="123-001-128-003"/>
    <x v="10"/>
    <x v="3"/>
    <d v="2023-04-08T00:00:00"/>
    <s v="Logan Rivera"/>
    <d v="2023-05-06T00:00:00"/>
    <d v="2023-06-02T00:00:00"/>
    <s v="new to org"/>
    <x v="1"/>
    <x v="1"/>
    <x v="0"/>
    <b v="0"/>
    <x v="0"/>
    <x v="0"/>
    <b v="1"/>
  </r>
  <r>
    <n v="4548261"/>
    <s v="123-001-128-004"/>
    <x v="10"/>
    <x v="3"/>
    <d v="2022-02-25T00:00:00"/>
    <s v="Barbara Turner"/>
    <d v="2022-02-28T00:00:00"/>
    <d v="2022-04-27T00:00:00"/>
    <s v="new to org"/>
    <x v="1"/>
    <x v="1"/>
    <x v="0"/>
    <b v="0"/>
    <x v="0"/>
    <x v="0"/>
    <b v="1"/>
  </r>
  <r>
    <n v="5981239"/>
    <s v="123-004-106-006"/>
    <x v="4"/>
    <x v="1"/>
    <d v="2022-06-14T00:00:00"/>
    <s v="Donald Wright"/>
    <d v="2022-07-07T00:00:00"/>
    <d v="2022-08-04T00:00:00"/>
    <m/>
    <x v="1"/>
    <x v="1"/>
    <x v="0"/>
    <b v="0"/>
    <x v="0"/>
    <x v="0"/>
    <b v="0"/>
  </r>
  <r>
    <n v="5981239"/>
    <s v="123-004-106-007"/>
    <x v="4"/>
    <x v="1"/>
    <d v="2022-07-23T00:00:00"/>
    <s v="Isabella Smith"/>
    <d v="2022-07-26T00:00:00"/>
    <d v="2022-09-11T00:00:00"/>
    <m/>
    <x v="1"/>
    <x v="1"/>
    <x v="0"/>
    <b v="0"/>
    <x v="0"/>
    <x v="0"/>
    <b v="0"/>
  </r>
  <r>
    <n v="5981239"/>
    <s v="123-004-106-008"/>
    <x v="4"/>
    <x v="1"/>
    <d v="2022-11-21T00:00:00"/>
    <s v="Christopher Nelson"/>
    <d v="2022-11-22T00:00:00"/>
    <d v="2022-12-02T00:00:00"/>
    <s v="promo"/>
    <x v="1"/>
    <x v="1"/>
    <x v="0"/>
    <b v="0"/>
    <x v="0"/>
    <x v="1"/>
    <b v="0"/>
  </r>
  <r>
    <n v="8695022"/>
    <s v="123-003-130-003"/>
    <x v="23"/>
    <x v="9"/>
    <d v="2023-02-21T00:00:00"/>
    <s v="Sophia Baker"/>
    <d v="2023-03-02T00:00:00"/>
    <d v="2023-04-05T00:00:00"/>
    <s v="transfer"/>
    <x v="1"/>
    <x v="1"/>
    <x v="0"/>
    <b v="0"/>
    <x v="1"/>
    <x v="0"/>
    <b v="0"/>
  </r>
  <r>
    <n v="8695022"/>
    <s v="123-003-130-004"/>
    <x v="23"/>
    <x v="9"/>
    <d v="2022-05-09T00:00:00"/>
    <s v="Charlotte Turner"/>
    <d v="2022-05-30T00:00:00"/>
    <d v="2022-06-28T00:00:00"/>
    <m/>
    <x v="1"/>
    <x v="1"/>
    <x v="0"/>
    <b v="0"/>
    <x v="0"/>
    <x v="0"/>
    <b v="0"/>
  </r>
  <r>
    <n v="8695022"/>
    <s v="123-003-130-005"/>
    <x v="23"/>
    <x v="9"/>
    <d v="2022-07-12T00:00:00"/>
    <s v="Robert Wilson"/>
    <d v="2022-07-26T00:00:00"/>
    <d v="2022-09-09T00:00:00"/>
    <s v="transfer"/>
    <x v="1"/>
    <x v="1"/>
    <x v="0"/>
    <b v="0"/>
    <x v="1"/>
    <x v="0"/>
    <b v="0"/>
  </r>
  <r>
    <n v="8695022"/>
    <s v="123-003-130-006"/>
    <x v="23"/>
    <x v="9"/>
    <d v="2022-08-10T00:00:00"/>
    <s v="Joshua Harris"/>
    <d v="2022-08-22T00:00:00"/>
    <d v="2022-09-05T00:00:00"/>
    <s v="promo"/>
    <x v="1"/>
    <x v="1"/>
    <x v="0"/>
    <b v="0"/>
    <x v="0"/>
    <x v="1"/>
    <b v="0"/>
  </r>
  <r>
    <n v="4207115"/>
    <s v="123-010-122-001"/>
    <x v="17"/>
    <x v="6"/>
    <d v="2022-11-06T00:00:00"/>
    <s v="Lisa Johnson"/>
    <d v="2022-12-05T00:00:00"/>
    <m/>
    <s v="rescinded"/>
    <x v="0"/>
    <x v="1"/>
    <x v="1"/>
    <b v="0"/>
    <x v="0"/>
    <x v="0"/>
    <b v="0"/>
  </r>
  <r>
    <n v="6150025"/>
    <s v="123-002-117-008"/>
    <x v="9"/>
    <x v="7"/>
    <d v="2022-12-27T00:00:00"/>
    <s v="Anthony Clark"/>
    <d v="2023-01-08T00:00:00"/>
    <d v="2023-03-03T00:00:00"/>
    <m/>
    <x v="1"/>
    <x v="1"/>
    <x v="0"/>
    <b v="0"/>
    <x v="0"/>
    <x v="0"/>
    <b v="0"/>
  </r>
  <r>
    <n v="6150025"/>
    <s v="123-002-117-009"/>
    <x v="9"/>
    <x v="7"/>
    <d v="2023-04-15T00:00:00"/>
    <s v="Linda Lopez"/>
    <d v="2023-04-29T00:00:00"/>
    <d v="2023-05-23T00:00:00"/>
    <s v="new to org"/>
    <x v="1"/>
    <x v="1"/>
    <x v="0"/>
    <b v="0"/>
    <x v="0"/>
    <x v="0"/>
    <b v="1"/>
  </r>
  <r>
    <n v="6150025"/>
    <s v="123-002-117-010"/>
    <x v="9"/>
    <x v="7"/>
    <d v="2023-03-23T00:00:00"/>
    <s v="Joshua Hernandez"/>
    <d v="2023-04-05T00:00:00"/>
    <m/>
    <s v="declined"/>
    <x v="0"/>
    <x v="0"/>
    <x v="0"/>
    <b v="0"/>
    <x v="0"/>
    <x v="0"/>
    <b v="0"/>
  </r>
  <r>
    <n v="6150025"/>
    <s v="123-002-117-011"/>
    <x v="9"/>
    <x v="7"/>
    <d v="2023-03-24T00:00:00"/>
    <s v="Kevin Hall"/>
    <d v="2023-04-14T00:00:00"/>
    <m/>
    <s v="rescinded"/>
    <x v="0"/>
    <x v="1"/>
    <x v="1"/>
    <b v="0"/>
    <x v="0"/>
    <x v="0"/>
    <b v="0"/>
  </r>
  <r>
    <n v="5752118"/>
    <s v="123-010-123-004"/>
    <x v="19"/>
    <x v="6"/>
    <d v="2022-01-17T00:00:00"/>
    <s v="Jennifer Adams"/>
    <d v="2022-02-06T00:00:00"/>
    <d v="2022-04-07T00:00:00"/>
    <s v="transfer"/>
    <x v="1"/>
    <x v="1"/>
    <x v="0"/>
    <b v="0"/>
    <x v="1"/>
    <x v="0"/>
    <b v="0"/>
  </r>
  <r>
    <n v="7900127"/>
    <s v="123-008-104-001"/>
    <x v="18"/>
    <x v="5"/>
    <d v="2023-05-31T00:00:00"/>
    <s v="Kenneth Lewis"/>
    <d v="2023-06-19T00:00:00"/>
    <d v="2023-08-10T00:00:00"/>
    <s v="transfer"/>
    <x v="1"/>
    <x v="1"/>
    <x v="0"/>
    <b v="0"/>
    <x v="1"/>
    <x v="0"/>
    <b v="0"/>
  </r>
  <r>
    <n v="7900127"/>
    <s v="123-008-104-002"/>
    <x v="18"/>
    <x v="5"/>
    <d v="2023-03-07T00:00:00"/>
    <s v="Charles Diaz"/>
    <d v="2023-03-14T00:00:00"/>
    <m/>
    <s v="declined"/>
    <x v="0"/>
    <x v="0"/>
    <x v="0"/>
    <b v="0"/>
    <x v="0"/>
    <x v="0"/>
    <b v="0"/>
  </r>
  <r>
    <n v="7900127"/>
    <s v="123-008-104-003"/>
    <x v="18"/>
    <x v="5"/>
    <d v="2023-01-26T00:00:00"/>
    <s v="Sandra Scott"/>
    <d v="2023-01-30T00:00:00"/>
    <m/>
    <s v="rescinded"/>
    <x v="0"/>
    <x v="1"/>
    <x v="1"/>
    <b v="0"/>
    <x v="0"/>
    <x v="0"/>
    <b v="0"/>
  </r>
  <r>
    <n v="7900127"/>
    <s v="123-008-104-004"/>
    <x v="18"/>
    <x v="5"/>
    <d v="2022-12-26T00:00:00"/>
    <s v="Donald Davis"/>
    <d v="2023-01-21T00:00:00"/>
    <m/>
    <s v="declined"/>
    <x v="0"/>
    <x v="0"/>
    <x v="0"/>
    <b v="0"/>
    <x v="0"/>
    <x v="0"/>
    <b v="0"/>
  </r>
  <r>
    <n v="7900127"/>
    <s v="123-008-104-005"/>
    <x v="18"/>
    <x v="5"/>
    <d v="2023-02-10T00:00:00"/>
    <s v="Ava Evans"/>
    <d v="2023-02-11T00:00:00"/>
    <d v="2023-03-07T00:00:00"/>
    <m/>
    <x v="1"/>
    <x v="1"/>
    <x v="0"/>
    <b v="0"/>
    <x v="0"/>
    <x v="0"/>
    <b v="0"/>
  </r>
  <r>
    <n v="4757032"/>
    <s v="123-005-117-008"/>
    <x v="9"/>
    <x v="0"/>
    <d v="2023-03-01T00:00:00"/>
    <s v="Karen Turner"/>
    <d v="2023-03-23T00:00:00"/>
    <d v="2023-04-08T00:00:00"/>
    <s v="new to org"/>
    <x v="1"/>
    <x v="1"/>
    <x v="0"/>
    <b v="0"/>
    <x v="0"/>
    <x v="0"/>
    <b v="1"/>
  </r>
  <r>
    <n v="4757032"/>
    <s v="123-005-117-009"/>
    <x v="9"/>
    <x v="0"/>
    <d v="2022-02-03T00:00:00"/>
    <s v="Ava Clark"/>
    <d v="2022-02-04T00:00:00"/>
    <m/>
    <s v="declined"/>
    <x v="0"/>
    <x v="0"/>
    <x v="0"/>
    <b v="0"/>
    <x v="0"/>
    <x v="0"/>
    <b v="0"/>
  </r>
  <r>
    <n v="4757032"/>
    <s v="123-005-117-010"/>
    <x v="9"/>
    <x v="0"/>
    <d v="2023-06-16T00:00:00"/>
    <s v="Sophia White"/>
    <d v="2023-07-13T00:00:00"/>
    <m/>
    <s v="declined"/>
    <x v="0"/>
    <x v="0"/>
    <x v="0"/>
    <b v="0"/>
    <x v="0"/>
    <x v="0"/>
    <b v="0"/>
  </r>
  <r>
    <n v="6326278"/>
    <s v="123-003-111-008"/>
    <x v="29"/>
    <x v="9"/>
    <d v="2022-07-17T00:00:00"/>
    <s v="Emily Sanchez"/>
    <d v="2022-08-06T00:00:00"/>
    <d v="2022-09-17T00:00:00"/>
    <s v="promo"/>
    <x v="1"/>
    <x v="1"/>
    <x v="0"/>
    <b v="0"/>
    <x v="0"/>
    <x v="1"/>
    <b v="0"/>
  </r>
  <r>
    <n v="6326278"/>
    <s v="123-003-111-009"/>
    <x v="29"/>
    <x v="9"/>
    <d v="2023-03-16T00:00:00"/>
    <s v="Ethan Torres"/>
    <d v="2023-03-21T00:00:00"/>
    <d v="2023-05-01T00:00:00"/>
    <s v="transfer"/>
    <x v="1"/>
    <x v="1"/>
    <x v="0"/>
    <b v="0"/>
    <x v="1"/>
    <x v="0"/>
    <b v="0"/>
  </r>
  <r>
    <n v="6326278"/>
    <s v="123-003-111-010"/>
    <x v="29"/>
    <x v="9"/>
    <d v="2022-11-22T00:00:00"/>
    <s v="Betty Edwards"/>
    <d v="2022-12-09T00:00:00"/>
    <d v="2022-12-20T00:00:00"/>
    <s v="promo"/>
    <x v="1"/>
    <x v="1"/>
    <x v="0"/>
    <b v="0"/>
    <x v="0"/>
    <x v="1"/>
    <b v="0"/>
  </r>
  <r>
    <n v="6326278"/>
    <s v="123-003-111-011"/>
    <x v="29"/>
    <x v="9"/>
    <d v="2022-05-10T00:00:00"/>
    <s v="Dorothy Phillips"/>
    <d v="2022-05-27T00:00:00"/>
    <d v="2022-06-04T00:00:00"/>
    <s v="transfer"/>
    <x v="1"/>
    <x v="1"/>
    <x v="0"/>
    <b v="0"/>
    <x v="1"/>
    <x v="0"/>
    <b v="0"/>
  </r>
  <r>
    <n v="6326278"/>
    <s v="123-003-111-012"/>
    <x v="29"/>
    <x v="9"/>
    <d v="2022-09-24T00:00:00"/>
    <s v="Mason Carter"/>
    <d v="2022-10-21T00:00:00"/>
    <d v="2022-11-26T00:00:00"/>
    <m/>
    <x v="1"/>
    <x v="1"/>
    <x v="0"/>
    <b v="0"/>
    <x v="0"/>
    <x v="0"/>
    <b v="0"/>
  </r>
  <r>
    <n v="3668469"/>
    <s v="123-004-111-014"/>
    <x v="29"/>
    <x v="1"/>
    <m/>
    <m/>
    <m/>
    <m/>
    <s v="cancelled"/>
    <x v="0"/>
    <x v="1"/>
    <x v="0"/>
    <b v="1"/>
    <x v="0"/>
    <x v="0"/>
    <b v="0"/>
  </r>
  <r>
    <n v="8338707"/>
    <s v="123-010-101-001"/>
    <x v="0"/>
    <x v="6"/>
    <d v="2023-01-02T00:00:00"/>
    <s v="William Robinson"/>
    <d v="2023-01-08T00:00:00"/>
    <m/>
    <s v="declined"/>
    <x v="0"/>
    <x v="0"/>
    <x v="0"/>
    <b v="0"/>
    <x v="0"/>
    <x v="0"/>
    <b v="0"/>
  </r>
  <r>
    <n v="8338707"/>
    <s v="123-010-101-002"/>
    <x v="0"/>
    <x v="6"/>
    <d v="2022-01-26T00:00:00"/>
    <s v="Andrew Harris"/>
    <d v="2022-02-19T00:00:00"/>
    <d v="2022-04-07T00:00:00"/>
    <s v="transfer"/>
    <x v="1"/>
    <x v="1"/>
    <x v="0"/>
    <b v="0"/>
    <x v="1"/>
    <x v="0"/>
    <b v="0"/>
  </r>
  <r>
    <n v="5021865"/>
    <s v="123-004-121-004"/>
    <x v="20"/>
    <x v="1"/>
    <d v="2023-01-23T00:00:00"/>
    <s v="Mason Thomas"/>
    <d v="2023-02-17T00:00:00"/>
    <m/>
    <s v="declined"/>
    <x v="0"/>
    <x v="0"/>
    <x v="0"/>
    <b v="0"/>
    <x v="0"/>
    <x v="0"/>
    <b v="0"/>
  </r>
  <r>
    <n v="5021865"/>
    <s v="123-004-121-005"/>
    <x v="20"/>
    <x v="1"/>
    <d v="2022-03-26T00:00:00"/>
    <s v="Patricia Moore"/>
    <d v="2022-04-25T00:00:00"/>
    <m/>
    <s v="declined"/>
    <x v="0"/>
    <x v="0"/>
    <x v="0"/>
    <b v="0"/>
    <x v="0"/>
    <x v="0"/>
    <b v="0"/>
  </r>
  <r>
    <n v="5021865"/>
    <s v="123-004-121-006"/>
    <x v="20"/>
    <x v="1"/>
    <d v="2022-04-16T00:00:00"/>
    <s v="Mary Green"/>
    <d v="2022-04-20T00:00:00"/>
    <m/>
    <s v="declined"/>
    <x v="0"/>
    <x v="0"/>
    <x v="0"/>
    <b v="0"/>
    <x v="0"/>
    <x v="0"/>
    <b v="0"/>
  </r>
  <r>
    <n v="8702884"/>
    <s v="123-010-130-007"/>
    <x v="23"/>
    <x v="6"/>
    <d v="2022-07-04T00:00:00"/>
    <s v="Charles Taylor"/>
    <d v="2022-07-07T00:00:00"/>
    <m/>
    <s v="declined"/>
    <x v="0"/>
    <x v="0"/>
    <x v="0"/>
    <b v="0"/>
    <x v="0"/>
    <x v="0"/>
    <b v="0"/>
  </r>
  <r>
    <n v="2298244"/>
    <s v="123-006-116-006"/>
    <x v="25"/>
    <x v="2"/>
    <d v="2022-01-23T00:00:00"/>
    <s v="Ashley Gomez"/>
    <d v="2022-02-06T00:00:00"/>
    <m/>
    <s v="rescinded"/>
    <x v="0"/>
    <x v="1"/>
    <x v="1"/>
    <b v="0"/>
    <x v="0"/>
    <x v="0"/>
    <b v="0"/>
  </r>
  <r>
    <n v="2298244"/>
    <s v="123-006-116-007"/>
    <x v="25"/>
    <x v="2"/>
    <m/>
    <m/>
    <m/>
    <m/>
    <s v="cancelled"/>
    <x v="0"/>
    <x v="1"/>
    <x v="0"/>
    <b v="1"/>
    <x v="0"/>
    <x v="0"/>
    <b v="0"/>
  </r>
  <r>
    <n v="2280314"/>
    <s v="123-007-107-005"/>
    <x v="26"/>
    <x v="4"/>
    <d v="2022-07-04T00:00:00"/>
    <s v="Ethan Hernandez"/>
    <d v="2022-07-14T00:00:00"/>
    <d v="2022-07-15T00:00:00"/>
    <m/>
    <x v="1"/>
    <x v="1"/>
    <x v="0"/>
    <b v="0"/>
    <x v="0"/>
    <x v="0"/>
    <b v="0"/>
  </r>
  <r>
    <n v="2280314"/>
    <s v="123-007-107-006"/>
    <x v="26"/>
    <x v="4"/>
    <d v="2022-12-22T00:00:00"/>
    <s v="Linda Perez"/>
    <d v="2023-01-07T00:00:00"/>
    <d v="2023-02-16T00:00:00"/>
    <s v="transfer"/>
    <x v="1"/>
    <x v="1"/>
    <x v="0"/>
    <b v="0"/>
    <x v="1"/>
    <x v="0"/>
    <b v="0"/>
  </r>
  <r>
    <n v="2280314"/>
    <s v="123-007-107-007"/>
    <x v="26"/>
    <x v="4"/>
    <d v="2022-09-18T00:00:00"/>
    <s v="David King"/>
    <d v="2022-10-18T00:00:00"/>
    <d v="2022-10-26T00:00:00"/>
    <s v="transfer"/>
    <x v="1"/>
    <x v="1"/>
    <x v="0"/>
    <b v="0"/>
    <x v="1"/>
    <x v="0"/>
    <b v="0"/>
  </r>
  <r>
    <n v="2280314"/>
    <s v="123-007-107-008"/>
    <x v="26"/>
    <x v="4"/>
    <d v="2022-01-24T00:00:00"/>
    <s v="Mary Wright"/>
    <d v="2022-02-10T00:00:00"/>
    <m/>
    <s v="declined"/>
    <x v="0"/>
    <x v="0"/>
    <x v="0"/>
    <b v="0"/>
    <x v="0"/>
    <x v="0"/>
    <b v="0"/>
  </r>
  <r>
    <n v="9585651"/>
    <s v="123-003-125-008"/>
    <x v="3"/>
    <x v="9"/>
    <d v="2022-01-31T00:00:00"/>
    <s v="Lucas Wilson"/>
    <d v="2022-02-11T00:00:00"/>
    <d v="2022-02-20T00:00:00"/>
    <s v="transfer"/>
    <x v="1"/>
    <x v="1"/>
    <x v="0"/>
    <b v="0"/>
    <x v="1"/>
    <x v="0"/>
    <b v="0"/>
  </r>
  <r>
    <n v="9585651"/>
    <s v="123-003-125-009"/>
    <x v="3"/>
    <x v="9"/>
    <d v="2022-05-10T00:00:00"/>
    <s v="George Hall"/>
    <d v="2022-05-19T00:00:00"/>
    <m/>
    <s v="rescinded"/>
    <x v="0"/>
    <x v="1"/>
    <x v="1"/>
    <b v="0"/>
    <x v="0"/>
    <x v="0"/>
    <b v="0"/>
  </r>
  <r>
    <n v="5591361"/>
    <s v="123-004-116-001"/>
    <x v="25"/>
    <x v="1"/>
    <d v="2022-10-29T00:00:00"/>
    <s v="Emily Adams"/>
    <d v="2022-11-13T00:00:00"/>
    <m/>
    <s v="rescinded"/>
    <x v="0"/>
    <x v="1"/>
    <x v="1"/>
    <b v="0"/>
    <x v="0"/>
    <x v="0"/>
    <b v="0"/>
  </r>
  <r>
    <n v="9318172"/>
    <s v="123-009-114-006"/>
    <x v="24"/>
    <x v="8"/>
    <d v="2022-10-15T00:00:00"/>
    <s v="Barbara Gonzalez"/>
    <d v="2022-10-28T00:00:00"/>
    <d v="2022-11-04T00:00:00"/>
    <s v="new to org"/>
    <x v="1"/>
    <x v="1"/>
    <x v="0"/>
    <b v="0"/>
    <x v="0"/>
    <x v="0"/>
    <b v="1"/>
  </r>
  <r>
    <n v="9318172"/>
    <s v="123-009-114-007"/>
    <x v="24"/>
    <x v="8"/>
    <d v="2022-07-30T00:00:00"/>
    <s v="David Gomez"/>
    <d v="2022-08-23T00:00:00"/>
    <d v="2022-09-24T00:00:00"/>
    <s v="new to org"/>
    <x v="1"/>
    <x v="1"/>
    <x v="0"/>
    <b v="0"/>
    <x v="0"/>
    <x v="0"/>
    <b v="1"/>
  </r>
  <r>
    <n v="9318172"/>
    <s v="123-009-114-008"/>
    <x v="24"/>
    <x v="8"/>
    <d v="2022-10-06T00:00:00"/>
    <s v="Margaret Hill"/>
    <d v="2022-11-02T00:00:00"/>
    <d v="2022-11-23T00:00:00"/>
    <m/>
    <x v="1"/>
    <x v="1"/>
    <x v="0"/>
    <b v="0"/>
    <x v="0"/>
    <x v="0"/>
    <b v="0"/>
  </r>
  <r>
    <n v="9318172"/>
    <s v="123-009-114-009"/>
    <x v="24"/>
    <x v="8"/>
    <d v="2022-12-28T00:00:00"/>
    <s v="Margaret Gonzalez"/>
    <d v="2023-01-09T00:00:00"/>
    <d v="2023-03-08T00:00:00"/>
    <m/>
    <x v="1"/>
    <x v="1"/>
    <x v="0"/>
    <b v="0"/>
    <x v="0"/>
    <x v="0"/>
    <b v="0"/>
  </r>
  <r>
    <n v="2078208"/>
    <s v="123-003-115-003"/>
    <x v="22"/>
    <x v="9"/>
    <d v="2022-10-28T00:00:00"/>
    <s v="Donna Clark"/>
    <d v="2022-11-17T00:00:00"/>
    <d v="2023-01-09T00:00:00"/>
    <s v="new to org"/>
    <x v="1"/>
    <x v="1"/>
    <x v="0"/>
    <b v="0"/>
    <x v="0"/>
    <x v="0"/>
    <b v="1"/>
  </r>
  <r>
    <n v="9900282"/>
    <s v="123-007-112-023"/>
    <x v="28"/>
    <x v="4"/>
    <d v="2023-03-16T00:00:00"/>
    <s v="Ethan Lee"/>
    <d v="2023-04-11T00:00:00"/>
    <m/>
    <s v="declined"/>
    <x v="0"/>
    <x v="0"/>
    <x v="0"/>
    <b v="0"/>
    <x v="0"/>
    <x v="0"/>
    <b v="0"/>
  </r>
  <r>
    <n v="4119134"/>
    <s v="123-004-112-006"/>
    <x v="28"/>
    <x v="1"/>
    <d v="2022-05-29T00:00:00"/>
    <s v="Lisa White"/>
    <d v="2022-06-23T00:00:00"/>
    <m/>
    <s v="declined"/>
    <x v="0"/>
    <x v="0"/>
    <x v="0"/>
    <b v="0"/>
    <x v="0"/>
    <x v="0"/>
    <b v="0"/>
  </r>
  <r>
    <n v="6275644"/>
    <s v="123-001-104-011"/>
    <x v="18"/>
    <x v="3"/>
    <d v="2022-11-26T00:00:00"/>
    <s v="Susan Robinson"/>
    <d v="2022-12-25T00:00:00"/>
    <d v="2023-01-09T00:00:00"/>
    <s v="new to org"/>
    <x v="1"/>
    <x v="1"/>
    <x v="0"/>
    <b v="0"/>
    <x v="0"/>
    <x v="0"/>
    <b v="1"/>
  </r>
  <r>
    <n v="6275644"/>
    <s v="123-001-104-012"/>
    <x v="18"/>
    <x v="3"/>
    <d v="2022-08-06T00:00:00"/>
    <s v="Charles Hill"/>
    <d v="2022-08-23T00:00:00"/>
    <d v="2022-09-06T00:00:00"/>
    <m/>
    <x v="1"/>
    <x v="1"/>
    <x v="0"/>
    <b v="0"/>
    <x v="0"/>
    <x v="0"/>
    <b v="0"/>
  </r>
  <r>
    <n v="6275644"/>
    <s v="123-001-104-013"/>
    <x v="18"/>
    <x v="3"/>
    <d v="2022-03-18T00:00:00"/>
    <s v="Sarah Rivera"/>
    <d v="2022-04-06T00:00:00"/>
    <m/>
    <s v="declined"/>
    <x v="0"/>
    <x v="0"/>
    <x v="0"/>
    <b v="0"/>
    <x v="0"/>
    <x v="0"/>
    <b v="0"/>
  </r>
  <r>
    <n v="8075793"/>
    <s v="123-007-122-010"/>
    <x v="17"/>
    <x v="4"/>
    <d v="2023-05-21T00:00:00"/>
    <s v="Richard Brown"/>
    <d v="2023-06-06T00:00:00"/>
    <d v="2023-06-09T00:00:00"/>
    <s v="promo"/>
    <x v="1"/>
    <x v="1"/>
    <x v="0"/>
    <b v="0"/>
    <x v="0"/>
    <x v="1"/>
    <b v="0"/>
  </r>
  <r>
    <n v="8075793"/>
    <s v="123-007-122-011"/>
    <x v="17"/>
    <x v="4"/>
    <d v="2023-04-09T00:00:00"/>
    <s v="Linda Davis"/>
    <d v="2023-04-15T00:00:00"/>
    <d v="2023-05-24T00:00:00"/>
    <m/>
    <x v="1"/>
    <x v="1"/>
    <x v="0"/>
    <b v="0"/>
    <x v="0"/>
    <x v="0"/>
    <b v="0"/>
  </r>
  <r>
    <n v="8075793"/>
    <s v="123-007-122-012"/>
    <x v="17"/>
    <x v="4"/>
    <d v="2022-01-22T00:00:00"/>
    <s v="Jessica Torres"/>
    <d v="2022-02-01T00:00:00"/>
    <d v="2022-02-03T00:00:00"/>
    <m/>
    <x v="1"/>
    <x v="1"/>
    <x v="0"/>
    <b v="0"/>
    <x v="0"/>
    <x v="0"/>
    <b v="0"/>
  </r>
  <r>
    <n v="1077963"/>
    <s v="123-008-130-007"/>
    <x v="23"/>
    <x v="5"/>
    <d v="2023-06-25T00:00:00"/>
    <s v="Betty Williams"/>
    <d v="2023-06-27T00:00:00"/>
    <m/>
    <s v="declined"/>
    <x v="0"/>
    <x v="0"/>
    <x v="0"/>
    <b v="0"/>
    <x v="0"/>
    <x v="0"/>
    <b v="0"/>
  </r>
  <r>
    <n v="1077963"/>
    <s v="123-008-130-008"/>
    <x v="23"/>
    <x v="5"/>
    <d v="2023-04-27T00:00:00"/>
    <s v="Mary Jones"/>
    <d v="2023-05-01T00:00:00"/>
    <m/>
    <s v="rescinded"/>
    <x v="0"/>
    <x v="1"/>
    <x v="1"/>
    <b v="0"/>
    <x v="0"/>
    <x v="0"/>
    <b v="0"/>
  </r>
  <r>
    <n v="1077963"/>
    <s v="123-008-130-009"/>
    <x v="23"/>
    <x v="5"/>
    <d v="2022-10-09T00:00:00"/>
    <s v="George Martin"/>
    <d v="2022-10-20T00:00:00"/>
    <d v="2022-12-08T00:00:00"/>
    <m/>
    <x v="1"/>
    <x v="1"/>
    <x v="0"/>
    <b v="0"/>
    <x v="0"/>
    <x v="0"/>
    <b v="0"/>
  </r>
  <r>
    <n v="6801971"/>
    <s v="123-002-113-001"/>
    <x v="6"/>
    <x v="7"/>
    <d v="2023-02-07T00:00:00"/>
    <s v="Michelle Brown"/>
    <d v="2023-02-17T00:00:00"/>
    <d v="2023-04-03T00:00:00"/>
    <m/>
    <x v="1"/>
    <x v="1"/>
    <x v="0"/>
    <b v="0"/>
    <x v="0"/>
    <x v="0"/>
    <b v="0"/>
  </r>
  <r>
    <n v="6801971"/>
    <s v="123-002-113-002"/>
    <x v="6"/>
    <x v="7"/>
    <d v="2022-05-05T00:00:00"/>
    <s v="Mia Adams"/>
    <d v="2022-06-01T00:00:00"/>
    <d v="2022-06-25T00:00:00"/>
    <m/>
    <x v="1"/>
    <x v="1"/>
    <x v="0"/>
    <b v="0"/>
    <x v="0"/>
    <x v="0"/>
    <b v="0"/>
  </r>
  <r>
    <n v="6801971"/>
    <s v="123-002-113-003"/>
    <x v="6"/>
    <x v="7"/>
    <d v="2022-02-18T00:00:00"/>
    <s v="Mary Anderson"/>
    <d v="2022-03-17T00:00:00"/>
    <d v="2022-03-18T00:00:00"/>
    <s v="transfer"/>
    <x v="1"/>
    <x v="1"/>
    <x v="0"/>
    <b v="0"/>
    <x v="1"/>
    <x v="0"/>
    <b v="0"/>
  </r>
  <r>
    <n v="6801971"/>
    <s v="123-002-113-004"/>
    <x v="6"/>
    <x v="7"/>
    <d v="2023-03-23T00:00:00"/>
    <s v="Christopher Parker"/>
    <d v="2023-03-31T00:00:00"/>
    <m/>
    <s v="declined"/>
    <x v="0"/>
    <x v="0"/>
    <x v="0"/>
    <b v="0"/>
    <x v="0"/>
    <x v="0"/>
    <b v="0"/>
  </r>
  <r>
    <n v="6801971"/>
    <s v="123-002-113-005"/>
    <x v="6"/>
    <x v="7"/>
    <d v="2023-01-13T00:00:00"/>
    <s v="Richard Campbell"/>
    <d v="2023-02-09T00:00:00"/>
    <m/>
    <s v="declined"/>
    <x v="0"/>
    <x v="0"/>
    <x v="0"/>
    <b v="0"/>
    <x v="0"/>
    <x v="0"/>
    <b v="0"/>
  </r>
  <r>
    <n v="1082902"/>
    <s v="123-001-130-001"/>
    <x v="23"/>
    <x v="3"/>
    <d v="2022-11-08T00:00:00"/>
    <s v="Linda Brown"/>
    <d v="2022-11-11T00:00:00"/>
    <d v="2022-11-28T00:00:00"/>
    <s v="transfer"/>
    <x v="1"/>
    <x v="1"/>
    <x v="0"/>
    <b v="0"/>
    <x v="1"/>
    <x v="0"/>
    <b v="0"/>
  </r>
  <r>
    <n v="1082902"/>
    <s v="123-001-130-002"/>
    <x v="23"/>
    <x v="3"/>
    <d v="2022-06-24T00:00:00"/>
    <s v="Sarah Hall"/>
    <d v="2022-07-24T00:00:00"/>
    <d v="2022-08-02T00:00:00"/>
    <m/>
    <x v="1"/>
    <x v="1"/>
    <x v="0"/>
    <b v="0"/>
    <x v="0"/>
    <x v="0"/>
    <b v="0"/>
  </r>
  <r>
    <n v="1082902"/>
    <s v="123-001-130-003"/>
    <x v="23"/>
    <x v="3"/>
    <d v="2022-06-01T00:00:00"/>
    <s v="William Lee"/>
    <d v="2022-06-26T00:00:00"/>
    <d v="2022-08-03T00:00:00"/>
    <s v="transfer"/>
    <x v="1"/>
    <x v="1"/>
    <x v="0"/>
    <b v="0"/>
    <x v="1"/>
    <x v="0"/>
    <b v="0"/>
  </r>
  <r>
    <n v="7933921"/>
    <s v="123-008-121-010"/>
    <x v="20"/>
    <x v="5"/>
    <d v="2023-05-17T00:00:00"/>
    <s v="Andrew Walker"/>
    <d v="2023-05-26T00:00:00"/>
    <d v="2023-06-16T00:00:00"/>
    <s v="promo"/>
    <x v="1"/>
    <x v="1"/>
    <x v="0"/>
    <b v="0"/>
    <x v="0"/>
    <x v="1"/>
    <b v="0"/>
  </r>
  <r>
    <n v="9098468"/>
    <s v="123-002-108-008"/>
    <x v="11"/>
    <x v="7"/>
    <d v="2022-09-06T00:00:00"/>
    <s v="Daniel Scott"/>
    <d v="2022-09-28T00:00:00"/>
    <d v="2022-11-09T00:00:00"/>
    <s v="transfer"/>
    <x v="1"/>
    <x v="1"/>
    <x v="0"/>
    <b v="0"/>
    <x v="1"/>
    <x v="0"/>
    <b v="0"/>
  </r>
  <r>
    <n v="9098468"/>
    <s v="123-002-108-009"/>
    <x v="11"/>
    <x v="7"/>
    <d v="2022-03-18T00:00:00"/>
    <s v="Brian Jones"/>
    <d v="2022-04-03T00:00:00"/>
    <d v="2022-04-07T00:00:00"/>
    <s v="promo"/>
    <x v="1"/>
    <x v="1"/>
    <x v="0"/>
    <b v="0"/>
    <x v="0"/>
    <x v="1"/>
    <b v="0"/>
  </r>
  <r>
    <n v="9098468"/>
    <s v="123-002-108-010"/>
    <x v="11"/>
    <x v="7"/>
    <d v="2023-04-25T00:00:00"/>
    <s v="Kevin Wilson"/>
    <d v="2023-05-22T00:00:00"/>
    <m/>
    <s v="rescinded"/>
    <x v="0"/>
    <x v="1"/>
    <x v="1"/>
    <b v="0"/>
    <x v="0"/>
    <x v="0"/>
    <b v="0"/>
  </r>
  <r>
    <n v="7460238"/>
    <s v="123-008-107-016"/>
    <x v="26"/>
    <x v="5"/>
    <d v="2023-06-25T00:00:00"/>
    <s v="Isabella Nguyen"/>
    <d v="2023-07-12T00:00:00"/>
    <m/>
    <s v="rescinded"/>
    <x v="0"/>
    <x v="1"/>
    <x v="1"/>
    <b v="0"/>
    <x v="0"/>
    <x v="0"/>
    <b v="0"/>
  </r>
  <r>
    <n v="6257292"/>
    <s v="123-005-125-012"/>
    <x v="3"/>
    <x v="0"/>
    <d v="2022-08-13T00:00:00"/>
    <s v="Ava Rodriguez"/>
    <d v="2022-09-12T00:00:00"/>
    <d v="2022-10-06T00:00:00"/>
    <s v="transfer"/>
    <x v="1"/>
    <x v="1"/>
    <x v="0"/>
    <b v="0"/>
    <x v="1"/>
    <x v="0"/>
    <b v="0"/>
  </r>
  <r>
    <n v="6257292"/>
    <s v="123-005-125-013"/>
    <x v="3"/>
    <x v="0"/>
    <d v="2023-06-10T00:00:00"/>
    <s v="Logan Flores"/>
    <d v="2023-06-17T00:00:00"/>
    <d v="2023-08-06T00:00:00"/>
    <m/>
    <x v="1"/>
    <x v="1"/>
    <x v="0"/>
    <b v="0"/>
    <x v="0"/>
    <x v="0"/>
    <b v="0"/>
  </r>
  <r>
    <n v="6257292"/>
    <s v="123-005-125-014"/>
    <x v="3"/>
    <x v="0"/>
    <d v="2022-06-18T00:00:00"/>
    <s v="Sarah Ramirez"/>
    <d v="2022-07-10T00:00:00"/>
    <d v="2022-07-30T00:00:00"/>
    <s v="transfer"/>
    <x v="1"/>
    <x v="1"/>
    <x v="0"/>
    <b v="0"/>
    <x v="1"/>
    <x v="0"/>
    <b v="0"/>
  </r>
  <r>
    <n v="6257292"/>
    <s v="123-005-125-015"/>
    <x v="3"/>
    <x v="0"/>
    <d v="2022-04-20T00:00:00"/>
    <s v="Elizabeth Robinson"/>
    <d v="2022-05-14T00:00:00"/>
    <d v="2022-05-22T00:00:00"/>
    <s v="transfer"/>
    <x v="1"/>
    <x v="1"/>
    <x v="0"/>
    <b v="0"/>
    <x v="1"/>
    <x v="0"/>
    <b v="0"/>
  </r>
  <r>
    <n v="5035968"/>
    <s v="123-008-101-005"/>
    <x v="0"/>
    <x v="5"/>
    <d v="2023-06-28T00:00:00"/>
    <s v="Donald Nelson"/>
    <d v="2023-07-13T00:00:00"/>
    <m/>
    <s v="declined"/>
    <x v="0"/>
    <x v="0"/>
    <x v="0"/>
    <b v="0"/>
    <x v="0"/>
    <x v="0"/>
    <b v="0"/>
  </r>
  <r>
    <n v="5035968"/>
    <s v="123-008-101-006"/>
    <x v="0"/>
    <x v="5"/>
    <d v="2022-03-28T00:00:00"/>
    <s v="Linda Scott"/>
    <d v="2022-04-09T00:00:00"/>
    <m/>
    <s v="rescinded"/>
    <x v="0"/>
    <x v="1"/>
    <x v="1"/>
    <b v="0"/>
    <x v="0"/>
    <x v="0"/>
    <b v="0"/>
  </r>
  <r>
    <n v="8238926"/>
    <s v="123-003-107-013"/>
    <x v="26"/>
    <x v="9"/>
    <d v="2022-10-07T00:00:00"/>
    <s v="Patricia Lewis"/>
    <d v="2022-10-19T00:00:00"/>
    <d v="2022-10-26T00:00:00"/>
    <s v="new to org"/>
    <x v="1"/>
    <x v="1"/>
    <x v="0"/>
    <b v="0"/>
    <x v="0"/>
    <x v="0"/>
    <b v="1"/>
  </r>
  <r>
    <n v="8238926"/>
    <s v="123-003-107-014"/>
    <x v="26"/>
    <x v="9"/>
    <d v="2023-03-09T00:00:00"/>
    <s v="Matthew Campbell"/>
    <d v="2023-03-16T00:00:00"/>
    <m/>
    <s v="declined"/>
    <x v="0"/>
    <x v="0"/>
    <x v="0"/>
    <b v="0"/>
    <x v="0"/>
    <x v="0"/>
    <b v="0"/>
  </r>
  <r>
    <n v="8238926"/>
    <s v="123-003-107-015"/>
    <x v="26"/>
    <x v="9"/>
    <d v="2022-10-10T00:00:00"/>
    <s v="Betty Lopez"/>
    <d v="2022-10-27T00:00:00"/>
    <m/>
    <s v="rescinded"/>
    <x v="0"/>
    <x v="1"/>
    <x v="1"/>
    <b v="0"/>
    <x v="0"/>
    <x v="0"/>
    <b v="0"/>
  </r>
  <r>
    <n v="8238926"/>
    <s v="123-003-107-016"/>
    <x v="26"/>
    <x v="9"/>
    <d v="2022-02-21T00:00:00"/>
    <s v="Michael Baker"/>
    <d v="2022-03-14T00:00:00"/>
    <d v="2022-03-30T00:00:00"/>
    <m/>
    <x v="1"/>
    <x v="1"/>
    <x v="0"/>
    <b v="0"/>
    <x v="0"/>
    <x v="0"/>
    <b v="0"/>
  </r>
  <r>
    <n v="2863660"/>
    <s v="123-002-108-011"/>
    <x v="11"/>
    <x v="7"/>
    <d v="2023-06-29T00:00:00"/>
    <s v="Jessica Jones"/>
    <d v="2023-07-03T00:00:00"/>
    <d v="2023-07-21T00:00:00"/>
    <s v="new to org"/>
    <x v="1"/>
    <x v="1"/>
    <x v="0"/>
    <b v="0"/>
    <x v="0"/>
    <x v="0"/>
    <b v="1"/>
  </r>
  <r>
    <n v="4799452"/>
    <s v="123-010-129-003"/>
    <x v="14"/>
    <x v="6"/>
    <d v="2022-10-02T00:00:00"/>
    <s v="Michael Anderson"/>
    <d v="2022-10-18T00:00:00"/>
    <m/>
    <s v="rescinded"/>
    <x v="0"/>
    <x v="1"/>
    <x v="1"/>
    <b v="0"/>
    <x v="0"/>
    <x v="0"/>
    <b v="0"/>
  </r>
  <r>
    <n v="4799452"/>
    <s v="123-010-129-004"/>
    <x v="14"/>
    <x v="6"/>
    <d v="2022-12-22T00:00:00"/>
    <s v="Sophia Wilson"/>
    <d v="2023-01-12T00:00:00"/>
    <m/>
    <s v="declined"/>
    <x v="0"/>
    <x v="0"/>
    <x v="0"/>
    <b v="0"/>
    <x v="0"/>
    <x v="0"/>
    <b v="0"/>
  </r>
  <r>
    <n v="4799452"/>
    <s v="123-010-129-005"/>
    <x v="14"/>
    <x v="6"/>
    <d v="2022-01-04T00:00:00"/>
    <s v="Joshua Jackson"/>
    <d v="2022-01-08T00:00:00"/>
    <m/>
    <s v="declined"/>
    <x v="0"/>
    <x v="0"/>
    <x v="0"/>
    <b v="0"/>
    <x v="0"/>
    <x v="0"/>
    <b v="0"/>
  </r>
  <r>
    <n v="4799452"/>
    <s v="123-010-129-006"/>
    <x v="14"/>
    <x v="6"/>
    <d v="2023-05-04T00:00:00"/>
    <s v="Ava Hall"/>
    <d v="2023-05-28T00:00:00"/>
    <m/>
    <s v="declined"/>
    <x v="0"/>
    <x v="0"/>
    <x v="0"/>
    <b v="0"/>
    <x v="0"/>
    <x v="0"/>
    <b v="0"/>
  </r>
  <r>
    <n v="6122489"/>
    <s v="123-004-128-004"/>
    <x v="10"/>
    <x v="1"/>
    <d v="2022-07-11T00:00:00"/>
    <s v="John Hernandez"/>
    <d v="2022-07-22T00:00:00"/>
    <m/>
    <s v="rescinded"/>
    <x v="0"/>
    <x v="1"/>
    <x v="1"/>
    <b v="0"/>
    <x v="0"/>
    <x v="0"/>
    <b v="0"/>
  </r>
  <r>
    <n v="6122489"/>
    <s v="123-004-128-005"/>
    <x v="10"/>
    <x v="1"/>
    <d v="2023-05-01T00:00:00"/>
    <s v="James Nelson"/>
    <d v="2023-05-15T00:00:00"/>
    <d v="2023-06-06T00:00:00"/>
    <s v="promo"/>
    <x v="1"/>
    <x v="1"/>
    <x v="0"/>
    <b v="0"/>
    <x v="0"/>
    <x v="1"/>
    <b v="0"/>
  </r>
  <r>
    <n v="1349416"/>
    <s v="123-005-106-011"/>
    <x v="4"/>
    <x v="0"/>
    <d v="2022-01-10T00:00:00"/>
    <s v="Edward Diaz"/>
    <d v="2022-01-30T00:00:00"/>
    <m/>
    <s v="declined"/>
    <x v="0"/>
    <x v="0"/>
    <x v="0"/>
    <b v="0"/>
    <x v="0"/>
    <x v="0"/>
    <b v="0"/>
  </r>
  <r>
    <n v="6907989"/>
    <s v="123-010-116-010"/>
    <x v="25"/>
    <x v="6"/>
    <d v="2022-02-16T00:00:00"/>
    <s v="Donald Davis"/>
    <d v="2022-03-15T00:00:00"/>
    <d v="2022-03-17T00:00:00"/>
    <s v="promo"/>
    <x v="1"/>
    <x v="1"/>
    <x v="0"/>
    <b v="0"/>
    <x v="0"/>
    <x v="1"/>
    <b v="0"/>
  </r>
  <r>
    <n v="5876441"/>
    <s v="123-004-127-001"/>
    <x v="16"/>
    <x v="1"/>
    <d v="2022-04-13T00:00:00"/>
    <s v="Deborah Miller"/>
    <d v="2022-04-23T00:00:00"/>
    <d v="2022-06-14T00:00:00"/>
    <s v="promo"/>
    <x v="1"/>
    <x v="1"/>
    <x v="0"/>
    <b v="0"/>
    <x v="0"/>
    <x v="1"/>
    <b v="0"/>
  </r>
  <r>
    <n v="5876441"/>
    <s v="123-004-127-002"/>
    <x v="16"/>
    <x v="1"/>
    <d v="2022-12-26T00:00:00"/>
    <s v="Ashley Mitchell"/>
    <d v="2023-01-13T00:00:00"/>
    <d v="2023-01-30T00:00:00"/>
    <m/>
    <x v="1"/>
    <x v="1"/>
    <x v="0"/>
    <b v="0"/>
    <x v="0"/>
    <x v="0"/>
    <b v="0"/>
  </r>
  <r>
    <n v="5876441"/>
    <s v="123-004-127-003"/>
    <x v="16"/>
    <x v="1"/>
    <d v="2022-01-14T00:00:00"/>
    <s v="Lisa Robinson"/>
    <d v="2022-02-10T00:00:00"/>
    <d v="2022-03-05T00:00:00"/>
    <s v="new to org"/>
    <x v="1"/>
    <x v="1"/>
    <x v="0"/>
    <b v="0"/>
    <x v="0"/>
    <x v="0"/>
    <b v="1"/>
  </r>
  <r>
    <n v="5876441"/>
    <s v="123-004-127-004"/>
    <x v="16"/>
    <x v="1"/>
    <d v="2023-05-11T00:00:00"/>
    <s v="Lucas King"/>
    <d v="2023-05-15T00:00:00"/>
    <d v="2023-06-02T00:00:00"/>
    <s v="new to org"/>
    <x v="1"/>
    <x v="1"/>
    <x v="0"/>
    <b v="0"/>
    <x v="0"/>
    <x v="0"/>
    <b v="1"/>
  </r>
  <r>
    <n v="5876441"/>
    <s v="123-004-127-005"/>
    <x v="16"/>
    <x v="1"/>
    <d v="2022-08-14T00:00:00"/>
    <s v="Elizabeth Clark"/>
    <d v="2022-09-05T00:00:00"/>
    <d v="2022-09-15T00:00:00"/>
    <s v="transfer"/>
    <x v="1"/>
    <x v="1"/>
    <x v="0"/>
    <b v="0"/>
    <x v="1"/>
    <x v="0"/>
    <b v="0"/>
  </r>
  <r>
    <n v="6992727"/>
    <s v="123-001-116-011"/>
    <x v="25"/>
    <x v="3"/>
    <d v="2022-04-02T00:00:00"/>
    <s v="Lisa Wilson"/>
    <d v="2022-04-09T00:00:00"/>
    <d v="2022-06-07T00:00:00"/>
    <m/>
    <x v="1"/>
    <x v="1"/>
    <x v="0"/>
    <b v="0"/>
    <x v="0"/>
    <x v="0"/>
    <b v="0"/>
  </r>
  <r>
    <n v="6992727"/>
    <s v="123-001-116-012"/>
    <x v="25"/>
    <x v="3"/>
    <d v="2023-04-06T00:00:00"/>
    <s v="Sarah Cruz"/>
    <d v="2023-05-05T00:00:00"/>
    <d v="2023-06-08T00:00:00"/>
    <s v="transfer"/>
    <x v="1"/>
    <x v="1"/>
    <x v="0"/>
    <b v="0"/>
    <x v="1"/>
    <x v="0"/>
    <b v="0"/>
  </r>
  <r>
    <n v="3935211"/>
    <s v="123-006-109-005"/>
    <x v="21"/>
    <x v="2"/>
    <d v="2022-11-13T00:00:00"/>
    <s v="Anthony Moore"/>
    <d v="2022-11-20T00:00:00"/>
    <m/>
    <s v="rescinded"/>
    <x v="0"/>
    <x v="1"/>
    <x v="1"/>
    <b v="0"/>
    <x v="0"/>
    <x v="0"/>
    <b v="0"/>
  </r>
  <r>
    <n v="3935211"/>
    <s v="123-006-109-006"/>
    <x v="21"/>
    <x v="2"/>
    <d v="2022-12-22T00:00:00"/>
    <s v="Sandra Torres"/>
    <d v="2023-01-01T00:00:00"/>
    <m/>
    <s v="declined"/>
    <x v="0"/>
    <x v="0"/>
    <x v="0"/>
    <b v="0"/>
    <x v="0"/>
    <x v="0"/>
    <b v="0"/>
  </r>
  <r>
    <n v="3935211"/>
    <s v="123-006-109-007"/>
    <x v="21"/>
    <x v="2"/>
    <d v="2022-05-06T00:00:00"/>
    <s v="Mason Flores"/>
    <d v="2022-05-20T00:00:00"/>
    <d v="2022-07-10T00:00:00"/>
    <s v="new to org"/>
    <x v="1"/>
    <x v="1"/>
    <x v="0"/>
    <b v="0"/>
    <x v="0"/>
    <x v="0"/>
    <b v="1"/>
  </r>
  <r>
    <n v="2848691"/>
    <s v="123-008-101-007"/>
    <x v="0"/>
    <x v="5"/>
    <d v="2022-06-16T00:00:00"/>
    <s v="Kimberly Jackson"/>
    <d v="2022-06-26T00:00:00"/>
    <d v="2022-07-28T00:00:00"/>
    <s v="promo"/>
    <x v="1"/>
    <x v="1"/>
    <x v="0"/>
    <b v="0"/>
    <x v="0"/>
    <x v="1"/>
    <b v="0"/>
  </r>
  <r>
    <n v="2848691"/>
    <s v="123-008-101-008"/>
    <x v="0"/>
    <x v="5"/>
    <d v="2022-01-16T00:00:00"/>
    <s v="Ethan Jackson"/>
    <d v="2022-01-31T00:00:00"/>
    <m/>
    <s v="rescinded"/>
    <x v="0"/>
    <x v="1"/>
    <x v="1"/>
    <b v="0"/>
    <x v="0"/>
    <x v="0"/>
    <b v="0"/>
  </r>
  <r>
    <n v="1687078"/>
    <s v="123-005-107-007"/>
    <x v="26"/>
    <x v="0"/>
    <d v="2022-01-06T00:00:00"/>
    <s v="Ashley Martin"/>
    <d v="2022-01-20T00:00:00"/>
    <m/>
    <s v="declined"/>
    <x v="0"/>
    <x v="0"/>
    <x v="0"/>
    <b v="0"/>
    <x v="0"/>
    <x v="0"/>
    <b v="0"/>
  </r>
  <r>
    <n v="1687078"/>
    <s v="123-005-107-008"/>
    <x v="26"/>
    <x v="0"/>
    <d v="2022-02-21T00:00:00"/>
    <s v="Mason Smith"/>
    <d v="2022-03-02T00:00:00"/>
    <m/>
    <s v="rescinded"/>
    <x v="0"/>
    <x v="1"/>
    <x v="1"/>
    <b v="0"/>
    <x v="0"/>
    <x v="0"/>
    <b v="0"/>
  </r>
  <r>
    <n v="1687078"/>
    <s v="123-005-107-009"/>
    <x v="26"/>
    <x v="0"/>
    <d v="2023-05-30T00:00:00"/>
    <s v="Olivia Jackson"/>
    <d v="2023-06-21T00:00:00"/>
    <m/>
    <s v="declined"/>
    <x v="0"/>
    <x v="0"/>
    <x v="0"/>
    <b v="0"/>
    <x v="0"/>
    <x v="0"/>
    <b v="0"/>
  </r>
  <r>
    <n v="1687078"/>
    <s v="123-005-107-010"/>
    <x v="26"/>
    <x v="0"/>
    <d v="2022-10-05T00:00:00"/>
    <s v="Jennifer Rivera"/>
    <d v="2022-10-10T00:00:00"/>
    <d v="2022-11-26T00:00:00"/>
    <s v="promo"/>
    <x v="1"/>
    <x v="1"/>
    <x v="0"/>
    <b v="0"/>
    <x v="0"/>
    <x v="1"/>
    <b v="0"/>
  </r>
  <r>
    <n v="1687078"/>
    <s v="123-005-107-011"/>
    <x v="26"/>
    <x v="0"/>
    <d v="2022-03-24T00:00:00"/>
    <s v="Donna Collins"/>
    <d v="2022-04-03T00:00:00"/>
    <m/>
    <s v="declined"/>
    <x v="0"/>
    <x v="0"/>
    <x v="0"/>
    <b v="0"/>
    <x v="0"/>
    <x v="0"/>
    <b v="0"/>
  </r>
  <r>
    <n v="4671824"/>
    <s v="123-008-102-009"/>
    <x v="27"/>
    <x v="5"/>
    <d v="2023-01-31T00:00:00"/>
    <s v="Amanda Green"/>
    <d v="2023-02-14T00:00:00"/>
    <m/>
    <s v="declined"/>
    <x v="0"/>
    <x v="0"/>
    <x v="0"/>
    <b v="0"/>
    <x v="0"/>
    <x v="0"/>
    <b v="0"/>
  </r>
  <r>
    <n v="4671824"/>
    <s v="123-008-102-010"/>
    <x v="27"/>
    <x v="5"/>
    <d v="2022-09-25T00:00:00"/>
    <s v="Lucas Miller"/>
    <d v="2022-10-25T00:00:00"/>
    <m/>
    <s v="rescinded"/>
    <x v="0"/>
    <x v="1"/>
    <x v="1"/>
    <b v="0"/>
    <x v="0"/>
    <x v="0"/>
    <b v="0"/>
  </r>
  <r>
    <n v="4671824"/>
    <s v="123-008-102-011"/>
    <x v="27"/>
    <x v="5"/>
    <d v="2023-03-23T00:00:00"/>
    <s v="Karen Lopez"/>
    <d v="2023-04-14T00:00:00"/>
    <m/>
    <s v="rescinded"/>
    <x v="0"/>
    <x v="1"/>
    <x v="1"/>
    <b v="0"/>
    <x v="0"/>
    <x v="0"/>
    <b v="0"/>
  </r>
  <r>
    <n v="6410314"/>
    <s v="123-010-126-005"/>
    <x v="5"/>
    <x v="6"/>
    <d v="2023-03-03T00:00:00"/>
    <s v="Thomas Rodriguez"/>
    <d v="2023-03-21T00:00:00"/>
    <d v="2023-04-03T00:00:00"/>
    <s v="promo"/>
    <x v="1"/>
    <x v="1"/>
    <x v="0"/>
    <b v="0"/>
    <x v="0"/>
    <x v="1"/>
    <b v="0"/>
  </r>
  <r>
    <n v="6410314"/>
    <s v="123-010-126-006"/>
    <x v="5"/>
    <x v="6"/>
    <d v="2023-04-18T00:00:00"/>
    <s v="Karen Torres"/>
    <d v="2023-05-06T00:00:00"/>
    <d v="2023-05-18T00:00:00"/>
    <s v="transfer"/>
    <x v="1"/>
    <x v="1"/>
    <x v="0"/>
    <b v="0"/>
    <x v="1"/>
    <x v="0"/>
    <b v="0"/>
  </r>
  <r>
    <n v="7307661"/>
    <s v="123-007-126-010"/>
    <x v="5"/>
    <x v="4"/>
    <d v="2022-11-17T00:00:00"/>
    <s v="Mark Hall"/>
    <d v="2022-12-04T00:00:00"/>
    <m/>
    <s v="declined"/>
    <x v="0"/>
    <x v="0"/>
    <x v="0"/>
    <b v="0"/>
    <x v="0"/>
    <x v="0"/>
    <b v="0"/>
  </r>
  <r>
    <n v="6998844"/>
    <s v="123-006-115-012"/>
    <x v="22"/>
    <x v="2"/>
    <d v="2022-01-28T00:00:00"/>
    <s v="Sandra Johnson"/>
    <d v="2022-02-22T00:00:00"/>
    <d v="2022-03-21T00:00:00"/>
    <m/>
    <x v="1"/>
    <x v="1"/>
    <x v="0"/>
    <b v="0"/>
    <x v="0"/>
    <x v="0"/>
    <b v="0"/>
  </r>
  <r>
    <n v="6998844"/>
    <s v="123-006-115-013"/>
    <x v="22"/>
    <x v="2"/>
    <d v="2022-11-06T00:00:00"/>
    <s v="William Flores"/>
    <d v="2022-12-02T00:00:00"/>
    <m/>
    <s v="declined"/>
    <x v="0"/>
    <x v="0"/>
    <x v="0"/>
    <b v="0"/>
    <x v="0"/>
    <x v="0"/>
    <b v="0"/>
  </r>
  <r>
    <n v="6998844"/>
    <s v="123-006-115-014"/>
    <x v="22"/>
    <x v="2"/>
    <d v="2022-05-11T00:00:00"/>
    <s v="Steven White"/>
    <d v="2022-05-31T00:00:00"/>
    <m/>
    <s v="rescinded"/>
    <x v="0"/>
    <x v="1"/>
    <x v="1"/>
    <b v="0"/>
    <x v="0"/>
    <x v="0"/>
    <b v="0"/>
  </r>
  <r>
    <n v="6998844"/>
    <s v="123-006-115-015"/>
    <x v="22"/>
    <x v="2"/>
    <d v="2023-02-07T00:00:00"/>
    <s v="Patricia Carter"/>
    <d v="2023-02-12T00:00:00"/>
    <d v="2023-03-10T00:00:00"/>
    <s v="new to org"/>
    <x v="1"/>
    <x v="1"/>
    <x v="0"/>
    <b v="0"/>
    <x v="0"/>
    <x v="0"/>
    <b v="1"/>
  </r>
  <r>
    <n v="1099872"/>
    <s v="123-009-115-008"/>
    <x v="22"/>
    <x v="8"/>
    <d v="2022-04-20T00:00:00"/>
    <s v="Patricia Moore"/>
    <d v="2022-05-01T00:00:00"/>
    <d v="2022-06-09T00:00:00"/>
    <s v="transfer"/>
    <x v="1"/>
    <x v="1"/>
    <x v="0"/>
    <b v="0"/>
    <x v="1"/>
    <x v="0"/>
    <b v="0"/>
  </r>
  <r>
    <n v="1099872"/>
    <s v="123-009-115-009"/>
    <x v="22"/>
    <x v="8"/>
    <d v="2023-05-09T00:00:00"/>
    <s v="Charles Torres"/>
    <d v="2023-06-01T00:00:00"/>
    <m/>
    <s v="declined"/>
    <x v="0"/>
    <x v="0"/>
    <x v="0"/>
    <b v="0"/>
    <x v="0"/>
    <x v="0"/>
    <b v="0"/>
  </r>
  <r>
    <n v="1099872"/>
    <s v="123-009-115-010"/>
    <x v="22"/>
    <x v="8"/>
    <d v="2023-06-08T00:00:00"/>
    <s v="Linda Mitchell"/>
    <d v="2023-07-02T00:00:00"/>
    <d v="2023-08-17T00:00:00"/>
    <s v="transfer"/>
    <x v="1"/>
    <x v="1"/>
    <x v="0"/>
    <b v="0"/>
    <x v="1"/>
    <x v="0"/>
    <b v="0"/>
  </r>
  <r>
    <n v="1099872"/>
    <s v="123-009-115-011"/>
    <x v="22"/>
    <x v="8"/>
    <d v="2022-05-28T00:00:00"/>
    <s v="Susan King"/>
    <d v="2022-06-15T00:00:00"/>
    <m/>
    <s v="declined"/>
    <x v="0"/>
    <x v="0"/>
    <x v="0"/>
    <b v="0"/>
    <x v="0"/>
    <x v="0"/>
    <b v="0"/>
  </r>
  <r>
    <n v="9309833"/>
    <s v="123-004-105-005"/>
    <x v="7"/>
    <x v="1"/>
    <d v="2022-01-07T00:00:00"/>
    <s v="Karen Campbell"/>
    <d v="2022-02-02T00:00:00"/>
    <m/>
    <s v="rescinded"/>
    <x v="0"/>
    <x v="1"/>
    <x v="1"/>
    <b v="0"/>
    <x v="0"/>
    <x v="0"/>
    <b v="0"/>
  </r>
  <r>
    <n v="9309833"/>
    <s v="123-004-105-006"/>
    <x v="7"/>
    <x v="1"/>
    <d v="2022-01-01T00:00:00"/>
    <s v="Linda Jones"/>
    <d v="2022-01-06T00:00:00"/>
    <d v="2022-02-14T00:00:00"/>
    <s v="promo"/>
    <x v="1"/>
    <x v="1"/>
    <x v="0"/>
    <b v="0"/>
    <x v="0"/>
    <x v="1"/>
    <b v="0"/>
  </r>
  <r>
    <n v="3030620"/>
    <s v="123-002-117-012"/>
    <x v="9"/>
    <x v="7"/>
    <d v="2023-06-02T00:00:00"/>
    <s v="Donald Johnson"/>
    <d v="2023-06-17T00:00:00"/>
    <m/>
    <s v="declined"/>
    <x v="0"/>
    <x v="0"/>
    <x v="0"/>
    <b v="0"/>
    <x v="0"/>
    <x v="0"/>
    <b v="0"/>
  </r>
  <r>
    <n v="3030620"/>
    <s v="123-002-117-013"/>
    <x v="9"/>
    <x v="7"/>
    <d v="2022-11-04T00:00:00"/>
    <s v="Jackson Davis"/>
    <d v="2022-11-17T00:00:00"/>
    <m/>
    <s v="rescinded"/>
    <x v="0"/>
    <x v="1"/>
    <x v="1"/>
    <b v="0"/>
    <x v="0"/>
    <x v="0"/>
    <b v="0"/>
  </r>
  <r>
    <n v="9115466"/>
    <s v="123-004-106-009"/>
    <x v="4"/>
    <x v="1"/>
    <d v="2023-03-26T00:00:00"/>
    <s v="Michelle Baker"/>
    <d v="2023-04-23T00:00:00"/>
    <m/>
    <s v="declined"/>
    <x v="0"/>
    <x v="0"/>
    <x v="0"/>
    <b v="0"/>
    <x v="0"/>
    <x v="0"/>
    <b v="0"/>
  </r>
  <r>
    <n v="9115466"/>
    <s v="123-004-106-010"/>
    <x v="4"/>
    <x v="1"/>
    <d v="2022-01-23T00:00:00"/>
    <s v="Margaret Martinez"/>
    <d v="2022-01-29T00:00:00"/>
    <d v="2022-02-08T00:00:00"/>
    <s v="transfer"/>
    <x v="1"/>
    <x v="1"/>
    <x v="0"/>
    <b v="0"/>
    <x v="1"/>
    <x v="0"/>
    <b v="0"/>
  </r>
  <r>
    <n v="9115466"/>
    <s v="123-004-106-011"/>
    <x v="4"/>
    <x v="1"/>
    <d v="2022-07-25T00:00:00"/>
    <s v="David Allen"/>
    <d v="2022-08-10T00:00:00"/>
    <d v="2022-09-10T00:00:00"/>
    <s v="promo"/>
    <x v="1"/>
    <x v="1"/>
    <x v="0"/>
    <b v="0"/>
    <x v="0"/>
    <x v="1"/>
    <b v="0"/>
  </r>
  <r>
    <n v="9115466"/>
    <s v="123-004-106-012"/>
    <x v="4"/>
    <x v="1"/>
    <d v="2023-05-20T00:00:00"/>
    <s v="Kevin Miller"/>
    <d v="2023-06-01T00:00:00"/>
    <m/>
    <s v="rescinded"/>
    <x v="0"/>
    <x v="1"/>
    <x v="1"/>
    <b v="0"/>
    <x v="0"/>
    <x v="0"/>
    <b v="0"/>
  </r>
  <r>
    <n v="9115466"/>
    <s v="123-004-106-013"/>
    <x v="4"/>
    <x v="1"/>
    <d v="2022-04-20T00:00:00"/>
    <s v="Matthew Hall"/>
    <d v="2022-05-05T00:00:00"/>
    <d v="2022-06-01T00:00:00"/>
    <m/>
    <x v="1"/>
    <x v="1"/>
    <x v="0"/>
    <b v="0"/>
    <x v="0"/>
    <x v="0"/>
    <b v="0"/>
  </r>
  <r>
    <n v="8127514"/>
    <s v="123-001-105-009"/>
    <x v="7"/>
    <x v="3"/>
    <d v="2022-11-07T00:00:00"/>
    <s v="James Nguyen"/>
    <d v="2022-11-09T00:00:00"/>
    <d v="2022-12-21T00:00:00"/>
    <m/>
    <x v="1"/>
    <x v="1"/>
    <x v="0"/>
    <b v="0"/>
    <x v="0"/>
    <x v="0"/>
    <b v="0"/>
  </r>
  <r>
    <n v="8127514"/>
    <s v="123-001-105-010"/>
    <x v="7"/>
    <x v="3"/>
    <d v="2022-12-30T00:00:00"/>
    <s v="Robert Collins"/>
    <d v="2023-01-04T00:00:00"/>
    <d v="2023-02-03T00:00:00"/>
    <m/>
    <x v="1"/>
    <x v="1"/>
    <x v="0"/>
    <b v="0"/>
    <x v="0"/>
    <x v="0"/>
    <b v="0"/>
  </r>
  <r>
    <n v="8127514"/>
    <s v="123-001-105-011"/>
    <x v="7"/>
    <x v="3"/>
    <d v="2022-06-12T00:00:00"/>
    <s v="Sarah Smith"/>
    <d v="2022-06-24T00:00:00"/>
    <d v="2022-07-27T00:00:00"/>
    <m/>
    <x v="1"/>
    <x v="1"/>
    <x v="0"/>
    <b v="0"/>
    <x v="0"/>
    <x v="0"/>
    <b v="0"/>
  </r>
  <r>
    <n v="9442389"/>
    <s v="123-006-107-001"/>
    <x v="26"/>
    <x v="2"/>
    <d v="2022-06-05T00:00:00"/>
    <s v="John Lopez"/>
    <d v="2022-06-17T00:00:00"/>
    <m/>
    <s v="rescinded"/>
    <x v="0"/>
    <x v="1"/>
    <x v="1"/>
    <b v="0"/>
    <x v="0"/>
    <x v="0"/>
    <b v="0"/>
  </r>
  <r>
    <n v="9442389"/>
    <s v="123-006-107-002"/>
    <x v="26"/>
    <x v="2"/>
    <d v="2022-05-24T00:00:00"/>
    <s v="Sandra Rivera"/>
    <d v="2022-06-02T00:00:00"/>
    <d v="2022-07-23T00:00:00"/>
    <s v="new to org"/>
    <x v="1"/>
    <x v="1"/>
    <x v="0"/>
    <b v="0"/>
    <x v="0"/>
    <x v="0"/>
    <b v="1"/>
  </r>
  <r>
    <n v="9442389"/>
    <s v="123-006-107-003"/>
    <x v="26"/>
    <x v="2"/>
    <d v="2022-03-11T00:00:00"/>
    <s v="Jackson Sanchez"/>
    <d v="2022-04-10T00:00:00"/>
    <d v="2022-06-03T00:00:00"/>
    <s v="new to org"/>
    <x v="1"/>
    <x v="1"/>
    <x v="0"/>
    <b v="0"/>
    <x v="0"/>
    <x v="0"/>
    <b v="1"/>
  </r>
  <r>
    <n v="9442389"/>
    <s v="123-006-107-004"/>
    <x v="26"/>
    <x v="2"/>
    <d v="2022-07-04T00:00:00"/>
    <s v="Donald Hill"/>
    <d v="2022-07-23T00:00:00"/>
    <d v="2022-09-07T00:00:00"/>
    <m/>
    <x v="1"/>
    <x v="1"/>
    <x v="0"/>
    <b v="0"/>
    <x v="0"/>
    <x v="0"/>
    <b v="0"/>
  </r>
  <r>
    <n v="9442389"/>
    <s v="123-006-107-005"/>
    <x v="26"/>
    <x v="2"/>
    <d v="2022-11-28T00:00:00"/>
    <s v="William Hall"/>
    <d v="2022-12-17T00:00:00"/>
    <d v="2023-01-24T00:00:00"/>
    <s v="new to org"/>
    <x v="1"/>
    <x v="1"/>
    <x v="0"/>
    <b v="0"/>
    <x v="0"/>
    <x v="0"/>
    <b v="1"/>
  </r>
  <r>
    <n v="6840068"/>
    <s v="123-010-119-010"/>
    <x v="2"/>
    <x v="6"/>
    <d v="2023-01-29T00:00:00"/>
    <s v="Olivia Lopez"/>
    <d v="2023-02-23T00:00:00"/>
    <m/>
    <s v="declined"/>
    <x v="0"/>
    <x v="0"/>
    <x v="0"/>
    <b v="0"/>
    <x v="0"/>
    <x v="0"/>
    <b v="0"/>
  </r>
  <r>
    <n v="6840068"/>
    <s v="123-010-119-011"/>
    <x v="2"/>
    <x v="6"/>
    <d v="2022-03-05T00:00:00"/>
    <s v="Anthony Jones"/>
    <d v="2022-03-25T00:00:00"/>
    <m/>
    <s v="declined"/>
    <x v="0"/>
    <x v="0"/>
    <x v="0"/>
    <b v="0"/>
    <x v="0"/>
    <x v="0"/>
    <b v="0"/>
  </r>
  <r>
    <n v="6840068"/>
    <s v="123-010-119-012"/>
    <x v="2"/>
    <x v="6"/>
    <d v="2022-04-19T00:00:00"/>
    <s v="Michael Nelson"/>
    <d v="2022-05-05T00:00:00"/>
    <d v="2022-07-04T00:00:00"/>
    <s v="promo"/>
    <x v="1"/>
    <x v="1"/>
    <x v="0"/>
    <b v="0"/>
    <x v="0"/>
    <x v="1"/>
    <b v="0"/>
  </r>
  <r>
    <n v="6840068"/>
    <s v="123-010-119-013"/>
    <x v="2"/>
    <x v="6"/>
    <d v="2022-08-31T00:00:00"/>
    <s v="Edward Anderson"/>
    <d v="2022-09-04T00:00:00"/>
    <d v="2022-11-01T00:00:00"/>
    <s v="new to org"/>
    <x v="1"/>
    <x v="1"/>
    <x v="0"/>
    <b v="0"/>
    <x v="0"/>
    <x v="0"/>
    <b v="1"/>
  </r>
  <r>
    <n v="5202421"/>
    <s v="123-001-104-014"/>
    <x v="18"/>
    <x v="3"/>
    <d v="2022-01-31T00:00:00"/>
    <s v="Joshua Green"/>
    <d v="2022-03-02T00:00:00"/>
    <d v="2022-03-14T00:00:00"/>
    <s v="new to org"/>
    <x v="1"/>
    <x v="1"/>
    <x v="0"/>
    <b v="0"/>
    <x v="0"/>
    <x v="0"/>
    <b v="1"/>
  </r>
  <r>
    <n v="6388157"/>
    <s v="123-008-104-006"/>
    <x v="18"/>
    <x v="5"/>
    <d v="2022-07-24T00:00:00"/>
    <s v="Kenneth Torres"/>
    <d v="2022-07-31T00:00:00"/>
    <m/>
    <s v="declined"/>
    <x v="0"/>
    <x v="0"/>
    <x v="0"/>
    <b v="0"/>
    <x v="0"/>
    <x v="0"/>
    <b v="0"/>
  </r>
  <r>
    <n v="6388157"/>
    <s v="123-008-104-007"/>
    <x v="18"/>
    <x v="5"/>
    <d v="2022-10-20T00:00:00"/>
    <s v="Mark Baker"/>
    <d v="2022-10-28T00:00:00"/>
    <m/>
    <s v="declined"/>
    <x v="0"/>
    <x v="0"/>
    <x v="0"/>
    <b v="0"/>
    <x v="0"/>
    <x v="0"/>
    <b v="0"/>
  </r>
  <r>
    <n v="6388157"/>
    <s v="123-008-104-008"/>
    <x v="18"/>
    <x v="5"/>
    <d v="2023-06-26T00:00:00"/>
    <s v="David Ramirez"/>
    <d v="2023-07-22T00:00:00"/>
    <m/>
    <s v="declined"/>
    <x v="0"/>
    <x v="0"/>
    <x v="0"/>
    <b v="0"/>
    <x v="0"/>
    <x v="0"/>
    <b v="0"/>
  </r>
  <r>
    <n v="6388157"/>
    <s v="123-008-104-009"/>
    <x v="18"/>
    <x v="5"/>
    <d v="2022-04-09T00:00:00"/>
    <s v="Donna Johnson"/>
    <d v="2022-04-16T00:00:00"/>
    <d v="2022-04-19T00:00:00"/>
    <s v="transfer"/>
    <x v="1"/>
    <x v="1"/>
    <x v="0"/>
    <b v="0"/>
    <x v="1"/>
    <x v="0"/>
    <b v="0"/>
  </r>
  <r>
    <n v="3358248"/>
    <s v="123-001-129-005"/>
    <x v="14"/>
    <x v="3"/>
    <d v="2023-06-25T00:00:00"/>
    <s v="Nancy Lopez"/>
    <d v="2023-07-11T00:00:00"/>
    <d v="2023-07-24T00:00:00"/>
    <s v="transfer"/>
    <x v="1"/>
    <x v="1"/>
    <x v="0"/>
    <b v="0"/>
    <x v="1"/>
    <x v="0"/>
    <b v="0"/>
  </r>
  <r>
    <n v="3358248"/>
    <s v="123-001-129-006"/>
    <x v="14"/>
    <x v="3"/>
    <d v="2023-01-01T00:00:00"/>
    <s v="Steven Thompson"/>
    <d v="2023-01-21T00:00:00"/>
    <d v="2023-03-20T00:00:00"/>
    <m/>
    <x v="1"/>
    <x v="1"/>
    <x v="0"/>
    <b v="0"/>
    <x v="0"/>
    <x v="0"/>
    <b v="0"/>
  </r>
  <r>
    <n v="3358248"/>
    <s v="123-001-129-007"/>
    <x v="14"/>
    <x v="3"/>
    <d v="2023-03-26T00:00:00"/>
    <s v="Ethan Jones"/>
    <d v="2023-04-09T00:00:00"/>
    <d v="2023-05-20T00:00:00"/>
    <s v="promo"/>
    <x v="1"/>
    <x v="1"/>
    <x v="0"/>
    <b v="0"/>
    <x v="0"/>
    <x v="1"/>
    <b v="0"/>
  </r>
  <r>
    <n v="7310216"/>
    <s v="123-002-128-006"/>
    <x v="10"/>
    <x v="7"/>
    <d v="2023-05-28T00:00:00"/>
    <s v="Jackson Flores"/>
    <d v="2023-06-07T00:00:00"/>
    <m/>
    <s v="declined"/>
    <x v="0"/>
    <x v="0"/>
    <x v="0"/>
    <b v="0"/>
    <x v="0"/>
    <x v="0"/>
    <b v="0"/>
  </r>
  <r>
    <n v="7310216"/>
    <s v="123-002-128-007"/>
    <x v="10"/>
    <x v="7"/>
    <d v="2023-05-26T00:00:00"/>
    <s v="Michael Davis"/>
    <d v="2023-06-03T00:00:00"/>
    <d v="2023-06-07T00:00:00"/>
    <s v="new to org"/>
    <x v="1"/>
    <x v="1"/>
    <x v="0"/>
    <b v="0"/>
    <x v="0"/>
    <x v="0"/>
    <b v="1"/>
  </r>
  <r>
    <n v="7310216"/>
    <s v="123-002-128-008"/>
    <x v="10"/>
    <x v="7"/>
    <d v="2022-10-24T00:00:00"/>
    <s v="Mary Anderson"/>
    <d v="2022-11-23T00:00:00"/>
    <d v="2023-01-16T00:00:00"/>
    <s v="new to org"/>
    <x v="1"/>
    <x v="1"/>
    <x v="0"/>
    <b v="0"/>
    <x v="0"/>
    <x v="0"/>
    <b v="1"/>
  </r>
  <r>
    <n v="7310216"/>
    <s v="123-002-128-009"/>
    <x v="10"/>
    <x v="7"/>
    <d v="2022-03-11T00:00:00"/>
    <s v="Dorothy Thompson"/>
    <d v="2022-04-08T00:00:00"/>
    <m/>
    <s v="rescinded"/>
    <x v="0"/>
    <x v="1"/>
    <x v="1"/>
    <b v="0"/>
    <x v="0"/>
    <x v="0"/>
    <b v="0"/>
  </r>
  <r>
    <n v="7310216"/>
    <s v="123-002-128-010"/>
    <x v="10"/>
    <x v="7"/>
    <d v="2022-09-05T00:00:00"/>
    <s v="John Wright"/>
    <d v="2022-10-03T00:00:00"/>
    <d v="2022-11-06T00:00:00"/>
    <s v="new to org"/>
    <x v="1"/>
    <x v="1"/>
    <x v="0"/>
    <b v="0"/>
    <x v="0"/>
    <x v="0"/>
    <b v="1"/>
  </r>
  <r>
    <n v="7697794"/>
    <s v="123-001-120-008"/>
    <x v="13"/>
    <x v="3"/>
    <d v="2022-09-27T00:00:00"/>
    <s v="Donna Walker"/>
    <d v="2022-10-18T00:00:00"/>
    <d v="2022-10-20T00:00:00"/>
    <s v="transfer"/>
    <x v="1"/>
    <x v="1"/>
    <x v="0"/>
    <b v="0"/>
    <x v="1"/>
    <x v="0"/>
    <b v="0"/>
  </r>
  <r>
    <n v="7697794"/>
    <s v="123-001-120-009"/>
    <x v="13"/>
    <x v="3"/>
    <d v="2022-07-25T00:00:00"/>
    <s v="Anthony Taylor"/>
    <d v="2022-08-05T00:00:00"/>
    <m/>
    <s v="declined"/>
    <x v="0"/>
    <x v="0"/>
    <x v="0"/>
    <b v="0"/>
    <x v="0"/>
    <x v="0"/>
    <b v="0"/>
  </r>
  <r>
    <n v="7697794"/>
    <s v="123-001-120-010"/>
    <x v="13"/>
    <x v="3"/>
    <d v="2022-12-04T00:00:00"/>
    <s v="William Wilson"/>
    <d v="2023-01-03T00:00:00"/>
    <d v="2023-02-21T00:00:00"/>
    <s v="transfer"/>
    <x v="1"/>
    <x v="1"/>
    <x v="0"/>
    <b v="0"/>
    <x v="1"/>
    <x v="0"/>
    <b v="0"/>
  </r>
  <r>
    <n v="7697794"/>
    <s v="123-001-120-011"/>
    <x v="13"/>
    <x v="3"/>
    <d v="2022-03-16T00:00:00"/>
    <s v="Jessica Young"/>
    <d v="2022-04-11T00:00:00"/>
    <d v="2022-05-18T00:00:00"/>
    <s v="transfer"/>
    <x v="1"/>
    <x v="1"/>
    <x v="0"/>
    <b v="0"/>
    <x v="1"/>
    <x v="0"/>
    <b v="0"/>
  </r>
  <r>
    <n v="7697794"/>
    <s v="123-001-120-012"/>
    <x v="13"/>
    <x v="3"/>
    <d v="2023-03-03T00:00:00"/>
    <s v="Daniel Jones"/>
    <d v="2023-03-23T00:00:00"/>
    <d v="2023-05-10T00:00:00"/>
    <s v="transfer"/>
    <x v="1"/>
    <x v="1"/>
    <x v="0"/>
    <b v="0"/>
    <x v="1"/>
    <x v="0"/>
    <b v="0"/>
  </r>
  <r>
    <n v="2352134"/>
    <s v="123-009-129-013"/>
    <x v="14"/>
    <x v="8"/>
    <d v="2022-04-17T00:00:00"/>
    <s v="George Williams"/>
    <d v="2022-04-19T00:00:00"/>
    <d v="2022-05-21T00:00:00"/>
    <s v="new to org"/>
    <x v="1"/>
    <x v="1"/>
    <x v="0"/>
    <b v="0"/>
    <x v="0"/>
    <x v="0"/>
    <b v="1"/>
  </r>
  <r>
    <n v="2352134"/>
    <s v="123-009-129-014"/>
    <x v="14"/>
    <x v="8"/>
    <d v="2022-11-07T00:00:00"/>
    <s v="Margaret Walker"/>
    <d v="2022-12-03T00:00:00"/>
    <d v="2023-01-27T00:00:00"/>
    <s v="new to org"/>
    <x v="1"/>
    <x v="1"/>
    <x v="0"/>
    <b v="0"/>
    <x v="0"/>
    <x v="0"/>
    <b v="1"/>
  </r>
  <r>
    <n v="2352134"/>
    <s v="123-009-129-015"/>
    <x v="14"/>
    <x v="8"/>
    <d v="2022-01-27T00:00:00"/>
    <s v="Mary Brown"/>
    <d v="2022-02-21T00:00:00"/>
    <d v="2022-04-13T00:00:00"/>
    <s v="promo"/>
    <x v="1"/>
    <x v="1"/>
    <x v="0"/>
    <b v="0"/>
    <x v="0"/>
    <x v="1"/>
    <b v="0"/>
  </r>
  <r>
    <n v="2352134"/>
    <s v="123-009-129-016"/>
    <x v="14"/>
    <x v="8"/>
    <d v="2022-01-19T00:00:00"/>
    <s v="Amanda Baker"/>
    <d v="2022-02-06T00:00:00"/>
    <d v="2022-03-09T00:00:00"/>
    <m/>
    <x v="1"/>
    <x v="1"/>
    <x v="0"/>
    <b v="0"/>
    <x v="0"/>
    <x v="0"/>
    <b v="0"/>
  </r>
  <r>
    <n v="1874771"/>
    <s v="123-007-113-015"/>
    <x v="6"/>
    <x v="4"/>
    <d v="2022-04-29T00:00:00"/>
    <s v="Emily Rodriguez"/>
    <d v="2022-05-14T00:00:00"/>
    <d v="2022-05-22T00:00:00"/>
    <m/>
    <x v="1"/>
    <x v="1"/>
    <x v="0"/>
    <b v="0"/>
    <x v="0"/>
    <x v="0"/>
    <b v="0"/>
  </r>
  <r>
    <n v="1874771"/>
    <s v="123-007-113-016"/>
    <x v="6"/>
    <x v="4"/>
    <d v="2022-12-18T00:00:00"/>
    <s v="Daniel Gonzalez"/>
    <d v="2023-01-01T00:00:00"/>
    <d v="2023-03-01T00:00:00"/>
    <s v="new to org"/>
    <x v="1"/>
    <x v="1"/>
    <x v="0"/>
    <b v="0"/>
    <x v="0"/>
    <x v="0"/>
    <b v="1"/>
  </r>
  <r>
    <n v="1971778"/>
    <s v="123-004-108-010"/>
    <x v="11"/>
    <x v="1"/>
    <d v="2022-02-16T00:00:00"/>
    <s v="Anthony Mitchell"/>
    <d v="2022-03-14T00:00:00"/>
    <d v="2022-03-15T00:00:00"/>
    <s v="promo"/>
    <x v="1"/>
    <x v="1"/>
    <x v="0"/>
    <b v="0"/>
    <x v="0"/>
    <x v="1"/>
    <b v="0"/>
  </r>
  <r>
    <n v="5193002"/>
    <s v="123-001-127-009"/>
    <x v="16"/>
    <x v="3"/>
    <m/>
    <m/>
    <m/>
    <m/>
    <s v="cancelled"/>
    <x v="0"/>
    <x v="1"/>
    <x v="0"/>
    <b v="1"/>
    <x v="0"/>
    <x v="0"/>
    <b v="0"/>
  </r>
  <r>
    <n v="8357746"/>
    <s v="123-005-106-012"/>
    <x v="4"/>
    <x v="0"/>
    <d v="2022-09-08T00:00:00"/>
    <s v="Joshua Adams"/>
    <d v="2022-09-18T00:00:00"/>
    <m/>
    <s v="rescinded"/>
    <x v="0"/>
    <x v="1"/>
    <x v="1"/>
    <b v="0"/>
    <x v="0"/>
    <x v="0"/>
    <b v="0"/>
  </r>
  <r>
    <n v="3176277"/>
    <s v="123-007-120-004"/>
    <x v="13"/>
    <x v="4"/>
    <d v="2022-07-30T00:00:00"/>
    <s v="John Taylor"/>
    <d v="2022-08-15T00:00:00"/>
    <d v="2022-09-30T00:00:00"/>
    <s v="transfer"/>
    <x v="1"/>
    <x v="1"/>
    <x v="0"/>
    <b v="0"/>
    <x v="1"/>
    <x v="0"/>
    <b v="0"/>
  </r>
  <r>
    <n v="3176277"/>
    <s v="123-007-120-005"/>
    <x v="13"/>
    <x v="4"/>
    <d v="2022-08-14T00:00:00"/>
    <s v="Lucas Collins"/>
    <d v="2022-08-29T00:00:00"/>
    <d v="2022-10-14T00:00:00"/>
    <s v="new to org"/>
    <x v="1"/>
    <x v="1"/>
    <x v="0"/>
    <b v="0"/>
    <x v="0"/>
    <x v="0"/>
    <b v="1"/>
  </r>
  <r>
    <n v="3176277"/>
    <s v="123-007-120-006"/>
    <x v="13"/>
    <x v="4"/>
    <d v="2022-10-27T00:00:00"/>
    <s v="Deborah Scott"/>
    <d v="2022-11-24T00:00:00"/>
    <d v="2023-01-05T00:00:00"/>
    <s v="new to org"/>
    <x v="1"/>
    <x v="1"/>
    <x v="0"/>
    <b v="0"/>
    <x v="0"/>
    <x v="0"/>
    <b v="1"/>
  </r>
  <r>
    <n v="3176277"/>
    <s v="123-007-120-007"/>
    <x v="13"/>
    <x v="4"/>
    <d v="2022-11-23T00:00:00"/>
    <s v="Lucas Moore"/>
    <d v="2022-12-16T00:00:00"/>
    <m/>
    <s v="rescinded"/>
    <x v="0"/>
    <x v="1"/>
    <x v="1"/>
    <b v="0"/>
    <x v="0"/>
    <x v="0"/>
    <b v="0"/>
  </r>
  <r>
    <n v="9446412"/>
    <s v="123-001-104-015"/>
    <x v="18"/>
    <x v="3"/>
    <d v="2022-07-28T00:00:00"/>
    <s v="Sarah Garcia"/>
    <d v="2022-08-27T00:00:00"/>
    <d v="2022-09-05T00:00:00"/>
    <m/>
    <x v="1"/>
    <x v="1"/>
    <x v="0"/>
    <b v="0"/>
    <x v="0"/>
    <x v="0"/>
    <b v="0"/>
  </r>
  <r>
    <n v="9446412"/>
    <s v="123-001-104-016"/>
    <x v="18"/>
    <x v="3"/>
    <d v="2022-08-04T00:00:00"/>
    <s v="Karen Mitchell"/>
    <d v="2022-08-08T00:00:00"/>
    <d v="2022-09-01T00:00:00"/>
    <s v="promo"/>
    <x v="1"/>
    <x v="1"/>
    <x v="0"/>
    <b v="0"/>
    <x v="0"/>
    <x v="1"/>
    <b v="0"/>
  </r>
  <r>
    <n v="9446412"/>
    <s v="123-001-104-017"/>
    <x v="18"/>
    <x v="3"/>
    <d v="2023-03-27T00:00:00"/>
    <s v="Robert Thomas"/>
    <d v="2023-04-17T00:00:00"/>
    <d v="2023-06-05T00:00:00"/>
    <s v="promo"/>
    <x v="1"/>
    <x v="1"/>
    <x v="0"/>
    <b v="0"/>
    <x v="0"/>
    <x v="1"/>
    <b v="0"/>
  </r>
  <r>
    <n v="8612879"/>
    <s v="123-001-104-018"/>
    <x v="18"/>
    <x v="3"/>
    <d v="2023-01-29T00:00:00"/>
    <s v="Sarah Nguyen"/>
    <d v="2023-02-08T00:00:00"/>
    <d v="2023-04-02T00:00:00"/>
    <s v="new to org"/>
    <x v="1"/>
    <x v="1"/>
    <x v="0"/>
    <b v="0"/>
    <x v="0"/>
    <x v="0"/>
    <b v="1"/>
  </r>
  <r>
    <n v="8612879"/>
    <s v="123-001-104-019"/>
    <x v="18"/>
    <x v="3"/>
    <d v="2023-01-29T00:00:00"/>
    <s v="Sarah Diaz"/>
    <d v="2023-02-14T00:00:00"/>
    <d v="2023-02-16T00:00:00"/>
    <s v="transfer"/>
    <x v="1"/>
    <x v="1"/>
    <x v="0"/>
    <b v="0"/>
    <x v="1"/>
    <x v="0"/>
    <b v="0"/>
  </r>
  <r>
    <n v="8612879"/>
    <s v="123-001-104-020"/>
    <x v="18"/>
    <x v="3"/>
    <d v="2022-08-18T00:00:00"/>
    <s v="Mark Williams"/>
    <d v="2022-08-25T00:00:00"/>
    <d v="2022-09-19T00:00:00"/>
    <m/>
    <x v="1"/>
    <x v="1"/>
    <x v="0"/>
    <b v="0"/>
    <x v="0"/>
    <x v="0"/>
    <b v="0"/>
  </r>
  <r>
    <n v="8612879"/>
    <s v="123-001-104-021"/>
    <x v="18"/>
    <x v="3"/>
    <d v="2022-02-23T00:00:00"/>
    <s v="Margaret Wright"/>
    <d v="2022-03-17T00:00:00"/>
    <m/>
    <s v="declined"/>
    <x v="0"/>
    <x v="0"/>
    <x v="0"/>
    <b v="0"/>
    <x v="0"/>
    <x v="0"/>
    <b v="0"/>
  </r>
  <r>
    <n v="6119535"/>
    <s v="123-009-102-001"/>
    <x v="27"/>
    <x v="8"/>
    <d v="2022-09-26T00:00:00"/>
    <s v="Jackson Turner"/>
    <d v="2022-10-22T00:00:00"/>
    <d v="2022-12-10T00:00:00"/>
    <s v="new to org"/>
    <x v="1"/>
    <x v="1"/>
    <x v="0"/>
    <b v="0"/>
    <x v="0"/>
    <x v="0"/>
    <b v="1"/>
  </r>
  <r>
    <n v="6119535"/>
    <s v="123-009-102-002"/>
    <x v="27"/>
    <x v="8"/>
    <d v="2023-03-21T00:00:00"/>
    <s v="Nancy Campbell"/>
    <d v="2023-04-18T00:00:00"/>
    <d v="2023-05-16T00:00:00"/>
    <s v="transfer"/>
    <x v="1"/>
    <x v="1"/>
    <x v="0"/>
    <b v="0"/>
    <x v="1"/>
    <x v="0"/>
    <b v="0"/>
  </r>
  <r>
    <n v="6119535"/>
    <s v="123-009-102-003"/>
    <x v="27"/>
    <x v="8"/>
    <d v="2023-02-02T00:00:00"/>
    <s v="Ethan Miller"/>
    <d v="2023-02-26T00:00:00"/>
    <d v="2023-04-27T00:00:00"/>
    <s v="transfer"/>
    <x v="1"/>
    <x v="1"/>
    <x v="0"/>
    <b v="0"/>
    <x v="1"/>
    <x v="0"/>
    <b v="0"/>
  </r>
  <r>
    <n v="5822081"/>
    <s v="123-009-128-001"/>
    <x v="10"/>
    <x v="8"/>
    <d v="2023-04-24T00:00:00"/>
    <s v="David Harris"/>
    <d v="2023-05-18T00:00:00"/>
    <d v="2023-07-17T00:00:00"/>
    <s v="new to org"/>
    <x v="1"/>
    <x v="1"/>
    <x v="0"/>
    <b v="0"/>
    <x v="0"/>
    <x v="0"/>
    <b v="1"/>
  </r>
  <r>
    <n v="5822081"/>
    <s v="123-009-128-002"/>
    <x v="10"/>
    <x v="8"/>
    <d v="2022-10-15T00:00:00"/>
    <s v="Ava Smith"/>
    <d v="2022-11-10T00:00:00"/>
    <m/>
    <s v="rescinded"/>
    <x v="0"/>
    <x v="1"/>
    <x v="1"/>
    <b v="0"/>
    <x v="0"/>
    <x v="0"/>
    <b v="0"/>
  </r>
  <r>
    <n v="5822081"/>
    <s v="123-009-128-003"/>
    <x v="10"/>
    <x v="8"/>
    <d v="2022-10-30T00:00:00"/>
    <s v="Jennifer Thomas"/>
    <d v="2022-11-10T00:00:00"/>
    <d v="2022-12-17T00:00:00"/>
    <s v="new to org"/>
    <x v="1"/>
    <x v="1"/>
    <x v="0"/>
    <b v="0"/>
    <x v="0"/>
    <x v="0"/>
    <b v="1"/>
  </r>
  <r>
    <n v="5822081"/>
    <s v="123-009-128-004"/>
    <x v="10"/>
    <x v="8"/>
    <d v="2022-09-14T00:00:00"/>
    <s v="Lisa Moore"/>
    <d v="2022-10-10T00:00:00"/>
    <d v="2022-11-21T00:00:00"/>
    <s v="new to org"/>
    <x v="1"/>
    <x v="1"/>
    <x v="0"/>
    <b v="0"/>
    <x v="0"/>
    <x v="0"/>
    <b v="1"/>
  </r>
  <r>
    <n v="1207016"/>
    <s v="123-005-104-011"/>
    <x v="18"/>
    <x v="0"/>
    <d v="2023-03-31T00:00:00"/>
    <s v="Mia Lopez"/>
    <d v="2023-04-15T00:00:00"/>
    <d v="2023-04-17T00:00:00"/>
    <s v="new to org"/>
    <x v="1"/>
    <x v="1"/>
    <x v="0"/>
    <b v="0"/>
    <x v="0"/>
    <x v="0"/>
    <b v="1"/>
  </r>
  <r>
    <n v="1207016"/>
    <s v="123-005-104-012"/>
    <x v="18"/>
    <x v="0"/>
    <d v="2023-05-07T00:00:00"/>
    <s v="Robert Thompson"/>
    <d v="2023-05-28T00:00:00"/>
    <d v="2023-07-22T00:00:00"/>
    <m/>
    <x v="1"/>
    <x v="1"/>
    <x v="0"/>
    <b v="0"/>
    <x v="0"/>
    <x v="0"/>
    <b v="0"/>
  </r>
  <r>
    <n v="1207016"/>
    <s v="123-005-104-013"/>
    <x v="18"/>
    <x v="0"/>
    <d v="2022-03-23T00:00:00"/>
    <s v="Patricia Nguyen"/>
    <d v="2022-04-01T00:00:00"/>
    <d v="2022-05-29T00:00:00"/>
    <m/>
    <x v="1"/>
    <x v="1"/>
    <x v="0"/>
    <b v="0"/>
    <x v="0"/>
    <x v="0"/>
    <b v="0"/>
  </r>
  <r>
    <n v="1207016"/>
    <s v="123-005-104-014"/>
    <x v="18"/>
    <x v="0"/>
    <d v="2022-07-04T00:00:00"/>
    <s v="John Lewis"/>
    <d v="2022-07-13T00:00:00"/>
    <d v="2022-09-01T00:00:00"/>
    <s v="new to org"/>
    <x v="1"/>
    <x v="1"/>
    <x v="0"/>
    <b v="0"/>
    <x v="0"/>
    <x v="0"/>
    <b v="1"/>
  </r>
  <r>
    <n v="1207016"/>
    <s v="123-005-104-015"/>
    <x v="18"/>
    <x v="0"/>
    <d v="2022-05-11T00:00:00"/>
    <s v="Logan Young"/>
    <d v="2022-05-19T00:00:00"/>
    <d v="2022-06-29T00:00:00"/>
    <s v="new to org"/>
    <x v="1"/>
    <x v="1"/>
    <x v="0"/>
    <b v="0"/>
    <x v="0"/>
    <x v="0"/>
    <b v="1"/>
  </r>
  <r>
    <n v="3927545"/>
    <s v="123-010-105-004"/>
    <x v="7"/>
    <x v="6"/>
    <d v="2022-07-08T00:00:00"/>
    <s v="Carol Williams"/>
    <d v="2022-07-30T00:00:00"/>
    <m/>
    <s v="declined"/>
    <x v="0"/>
    <x v="0"/>
    <x v="0"/>
    <b v="0"/>
    <x v="0"/>
    <x v="0"/>
    <b v="0"/>
  </r>
  <r>
    <n v="9501337"/>
    <s v="123-008-128-007"/>
    <x v="10"/>
    <x v="5"/>
    <d v="2022-08-22T00:00:00"/>
    <s v="Emily Rivera"/>
    <d v="2022-08-24T00:00:00"/>
    <m/>
    <s v="rescinded"/>
    <x v="0"/>
    <x v="1"/>
    <x v="1"/>
    <b v="0"/>
    <x v="0"/>
    <x v="0"/>
    <b v="0"/>
  </r>
  <r>
    <n v="9501337"/>
    <s v="123-008-128-008"/>
    <x v="10"/>
    <x v="5"/>
    <d v="2022-12-28T00:00:00"/>
    <s v="Thomas Johnson"/>
    <d v="2023-01-15T00:00:00"/>
    <d v="2023-03-02T00:00:00"/>
    <s v="new to org"/>
    <x v="1"/>
    <x v="1"/>
    <x v="0"/>
    <b v="0"/>
    <x v="0"/>
    <x v="0"/>
    <b v="1"/>
  </r>
  <r>
    <n v="9501337"/>
    <s v="123-008-128-009"/>
    <x v="10"/>
    <x v="5"/>
    <d v="2022-04-22T00:00:00"/>
    <s v="Jessica Thompson"/>
    <d v="2022-04-25T00:00:00"/>
    <m/>
    <s v="declined"/>
    <x v="0"/>
    <x v="0"/>
    <x v="0"/>
    <b v="0"/>
    <x v="0"/>
    <x v="0"/>
    <b v="0"/>
  </r>
  <r>
    <n v="9501337"/>
    <s v="123-008-128-010"/>
    <x v="10"/>
    <x v="5"/>
    <d v="2022-08-31T00:00:00"/>
    <s v="Steven Jones"/>
    <d v="2022-09-07T00:00:00"/>
    <d v="2022-09-28T00:00:00"/>
    <s v="transfer"/>
    <x v="1"/>
    <x v="1"/>
    <x v="0"/>
    <b v="0"/>
    <x v="1"/>
    <x v="0"/>
    <b v="0"/>
  </r>
  <r>
    <n v="9501337"/>
    <s v="123-008-128-011"/>
    <x v="10"/>
    <x v="5"/>
    <d v="2023-03-13T00:00:00"/>
    <s v="John Adams"/>
    <d v="2023-04-11T00:00:00"/>
    <d v="2023-04-30T00:00:00"/>
    <m/>
    <x v="1"/>
    <x v="1"/>
    <x v="0"/>
    <b v="0"/>
    <x v="0"/>
    <x v="0"/>
    <b v="0"/>
  </r>
  <r>
    <n v="3400475"/>
    <s v="123-006-101-003"/>
    <x v="0"/>
    <x v="2"/>
    <d v="2023-01-19T00:00:00"/>
    <s v="Anthony Edwards"/>
    <d v="2023-02-04T00:00:00"/>
    <d v="2023-02-23T00:00:00"/>
    <s v="new to org"/>
    <x v="1"/>
    <x v="1"/>
    <x v="0"/>
    <b v="0"/>
    <x v="0"/>
    <x v="0"/>
    <b v="1"/>
  </r>
  <r>
    <n v="3400475"/>
    <s v="123-006-101-004"/>
    <x v="0"/>
    <x v="2"/>
    <d v="2022-10-25T00:00:00"/>
    <s v="Lisa Williams"/>
    <d v="2022-11-24T00:00:00"/>
    <d v="2022-12-04T00:00:00"/>
    <s v="promo"/>
    <x v="1"/>
    <x v="1"/>
    <x v="0"/>
    <b v="0"/>
    <x v="0"/>
    <x v="1"/>
    <b v="0"/>
  </r>
  <r>
    <n v="3400475"/>
    <s v="123-006-101-005"/>
    <x v="0"/>
    <x v="2"/>
    <d v="2022-08-05T00:00:00"/>
    <s v="Michael Hill"/>
    <d v="2022-08-31T00:00:00"/>
    <d v="2022-09-21T00:00:00"/>
    <s v="transfer"/>
    <x v="1"/>
    <x v="1"/>
    <x v="0"/>
    <b v="0"/>
    <x v="1"/>
    <x v="0"/>
    <b v="0"/>
  </r>
  <r>
    <n v="3400475"/>
    <s v="123-006-101-006"/>
    <x v="0"/>
    <x v="2"/>
    <d v="2023-01-23T00:00:00"/>
    <s v="Charlotte Wilson"/>
    <d v="2023-02-19T00:00:00"/>
    <d v="2023-03-29T00:00:00"/>
    <s v="new to org"/>
    <x v="1"/>
    <x v="1"/>
    <x v="0"/>
    <b v="0"/>
    <x v="0"/>
    <x v="0"/>
    <b v="1"/>
  </r>
  <r>
    <n v="3400475"/>
    <s v="123-006-101-007"/>
    <x v="0"/>
    <x v="2"/>
    <d v="2023-01-26T00:00:00"/>
    <s v="George Martinez"/>
    <d v="2023-02-20T00:00:00"/>
    <m/>
    <s v="declined"/>
    <x v="0"/>
    <x v="0"/>
    <x v="0"/>
    <b v="0"/>
    <x v="0"/>
    <x v="0"/>
    <b v="0"/>
  </r>
  <r>
    <n v="2316088"/>
    <s v="123-004-103-007"/>
    <x v="8"/>
    <x v="1"/>
    <d v="2022-05-05T00:00:00"/>
    <s v="Paul Campbell"/>
    <d v="2022-06-02T00:00:00"/>
    <d v="2022-07-29T00:00:00"/>
    <m/>
    <x v="1"/>
    <x v="1"/>
    <x v="0"/>
    <b v="0"/>
    <x v="0"/>
    <x v="0"/>
    <b v="0"/>
  </r>
  <r>
    <n v="2316088"/>
    <s v="123-004-103-008"/>
    <x v="8"/>
    <x v="1"/>
    <d v="2023-06-22T00:00:00"/>
    <s v="Joshua Walker"/>
    <d v="2023-07-09T00:00:00"/>
    <d v="2023-08-07T00:00:00"/>
    <s v="transfer"/>
    <x v="1"/>
    <x v="1"/>
    <x v="0"/>
    <b v="0"/>
    <x v="1"/>
    <x v="0"/>
    <b v="0"/>
  </r>
  <r>
    <n v="2316088"/>
    <s v="123-004-103-009"/>
    <x v="8"/>
    <x v="1"/>
    <d v="2022-10-28T00:00:00"/>
    <s v="Mason Torres"/>
    <d v="2022-11-27T00:00:00"/>
    <d v="2022-12-13T00:00:00"/>
    <s v="promo"/>
    <x v="1"/>
    <x v="1"/>
    <x v="0"/>
    <b v="0"/>
    <x v="0"/>
    <x v="1"/>
    <b v="0"/>
  </r>
  <r>
    <n v="2316088"/>
    <s v="123-004-103-010"/>
    <x v="8"/>
    <x v="1"/>
    <d v="2022-11-19T00:00:00"/>
    <s v="Joseph Robinson"/>
    <d v="2022-12-13T00:00:00"/>
    <d v="2022-12-21T00:00:00"/>
    <s v="new to org"/>
    <x v="1"/>
    <x v="1"/>
    <x v="0"/>
    <b v="0"/>
    <x v="0"/>
    <x v="0"/>
    <b v="1"/>
  </r>
  <r>
    <n v="2316088"/>
    <s v="123-004-103-011"/>
    <x v="8"/>
    <x v="1"/>
    <d v="2023-02-24T00:00:00"/>
    <s v="George Cruz"/>
    <d v="2023-03-08T00:00:00"/>
    <d v="2023-03-14T00:00:00"/>
    <m/>
    <x v="1"/>
    <x v="1"/>
    <x v="0"/>
    <b v="0"/>
    <x v="0"/>
    <x v="0"/>
    <b v="0"/>
  </r>
  <r>
    <n v="6905321"/>
    <s v="123-009-118-010"/>
    <x v="1"/>
    <x v="8"/>
    <d v="2023-04-05T00:00:00"/>
    <s v="Joshua Anderson"/>
    <d v="2023-05-01T00:00:00"/>
    <d v="2023-05-28T00:00:00"/>
    <m/>
    <x v="1"/>
    <x v="1"/>
    <x v="0"/>
    <b v="0"/>
    <x v="0"/>
    <x v="0"/>
    <b v="0"/>
  </r>
  <r>
    <n v="4854788"/>
    <s v="123-003-119-001"/>
    <x v="2"/>
    <x v="9"/>
    <d v="2022-05-22T00:00:00"/>
    <s v="Ava Clark"/>
    <d v="2022-06-11T00:00:00"/>
    <m/>
    <s v="declined"/>
    <x v="0"/>
    <x v="0"/>
    <x v="0"/>
    <b v="0"/>
    <x v="0"/>
    <x v="0"/>
    <b v="0"/>
  </r>
  <r>
    <n v="4854788"/>
    <s v="123-003-119-002"/>
    <x v="2"/>
    <x v="9"/>
    <d v="2022-11-18T00:00:00"/>
    <s v="Charles Perez"/>
    <d v="2022-11-22T00:00:00"/>
    <m/>
    <s v="declined"/>
    <x v="0"/>
    <x v="0"/>
    <x v="0"/>
    <b v="0"/>
    <x v="0"/>
    <x v="0"/>
    <b v="0"/>
  </r>
  <r>
    <n v="4854788"/>
    <s v="123-003-119-003"/>
    <x v="2"/>
    <x v="9"/>
    <d v="2023-04-27T00:00:00"/>
    <s v="Emily Rivera"/>
    <d v="2023-05-21T00:00:00"/>
    <m/>
    <s v="declined"/>
    <x v="0"/>
    <x v="0"/>
    <x v="0"/>
    <b v="0"/>
    <x v="0"/>
    <x v="0"/>
    <b v="0"/>
  </r>
  <r>
    <n v="4854788"/>
    <s v="123-003-119-004"/>
    <x v="2"/>
    <x v="9"/>
    <d v="2022-07-22T00:00:00"/>
    <s v="Andrew Young"/>
    <d v="2022-08-20T00:00:00"/>
    <d v="2022-09-01T00:00:00"/>
    <s v="promo"/>
    <x v="1"/>
    <x v="1"/>
    <x v="0"/>
    <b v="0"/>
    <x v="0"/>
    <x v="1"/>
    <b v="0"/>
  </r>
  <r>
    <n v="4854788"/>
    <s v="123-003-119-005"/>
    <x v="2"/>
    <x v="9"/>
    <d v="2023-03-05T00:00:00"/>
    <s v="David Davis"/>
    <d v="2023-03-14T00:00:00"/>
    <d v="2023-05-02T00:00:00"/>
    <s v="transfer"/>
    <x v="1"/>
    <x v="1"/>
    <x v="0"/>
    <b v="0"/>
    <x v="1"/>
    <x v="0"/>
    <b v="0"/>
  </r>
  <r>
    <n v="2694421"/>
    <s v="123-001-105-012"/>
    <x v="7"/>
    <x v="3"/>
    <d v="2022-12-11T00:00:00"/>
    <s v="Isabella Edwards"/>
    <d v="2022-12-30T00:00:00"/>
    <m/>
    <s v="declined"/>
    <x v="0"/>
    <x v="0"/>
    <x v="0"/>
    <b v="0"/>
    <x v="0"/>
    <x v="0"/>
    <b v="0"/>
  </r>
  <r>
    <n v="2694421"/>
    <s v="123-001-105-013"/>
    <x v="7"/>
    <x v="3"/>
    <d v="2023-06-12T00:00:00"/>
    <s v="John Rodriguez"/>
    <d v="2023-07-10T00:00:00"/>
    <m/>
    <s v="declined"/>
    <x v="0"/>
    <x v="0"/>
    <x v="0"/>
    <b v="0"/>
    <x v="0"/>
    <x v="0"/>
    <b v="0"/>
  </r>
  <r>
    <n v="2694421"/>
    <s v="123-001-105-014"/>
    <x v="7"/>
    <x v="3"/>
    <d v="2022-12-29T00:00:00"/>
    <s v="Lucas Ramirez"/>
    <d v="2023-01-03T00:00:00"/>
    <d v="2023-01-29T00:00:00"/>
    <m/>
    <x v="1"/>
    <x v="1"/>
    <x v="0"/>
    <b v="0"/>
    <x v="0"/>
    <x v="0"/>
    <b v="0"/>
  </r>
  <r>
    <n v="2694421"/>
    <s v="123-001-105-015"/>
    <x v="7"/>
    <x v="3"/>
    <d v="2022-05-02T00:00:00"/>
    <s v="Dorothy Jackson"/>
    <d v="2022-05-13T00:00:00"/>
    <d v="2022-07-10T00:00:00"/>
    <s v="promo"/>
    <x v="1"/>
    <x v="1"/>
    <x v="0"/>
    <b v="0"/>
    <x v="0"/>
    <x v="1"/>
    <b v="0"/>
  </r>
  <r>
    <n v="2808110"/>
    <s v="123-001-124-003"/>
    <x v="15"/>
    <x v="3"/>
    <d v="2023-02-23T00:00:00"/>
    <s v="Charlotte Lewis"/>
    <d v="2023-03-16T00:00:00"/>
    <d v="2023-04-14T00:00:00"/>
    <s v="new to org"/>
    <x v="1"/>
    <x v="1"/>
    <x v="0"/>
    <b v="0"/>
    <x v="0"/>
    <x v="0"/>
    <b v="1"/>
  </r>
  <r>
    <n v="8309667"/>
    <s v="123-008-110-014"/>
    <x v="12"/>
    <x v="5"/>
    <d v="2022-01-08T00:00:00"/>
    <s v="Elizabeth Edwards"/>
    <d v="2022-01-27T00:00:00"/>
    <d v="2022-03-06T00:00:00"/>
    <s v="transfer"/>
    <x v="1"/>
    <x v="1"/>
    <x v="0"/>
    <b v="0"/>
    <x v="1"/>
    <x v="0"/>
    <b v="0"/>
  </r>
  <r>
    <n v="8309667"/>
    <s v="123-008-110-015"/>
    <x v="12"/>
    <x v="5"/>
    <d v="2023-03-26T00:00:00"/>
    <s v="Matthew Lee"/>
    <d v="2023-04-01T00:00:00"/>
    <d v="2023-05-04T00:00:00"/>
    <m/>
    <x v="1"/>
    <x v="1"/>
    <x v="0"/>
    <b v="0"/>
    <x v="0"/>
    <x v="0"/>
    <b v="0"/>
  </r>
  <r>
    <n v="5685869"/>
    <s v="123-002-125-012"/>
    <x v="3"/>
    <x v="7"/>
    <d v="2023-06-15T00:00:00"/>
    <s v="Nancy Brown"/>
    <d v="2023-07-14T00:00:00"/>
    <m/>
    <s v="declined"/>
    <x v="0"/>
    <x v="0"/>
    <x v="0"/>
    <b v="0"/>
    <x v="0"/>
    <x v="0"/>
    <b v="0"/>
  </r>
  <r>
    <n v="5685869"/>
    <s v="123-002-125-013"/>
    <x v="3"/>
    <x v="7"/>
    <d v="2023-01-29T00:00:00"/>
    <s v="Charles Lee"/>
    <d v="2023-02-09T00:00:00"/>
    <d v="2023-03-30T00:00:00"/>
    <m/>
    <x v="1"/>
    <x v="1"/>
    <x v="0"/>
    <b v="0"/>
    <x v="0"/>
    <x v="0"/>
    <b v="0"/>
  </r>
  <r>
    <n v="3993320"/>
    <s v="123-001-105-016"/>
    <x v="7"/>
    <x v="3"/>
    <d v="2022-11-18T00:00:00"/>
    <s v="Andrew Cruz"/>
    <d v="2022-11-22T00:00:00"/>
    <d v="2022-12-15T00:00:00"/>
    <s v="new to org"/>
    <x v="1"/>
    <x v="1"/>
    <x v="0"/>
    <b v="0"/>
    <x v="0"/>
    <x v="0"/>
    <b v="1"/>
  </r>
  <r>
    <n v="3993320"/>
    <s v="123-001-105-017"/>
    <x v="7"/>
    <x v="3"/>
    <d v="2022-10-08T00:00:00"/>
    <s v="Linda Jackson"/>
    <d v="2022-10-24T00:00:00"/>
    <m/>
    <s v="rescinded"/>
    <x v="0"/>
    <x v="1"/>
    <x v="1"/>
    <b v="0"/>
    <x v="0"/>
    <x v="0"/>
    <b v="0"/>
  </r>
  <r>
    <n v="8363801"/>
    <s v="123-003-108-007"/>
    <x v="11"/>
    <x v="9"/>
    <d v="2022-04-19T00:00:00"/>
    <s v="Joshua Carter"/>
    <d v="2022-05-19T00:00:00"/>
    <d v="2022-06-03T00:00:00"/>
    <s v="new to org"/>
    <x v="1"/>
    <x v="1"/>
    <x v="0"/>
    <b v="0"/>
    <x v="0"/>
    <x v="0"/>
    <b v="1"/>
  </r>
  <r>
    <n v="8363801"/>
    <s v="123-003-108-008"/>
    <x v="11"/>
    <x v="9"/>
    <d v="2023-06-05T00:00:00"/>
    <s v="Michael Wilson"/>
    <d v="2023-06-30T00:00:00"/>
    <d v="2023-07-11T00:00:00"/>
    <s v="promo"/>
    <x v="1"/>
    <x v="1"/>
    <x v="0"/>
    <b v="0"/>
    <x v="0"/>
    <x v="1"/>
    <b v="0"/>
  </r>
  <r>
    <n v="8363801"/>
    <s v="123-003-108-009"/>
    <x v="11"/>
    <x v="9"/>
    <d v="2022-07-19T00:00:00"/>
    <s v="Lucas Williams"/>
    <d v="2022-07-20T00:00:00"/>
    <m/>
    <s v="declined"/>
    <x v="0"/>
    <x v="0"/>
    <x v="0"/>
    <b v="0"/>
    <x v="0"/>
    <x v="0"/>
    <b v="0"/>
  </r>
  <r>
    <n v="9193420"/>
    <s v="123-001-127-010"/>
    <x v="16"/>
    <x v="3"/>
    <d v="2023-03-13T00:00:00"/>
    <s v="Charlotte Torres"/>
    <d v="2023-04-06T00:00:00"/>
    <m/>
    <s v="declined"/>
    <x v="0"/>
    <x v="0"/>
    <x v="0"/>
    <b v="0"/>
    <x v="0"/>
    <x v="0"/>
    <b v="0"/>
  </r>
  <r>
    <n v="9193420"/>
    <s v="123-001-127-011"/>
    <x v="16"/>
    <x v="3"/>
    <d v="2022-10-30T00:00:00"/>
    <s v="Mason Robinson"/>
    <d v="2022-11-29T00:00:00"/>
    <d v="2022-12-07T00:00:00"/>
    <s v="promo"/>
    <x v="1"/>
    <x v="1"/>
    <x v="0"/>
    <b v="0"/>
    <x v="0"/>
    <x v="1"/>
    <b v="0"/>
  </r>
  <r>
    <n v="9193420"/>
    <s v="123-001-127-012"/>
    <x v="16"/>
    <x v="3"/>
    <d v="2023-03-19T00:00:00"/>
    <s v="Mark Cruz"/>
    <d v="2023-04-04T00:00:00"/>
    <d v="2023-04-21T00:00:00"/>
    <s v="transfer"/>
    <x v="1"/>
    <x v="1"/>
    <x v="0"/>
    <b v="0"/>
    <x v="1"/>
    <x v="0"/>
    <b v="0"/>
  </r>
  <r>
    <n v="2457333"/>
    <s v="123-003-128-008"/>
    <x v="10"/>
    <x v="9"/>
    <d v="2022-03-22T00:00:00"/>
    <s v="Daniel Phillips"/>
    <d v="2022-04-15T00:00:00"/>
    <d v="2022-06-05T00:00:00"/>
    <s v="transfer"/>
    <x v="1"/>
    <x v="1"/>
    <x v="0"/>
    <b v="0"/>
    <x v="1"/>
    <x v="0"/>
    <b v="0"/>
  </r>
  <r>
    <n v="2457333"/>
    <s v="123-003-128-009"/>
    <x v="10"/>
    <x v="9"/>
    <d v="2022-06-10T00:00:00"/>
    <s v="John Lee"/>
    <d v="2022-06-27T00:00:00"/>
    <m/>
    <s v="rescinded"/>
    <x v="0"/>
    <x v="1"/>
    <x v="1"/>
    <b v="0"/>
    <x v="0"/>
    <x v="0"/>
    <b v="0"/>
  </r>
  <r>
    <n v="2457333"/>
    <s v="123-003-128-010"/>
    <x v="10"/>
    <x v="9"/>
    <d v="2023-06-10T00:00:00"/>
    <s v="Kenneth Mitchell"/>
    <d v="2023-07-02T00:00:00"/>
    <d v="2023-08-21T00:00:00"/>
    <m/>
    <x v="1"/>
    <x v="1"/>
    <x v="0"/>
    <b v="0"/>
    <x v="0"/>
    <x v="0"/>
    <b v="0"/>
  </r>
  <r>
    <n v="2242998"/>
    <s v="123-006-123-009"/>
    <x v="19"/>
    <x v="2"/>
    <d v="2022-02-06T00:00:00"/>
    <s v="Richard Turner"/>
    <d v="2022-02-27T00:00:00"/>
    <d v="2022-04-09T00:00:00"/>
    <s v="new to org"/>
    <x v="1"/>
    <x v="1"/>
    <x v="0"/>
    <b v="0"/>
    <x v="0"/>
    <x v="0"/>
    <b v="1"/>
  </r>
  <r>
    <n v="1133724"/>
    <s v="123-003-108-010"/>
    <x v="11"/>
    <x v="9"/>
    <d v="2022-07-20T00:00:00"/>
    <s v="Charlotte Anderson"/>
    <d v="2022-07-29T00:00:00"/>
    <m/>
    <s v="rescinded"/>
    <x v="0"/>
    <x v="1"/>
    <x v="1"/>
    <b v="0"/>
    <x v="0"/>
    <x v="0"/>
    <b v="0"/>
  </r>
  <r>
    <n v="1133724"/>
    <s v="123-003-108-011"/>
    <x v="11"/>
    <x v="9"/>
    <d v="2023-05-24T00:00:00"/>
    <s v="Isabella Lopez"/>
    <d v="2023-06-03T00:00:00"/>
    <d v="2023-06-12T00:00:00"/>
    <m/>
    <x v="1"/>
    <x v="1"/>
    <x v="0"/>
    <b v="0"/>
    <x v="0"/>
    <x v="0"/>
    <b v="0"/>
  </r>
  <r>
    <n v="1133724"/>
    <s v="123-003-108-012"/>
    <x v="11"/>
    <x v="9"/>
    <d v="2023-06-13T00:00:00"/>
    <s v="Olivia Garcia"/>
    <d v="2023-07-11T00:00:00"/>
    <m/>
    <s v="declined"/>
    <x v="0"/>
    <x v="0"/>
    <x v="0"/>
    <b v="0"/>
    <x v="0"/>
    <x v="0"/>
    <b v="0"/>
  </r>
  <r>
    <n v="1133724"/>
    <s v="123-003-108-013"/>
    <x v="11"/>
    <x v="9"/>
    <d v="2022-03-10T00:00:00"/>
    <s v="James Ramirez"/>
    <d v="2022-03-26T00:00:00"/>
    <d v="2022-05-01T00:00:00"/>
    <s v="promo"/>
    <x v="1"/>
    <x v="1"/>
    <x v="0"/>
    <b v="0"/>
    <x v="0"/>
    <x v="1"/>
    <b v="0"/>
  </r>
  <r>
    <n v="1133724"/>
    <s v="123-003-108-014"/>
    <x v="11"/>
    <x v="9"/>
    <d v="2022-09-27T00:00:00"/>
    <s v="Robert Clark"/>
    <d v="2022-10-17T00:00:00"/>
    <d v="2022-11-11T00:00:00"/>
    <s v="promo"/>
    <x v="1"/>
    <x v="1"/>
    <x v="0"/>
    <b v="0"/>
    <x v="0"/>
    <x v="1"/>
    <b v="0"/>
  </r>
  <r>
    <n v="4937877"/>
    <s v="123-006-121-007"/>
    <x v="20"/>
    <x v="2"/>
    <d v="2022-08-26T00:00:00"/>
    <s v="Olivia Martin"/>
    <d v="2022-09-24T00:00:00"/>
    <d v="2022-10-13T00:00:00"/>
    <s v="promo"/>
    <x v="1"/>
    <x v="1"/>
    <x v="0"/>
    <b v="0"/>
    <x v="0"/>
    <x v="1"/>
    <b v="0"/>
  </r>
  <r>
    <n v="4937877"/>
    <s v="123-006-121-008"/>
    <x v="20"/>
    <x v="2"/>
    <d v="2023-02-06T00:00:00"/>
    <s v="Sophia Green"/>
    <d v="2023-02-26T00:00:00"/>
    <d v="2023-03-21T00:00:00"/>
    <m/>
    <x v="1"/>
    <x v="1"/>
    <x v="0"/>
    <b v="0"/>
    <x v="0"/>
    <x v="0"/>
    <b v="0"/>
  </r>
  <r>
    <n v="4937877"/>
    <s v="123-006-121-009"/>
    <x v="20"/>
    <x v="2"/>
    <d v="2022-04-26T00:00:00"/>
    <s v="Michael Anderson"/>
    <d v="2022-05-25T00:00:00"/>
    <d v="2022-07-22T00:00:00"/>
    <s v="new to org"/>
    <x v="1"/>
    <x v="1"/>
    <x v="0"/>
    <b v="0"/>
    <x v="0"/>
    <x v="0"/>
    <b v="1"/>
  </r>
  <r>
    <n v="4937877"/>
    <s v="123-006-121-010"/>
    <x v="20"/>
    <x v="2"/>
    <d v="2022-11-30T00:00:00"/>
    <s v="Anthony Lewis"/>
    <d v="2022-12-08T00:00:00"/>
    <d v="2023-01-20T00:00:00"/>
    <s v="new to org"/>
    <x v="1"/>
    <x v="1"/>
    <x v="0"/>
    <b v="0"/>
    <x v="0"/>
    <x v="0"/>
    <b v="1"/>
  </r>
  <r>
    <n v="8128056"/>
    <s v="123-003-104-001"/>
    <x v="18"/>
    <x v="9"/>
    <d v="2023-02-12T00:00:00"/>
    <s v="Daniel Hall"/>
    <d v="2023-03-07T00:00:00"/>
    <d v="2023-03-16T00:00:00"/>
    <s v="transfer"/>
    <x v="1"/>
    <x v="1"/>
    <x v="0"/>
    <b v="0"/>
    <x v="1"/>
    <x v="0"/>
    <b v="0"/>
  </r>
  <r>
    <n v="8128056"/>
    <s v="123-003-104-002"/>
    <x v="18"/>
    <x v="9"/>
    <d v="2023-05-16T00:00:00"/>
    <s v="Mason Phillips"/>
    <d v="2023-06-05T00:00:00"/>
    <d v="2023-07-02T00:00:00"/>
    <m/>
    <x v="1"/>
    <x v="1"/>
    <x v="0"/>
    <b v="0"/>
    <x v="0"/>
    <x v="0"/>
    <b v="0"/>
  </r>
  <r>
    <n v="8128056"/>
    <s v="123-003-104-003"/>
    <x v="18"/>
    <x v="9"/>
    <d v="2023-06-04T00:00:00"/>
    <s v="Charles Moore"/>
    <d v="2023-06-11T00:00:00"/>
    <d v="2023-08-07T00:00:00"/>
    <s v="transfer"/>
    <x v="1"/>
    <x v="1"/>
    <x v="0"/>
    <b v="0"/>
    <x v="1"/>
    <x v="0"/>
    <b v="0"/>
  </r>
  <r>
    <n v="8128056"/>
    <s v="123-003-104-004"/>
    <x v="18"/>
    <x v="9"/>
    <d v="2022-11-27T00:00:00"/>
    <s v="Patricia Scott"/>
    <d v="2022-12-06T00:00:00"/>
    <d v="2023-01-19T00:00:00"/>
    <m/>
    <x v="1"/>
    <x v="1"/>
    <x v="0"/>
    <b v="0"/>
    <x v="0"/>
    <x v="0"/>
    <b v="0"/>
  </r>
  <r>
    <n v="6328751"/>
    <s v="123-007-114-002"/>
    <x v="24"/>
    <x v="4"/>
    <d v="2022-10-02T00:00:00"/>
    <s v="Ava Brown"/>
    <d v="2022-10-18T00:00:00"/>
    <d v="2022-12-04T00:00:00"/>
    <s v="new to org"/>
    <x v="1"/>
    <x v="1"/>
    <x v="0"/>
    <b v="0"/>
    <x v="0"/>
    <x v="0"/>
    <b v="1"/>
  </r>
  <r>
    <n v="6328751"/>
    <s v="123-007-114-003"/>
    <x v="24"/>
    <x v="4"/>
    <d v="2022-02-16T00:00:00"/>
    <s v="Kenneth Evans"/>
    <d v="2022-02-26T00:00:00"/>
    <m/>
    <s v="rescinded"/>
    <x v="0"/>
    <x v="1"/>
    <x v="1"/>
    <b v="0"/>
    <x v="0"/>
    <x v="0"/>
    <b v="0"/>
  </r>
  <r>
    <n v="6328751"/>
    <s v="123-007-114-004"/>
    <x v="24"/>
    <x v="4"/>
    <d v="2022-06-20T00:00:00"/>
    <s v="Andrew Cruz"/>
    <d v="2022-07-08T00:00:00"/>
    <d v="2022-07-22T00:00:00"/>
    <s v="promo"/>
    <x v="1"/>
    <x v="1"/>
    <x v="0"/>
    <b v="0"/>
    <x v="0"/>
    <x v="1"/>
    <b v="0"/>
  </r>
  <r>
    <n v="6328751"/>
    <s v="123-007-114-005"/>
    <x v="24"/>
    <x v="4"/>
    <d v="2022-12-04T00:00:00"/>
    <s v="Charlotte Flores"/>
    <d v="2022-12-09T00:00:00"/>
    <d v="2023-01-17T00:00:00"/>
    <s v="transfer"/>
    <x v="1"/>
    <x v="1"/>
    <x v="0"/>
    <b v="0"/>
    <x v="1"/>
    <x v="0"/>
    <b v="0"/>
  </r>
  <r>
    <n v="1334200"/>
    <s v="123-001-124-004"/>
    <x v="15"/>
    <x v="3"/>
    <d v="2022-08-09T00:00:00"/>
    <s v="Nancy Clark"/>
    <d v="2022-08-27T00:00:00"/>
    <m/>
    <s v="declined"/>
    <x v="0"/>
    <x v="0"/>
    <x v="0"/>
    <b v="0"/>
    <x v="0"/>
    <x v="0"/>
    <b v="0"/>
  </r>
  <r>
    <n v="1334200"/>
    <s v="123-001-124-005"/>
    <x v="15"/>
    <x v="3"/>
    <d v="2022-03-06T00:00:00"/>
    <s v="Deborah Roberts"/>
    <d v="2022-03-27T00:00:00"/>
    <d v="2022-03-31T00:00:00"/>
    <s v="new to org"/>
    <x v="1"/>
    <x v="1"/>
    <x v="0"/>
    <b v="0"/>
    <x v="0"/>
    <x v="0"/>
    <b v="1"/>
  </r>
  <r>
    <n v="1334200"/>
    <s v="123-001-124-006"/>
    <x v="15"/>
    <x v="3"/>
    <d v="2022-06-10T00:00:00"/>
    <s v="Paul Gonzalez"/>
    <d v="2022-07-07T00:00:00"/>
    <d v="2022-08-11T00:00:00"/>
    <s v="new to org"/>
    <x v="1"/>
    <x v="1"/>
    <x v="0"/>
    <b v="0"/>
    <x v="0"/>
    <x v="0"/>
    <b v="1"/>
  </r>
  <r>
    <n v="1334200"/>
    <s v="123-001-124-007"/>
    <x v="15"/>
    <x v="3"/>
    <d v="2022-06-15T00:00:00"/>
    <s v="Charles Phillips"/>
    <d v="2022-07-15T00:00:00"/>
    <d v="2022-08-08T00:00:00"/>
    <s v="promo"/>
    <x v="1"/>
    <x v="1"/>
    <x v="0"/>
    <b v="0"/>
    <x v="0"/>
    <x v="1"/>
    <b v="0"/>
  </r>
  <r>
    <n v="5172556"/>
    <s v="123-001-101-013"/>
    <x v="0"/>
    <x v="3"/>
    <d v="2023-05-12T00:00:00"/>
    <s v="Steven Sanchez"/>
    <d v="2023-05-14T00:00:00"/>
    <d v="2023-05-25T00:00:00"/>
    <s v="transfer"/>
    <x v="1"/>
    <x v="1"/>
    <x v="0"/>
    <b v="0"/>
    <x v="1"/>
    <x v="0"/>
    <b v="0"/>
  </r>
  <r>
    <n v="5749457"/>
    <s v="123-001-110-009"/>
    <x v="12"/>
    <x v="3"/>
    <d v="2022-05-07T00:00:00"/>
    <s v="Robert Moore"/>
    <d v="2022-06-03T00:00:00"/>
    <d v="2022-07-24T00:00:00"/>
    <s v="promo"/>
    <x v="1"/>
    <x v="1"/>
    <x v="0"/>
    <b v="0"/>
    <x v="0"/>
    <x v="1"/>
    <b v="0"/>
  </r>
  <r>
    <n v="5749457"/>
    <s v="123-001-110-010"/>
    <x v="12"/>
    <x v="3"/>
    <d v="2022-10-04T00:00:00"/>
    <s v="William Evans"/>
    <d v="2022-11-01T00:00:00"/>
    <d v="2022-11-07T00:00:00"/>
    <m/>
    <x v="1"/>
    <x v="1"/>
    <x v="0"/>
    <b v="0"/>
    <x v="0"/>
    <x v="0"/>
    <b v="0"/>
  </r>
  <r>
    <n v="2283911"/>
    <s v="123-009-103-008"/>
    <x v="8"/>
    <x v="8"/>
    <d v="2023-04-28T00:00:00"/>
    <s v="Thomas Adams"/>
    <d v="2023-05-11T00:00:00"/>
    <m/>
    <s v="declined"/>
    <x v="0"/>
    <x v="0"/>
    <x v="0"/>
    <b v="0"/>
    <x v="0"/>
    <x v="0"/>
    <b v="0"/>
  </r>
  <r>
    <n v="2283911"/>
    <s v="123-009-103-009"/>
    <x v="8"/>
    <x v="8"/>
    <d v="2023-02-05T00:00:00"/>
    <s v="Michael Mitchell"/>
    <d v="2023-02-12T00:00:00"/>
    <d v="2023-04-07T00:00:00"/>
    <s v="promo"/>
    <x v="1"/>
    <x v="1"/>
    <x v="0"/>
    <b v="0"/>
    <x v="0"/>
    <x v="1"/>
    <b v="0"/>
  </r>
  <r>
    <n v="2283911"/>
    <s v="123-009-103-010"/>
    <x v="8"/>
    <x v="8"/>
    <d v="2023-03-12T00:00:00"/>
    <s v="Sophia Lee"/>
    <d v="2023-03-29T00:00:00"/>
    <d v="2023-05-16T00:00:00"/>
    <s v="new to org"/>
    <x v="1"/>
    <x v="1"/>
    <x v="0"/>
    <b v="0"/>
    <x v="0"/>
    <x v="0"/>
    <b v="1"/>
  </r>
  <r>
    <n v="2283911"/>
    <s v="123-009-103-011"/>
    <x v="8"/>
    <x v="8"/>
    <d v="2022-07-27T00:00:00"/>
    <s v="Sarah Robinson"/>
    <d v="2022-07-31T00:00:00"/>
    <m/>
    <s v="declined"/>
    <x v="0"/>
    <x v="0"/>
    <x v="0"/>
    <b v="0"/>
    <x v="0"/>
    <x v="0"/>
    <b v="0"/>
  </r>
  <r>
    <n v="5886173"/>
    <s v="123-002-114-006"/>
    <x v="24"/>
    <x v="7"/>
    <d v="2023-06-03T00:00:00"/>
    <s v="Donald Jackson"/>
    <d v="2023-06-11T00:00:00"/>
    <d v="2023-07-06T00:00:00"/>
    <s v="new to org"/>
    <x v="1"/>
    <x v="1"/>
    <x v="0"/>
    <b v="0"/>
    <x v="0"/>
    <x v="0"/>
    <b v="1"/>
  </r>
  <r>
    <n v="5886173"/>
    <s v="123-002-114-007"/>
    <x v="24"/>
    <x v="7"/>
    <d v="2023-02-08T00:00:00"/>
    <s v="Ashley Campbell"/>
    <d v="2023-02-20T00:00:00"/>
    <m/>
    <s v="declined"/>
    <x v="0"/>
    <x v="0"/>
    <x v="0"/>
    <b v="0"/>
    <x v="0"/>
    <x v="0"/>
    <b v="0"/>
  </r>
  <r>
    <n v="2817044"/>
    <s v="123-004-115-003"/>
    <x v="22"/>
    <x v="1"/>
    <d v="2023-04-03T00:00:00"/>
    <s v="Deborah Anderson"/>
    <d v="2023-04-15T00:00:00"/>
    <d v="2023-05-16T00:00:00"/>
    <m/>
    <x v="1"/>
    <x v="1"/>
    <x v="0"/>
    <b v="0"/>
    <x v="0"/>
    <x v="0"/>
    <b v="0"/>
  </r>
  <r>
    <n v="2817044"/>
    <s v="123-004-115-004"/>
    <x v="22"/>
    <x v="1"/>
    <d v="2022-03-27T00:00:00"/>
    <s v="Nancy Martinez"/>
    <d v="2022-03-31T00:00:00"/>
    <d v="2022-05-06T00:00:00"/>
    <s v="new to org"/>
    <x v="1"/>
    <x v="1"/>
    <x v="0"/>
    <b v="0"/>
    <x v="0"/>
    <x v="0"/>
    <b v="1"/>
  </r>
  <r>
    <n v="2817044"/>
    <s v="123-004-115-005"/>
    <x v="22"/>
    <x v="1"/>
    <d v="2022-09-13T00:00:00"/>
    <s v="Logan Young"/>
    <d v="2022-09-16T00:00:00"/>
    <m/>
    <s v="declined"/>
    <x v="0"/>
    <x v="0"/>
    <x v="0"/>
    <b v="0"/>
    <x v="0"/>
    <x v="0"/>
    <b v="0"/>
  </r>
  <r>
    <n v="2817044"/>
    <s v="123-004-115-006"/>
    <x v="22"/>
    <x v="1"/>
    <d v="2023-04-30T00:00:00"/>
    <s v="Michelle Turner"/>
    <d v="2023-05-17T00:00:00"/>
    <m/>
    <s v="declined"/>
    <x v="0"/>
    <x v="0"/>
    <x v="0"/>
    <b v="0"/>
    <x v="0"/>
    <x v="0"/>
    <b v="0"/>
  </r>
  <r>
    <n v="2817044"/>
    <s v="123-004-115-007"/>
    <x v="22"/>
    <x v="1"/>
    <d v="2023-05-21T00:00:00"/>
    <s v="Patricia Roberts"/>
    <d v="2023-05-30T00:00:00"/>
    <d v="2023-06-26T00:00:00"/>
    <s v="promo"/>
    <x v="1"/>
    <x v="1"/>
    <x v="0"/>
    <b v="0"/>
    <x v="0"/>
    <x v="1"/>
    <b v="0"/>
  </r>
  <r>
    <n v="6225347"/>
    <s v="123-006-124-005"/>
    <x v="15"/>
    <x v="2"/>
    <d v="2023-05-16T00:00:00"/>
    <s v="Edward Scott"/>
    <d v="2023-06-03T00:00:00"/>
    <m/>
    <s v="declined"/>
    <x v="0"/>
    <x v="0"/>
    <x v="0"/>
    <b v="0"/>
    <x v="0"/>
    <x v="0"/>
    <b v="0"/>
  </r>
  <r>
    <n v="6225347"/>
    <s v="123-006-124-006"/>
    <x v="15"/>
    <x v="2"/>
    <d v="2022-10-02T00:00:00"/>
    <s v="Logan Smith"/>
    <d v="2022-10-25T00:00:00"/>
    <d v="2022-11-08T00:00:00"/>
    <m/>
    <x v="1"/>
    <x v="1"/>
    <x v="0"/>
    <b v="0"/>
    <x v="0"/>
    <x v="0"/>
    <b v="0"/>
  </r>
  <r>
    <n v="9385512"/>
    <s v="123-004-111-015"/>
    <x v="29"/>
    <x v="1"/>
    <d v="2022-03-25T00:00:00"/>
    <s v="Steven Scott"/>
    <d v="2022-04-24T00:00:00"/>
    <d v="2022-05-01T00:00:00"/>
    <m/>
    <x v="1"/>
    <x v="1"/>
    <x v="0"/>
    <b v="0"/>
    <x v="0"/>
    <x v="0"/>
    <b v="0"/>
  </r>
  <r>
    <n v="9385512"/>
    <s v="123-004-111-016"/>
    <x v="29"/>
    <x v="1"/>
    <d v="2022-01-14T00:00:00"/>
    <s v="Matthew Rodriguez"/>
    <d v="2022-01-20T00:00:00"/>
    <d v="2022-02-23T00:00:00"/>
    <s v="transfer"/>
    <x v="1"/>
    <x v="1"/>
    <x v="0"/>
    <b v="0"/>
    <x v="1"/>
    <x v="0"/>
    <b v="0"/>
  </r>
  <r>
    <n v="9385512"/>
    <s v="123-004-111-017"/>
    <x v="29"/>
    <x v="1"/>
    <d v="2022-04-27T00:00:00"/>
    <s v="Richard Lewis"/>
    <d v="2022-04-29T00:00:00"/>
    <d v="2022-06-25T00:00:00"/>
    <s v="promo"/>
    <x v="1"/>
    <x v="1"/>
    <x v="0"/>
    <b v="0"/>
    <x v="0"/>
    <x v="1"/>
    <b v="0"/>
  </r>
  <r>
    <n v="8116596"/>
    <s v="123-003-116-008"/>
    <x v="25"/>
    <x v="9"/>
    <d v="2022-10-31T00:00:00"/>
    <s v="Betty Smith"/>
    <d v="2022-11-04T00:00:00"/>
    <d v="2022-12-02T00:00:00"/>
    <m/>
    <x v="1"/>
    <x v="1"/>
    <x v="0"/>
    <b v="0"/>
    <x v="0"/>
    <x v="0"/>
    <b v="0"/>
  </r>
  <r>
    <n v="8116596"/>
    <s v="123-003-116-009"/>
    <x v="25"/>
    <x v="9"/>
    <d v="2023-01-16T00:00:00"/>
    <s v="Kimberly Lee"/>
    <d v="2023-02-04T00:00:00"/>
    <d v="2023-03-18T00:00:00"/>
    <s v="new to org"/>
    <x v="1"/>
    <x v="1"/>
    <x v="0"/>
    <b v="0"/>
    <x v="0"/>
    <x v="0"/>
    <b v="1"/>
  </r>
  <r>
    <n v="8116596"/>
    <s v="123-003-116-010"/>
    <x v="25"/>
    <x v="9"/>
    <d v="2022-07-29T00:00:00"/>
    <s v="Charles King"/>
    <d v="2022-08-24T00:00:00"/>
    <m/>
    <s v="declined"/>
    <x v="0"/>
    <x v="0"/>
    <x v="0"/>
    <b v="0"/>
    <x v="0"/>
    <x v="0"/>
    <b v="0"/>
  </r>
  <r>
    <n v="8116596"/>
    <s v="123-003-116-011"/>
    <x v="25"/>
    <x v="9"/>
    <d v="2022-09-15T00:00:00"/>
    <s v="Kimberly Hill"/>
    <d v="2022-10-01T00:00:00"/>
    <d v="2022-10-31T00:00:00"/>
    <s v="new to org"/>
    <x v="1"/>
    <x v="1"/>
    <x v="0"/>
    <b v="0"/>
    <x v="0"/>
    <x v="0"/>
    <b v="1"/>
  </r>
  <r>
    <n v="8116596"/>
    <s v="123-003-116-012"/>
    <x v="25"/>
    <x v="9"/>
    <d v="2022-05-19T00:00:00"/>
    <s v="Nancy Mitchell"/>
    <d v="2022-05-25T00:00:00"/>
    <m/>
    <s v="rescinded"/>
    <x v="0"/>
    <x v="1"/>
    <x v="1"/>
    <b v="0"/>
    <x v="0"/>
    <x v="0"/>
    <b v="0"/>
  </r>
  <r>
    <n v="9797610"/>
    <s v="123-008-123-015"/>
    <x v="19"/>
    <x v="5"/>
    <d v="2023-04-27T00:00:00"/>
    <s v="Barbara Martinez"/>
    <d v="2023-04-30T00:00:00"/>
    <m/>
    <s v="rescinded"/>
    <x v="0"/>
    <x v="1"/>
    <x v="1"/>
    <b v="0"/>
    <x v="0"/>
    <x v="0"/>
    <b v="0"/>
  </r>
  <r>
    <n v="1093993"/>
    <s v="123-004-110-007"/>
    <x v="12"/>
    <x v="1"/>
    <d v="2022-03-04T00:00:00"/>
    <s v="Nancy Miller"/>
    <d v="2022-03-24T00:00:00"/>
    <d v="2022-04-23T00:00:00"/>
    <m/>
    <x v="1"/>
    <x v="1"/>
    <x v="0"/>
    <b v="0"/>
    <x v="0"/>
    <x v="0"/>
    <b v="0"/>
  </r>
  <r>
    <n v="1093993"/>
    <s v="123-004-110-008"/>
    <x v="12"/>
    <x v="1"/>
    <d v="2022-08-20T00:00:00"/>
    <s v="Daniel Green"/>
    <d v="2022-09-01T00:00:00"/>
    <d v="2022-10-12T00:00:00"/>
    <s v="transfer"/>
    <x v="1"/>
    <x v="1"/>
    <x v="0"/>
    <b v="0"/>
    <x v="1"/>
    <x v="0"/>
    <b v="0"/>
  </r>
  <r>
    <n v="1237053"/>
    <s v="123-004-130-009"/>
    <x v="23"/>
    <x v="1"/>
    <d v="2023-03-13T00:00:00"/>
    <s v="Ava Parker"/>
    <d v="2023-04-01T00:00:00"/>
    <m/>
    <s v="declined"/>
    <x v="0"/>
    <x v="0"/>
    <x v="0"/>
    <b v="0"/>
    <x v="0"/>
    <x v="0"/>
    <b v="0"/>
  </r>
  <r>
    <n v="1237053"/>
    <s v="123-004-130-010"/>
    <x v="23"/>
    <x v="1"/>
    <d v="2023-02-17T00:00:00"/>
    <s v="Michelle Roberts"/>
    <d v="2023-03-19T00:00:00"/>
    <d v="2023-04-05T00:00:00"/>
    <s v="new to org"/>
    <x v="1"/>
    <x v="1"/>
    <x v="0"/>
    <b v="0"/>
    <x v="0"/>
    <x v="0"/>
    <b v="1"/>
  </r>
  <r>
    <n v="1237053"/>
    <s v="123-004-130-011"/>
    <x v="23"/>
    <x v="1"/>
    <d v="2022-06-06T00:00:00"/>
    <s v="John Nguyen"/>
    <d v="2022-06-10T00:00:00"/>
    <d v="2022-07-27T00:00:00"/>
    <s v="promo"/>
    <x v="1"/>
    <x v="1"/>
    <x v="0"/>
    <b v="0"/>
    <x v="0"/>
    <x v="1"/>
    <b v="0"/>
  </r>
  <r>
    <n v="4631285"/>
    <s v="123-003-109-003"/>
    <x v="21"/>
    <x v="9"/>
    <d v="2023-01-28T00:00:00"/>
    <s v="Ethan King"/>
    <d v="2023-02-08T00:00:00"/>
    <d v="2023-03-17T00:00:00"/>
    <s v="promo"/>
    <x v="1"/>
    <x v="1"/>
    <x v="0"/>
    <b v="0"/>
    <x v="0"/>
    <x v="1"/>
    <b v="0"/>
  </r>
  <r>
    <n v="4631285"/>
    <s v="123-003-109-004"/>
    <x v="21"/>
    <x v="9"/>
    <d v="2023-04-30T00:00:00"/>
    <s v="Ethan Mitchell"/>
    <d v="2023-05-07T00:00:00"/>
    <d v="2023-05-18T00:00:00"/>
    <s v="new to org"/>
    <x v="1"/>
    <x v="1"/>
    <x v="0"/>
    <b v="0"/>
    <x v="0"/>
    <x v="0"/>
    <b v="1"/>
  </r>
  <r>
    <n v="4631285"/>
    <s v="123-003-109-005"/>
    <x v="21"/>
    <x v="9"/>
    <d v="2022-04-04T00:00:00"/>
    <s v="Joseph Wilson"/>
    <d v="2022-05-04T00:00:00"/>
    <m/>
    <s v="declined"/>
    <x v="0"/>
    <x v="0"/>
    <x v="0"/>
    <b v="0"/>
    <x v="0"/>
    <x v="0"/>
    <b v="0"/>
  </r>
  <r>
    <n v="3457722"/>
    <s v="123-003-105-007"/>
    <x v="7"/>
    <x v="9"/>
    <d v="2022-02-23T00:00:00"/>
    <s v="John Edwards"/>
    <d v="2022-02-28T00:00:00"/>
    <d v="2022-04-02T00:00:00"/>
    <s v="new to org"/>
    <x v="1"/>
    <x v="1"/>
    <x v="0"/>
    <b v="0"/>
    <x v="0"/>
    <x v="0"/>
    <b v="1"/>
  </r>
  <r>
    <n v="3457722"/>
    <s v="123-003-105-008"/>
    <x v="7"/>
    <x v="9"/>
    <d v="2022-12-01T00:00:00"/>
    <s v="Kevin Walker"/>
    <d v="2022-12-11T00:00:00"/>
    <d v="2023-01-13T00:00:00"/>
    <m/>
    <x v="1"/>
    <x v="1"/>
    <x v="0"/>
    <b v="0"/>
    <x v="0"/>
    <x v="0"/>
    <b v="0"/>
  </r>
  <r>
    <n v="3457722"/>
    <s v="123-003-105-009"/>
    <x v="7"/>
    <x v="9"/>
    <d v="2023-01-22T00:00:00"/>
    <s v="Emily Sanchez"/>
    <d v="2023-02-16T00:00:00"/>
    <d v="2023-03-13T00:00:00"/>
    <s v="promo"/>
    <x v="1"/>
    <x v="1"/>
    <x v="0"/>
    <b v="0"/>
    <x v="0"/>
    <x v="1"/>
    <b v="0"/>
  </r>
  <r>
    <n v="3457722"/>
    <s v="123-003-105-010"/>
    <x v="7"/>
    <x v="9"/>
    <d v="2023-06-19T00:00:00"/>
    <s v="Karen Turner"/>
    <d v="2023-06-30T00:00:00"/>
    <d v="2023-08-03T00:00:00"/>
    <s v="new to org"/>
    <x v="1"/>
    <x v="1"/>
    <x v="0"/>
    <b v="0"/>
    <x v="0"/>
    <x v="0"/>
    <b v="1"/>
  </r>
  <r>
    <n v="2311972"/>
    <s v="123-010-129-007"/>
    <x v="14"/>
    <x v="6"/>
    <d v="2023-03-24T00:00:00"/>
    <s v="Dorothy Martinez"/>
    <d v="2023-04-11T00:00:00"/>
    <d v="2023-05-10T00:00:00"/>
    <s v="new to org"/>
    <x v="1"/>
    <x v="1"/>
    <x v="0"/>
    <b v="0"/>
    <x v="0"/>
    <x v="0"/>
    <b v="1"/>
  </r>
  <r>
    <n v="2311972"/>
    <s v="123-010-129-008"/>
    <x v="14"/>
    <x v="6"/>
    <d v="2023-03-22T00:00:00"/>
    <s v="Amanda Davis"/>
    <d v="2023-04-12T00:00:00"/>
    <d v="2023-05-05T00:00:00"/>
    <s v="new to org"/>
    <x v="1"/>
    <x v="1"/>
    <x v="0"/>
    <b v="0"/>
    <x v="0"/>
    <x v="0"/>
    <b v="1"/>
  </r>
  <r>
    <n v="3986552"/>
    <s v="123-006-101-008"/>
    <x v="0"/>
    <x v="2"/>
    <d v="2022-08-07T00:00:00"/>
    <s v="George Ramirez"/>
    <d v="2022-08-27T00:00:00"/>
    <d v="2022-10-02T00:00:00"/>
    <s v="new to org"/>
    <x v="1"/>
    <x v="1"/>
    <x v="0"/>
    <b v="0"/>
    <x v="0"/>
    <x v="0"/>
    <b v="1"/>
  </r>
  <r>
    <n v="3986552"/>
    <s v="123-006-101-009"/>
    <x v="0"/>
    <x v="2"/>
    <d v="2022-07-03T00:00:00"/>
    <s v="Matthew White"/>
    <d v="2022-08-02T00:00:00"/>
    <d v="2022-09-19T00:00:00"/>
    <s v="promo"/>
    <x v="1"/>
    <x v="1"/>
    <x v="0"/>
    <b v="0"/>
    <x v="0"/>
    <x v="1"/>
    <b v="0"/>
  </r>
  <r>
    <n v="3986552"/>
    <s v="123-006-101-010"/>
    <x v="0"/>
    <x v="2"/>
    <d v="2023-06-23T00:00:00"/>
    <s v="Mark White"/>
    <d v="2023-06-30T00:00:00"/>
    <d v="2023-07-01T00:00:00"/>
    <s v="promo"/>
    <x v="1"/>
    <x v="1"/>
    <x v="0"/>
    <b v="0"/>
    <x v="0"/>
    <x v="1"/>
    <b v="0"/>
  </r>
  <r>
    <n v="3986552"/>
    <s v="123-006-101-011"/>
    <x v="0"/>
    <x v="2"/>
    <d v="2023-01-13T00:00:00"/>
    <s v="Michael Collins"/>
    <d v="2023-02-12T00:00:00"/>
    <d v="2023-03-01T00:00:00"/>
    <s v="new to org"/>
    <x v="1"/>
    <x v="1"/>
    <x v="0"/>
    <b v="0"/>
    <x v="0"/>
    <x v="0"/>
    <b v="1"/>
  </r>
  <r>
    <n v="9435472"/>
    <s v="123-001-130-004"/>
    <x v="23"/>
    <x v="3"/>
    <d v="2023-05-06T00:00:00"/>
    <s v="Carol Moore"/>
    <d v="2023-05-19T00:00:00"/>
    <m/>
    <s v="declined"/>
    <x v="0"/>
    <x v="0"/>
    <x v="0"/>
    <b v="0"/>
    <x v="0"/>
    <x v="0"/>
    <b v="0"/>
  </r>
  <r>
    <n v="9435472"/>
    <s v="123-001-130-005"/>
    <x v="23"/>
    <x v="3"/>
    <d v="2022-06-06T00:00:00"/>
    <s v="Lisa Johnson"/>
    <d v="2022-06-29T00:00:00"/>
    <m/>
    <s v="declined"/>
    <x v="0"/>
    <x v="0"/>
    <x v="0"/>
    <b v="0"/>
    <x v="0"/>
    <x v="0"/>
    <b v="0"/>
  </r>
  <r>
    <n v="9435472"/>
    <s v="123-001-130-006"/>
    <x v="23"/>
    <x v="3"/>
    <d v="2022-02-28T00:00:00"/>
    <s v="Sarah Green"/>
    <d v="2022-03-19T00:00:00"/>
    <d v="2022-05-11T00:00:00"/>
    <s v="new to org"/>
    <x v="1"/>
    <x v="1"/>
    <x v="0"/>
    <b v="0"/>
    <x v="0"/>
    <x v="0"/>
    <b v="1"/>
  </r>
  <r>
    <n v="9435472"/>
    <s v="123-001-130-007"/>
    <x v="23"/>
    <x v="3"/>
    <d v="2023-04-11T00:00:00"/>
    <s v="Dorothy Walker"/>
    <d v="2023-04-27T00:00:00"/>
    <m/>
    <s v="declined"/>
    <x v="0"/>
    <x v="0"/>
    <x v="0"/>
    <b v="0"/>
    <x v="0"/>
    <x v="0"/>
    <b v="0"/>
  </r>
  <r>
    <n v="9435472"/>
    <s v="123-001-130-008"/>
    <x v="23"/>
    <x v="3"/>
    <d v="2022-04-17T00:00:00"/>
    <s v="Melissa Parker"/>
    <d v="2022-04-19T00:00:00"/>
    <m/>
    <s v="declined"/>
    <x v="0"/>
    <x v="0"/>
    <x v="0"/>
    <b v="0"/>
    <x v="0"/>
    <x v="0"/>
    <b v="0"/>
  </r>
  <r>
    <n v="3968018"/>
    <s v="123-003-128-011"/>
    <x v="10"/>
    <x v="9"/>
    <d v="2022-03-05T00:00:00"/>
    <s v="Patricia Lewis"/>
    <d v="2022-03-16T00:00:00"/>
    <d v="2022-03-23T00:00:00"/>
    <s v="transfer"/>
    <x v="1"/>
    <x v="1"/>
    <x v="0"/>
    <b v="0"/>
    <x v="1"/>
    <x v="0"/>
    <b v="0"/>
  </r>
  <r>
    <n v="5655311"/>
    <s v="123-004-128-006"/>
    <x v="10"/>
    <x v="1"/>
    <d v="2022-11-21T00:00:00"/>
    <s v="Mason Baker"/>
    <d v="2022-12-20T00:00:00"/>
    <d v="2023-02-04T00:00:00"/>
    <s v="new to org"/>
    <x v="1"/>
    <x v="1"/>
    <x v="0"/>
    <b v="0"/>
    <x v="0"/>
    <x v="0"/>
    <b v="1"/>
  </r>
  <r>
    <n v="5655311"/>
    <s v="123-004-128-007"/>
    <x v="10"/>
    <x v="1"/>
    <d v="2023-01-11T00:00:00"/>
    <s v="Donna Campbell"/>
    <d v="2023-01-28T00:00:00"/>
    <m/>
    <s v="declined"/>
    <x v="0"/>
    <x v="0"/>
    <x v="0"/>
    <b v="0"/>
    <x v="0"/>
    <x v="0"/>
    <b v="0"/>
  </r>
  <r>
    <n v="5655311"/>
    <s v="123-004-128-008"/>
    <x v="10"/>
    <x v="1"/>
    <d v="2023-03-03T00:00:00"/>
    <s v="Kevin Sanchez"/>
    <d v="2023-03-30T00:00:00"/>
    <m/>
    <s v="declined"/>
    <x v="0"/>
    <x v="0"/>
    <x v="0"/>
    <b v="0"/>
    <x v="0"/>
    <x v="0"/>
    <b v="0"/>
  </r>
  <r>
    <n v="5655311"/>
    <s v="123-004-128-009"/>
    <x v="10"/>
    <x v="1"/>
    <d v="2023-05-29T00:00:00"/>
    <s v="John Gonzalez"/>
    <d v="2023-06-03T00:00:00"/>
    <d v="2023-07-20T00:00:00"/>
    <s v="transfer"/>
    <x v="1"/>
    <x v="1"/>
    <x v="0"/>
    <b v="0"/>
    <x v="1"/>
    <x v="0"/>
    <b v="0"/>
  </r>
  <r>
    <n v="5655311"/>
    <s v="123-004-128-010"/>
    <x v="10"/>
    <x v="1"/>
    <d v="2022-02-15T00:00:00"/>
    <s v="Barbara Lewis"/>
    <d v="2022-02-24T00:00:00"/>
    <m/>
    <s v="rescinded"/>
    <x v="0"/>
    <x v="1"/>
    <x v="1"/>
    <b v="0"/>
    <x v="0"/>
    <x v="0"/>
    <b v="0"/>
  </r>
  <r>
    <n v="4333354"/>
    <s v="123-009-123-009"/>
    <x v="19"/>
    <x v="8"/>
    <d v="2022-01-04T00:00:00"/>
    <s v="Melissa Turner"/>
    <d v="2022-01-14T00:00:00"/>
    <m/>
    <s v="declined"/>
    <x v="0"/>
    <x v="0"/>
    <x v="0"/>
    <b v="0"/>
    <x v="0"/>
    <x v="0"/>
    <b v="0"/>
  </r>
  <r>
    <n v="4333354"/>
    <s v="123-009-123-010"/>
    <x v="19"/>
    <x v="8"/>
    <d v="2022-12-16T00:00:00"/>
    <s v="Daniel Davis"/>
    <d v="2022-12-31T00:00:00"/>
    <m/>
    <s v="declined"/>
    <x v="0"/>
    <x v="0"/>
    <x v="0"/>
    <b v="0"/>
    <x v="0"/>
    <x v="0"/>
    <b v="0"/>
  </r>
  <r>
    <n v="4333354"/>
    <s v="123-009-123-011"/>
    <x v="19"/>
    <x v="8"/>
    <d v="2022-04-01T00:00:00"/>
    <s v="Andrew Robinson"/>
    <d v="2022-04-05T00:00:00"/>
    <d v="2022-06-03T00:00:00"/>
    <s v="transfer"/>
    <x v="1"/>
    <x v="1"/>
    <x v="0"/>
    <b v="0"/>
    <x v="1"/>
    <x v="0"/>
    <b v="0"/>
  </r>
  <r>
    <n v="4333354"/>
    <s v="123-009-123-012"/>
    <x v="19"/>
    <x v="8"/>
    <d v="2022-07-10T00:00:00"/>
    <s v="George Garcia"/>
    <d v="2022-07-21T00:00:00"/>
    <m/>
    <s v="declined"/>
    <x v="0"/>
    <x v="0"/>
    <x v="0"/>
    <b v="0"/>
    <x v="0"/>
    <x v="0"/>
    <b v="0"/>
  </r>
  <r>
    <n v="1337345"/>
    <s v="123-003-125-010"/>
    <x v="3"/>
    <x v="9"/>
    <d v="2022-03-25T00:00:00"/>
    <s v="Lisa Robinson"/>
    <d v="2022-04-23T00:00:00"/>
    <m/>
    <s v="declined"/>
    <x v="0"/>
    <x v="0"/>
    <x v="0"/>
    <b v="0"/>
    <x v="0"/>
    <x v="0"/>
    <b v="0"/>
  </r>
  <r>
    <n v="5139478"/>
    <s v="123-004-110-009"/>
    <x v="12"/>
    <x v="1"/>
    <d v="2022-10-21T00:00:00"/>
    <s v="Matthew Rivera"/>
    <d v="2022-10-27T00:00:00"/>
    <m/>
    <s v="rescinded"/>
    <x v="0"/>
    <x v="1"/>
    <x v="1"/>
    <b v="0"/>
    <x v="0"/>
    <x v="0"/>
    <b v="0"/>
  </r>
  <r>
    <n v="5139478"/>
    <s v="123-004-110-010"/>
    <x v="12"/>
    <x v="1"/>
    <d v="2023-02-28T00:00:00"/>
    <s v="Andrew Lee"/>
    <d v="2023-03-08T00:00:00"/>
    <m/>
    <s v="declined"/>
    <x v="0"/>
    <x v="0"/>
    <x v="0"/>
    <b v="0"/>
    <x v="0"/>
    <x v="0"/>
    <b v="0"/>
  </r>
  <r>
    <n v="4158231"/>
    <s v="123-004-109-005"/>
    <x v="21"/>
    <x v="1"/>
    <d v="2022-09-28T00:00:00"/>
    <s v="Brian Lewis"/>
    <d v="2022-10-01T00:00:00"/>
    <d v="2022-11-02T00:00:00"/>
    <s v="new to org"/>
    <x v="1"/>
    <x v="1"/>
    <x v="0"/>
    <b v="0"/>
    <x v="0"/>
    <x v="0"/>
    <b v="1"/>
  </r>
  <r>
    <n v="4158231"/>
    <s v="123-004-109-006"/>
    <x v="21"/>
    <x v="1"/>
    <d v="2023-06-20T00:00:00"/>
    <s v="Daniel Roberts"/>
    <d v="2023-07-05T00:00:00"/>
    <d v="2023-08-28T00:00:00"/>
    <s v="new to org"/>
    <x v="1"/>
    <x v="1"/>
    <x v="0"/>
    <b v="0"/>
    <x v="0"/>
    <x v="0"/>
    <b v="1"/>
  </r>
  <r>
    <n v="3860089"/>
    <s v="123-010-102-003"/>
    <x v="27"/>
    <x v="6"/>
    <d v="2023-03-21T00:00:00"/>
    <s v="Andrew Wilson"/>
    <d v="2023-04-02T00:00:00"/>
    <m/>
    <s v="declined"/>
    <x v="0"/>
    <x v="0"/>
    <x v="0"/>
    <b v="0"/>
    <x v="0"/>
    <x v="0"/>
    <b v="0"/>
  </r>
  <r>
    <n v="3860089"/>
    <s v="123-010-102-004"/>
    <x v="27"/>
    <x v="6"/>
    <d v="2023-05-31T00:00:00"/>
    <s v="Susan Perez"/>
    <d v="2023-06-18T00:00:00"/>
    <d v="2023-08-11T00:00:00"/>
    <s v="new to org"/>
    <x v="1"/>
    <x v="1"/>
    <x v="0"/>
    <b v="0"/>
    <x v="0"/>
    <x v="0"/>
    <b v="1"/>
  </r>
  <r>
    <n v="3860089"/>
    <s v="123-010-102-005"/>
    <x v="27"/>
    <x v="6"/>
    <d v="2022-08-04T00:00:00"/>
    <s v="Jennifer Allen"/>
    <d v="2022-08-13T00:00:00"/>
    <d v="2022-08-27T00:00:00"/>
    <s v="new to org"/>
    <x v="1"/>
    <x v="1"/>
    <x v="0"/>
    <b v="0"/>
    <x v="0"/>
    <x v="0"/>
    <b v="1"/>
  </r>
  <r>
    <n v="3860089"/>
    <s v="123-010-102-006"/>
    <x v="27"/>
    <x v="6"/>
    <d v="2023-06-14T00:00:00"/>
    <s v="Jackson Davis"/>
    <d v="2023-07-06T00:00:00"/>
    <d v="2023-08-16T00:00:00"/>
    <s v="transfer"/>
    <x v="1"/>
    <x v="1"/>
    <x v="0"/>
    <b v="0"/>
    <x v="1"/>
    <x v="0"/>
    <b v="0"/>
  </r>
  <r>
    <n v="4127701"/>
    <s v="123-003-116-013"/>
    <x v="25"/>
    <x v="9"/>
    <d v="2022-02-04T00:00:00"/>
    <s v="Andrew Harris"/>
    <d v="2022-02-15T00:00:00"/>
    <d v="2022-04-01T00:00:00"/>
    <s v="new to org"/>
    <x v="1"/>
    <x v="1"/>
    <x v="0"/>
    <b v="0"/>
    <x v="0"/>
    <x v="0"/>
    <b v="1"/>
  </r>
  <r>
    <n v="4127701"/>
    <s v="123-003-116-014"/>
    <x v="25"/>
    <x v="9"/>
    <d v="2022-01-09T00:00:00"/>
    <s v="Daniel Parker"/>
    <d v="2022-01-15T00:00:00"/>
    <m/>
    <s v="declined"/>
    <x v="0"/>
    <x v="0"/>
    <x v="0"/>
    <b v="0"/>
    <x v="0"/>
    <x v="0"/>
    <b v="0"/>
  </r>
  <r>
    <n v="4127701"/>
    <s v="123-003-116-015"/>
    <x v="25"/>
    <x v="9"/>
    <d v="2022-04-13T00:00:00"/>
    <s v="Nancy Adams"/>
    <d v="2022-04-19T00:00:00"/>
    <d v="2022-06-17T00:00:00"/>
    <s v="new to org"/>
    <x v="1"/>
    <x v="1"/>
    <x v="0"/>
    <b v="0"/>
    <x v="0"/>
    <x v="0"/>
    <b v="1"/>
  </r>
  <r>
    <n v="4127701"/>
    <s v="123-003-116-016"/>
    <x v="25"/>
    <x v="9"/>
    <d v="2022-07-10T00:00:00"/>
    <s v="Sandra Wright"/>
    <d v="2022-08-04T00:00:00"/>
    <d v="2022-08-06T00:00:00"/>
    <s v="promo"/>
    <x v="1"/>
    <x v="1"/>
    <x v="0"/>
    <b v="0"/>
    <x v="0"/>
    <x v="1"/>
    <b v="0"/>
  </r>
  <r>
    <n v="8365343"/>
    <s v="123-010-126-007"/>
    <x v="5"/>
    <x v="6"/>
    <d v="2023-04-30T00:00:00"/>
    <s v="George Sanchez"/>
    <d v="2023-05-27T00:00:00"/>
    <d v="2023-06-12T00:00:00"/>
    <m/>
    <x v="1"/>
    <x v="1"/>
    <x v="0"/>
    <b v="0"/>
    <x v="0"/>
    <x v="0"/>
    <b v="0"/>
  </r>
  <r>
    <n v="8365343"/>
    <s v="123-010-126-008"/>
    <x v="5"/>
    <x v="6"/>
    <d v="2022-12-12T00:00:00"/>
    <s v="Lisa Hill"/>
    <d v="2022-12-28T00:00:00"/>
    <m/>
    <s v="rescinded"/>
    <x v="0"/>
    <x v="1"/>
    <x v="1"/>
    <b v="0"/>
    <x v="0"/>
    <x v="0"/>
    <b v="0"/>
  </r>
  <r>
    <n v="8365343"/>
    <s v="123-010-126-009"/>
    <x v="5"/>
    <x v="6"/>
    <d v="2022-08-28T00:00:00"/>
    <s v="Robert Cruz"/>
    <d v="2022-09-22T00:00:00"/>
    <d v="2022-11-21T00:00:00"/>
    <s v="new to org"/>
    <x v="1"/>
    <x v="1"/>
    <x v="0"/>
    <b v="0"/>
    <x v="0"/>
    <x v="0"/>
    <b v="1"/>
  </r>
  <r>
    <n v="8365343"/>
    <s v="123-010-126-010"/>
    <x v="5"/>
    <x v="6"/>
    <d v="2022-10-03T00:00:00"/>
    <s v="Anthony Ramirez"/>
    <d v="2022-10-22T00:00:00"/>
    <d v="2022-11-17T00:00:00"/>
    <s v="transfer"/>
    <x v="1"/>
    <x v="1"/>
    <x v="0"/>
    <b v="0"/>
    <x v="1"/>
    <x v="0"/>
    <b v="0"/>
  </r>
  <r>
    <n v="1479076"/>
    <s v="123-009-106-001"/>
    <x v="4"/>
    <x v="8"/>
    <d v="2022-05-23T00:00:00"/>
    <s v="Charlotte Torres"/>
    <d v="2022-05-28T00:00:00"/>
    <d v="2022-07-10T00:00:00"/>
    <s v="promo"/>
    <x v="1"/>
    <x v="1"/>
    <x v="0"/>
    <b v="0"/>
    <x v="0"/>
    <x v="1"/>
    <b v="0"/>
  </r>
  <r>
    <n v="1479076"/>
    <s v="123-009-106-002"/>
    <x v="4"/>
    <x v="8"/>
    <d v="2022-05-25T00:00:00"/>
    <s v="Jennifer Martin"/>
    <d v="2022-06-20T00:00:00"/>
    <d v="2022-07-13T00:00:00"/>
    <s v="transfer"/>
    <x v="1"/>
    <x v="1"/>
    <x v="0"/>
    <b v="0"/>
    <x v="1"/>
    <x v="0"/>
    <b v="0"/>
  </r>
  <r>
    <n v="8695935"/>
    <s v="123-003-113-005"/>
    <x v="6"/>
    <x v="9"/>
    <m/>
    <m/>
    <m/>
    <m/>
    <s v="cancelled"/>
    <x v="0"/>
    <x v="1"/>
    <x v="0"/>
    <b v="1"/>
    <x v="0"/>
    <x v="0"/>
    <b v="0"/>
  </r>
  <r>
    <n v="8695935"/>
    <s v="123-003-113-006"/>
    <x v="6"/>
    <x v="9"/>
    <d v="2022-11-05T00:00:00"/>
    <s v="Olivia Lopez"/>
    <d v="2022-11-15T00:00:00"/>
    <m/>
    <s v="declined"/>
    <x v="0"/>
    <x v="0"/>
    <x v="0"/>
    <b v="0"/>
    <x v="0"/>
    <x v="0"/>
    <b v="0"/>
  </r>
  <r>
    <n v="8695935"/>
    <s v="123-003-113-007"/>
    <x v="6"/>
    <x v="9"/>
    <m/>
    <m/>
    <m/>
    <m/>
    <s v="cancelled"/>
    <x v="0"/>
    <x v="1"/>
    <x v="0"/>
    <b v="1"/>
    <x v="0"/>
    <x v="0"/>
    <b v="0"/>
  </r>
  <r>
    <n v="8695935"/>
    <s v="123-003-113-008"/>
    <x v="6"/>
    <x v="9"/>
    <d v="2022-04-03T00:00:00"/>
    <s v="Susan Ramirez"/>
    <d v="2022-04-27T00:00:00"/>
    <m/>
    <s v="declined"/>
    <x v="0"/>
    <x v="0"/>
    <x v="0"/>
    <b v="0"/>
    <x v="0"/>
    <x v="0"/>
    <b v="0"/>
  </r>
  <r>
    <n v="5105930"/>
    <s v="123-009-105-006"/>
    <x v="7"/>
    <x v="8"/>
    <m/>
    <m/>
    <m/>
    <m/>
    <s v="cancelled"/>
    <x v="0"/>
    <x v="1"/>
    <x v="0"/>
    <b v="1"/>
    <x v="0"/>
    <x v="0"/>
    <b v="0"/>
  </r>
  <r>
    <n v="5105930"/>
    <s v="123-009-105-007"/>
    <x v="7"/>
    <x v="8"/>
    <d v="2023-02-08T00:00:00"/>
    <s v="Michael Walker"/>
    <d v="2023-03-03T00:00:00"/>
    <m/>
    <s v="declined"/>
    <x v="0"/>
    <x v="0"/>
    <x v="0"/>
    <b v="0"/>
    <x v="0"/>
    <x v="0"/>
    <b v="0"/>
  </r>
  <r>
    <n v="5105930"/>
    <s v="123-009-105-008"/>
    <x v="7"/>
    <x v="8"/>
    <d v="2023-01-21T00:00:00"/>
    <s v="Donald Nelson"/>
    <d v="2023-02-17T00:00:00"/>
    <m/>
    <s v="declined"/>
    <x v="0"/>
    <x v="0"/>
    <x v="0"/>
    <b v="0"/>
    <x v="0"/>
    <x v="0"/>
    <b v="0"/>
  </r>
  <r>
    <n v="8775970"/>
    <s v="123-004-123-004"/>
    <x v="19"/>
    <x v="1"/>
    <d v="2022-05-17T00:00:00"/>
    <s v="Christopher Carter"/>
    <d v="2022-05-30T00:00:00"/>
    <m/>
    <s v="rescinded"/>
    <x v="0"/>
    <x v="1"/>
    <x v="1"/>
    <b v="0"/>
    <x v="0"/>
    <x v="0"/>
    <b v="0"/>
  </r>
  <r>
    <n v="6488025"/>
    <s v="123-005-129-004"/>
    <x v="14"/>
    <x v="0"/>
    <d v="2022-01-28T00:00:00"/>
    <s v="Daniel Young"/>
    <d v="2022-02-05T00:00:00"/>
    <d v="2022-04-03T00:00:00"/>
    <s v="transfer"/>
    <x v="1"/>
    <x v="1"/>
    <x v="0"/>
    <b v="0"/>
    <x v="1"/>
    <x v="0"/>
    <b v="0"/>
  </r>
  <r>
    <n v="6488025"/>
    <s v="123-005-129-005"/>
    <x v="14"/>
    <x v="0"/>
    <d v="2022-12-15T00:00:00"/>
    <s v="Lisa White"/>
    <d v="2023-01-01T00:00:00"/>
    <d v="2023-02-23T00:00:00"/>
    <s v="promo"/>
    <x v="1"/>
    <x v="1"/>
    <x v="0"/>
    <b v="0"/>
    <x v="0"/>
    <x v="1"/>
    <b v="0"/>
  </r>
  <r>
    <n v="6488025"/>
    <s v="123-005-129-006"/>
    <x v="14"/>
    <x v="0"/>
    <d v="2023-02-12T00:00:00"/>
    <s v="Joshua Carter"/>
    <d v="2023-03-14T00:00:00"/>
    <m/>
    <s v="declined"/>
    <x v="0"/>
    <x v="0"/>
    <x v="0"/>
    <b v="0"/>
    <x v="0"/>
    <x v="0"/>
    <b v="0"/>
  </r>
  <r>
    <n v="6488025"/>
    <s v="123-005-129-007"/>
    <x v="14"/>
    <x v="0"/>
    <d v="2023-05-27T00:00:00"/>
    <s v="Joseph Rodriguez"/>
    <d v="2023-06-03T00:00:00"/>
    <m/>
    <s v="declined"/>
    <x v="0"/>
    <x v="0"/>
    <x v="0"/>
    <b v="0"/>
    <x v="0"/>
    <x v="0"/>
    <b v="0"/>
  </r>
  <r>
    <n v="1742356"/>
    <s v="123-005-107-012"/>
    <x v="26"/>
    <x v="0"/>
    <m/>
    <m/>
    <m/>
    <m/>
    <s v="cancelled"/>
    <x v="0"/>
    <x v="1"/>
    <x v="0"/>
    <b v="1"/>
    <x v="0"/>
    <x v="0"/>
    <b v="0"/>
  </r>
  <r>
    <n v="1742356"/>
    <s v="123-005-107-013"/>
    <x v="26"/>
    <x v="0"/>
    <d v="2022-06-04T00:00:00"/>
    <s v="Barbara Ramirez"/>
    <d v="2022-06-14T00:00:00"/>
    <m/>
    <s v="rescinded"/>
    <x v="0"/>
    <x v="1"/>
    <x v="1"/>
    <b v="0"/>
    <x v="0"/>
    <x v="0"/>
    <b v="0"/>
  </r>
  <r>
    <n v="1742356"/>
    <s v="123-005-107-014"/>
    <x v="26"/>
    <x v="0"/>
    <d v="2023-05-08T00:00:00"/>
    <s v="Amanda Evans"/>
    <d v="2023-05-10T00:00:00"/>
    <m/>
    <s v="rescinded"/>
    <x v="0"/>
    <x v="1"/>
    <x v="1"/>
    <b v="0"/>
    <x v="0"/>
    <x v="0"/>
    <b v="0"/>
  </r>
  <r>
    <n v="1742356"/>
    <s v="123-005-107-015"/>
    <x v="26"/>
    <x v="0"/>
    <d v="2022-06-17T00:00:00"/>
    <s v="Anthony Lopez"/>
    <d v="2022-06-30T00:00:00"/>
    <m/>
    <s v="declined"/>
    <x v="0"/>
    <x v="0"/>
    <x v="0"/>
    <b v="0"/>
    <x v="0"/>
    <x v="0"/>
    <b v="0"/>
  </r>
  <r>
    <n v="9679668"/>
    <s v="123-002-127-009"/>
    <x v="16"/>
    <x v="7"/>
    <d v="2022-04-14T00:00:00"/>
    <s v="Amanda Campbell"/>
    <d v="2022-05-05T00:00:00"/>
    <d v="2022-06-30T00:00:00"/>
    <s v="new to org"/>
    <x v="1"/>
    <x v="1"/>
    <x v="0"/>
    <b v="0"/>
    <x v="0"/>
    <x v="0"/>
    <b v="1"/>
  </r>
  <r>
    <n v="9679668"/>
    <s v="123-002-127-010"/>
    <x v="16"/>
    <x v="7"/>
    <d v="2022-05-12T00:00:00"/>
    <s v="David Lee"/>
    <d v="2022-05-31T00:00:00"/>
    <d v="2022-07-03T00:00:00"/>
    <s v="transfer"/>
    <x v="1"/>
    <x v="1"/>
    <x v="0"/>
    <b v="0"/>
    <x v="1"/>
    <x v="0"/>
    <b v="0"/>
  </r>
  <r>
    <n v="9679668"/>
    <s v="123-002-127-011"/>
    <x v="16"/>
    <x v="7"/>
    <d v="2023-02-16T00:00:00"/>
    <s v="James Young"/>
    <d v="2023-03-02T00:00:00"/>
    <d v="2023-04-21T00:00:00"/>
    <m/>
    <x v="1"/>
    <x v="1"/>
    <x v="0"/>
    <b v="0"/>
    <x v="0"/>
    <x v="0"/>
    <b v="0"/>
  </r>
  <r>
    <n v="9679668"/>
    <s v="123-002-127-012"/>
    <x v="16"/>
    <x v="7"/>
    <d v="2022-04-29T00:00:00"/>
    <s v="Margaret Taylor"/>
    <d v="2022-05-19T00:00:00"/>
    <m/>
    <s v="declined"/>
    <x v="0"/>
    <x v="0"/>
    <x v="0"/>
    <b v="0"/>
    <x v="0"/>
    <x v="0"/>
    <b v="0"/>
  </r>
  <r>
    <n v="8554276"/>
    <s v="123-006-117-006"/>
    <x v="9"/>
    <x v="2"/>
    <d v="2022-07-03T00:00:00"/>
    <s v="Linda Gomez"/>
    <d v="2022-07-17T00:00:00"/>
    <d v="2022-08-21T00:00:00"/>
    <s v="new to org"/>
    <x v="1"/>
    <x v="1"/>
    <x v="0"/>
    <b v="0"/>
    <x v="0"/>
    <x v="0"/>
    <b v="1"/>
  </r>
  <r>
    <n v="8554276"/>
    <s v="123-006-117-007"/>
    <x v="9"/>
    <x v="2"/>
    <d v="2022-12-12T00:00:00"/>
    <s v="Elizabeth Smith"/>
    <d v="2023-01-11T00:00:00"/>
    <d v="2023-02-26T00:00:00"/>
    <s v="transfer"/>
    <x v="1"/>
    <x v="1"/>
    <x v="0"/>
    <b v="0"/>
    <x v="1"/>
    <x v="0"/>
    <b v="0"/>
  </r>
  <r>
    <n v="8554276"/>
    <s v="123-006-117-008"/>
    <x v="9"/>
    <x v="2"/>
    <d v="2023-04-11T00:00:00"/>
    <s v="Steven Evans"/>
    <d v="2023-04-25T00:00:00"/>
    <d v="2023-04-29T00:00:00"/>
    <s v="promo"/>
    <x v="1"/>
    <x v="1"/>
    <x v="0"/>
    <b v="0"/>
    <x v="0"/>
    <x v="1"/>
    <b v="0"/>
  </r>
  <r>
    <n v="8554276"/>
    <s v="123-006-117-009"/>
    <x v="9"/>
    <x v="2"/>
    <d v="2023-05-17T00:00:00"/>
    <s v="Linda Parker"/>
    <d v="2023-06-01T00:00:00"/>
    <d v="2023-06-25T00:00:00"/>
    <s v="transfer"/>
    <x v="1"/>
    <x v="1"/>
    <x v="0"/>
    <b v="0"/>
    <x v="1"/>
    <x v="0"/>
    <b v="0"/>
  </r>
  <r>
    <n v="1840094"/>
    <s v="123-010-129-009"/>
    <x v="14"/>
    <x v="6"/>
    <d v="2022-10-31T00:00:00"/>
    <s v="Nancy Baker"/>
    <d v="2022-11-25T00:00:00"/>
    <m/>
    <s v="declined"/>
    <x v="0"/>
    <x v="0"/>
    <x v="0"/>
    <b v="0"/>
    <x v="0"/>
    <x v="0"/>
    <b v="0"/>
  </r>
  <r>
    <n v="1840094"/>
    <s v="123-010-129-010"/>
    <x v="14"/>
    <x v="6"/>
    <d v="2023-01-01T00:00:00"/>
    <s v="Barbara Jackson"/>
    <d v="2023-01-15T00:00:00"/>
    <d v="2023-01-17T00:00:00"/>
    <s v="new to org"/>
    <x v="1"/>
    <x v="1"/>
    <x v="0"/>
    <b v="0"/>
    <x v="0"/>
    <x v="0"/>
    <b v="1"/>
  </r>
  <r>
    <n v="1840094"/>
    <s v="123-010-129-011"/>
    <x v="14"/>
    <x v="6"/>
    <d v="2022-04-25T00:00:00"/>
    <s v="Kenneth Williams"/>
    <d v="2022-05-07T00:00:00"/>
    <d v="2022-06-23T00:00:00"/>
    <s v="new to org"/>
    <x v="1"/>
    <x v="1"/>
    <x v="0"/>
    <b v="0"/>
    <x v="0"/>
    <x v="0"/>
    <b v="1"/>
  </r>
  <r>
    <n v="1614253"/>
    <s v="123-007-118-004"/>
    <x v="1"/>
    <x v="4"/>
    <d v="2022-05-10T00:00:00"/>
    <s v="Paul Miller"/>
    <d v="2022-06-03T00:00:00"/>
    <m/>
    <s v="declined"/>
    <x v="0"/>
    <x v="0"/>
    <x v="0"/>
    <b v="0"/>
    <x v="0"/>
    <x v="0"/>
    <b v="0"/>
  </r>
  <r>
    <n v="1614253"/>
    <s v="123-007-118-005"/>
    <x v="1"/>
    <x v="4"/>
    <d v="2022-10-09T00:00:00"/>
    <s v="Ashley Ramirez"/>
    <d v="2022-10-21T00:00:00"/>
    <m/>
    <s v="declined"/>
    <x v="0"/>
    <x v="0"/>
    <x v="0"/>
    <b v="0"/>
    <x v="0"/>
    <x v="0"/>
    <b v="0"/>
  </r>
  <r>
    <n v="8684482"/>
    <s v="123-010-123-005"/>
    <x v="19"/>
    <x v="6"/>
    <d v="2022-12-01T00:00:00"/>
    <s v="Robert Jones"/>
    <d v="2022-12-13T00:00:00"/>
    <d v="2022-12-16T00:00:00"/>
    <m/>
    <x v="1"/>
    <x v="1"/>
    <x v="0"/>
    <b v="0"/>
    <x v="0"/>
    <x v="0"/>
    <b v="0"/>
  </r>
  <r>
    <n v="8684482"/>
    <s v="123-010-123-006"/>
    <x v="19"/>
    <x v="6"/>
    <d v="2022-04-14T00:00:00"/>
    <s v="George Green"/>
    <d v="2022-04-27T00:00:00"/>
    <m/>
    <s v="declined"/>
    <x v="0"/>
    <x v="0"/>
    <x v="0"/>
    <b v="0"/>
    <x v="0"/>
    <x v="0"/>
    <b v="0"/>
  </r>
  <r>
    <n v="9600542"/>
    <s v="123-002-124-003"/>
    <x v="15"/>
    <x v="7"/>
    <d v="2022-01-23T00:00:00"/>
    <s v="Margaret Sanchez"/>
    <d v="2022-01-29T00:00:00"/>
    <d v="2022-03-18T00:00:00"/>
    <s v="new to org"/>
    <x v="1"/>
    <x v="1"/>
    <x v="0"/>
    <b v="0"/>
    <x v="0"/>
    <x v="0"/>
    <b v="1"/>
  </r>
  <r>
    <n v="9600542"/>
    <s v="123-002-124-004"/>
    <x v="15"/>
    <x v="7"/>
    <d v="2022-03-23T00:00:00"/>
    <s v="Carol Mitchell"/>
    <d v="2022-04-19T00:00:00"/>
    <m/>
    <s v="rescinded"/>
    <x v="0"/>
    <x v="1"/>
    <x v="1"/>
    <b v="0"/>
    <x v="0"/>
    <x v="0"/>
    <b v="0"/>
  </r>
  <r>
    <n v="9600542"/>
    <s v="123-002-124-005"/>
    <x v="15"/>
    <x v="7"/>
    <d v="2022-09-25T00:00:00"/>
    <s v="Sophia Gonzalez"/>
    <d v="2022-10-05T00:00:00"/>
    <d v="2022-11-14T00:00:00"/>
    <s v="transfer"/>
    <x v="1"/>
    <x v="1"/>
    <x v="0"/>
    <b v="0"/>
    <x v="1"/>
    <x v="0"/>
    <b v="0"/>
  </r>
  <r>
    <n v="9624152"/>
    <s v="123-004-118-010"/>
    <x v="1"/>
    <x v="1"/>
    <d v="2023-03-24T00:00:00"/>
    <s v="Donald Wilson"/>
    <d v="2023-04-02T00:00:00"/>
    <m/>
    <s v="rescinded"/>
    <x v="0"/>
    <x v="1"/>
    <x v="1"/>
    <b v="0"/>
    <x v="0"/>
    <x v="0"/>
    <b v="0"/>
  </r>
  <r>
    <n v="4115755"/>
    <s v="123-009-109-001"/>
    <x v="21"/>
    <x v="8"/>
    <d v="2022-10-07T00:00:00"/>
    <s v="Amanda Jackson"/>
    <d v="2022-10-08T00:00:00"/>
    <d v="2022-11-04T00:00:00"/>
    <s v="promo"/>
    <x v="1"/>
    <x v="1"/>
    <x v="0"/>
    <b v="0"/>
    <x v="0"/>
    <x v="1"/>
    <b v="0"/>
  </r>
  <r>
    <n v="4475171"/>
    <s v="123-007-101-010"/>
    <x v="0"/>
    <x v="4"/>
    <d v="2022-11-22T00:00:00"/>
    <s v="Sandra Hill"/>
    <d v="2022-11-26T00:00:00"/>
    <m/>
    <s v="declined"/>
    <x v="0"/>
    <x v="0"/>
    <x v="0"/>
    <b v="0"/>
    <x v="0"/>
    <x v="0"/>
    <b v="0"/>
  </r>
  <r>
    <n v="4475171"/>
    <s v="123-007-101-011"/>
    <x v="0"/>
    <x v="4"/>
    <d v="2022-11-29T00:00:00"/>
    <s v="Mary Rivera"/>
    <d v="2022-12-07T00:00:00"/>
    <m/>
    <s v="declined"/>
    <x v="0"/>
    <x v="0"/>
    <x v="0"/>
    <b v="0"/>
    <x v="0"/>
    <x v="0"/>
    <b v="0"/>
  </r>
  <r>
    <n v="2069085"/>
    <s v="123-005-120-014"/>
    <x v="13"/>
    <x v="0"/>
    <d v="2022-12-03T00:00:00"/>
    <s v="Kenneth Hill"/>
    <d v="2022-12-21T00:00:00"/>
    <d v="2023-01-15T00:00:00"/>
    <m/>
    <x v="1"/>
    <x v="1"/>
    <x v="0"/>
    <b v="0"/>
    <x v="0"/>
    <x v="0"/>
    <b v="0"/>
  </r>
  <r>
    <n v="2069085"/>
    <s v="123-005-120-015"/>
    <x v="13"/>
    <x v="0"/>
    <d v="2022-11-24T00:00:00"/>
    <s v="Nancy Perez"/>
    <d v="2022-12-06T00:00:00"/>
    <d v="2023-01-28T00:00:00"/>
    <s v="transfer"/>
    <x v="1"/>
    <x v="1"/>
    <x v="0"/>
    <b v="0"/>
    <x v="1"/>
    <x v="0"/>
    <b v="0"/>
  </r>
  <r>
    <n v="2069085"/>
    <s v="123-005-120-016"/>
    <x v="13"/>
    <x v="0"/>
    <d v="2023-05-26T00:00:00"/>
    <s v="Mia Mitchell"/>
    <d v="2023-06-02T00:00:00"/>
    <d v="2023-07-07T00:00:00"/>
    <m/>
    <x v="1"/>
    <x v="1"/>
    <x v="0"/>
    <b v="0"/>
    <x v="0"/>
    <x v="0"/>
    <b v="0"/>
  </r>
  <r>
    <n v="2069085"/>
    <s v="123-005-120-017"/>
    <x v="13"/>
    <x v="0"/>
    <d v="2022-02-03T00:00:00"/>
    <s v="Thomas Sanchez"/>
    <d v="2022-02-25T00:00:00"/>
    <d v="2022-04-21T00:00:00"/>
    <m/>
    <x v="1"/>
    <x v="1"/>
    <x v="0"/>
    <b v="0"/>
    <x v="0"/>
    <x v="0"/>
    <b v="0"/>
  </r>
  <r>
    <n v="2069085"/>
    <s v="123-005-120-018"/>
    <x v="13"/>
    <x v="0"/>
    <d v="2022-12-20T00:00:00"/>
    <s v="Kenneth Young"/>
    <d v="2022-12-23T00:00:00"/>
    <d v="2023-01-06T00:00:00"/>
    <s v="transfer"/>
    <x v="1"/>
    <x v="1"/>
    <x v="0"/>
    <b v="0"/>
    <x v="1"/>
    <x v="0"/>
    <b v="0"/>
  </r>
  <r>
    <n v="9885075"/>
    <s v="123-005-112-012"/>
    <x v="28"/>
    <x v="0"/>
    <d v="2022-01-31T00:00:00"/>
    <s v="Amanda Robinson"/>
    <d v="2022-02-05T00:00:00"/>
    <d v="2022-03-17T00:00:00"/>
    <m/>
    <x v="1"/>
    <x v="1"/>
    <x v="0"/>
    <b v="0"/>
    <x v="0"/>
    <x v="0"/>
    <b v="0"/>
  </r>
  <r>
    <n v="9885075"/>
    <s v="123-005-112-013"/>
    <x v="28"/>
    <x v="0"/>
    <d v="2023-03-02T00:00:00"/>
    <s v="Andrew Ramirez"/>
    <d v="2023-03-27T00:00:00"/>
    <d v="2023-03-29T00:00:00"/>
    <s v="new to org"/>
    <x v="1"/>
    <x v="1"/>
    <x v="0"/>
    <b v="0"/>
    <x v="0"/>
    <x v="0"/>
    <b v="1"/>
  </r>
  <r>
    <n v="9885075"/>
    <s v="123-005-112-014"/>
    <x v="28"/>
    <x v="0"/>
    <d v="2023-05-18T00:00:00"/>
    <s v="Emily Mitchell"/>
    <d v="2023-05-26T00:00:00"/>
    <d v="2023-06-20T00:00:00"/>
    <s v="new to org"/>
    <x v="1"/>
    <x v="1"/>
    <x v="0"/>
    <b v="0"/>
    <x v="0"/>
    <x v="0"/>
    <b v="1"/>
  </r>
  <r>
    <n v="3209515"/>
    <s v="123-010-113-001"/>
    <x v="6"/>
    <x v="6"/>
    <m/>
    <m/>
    <m/>
    <m/>
    <s v="cancelled"/>
    <x v="0"/>
    <x v="1"/>
    <x v="0"/>
    <b v="1"/>
    <x v="0"/>
    <x v="0"/>
    <b v="0"/>
  </r>
  <r>
    <n v="4662556"/>
    <s v="123-002-107-004"/>
    <x v="26"/>
    <x v="7"/>
    <d v="2023-02-15T00:00:00"/>
    <s v="Logan Hernandez"/>
    <d v="2023-03-05T00:00:00"/>
    <m/>
    <s v="declined"/>
    <x v="0"/>
    <x v="0"/>
    <x v="0"/>
    <b v="0"/>
    <x v="0"/>
    <x v="0"/>
    <b v="0"/>
  </r>
  <r>
    <n v="4662556"/>
    <s v="123-002-107-005"/>
    <x v="26"/>
    <x v="7"/>
    <d v="2022-10-13T00:00:00"/>
    <s v="Anthony Edwards"/>
    <d v="2022-10-24T00:00:00"/>
    <d v="2022-12-13T00:00:00"/>
    <s v="promo"/>
    <x v="1"/>
    <x v="1"/>
    <x v="0"/>
    <b v="0"/>
    <x v="0"/>
    <x v="1"/>
    <b v="0"/>
  </r>
  <r>
    <n v="4662556"/>
    <s v="123-002-107-006"/>
    <x v="26"/>
    <x v="7"/>
    <d v="2022-11-22T00:00:00"/>
    <s v="Kevin Cruz"/>
    <d v="2022-12-09T00:00:00"/>
    <d v="2023-01-13T00:00:00"/>
    <s v="transfer"/>
    <x v="1"/>
    <x v="1"/>
    <x v="0"/>
    <b v="0"/>
    <x v="1"/>
    <x v="0"/>
    <b v="0"/>
  </r>
  <r>
    <n v="4662556"/>
    <s v="123-002-107-007"/>
    <x v="26"/>
    <x v="7"/>
    <d v="2023-05-22T00:00:00"/>
    <s v="Mia Sanchez"/>
    <d v="2023-06-16T00:00:00"/>
    <d v="2023-07-16T00:00:00"/>
    <s v="promo"/>
    <x v="1"/>
    <x v="1"/>
    <x v="0"/>
    <b v="0"/>
    <x v="0"/>
    <x v="1"/>
    <b v="0"/>
  </r>
  <r>
    <n v="4662556"/>
    <s v="123-002-107-008"/>
    <x v="26"/>
    <x v="7"/>
    <d v="2022-06-10T00:00:00"/>
    <s v="Jackson Lewis"/>
    <d v="2022-07-10T00:00:00"/>
    <m/>
    <s v="rescinded"/>
    <x v="0"/>
    <x v="1"/>
    <x v="1"/>
    <b v="0"/>
    <x v="0"/>
    <x v="0"/>
    <b v="0"/>
  </r>
  <r>
    <n v="3980080"/>
    <s v="123-005-113-001"/>
    <x v="6"/>
    <x v="0"/>
    <d v="2022-06-26T00:00:00"/>
    <s v="Edward Robinson"/>
    <d v="2022-07-18T00:00:00"/>
    <d v="2022-09-15T00:00:00"/>
    <s v="new to org"/>
    <x v="1"/>
    <x v="1"/>
    <x v="0"/>
    <b v="0"/>
    <x v="0"/>
    <x v="0"/>
    <b v="1"/>
  </r>
  <r>
    <n v="2649587"/>
    <s v="123-010-113-002"/>
    <x v="6"/>
    <x v="6"/>
    <d v="2022-01-30T00:00:00"/>
    <s v="Richard Green"/>
    <d v="2022-02-19T00:00:00"/>
    <d v="2022-03-06T00:00:00"/>
    <m/>
    <x v="1"/>
    <x v="1"/>
    <x v="0"/>
    <b v="0"/>
    <x v="0"/>
    <x v="0"/>
    <b v="0"/>
  </r>
  <r>
    <n v="2649587"/>
    <s v="123-010-113-003"/>
    <x v="6"/>
    <x v="6"/>
    <d v="2022-03-24T00:00:00"/>
    <s v="Michelle Allen"/>
    <d v="2022-04-13T00:00:00"/>
    <m/>
    <s v="declined"/>
    <x v="0"/>
    <x v="0"/>
    <x v="0"/>
    <b v="0"/>
    <x v="0"/>
    <x v="0"/>
    <b v="0"/>
  </r>
  <r>
    <n v="2649587"/>
    <s v="123-010-113-004"/>
    <x v="6"/>
    <x v="6"/>
    <d v="2022-11-29T00:00:00"/>
    <s v="Charlotte Johnson"/>
    <d v="2022-12-19T00:00:00"/>
    <d v="2023-01-04T00:00:00"/>
    <m/>
    <x v="1"/>
    <x v="1"/>
    <x v="0"/>
    <b v="0"/>
    <x v="0"/>
    <x v="0"/>
    <b v="0"/>
  </r>
  <r>
    <n v="2649587"/>
    <s v="123-010-113-005"/>
    <x v="6"/>
    <x v="6"/>
    <d v="2022-04-04T00:00:00"/>
    <s v="Kenneth Walker"/>
    <d v="2022-04-16T00:00:00"/>
    <m/>
    <s v="declined"/>
    <x v="0"/>
    <x v="0"/>
    <x v="0"/>
    <b v="0"/>
    <x v="0"/>
    <x v="0"/>
    <b v="0"/>
  </r>
  <r>
    <n v="1381170"/>
    <s v="123-010-124-008"/>
    <x v="15"/>
    <x v="6"/>
    <d v="2022-06-15T00:00:00"/>
    <s v="Mia Collins"/>
    <d v="2022-06-30T00:00:00"/>
    <d v="2022-07-24T00:00:00"/>
    <s v="promo"/>
    <x v="1"/>
    <x v="1"/>
    <x v="0"/>
    <b v="0"/>
    <x v="0"/>
    <x v="1"/>
    <b v="0"/>
  </r>
  <r>
    <n v="1381170"/>
    <s v="123-010-124-009"/>
    <x v="15"/>
    <x v="6"/>
    <d v="2022-07-24T00:00:00"/>
    <s v="Barbara Walker"/>
    <d v="2022-08-04T00:00:00"/>
    <d v="2022-08-13T00:00:00"/>
    <s v="promo"/>
    <x v="1"/>
    <x v="1"/>
    <x v="0"/>
    <b v="0"/>
    <x v="0"/>
    <x v="1"/>
    <b v="0"/>
  </r>
  <r>
    <n v="1381170"/>
    <s v="123-010-124-010"/>
    <x v="15"/>
    <x v="6"/>
    <d v="2022-07-31T00:00:00"/>
    <s v="Lucas Johnson"/>
    <d v="2022-08-19T00:00:00"/>
    <m/>
    <s v="rescinded"/>
    <x v="0"/>
    <x v="1"/>
    <x v="1"/>
    <b v="0"/>
    <x v="0"/>
    <x v="0"/>
    <b v="0"/>
  </r>
  <r>
    <n v="1381170"/>
    <s v="123-010-124-011"/>
    <x v="15"/>
    <x v="6"/>
    <d v="2023-03-31T00:00:00"/>
    <s v="Amanda Hill"/>
    <d v="2023-04-08T00:00:00"/>
    <d v="2023-05-29T00:00:00"/>
    <s v="promo"/>
    <x v="1"/>
    <x v="1"/>
    <x v="0"/>
    <b v="0"/>
    <x v="0"/>
    <x v="1"/>
    <b v="0"/>
  </r>
  <r>
    <n v="3967518"/>
    <s v="123-009-115-012"/>
    <x v="22"/>
    <x v="8"/>
    <d v="2022-06-13T00:00:00"/>
    <s v="Logan Collins"/>
    <d v="2022-06-21T00:00:00"/>
    <d v="2022-07-21T00:00:00"/>
    <s v="new to org"/>
    <x v="1"/>
    <x v="1"/>
    <x v="0"/>
    <b v="0"/>
    <x v="0"/>
    <x v="0"/>
    <b v="1"/>
  </r>
  <r>
    <n v="2171758"/>
    <s v="123-001-101-014"/>
    <x v="0"/>
    <x v="3"/>
    <d v="2022-03-14T00:00:00"/>
    <s v="Logan Harris"/>
    <d v="2022-04-09T00:00:00"/>
    <d v="2022-05-06T00:00:00"/>
    <m/>
    <x v="1"/>
    <x v="1"/>
    <x v="0"/>
    <b v="0"/>
    <x v="0"/>
    <x v="0"/>
    <b v="0"/>
  </r>
  <r>
    <n v="2171758"/>
    <s v="123-001-101-015"/>
    <x v="0"/>
    <x v="3"/>
    <d v="2022-01-25T00:00:00"/>
    <s v="Dorothy Roberts"/>
    <d v="2022-02-09T00:00:00"/>
    <d v="2022-03-12T00:00:00"/>
    <s v="transfer"/>
    <x v="1"/>
    <x v="1"/>
    <x v="0"/>
    <b v="0"/>
    <x v="1"/>
    <x v="0"/>
    <b v="0"/>
  </r>
  <r>
    <n v="2171758"/>
    <s v="123-001-101-016"/>
    <x v="0"/>
    <x v="3"/>
    <d v="2023-02-12T00:00:00"/>
    <s v="Charles Phillips"/>
    <d v="2023-03-11T00:00:00"/>
    <d v="2023-05-03T00:00:00"/>
    <s v="transfer"/>
    <x v="1"/>
    <x v="1"/>
    <x v="0"/>
    <b v="0"/>
    <x v="1"/>
    <x v="0"/>
    <b v="0"/>
  </r>
  <r>
    <n v="2171758"/>
    <s v="123-001-101-017"/>
    <x v="0"/>
    <x v="3"/>
    <d v="2023-06-08T00:00:00"/>
    <s v="Lisa Sanchez"/>
    <d v="2023-06-29T00:00:00"/>
    <d v="2023-08-10T00:00:00"/>
    <s v="transfer"/>
    <x v="1"/>
    <x v="1"/>
    <x v="0"/>
    <b v="0"/>
    <x v="1"/>
    <x v="0"/>
    <b v="0"/>
  </r>
  <r>
    <n v="8382743"/>
    <s v="123-002-114-008"/>
    <x v="24"/>
    <x v="7"/>
    <d v="2022-04-25T00:00:00"/>
    <s v="Thomas Carter"/>
    <d v="2022-05-19T00:00:00"/>
    <m/>
    <s v="declined"/>
    <x v="0"/>
    <x v="0"/>
    <x v="0"/>
    <b v="0"/>
    <x v="0"/>
    <x v="0"/>
    <b v="0"/>
  </r>
  <r>
    <n v="3834568"/>
    <s v="123-007-112-024"/>
    <x v="28"/>
    <x v="4"/>
    <d v="2023-05-10T00:00:00"/>
    <s v="Jessica Gomez"/>
    <d v="2023-05-17T00:00:00"/>
    <m/>
    <s v="declined"/>
    <x v="0"/>
    <x v="0"/>
    <x v="0"/>
    <b v="0"/>
    <x v="0"/>
    <x v="0"/>
    <b v="0"/>
  </r>
  <r>
    <n v="3834568"/>
    <s v="123-007-112-025"/>
    <x v="28"/>
    <x v="4"/>
    <d v="2022-03-17T00:00:00"/>
    <s v="Nancy Adams"/>
    <d v="2022-04-01T00:00:00"/>
    <m/>
    <s v="declined"/>
    <x v="0"/>
    <x v="0"/>
    <x v="0"/>
    <b v="0"/>
    <x v="0"/>
    <x v="0"/>
    <b v="0"/>
  </r>
  <r>
    <n v="3834568"/>
    <s v="123-007-112-026"/>
    <x v="28"/>
    <x v="4"/>
    <d v="2022-09-24T00:00:00"/>
    <s v="Edward Thomas"/>
    <d v="2022-10-05T00:00:00"/>
    <d v="2022-10-24T00:00:00"/>
    <m/>
    <x v="1"/>
    <x v="1"/>
    <x v="0"/>
    <b v="0"/>
    <x v="0"/>
    <x v="0"/>
    <b v="0"/>
  </r>
  <r>
    <n v="8460359"/>
    <s v="123-008-111-002"/>
    <x v="29"/>
    <x v="5"/>
    <d v="2022-06-01T00:00:00"/>
    <s v="Edward Rodriguez"/>
    <d v="2022-06-18T00:00:00"/>
    <d v="2022-07-07T00:00:00"/>
    <s v="transfer"/>
    <x v="1"/>
    <x v="1"/>
    <x v="0"/>
    <b v="0"/>
    <x v="1"/>
    <x v="0"/>
    <b v="0"/>
  </r>
  <r>
    <n v="8460359"/>
    <s v="123-008-111-003"/>
    <x v="29"/>
    <x v="5"/>
    <d v="2023-01-07T00:00:00"/>
    <s v="Olivia White"/>
    <d v="2023-01-30T00:00:00"/>
    <m/>
    <s v="declined"/>
    <x v="0"/>
    <x v="0"/>
    <x v="0"/>
    <b v="0"/>
    <x v="0"/>
    <x v="0"/>
    <b v="0"/>
  </r>
  <r>
    <n v="8460359"/>
    <s v="123-008-111-004"/>
    <x v="29"/>
    <x v="5"/>
    <d v="2022-06-12T00:00:00"/>
    <s v="Charlotte Rivera"/>
    <d v="2022-07-01T00:00:00"/>
    <m/>
    <s v="rescinded"/>
    <x v="0"/>
    <x v="1"/>
    <x v="1"/>
    <b v="0"/>
    <x v="0"/>
    <x v="0"/>
    <b v="0"/>
  </r>
  <r>
    <n v="6112711"/>
    <s v="123-008-116-010"/>
    <x v="25"/>
    <x v="5"/>
    <d v="2022-05-12T00:00:00"/>
    <s v="Ethan Hall"/>
    <d v="2022-05-17T00:00:00"/>
    <m/>
    <s v="declined"/>
    <x v="0"/>
    <x v="0"/>
    <x v="0"/>
    <b v="0"/>
    <x v="0"/>
    <x v="0"/>
    <b v="0"/>
  </r>
  <r>
    <n v="6112711"/>
    <s v="123-008-116-011"/>
    <x v="25"/>
    <x v="5"/>
    <d v="2022-08-22T00:00:00"/>
    <s v="Thomas Green"/>
    <d v="2022-08-23T00:00:00"/>
    <d v="2022-10-17T00:00:00"/>
    <m/>
    <x v="1"/>
    <x v="1"/>
    <x v="0"/>
    <b v="0"/>
    <x v="0"/>
    <x v="0"/>
    <b v="0"/>
  </r>
  <r>
    <n v="6112711"/>
    <s v="123-008-116-012"/>
    <x v="25"/>
    <x v="5"/>
    <d v="2022-01-13T00:00:00"/>
    <s v="Karen Martinez"/>
    <d v="2022-01-22T00:00:00"/>
    <m/>
    <s v="rescinded"/>
    <x v="0"/>
    <x v="1"/>
    <x v="1"/>
    <b v="0"/>
    <x v="0"/>
    <x v="0"/>
    <b v="0"/>
  </r>
  <r>
    <n v="7109621"/>
    <s v="123-009-124-005"/>
    <x v="15"/>
    <x v="8"/>
    <d v="2022-06-09T00:00:00"/>
    <s v="Daniel Adams"/>
    <d v="2022-06-28T00:00:00"/>
    <d v="2022-08-22T00:00:00"/>
    <s v="promo"/>
    <x v="1"/>
    <x v="1"/>
    <x v="0"/>
    <b v="0"/>
    <x v="0"/>
    <x v="1"/>
    <b v="0"/>
  </r>
  <r>
    <n v="7109621"/>
    <s v="123-009-124-006"/>
    <x v="15"/>
    <x v="8"/>
    <d v="2023-05-12T00:00:00"/>
    <s v="Matthew Parker"/>
    <d v="2023-06-02T00:00:00"/>
    <d v="2023-06-13T00:00:00"/>
    <s v="new to org"/>
    <x v="1"/>
    <x v="1"/>
    <x v="0"/>
    <b v="0"/>
    <x v="0"/>
    <x v="0"/>
    <b v="1"/>
  </r>
  <r>
    <n v="7109621"/>
    <s v="123-009-124-007"/>
    <x v="15"/>
    <x v="8"/>
    <d v="2023-01-24T00:00:00"/>
    <s v="Barbara Walker"/>
    <d v="2023-01-25T00:00:00"/>
    <d v="2023-03-09T00:00:00"/>
    <m/>
    <x v="1"/>
    <x v="1"/>
    <x v="0"/>
    <b v="0"/>
    <x v="0"/>
    <x v="0"/>
    <b v="0"/>
  </r>
  <r>
    <n v="7109621"/>
    <s v="123-009-124-008"/>
    <x v="15"/>
    <x v="8"/>
    <d v="2022-07-31T00:00:00"/>
    <s v="Joseph Martin"/>
    <d v="2022-08-08T00:00:00"/>
    <d v="2022-08-18T00:00:00"/>
    <s v="new to org"/>
    <x v="1"/>
    <x v="1"/>
    <x v="0"/>
    <b v="0"/>
    <x v="0"/>
    <x v="0"/>
    <b v="1"/>
  </r>
  <r>
    <n v="7109621"/>
    <s v="123-009-124-009"/>
    <x v="15"/>
    <x v="8"/>
    <d v="2022-05-03T00:00:00"/>
    <s v="Deborah Campbell"/>
    <d v="2022-05-24T00:00:00"/>
    <m/>
    <s v="rescinded"/>
    <x v="0"/>
    <x v="1"/>
    <x v="1"/>
    <b v="0"/>
    <x v="0"/>
    <x v="0"/>
    <b v="0"/>
  </r>
  <r>
    <n v="4304141"/>
    <s v="123-008-112-007"/>
    <x v="28"/>
    <x v="5"/>
    <d v="2023-06-21T00:00:00"/>
    <s v="Mason Mitchell"/>
    <d v="2023-07-20T00:00:00"/>
    <d v="2023-08-04T00:00:00"/>
    <s v="transfer"/>
    <x v="1"/>
    <x v="1"/>
    <x v="0"/>
    <b v="0"/>
    <x v="1"/>
    <x v="0"/>
    <b v="0"/>
  </r>
  <r>
    <n v="4304141"/>
    <s v="123-008-112-008"/>
    <x v="28"/>
    <x v="5"/>
    <d v="2023-02-13T00:00:00"/>
    <s v="Kevin Williams"/>
    <d v="2023-03-06T00:00:00"/>
    <d v="2023-03-13T00:00:00"/>
    <s v="new to org"/>
    <x v="1"/>
    <x v="1"/>
    <x v="0"/>
    <b v="0"/>
    <x v="0"/>
    <x v="0"/>
    <b v="1"/>
  </r>
  <r>
    <n v="4304141"/>
    <s v="123-008-112-009"/>
    <x v="28"/>
    <x v="5"/>
    <d v="2022-03-23T00:00:00"/>
    <s v="Sarah Scott"/>
    <d v="2022-04-18T00:00:00"/>
    <d v="2022-04-22T00:00:00"/>
    <s v="transfer"/>
    <x v="1"/>
    <x v="1"/>
    <x v="0"/>
    <b v="0"/>
    <x v="1"/>
    <x v="0"/>
    <b v="0"/>
  </r>
  <r>
    <n v="4304141"/>
    <s v="123-008-112-010"/>
    <x v="28"/>
    <x v="5"/>
    <d v="2022-07-07T00:00:00"/>
    <s v="Jessica Taylor"/>
    <d v="2022-07-30T00:00:00"/>
    <d v="2022-09-28T00:00:00"/>
    <s v="promo"/>
    <x v="1"/>
    <x v="1"/>
    <x v="0"/>
    <b v="0"/>
    <x v="0"/>
    <x v="1"/>
    <b v="0"/>
  </r>
  <r>
    <n v="5111878"/>
    <s v="123-008-108-008"/>
    <x v="11"/>
    <x v="5"/>
    <d v="2022-05-16T00:00:00"/>
    <s v="Ava Jones"/>
    <d v="2022-06-02T00:00:00"/>
    <m/>
    <s v="declined"/>
    <x v="0"/>
    <x v="0"/>
    <x v="0"/>
    <b v="0"/>
    <x v="0"/>
    <x v="0"/>
    <b v="0"/>
  </r>
  <r>
    <n v="5111878"/>
    <s v="123-008-108-009"/>
    <x v="11"/>
    <x v="5"/>
    <d v="2022-07-14T00:00:00"/>
    <s v="Jennifer Mitchell"/>
    <d v="2022-08-07T00:00:00"/>
    <d v="2022-09-30T00:00:00"/>
    <s v="new to org"/>
    <x v="1"/>
    <x v="1"/>
    <x v="0"/>
    <b v="0"/>
    <x v="0"/>
    <x v="0"/>
    <b v="1"/>
  </r>
  <r>
    <n v="6079484"/>
    <s v="123-004-102-004"/>
    <x v="27"/>
    <x v="1"/>
    <d v="2023-05-04T00:00:00"/>
    <s v="Edward Nguyen"/>
    <d v="2023-05-19T00:00:00"/>
    <m/>
    <s v="declined"/>
    <x v="0"/>
    <x v="0"/>
    <x v="0"/>
    <b v="0"/>
    <x v="0"/>
    <x v="0"/>
    <b v="0"/>
  </r>
  <r>
    <n v="6079484"/>
    <s v="123-004-102-005"/>
    <x v="27"/>
    <x v="1"/>
    <m/>
    <m/>
    <m/>
    <m/>
    <s v="cancelled"/>
    <x v="0"/>
    <x v="1"/>
    <x v="0"/>
    <b v="1"/>
    <x v="0"/>
    <x v="0"/>
    <b v="0"/>
  </r>
  <r>
    <n v="1857027"/>
    <s v="123-002-111-016"/>
    <x v="29"/>
    <x v="7"/>
    <d v="2022-07-22T00:00:00"/>
    <s v="Jennifer Walker"/>
    <d v="2022-07-26T00:00:00"/>
    <d v="2022-08-30T00:00:00"/>
    <m/>
    <x v="1"/>
    <x v="1"/>
    <x v="0"/>
    <b v="0"/>
    <x v="0"/>
    <x v="0"/>
    <b v="0"/>
  </r>
  <r>
    <n v="1857027"/>
    <s v="123-002-111-017"/>
    <x v="29"/>
    <x v="7"/>
    <d v="2022-01-10T00:00:00"/>
    <s v="Karen Torres"/>
    <d v="2022-01-29T00:00:00"/>
    <d v="2022-02-26T00:00:00"/>
    <m/>
    <x v="1"/>
    <x v="1"/>
    <x v="0"/>
    <b v="0"/>
    <x v="0"/>
    <x v="0"/>
    <b v="0"/>
  </r>
  <r>
    <n v="2871060"/>
    <s v="123-008-124-010"/>
    <x v="15"/>
    <x v="5"/>
    <d v="2023-02-21T00:00:00"/>
    <s v="James Taylor"/>
    <d v="2023-03-13T00:00:00"/>
    <d v="2023-03-31T00:00:00"/>
    <m/>
    <x v="1"/>
    <x v="1"/>
    <x v="0"/>
    <b v="0"/>
    <x v="0"/>
    <x v="0"/>
    <b v="0"/>
  </r>
  <r>
    <n v="2871060"/>
    <s v="123-008-124-011"/>
    <x v="15"/>
    <x v="5"/>
    <d v="2023-05-10T00:00:00"/>
    <s v="Nancy Allen"/>
    <d v="2023-05-27T00:00:00"/>
    <d v="2023-06-15T00:00:00"/>
    <s v="promo"/>
    <x v="1"/>
    <x v="1"/>
    <x v="0"/>
    <b v="0"/>
    <x v="0"/>
    <x v="1"/>
    <b v="0"/>
  </r>
  <r>
    <n v="6027079"/>
    <s v="123-009-109-002"/>
    <x v="21"/>
    <x v="8"/>
    <d v="2023-05-31T00:00:00"/>
    <s v="Amanda Scott"/>
    <d v="2023-06-10T00:00:00"/>
    <m/>
    <s v="rescinded"/>
    <x v="0"/>
    <x v="1"/>
    <x v="1"/>
    <b v="0"/>
    <x v="0"/>
    <x v="0"/>
    <b v="0"/>
  </r>
  <r>
    <n v="6027079"/>
    <s v="123-009-109-003"/>
    <x v="21"/>
    <x v="8"/>
    <d v="2023-05-15T00:00:00"/>
    <s v="Edward Lopez"/>
    <d v="2023-05-16T00:00:00"/>
    <d v="2023-06-06T00:00:00"/>
    <s v="transfer"/>
    <x v="1"/>
    <x v="1"/>
    <x v="0"/>
    <b v="0"/>
    <x v="1"/>
    <x v="0"/>
    <b v="0"/>
  </r>
  <r>
    <n v="9548795"/>
    <s v="123-008-116-013"/>
    <x v="25"/>
    <x v="5"/>
    <d v="2022-11-08T00:00:00"/>
    <s v="Edward Ramirez"/>
    <d v="2022-11-12T00:00:00"/>
    <m/>
    <s v="declined"/>
    <x v="0"/>
    <x v="0"/>
    <x v="0"/>
    <b v="0"/>
    <x v="0"/>
    <x v="0"/>
    <b v="0"/>
  </r>
  <r>
    <n v="9548795"/>
    <s v="123-008-116-014"/>
    <x v="25"/>
    <x v="5"/>
    <d v="2022-07-07T00:00:00"/>
    <s v="Nancy Green"/>
    <d v="2022-07-14T00:00:00"/>
    <d v="2022-09-02T00:00:00"/>
    <m/>
    <x v="1"/>
    <x v="1"/>
    <x v="0"/>
    <b v="0"/>
    <x v="0"/>
    <x v="0"/>
    <b v="0"/>
  </r>
  <r>
    <n v="2823879"/>
    <s v="123-004-125-019"/>
    <x v="3"/>
    <x v="1"/>
    <d v="2023-06-28T00:00:00"/>
    <s v="Karen Lee"/>
    <d v="2023-07-14T00:00:00"/>
    <m/>
    <s v="rescinded"/>
    <x v="0"/>
    <x v="1"/>
    <x v="1"/>
    <b v="0"/>
    <x v="0"/>
    <x v="0"/>
    <b v="0"/>
  </r>
  <r>
    <n v="2823879"/>
    <s v="123-004-125-020"/>
    <x v="3"/>
    <x v="1"/>
    <d v="2022-08-04T00:00:00"/>
    <s v="Karen Flores"/>
    <d v="2022-08-23T00:00:00"/>
    <m/>
    <s v="declined"/>
    <x v="0"/>
    <x v="0"/>
    <x v="0"/>
    <b v="0"/>
    <x v="0"/>
    <x v="0"/>
    <b v="0"/>
  </r>
  <r>
    <n v="3593718"/>
    <s v="123-003-111-013"/>
    <x v="29"/>
    <x v="9"/>
    <d v="2022-06-10T00:00:00"/>
    <s v="Mia Hernandez"/>
    <d v="2022-06-21T00:00:00"/>
    <d v="2022-07-25T00:00:00"/>
    <s v="promo"/>
    <x v="1"/>
    <x v="1"/>
    <x v="0"/>
    <b v="0"/>
    <x v="0"/>
    <x v="1"/>
    <b v="0"/>
  </r>
  <r>
    <n v="3593718"/>
    <s v="123-003-111-014"/>
    <x v="29"/>
    <x v="9"/>
    <d v="2022-10-03T00:00:00"/>
    <s v="Deborah Campbell"/>
    <d v="2022-10-11T00:00:00"/>
    <d v="2022-12-10T00:00:00"/>
    <m/>
    <x v="1"/>
    <x v="1"/>
    <x v="0"/>
    <b v="0"/>
    <x v="0"/>
    <x v="0"/>
    <b v="0"/>
  </r>
  <r>
    <n v="5409982"/>
    <s v="123-005-116-013"/>
    <x v="25"/>
    <x v="0"/>
    <d v="2022-12-29T00:00:00"/>
    <s v="Nancy Campbell"/>
    <d v="2023-01-25T00:00:00"/>
    <m/>
    <s v="declined"/>
    <x v="0"/>
    <x v="0"/>
    <x v="0"/>
    <b v="0"/>
    <x v="0"/>
    <x v="0"/>
    <b v="0"/>
  </r>
  <r>
    <n v="5409982"/>
    <s v="123-005-116-014"/>
    <x v="25"/>
    <x v="0"/>
    <d v="2023-02-07T00:00:00"/>
    <s v="Karen Ramirez"/>
    <d v="2023-03-04T00:00:00"/>
    <d v="2023-03-31T00:00:00"/>
    <m/>
    <x v="1"/>
    <x v="1"/>
    <x v="0"/>
    <b v="0"/>
    <x v="0"/>
    <x v="0"/>
    <b v="0"/>
  </r>
  <r>
    <n v="5409982"/>
    <s v="123-005-116-015"/>
    <x v="25"/>
    <x v="0"/>
    <d v="2022-02-26T00:00:00"/>
    <s v="Charlotte Sanchez"/>
    <d v="2022-03-12T00:00:00"/>
    <m/>
    <s v="declined"/>
    <x v="0"/>
    <x v="0"/>
    <x v="0"/>
    <b v="0"/>
    <x v="0"/>
    <x v="0"/>
    <b v="0"/>
  </r>
  <r>
    <n v="6932624"/>
    <s v="123-003-121-005"/>
    <x v="20"/>
    <x v="9"/>
    <d v="2022-07-27T00:00:00"/>
    <s v="Isabella Rivera"/>
    <d v="2022-08-03T00:00:00"/>
    <d v="2022-09-15T00:00:00"/>
    <s v="transfer"/>
    <x v="1"/>
    <x v="1"/>
    <x v="0"/>
    <b v="0"/>
    <x v="1"/>
    <x v="0"/>
    <b v="0"/>
  </r>
  <r>
    <n v="6932624"/>
    <s v="123-003-121-006"/>
    <x v="20"/>
    <x v="9"/>
    <d v="2022-01-25T00:00:00"/>
    <s v="Mason White"/>
    <d v="2022-02-05T00:00:00"/>
    <d v="2022-03-05T00:00:00"/>
    <s v="new to org"/>
    <x v="1"/>
    <x v="1"/>
    <x v="0"/>
    <b v="0"/>
    <x v="0"/>
    <x v="0"/>
    <b v="1"/>
  </r>
  <r>
    <n v="6932624"/>
    <s v="123-003-121-007"/>
    <x v="20"/>
    <x v="9"/>
    <d v="2022-07-24T00:00:00"/>
    <s v="Emily Scott"/>
    <d v="2022-08-19T00:00:00"/>
    <d v="2022-09-02T00:00:00"/>
    <s v="new to org"/>
    <x v="1"/>
    <x v="1"/>
    <x v="0"/>
    <b v="0"/>
    <x v="0"/>
    <x v="0"/>
    <b v="1"/>
  </r>
  <r>
    <n v="6932624"/>
    <s v="123-003-121-008"/>
    <x v="20"/>
    <x v="9"/>
    <d v="2022-04-20T00:00:00"/>
    <s v="Mia Moore"/>
    <d v="2022-04-23T00:00:00"/>
    <d v="2022-05-09T00:00:00"/>
    <m/>
    <x v="1"/>
    <x v="1"/>
    <x v="0"/>
    <b v="0"/>
    <x v="0"/>
    <x v="0"/>
    <b v="0"/>
  </r>
  <r>
    <n v="3691366"/>
    <s v="123-008-111-005"/>
    <x v="29"/>
    <x v="5"/>
    <d v="2023-02-04T00:00:00"/>
    <s v="Deborah Nelson"/>
    <d v="2023-02-27T00:00:00"/>
    <d v="2023-04-27T00:00:00"/>
    <s v="transfer"/>
    <x v="1"/>
    <x v="1"/>
    <x v="0"/>
    <b v="0"/>
    <x v="1"/>
    <x v="0"/>
    <b v="0"/>
  </r>
  <r>
    <n v="3691366"/>
    <s v="123-008-111-006"/>
    <x v="29"/>
    <x v="5"/>
    <d v="2023-01-20T00:00:00"/>
    <s v="Sarah Hill"/>
    <d v="2023-01-22T00:00:00"/>
    <d v="2023-01-29T00:00:00"/>
    <s v="promo"/>
    <x v="1"/>
    <x v="1"/>
    <x v="0"/>
    <b v="0"/>
    <x v="0"/>
    <x v="1"/>
    <b v="0"/>
  </r>
  <r>
    <n v="3691366"/>
    <s v="123-008-111-007"/>
    <x v="29"/>
    <x v="5"/>
    <d v="2023-01-14T00:00:00"/>
    <s v="Nancy Moore"/>
    <d v="2023-01-29T00:00:00"/>
    <m/>
    <s v="declined"/>
    <x v="0"/>
    <x v="0"/>
    <x v="0"/>
    <b v="0"/>
    <x v="0"/>
    <x v="0"/>
    <b v="0"/>
  </r>
  <r>
    <n v="3691366"/>
    <s v="123-008-111-008"/>
    <x v="29"/>
    <x v="5"/>
    <d v="2022-03-17T00:00:00"/>
    <s v="Donald Rodriguez"/>
    <d v="2022-03-28T00:00:00"/>
    <d v="2022-05-17T00:00:00"/>
    <s v="transfer"/>
    <x v="1"/>
    <x v="1"/>
    <x v="0"/>
    <b v="0"/>
    <x v="1"/>
    <x v="0"/>
    <b v="0"/>
  </r>
  <r>
    <n v="3691366"/>
    <s v="123-008-111-009"/>
    <x v="29"/>
    <x v="5"/>
    <d v="2022-11-03T00:00:00"/>
    <s v="Logan Martinez"/>
    <d v="2022-11-22T00:00:00"/>
    <d v="2022-12-05T00:00:00"/>
    <s v="promo"/>
    <x v="1"/>
    <x v="1"/>
    <x v="0"/>
    <b v="0"/>
    <x v="0"/>
    <x v="1"/>
    <b v="0"/>
  </r>
  <r>
    <n v="2476481"/>
    <s v="123-004-115-008"/>
    <x v="22"/>
    <x v="1"/>
    <d v="2022-10-26T00:00:00"/>
    <s v="Emily King"/>
    <d v="2022-11-18T00:00:00"/>
    <d v="2022-11-20T00:00:00"/>
    <s v="new to org"/>
    <x v="1"/>
    <x v="1"/>
    <x v="0"/>
    <b v="0"/>
    <x v="0"/>
    <x v="0"/>
    <b v="1"/>
  </r>
  <r>
    <n v="2476481"/>
    <s v="123-004-115-009"/>
    <x v="22"/>
    <x v="1"/>
    <d v="2022-11-18T00:00:00"/>
    <s v="Deborah Jones"/>
    <d v="2022-12-16T00:00:00"/>
    <m/>
    <s v="declined"/>
    <x v="0"/>
    <x v="0"/>
    <x v="0"/>
    <b v="0"/>
    <x v="0"/>
    <x v="0"/>
    <b v="0"/>
  </r>
  <r>
    <n v="2476481"/>
    <s v="123-004-115-010"/>
    <x v="22"/>
    <x v="1"/>
    <d v="2022-08-08T00:00:00"/>
    <s v="Melissa Cruz"/>
    <d v="2022-08-14T00:00:00"/>
    <d v="2022-09-04T00:00:00"/>
    <m/>
    <x v="1"/>
    <x v="1"/>
    <x v="0"/>
    <b v="0"/>
    <x v="0"/>
    <x v="0"/>
    <b v="0"/>
  </r>
  <r>
    <n v="8857213"/>
    <s v="123-008-108-010"/>
    <x v="11"/>
    <x v="5"/>
    <d v="2022-09-23T00:00:00"/>
    <s v="Amanda Rivera"/>
    <d v="2022-10-02T00:00:00"/>
    <m/>
    <s v="rescinded"/>
    <x v="0"/>
    <x v="1"/>
    <x v="1"/>
    <b v="0"/>
    <x v="0"/>
    <x v="0"/>
    <b v="0"/>
  </r>
  <r>
    <n v="8857213"/>
    <s v="123-008-108-011"/>
    <x v="11"/>
    <x v="5"/>
    <d v="2023-02-25T00:00:00"/>
    <s v="William Davis"/>
    <d v="2023-03-11T00:00:00"/>
    <d v="2023-04-06T00:00:00"/>
    <s v="transfer"/>
    <x v="1"/>
    <x v="1"/>
    <x v="0"/>
    <b v="0"/>
    <x v="1"/>
    <x v="0"/>
    <b v="0"/>
  </r>
  <r>
    <n v="8857213"/>
    <s v="123-008-108-012"/>
    <x v="11"/>
    <x v="5"/>
    <d v="2022-03-03T00:00:00"/>
    <s v="Mason King"/>
    <d v="2022-04-02T00:00:00"/>
    <d v="2022-05-05T00:00:00"/>
    <s v="transfer"/>
    <x v="1"/>
    <x v="1"/>
    <x v="0"/>
    <b v="0"/>
    <x v="1"/>
    <x v="0"/>
    <b v="0"/>
  </r>
  <r>
    <n v="7265860"/>
    <s v="123-010-101-003"/>
    <x v="0"/>
    <x v="6"/>
    <d v="2023-05-19T00:00:00"/>
    <s v="Sophia Wright"/>
    <d v="2023-05-29T00:00:00"/>
    <d v="2023-07-05T00:00:00"/>
    <s v="new to org"/>
    <x v="1"/>
    <x v="1"/>
    <x v="0"/>
    <b v="0"/>
    <x v="0"/>
    <x v="0"/>
    <b v="1"/>
  </r>
  <r>
    <n v="7265860"/>
    <s v="123-010-101-004"/>
    <x v="0"/>
    <x v="6"/>
    <d v="2022-04-05T00:00:00"/>
    <s v="Melissa Jones"/>
    <d v="2022-04-23T00:00:00"/>
    <d v="2022-06-12T00:00:00"/>
    <s v="transfer"/>
    <x v="1"/>
    <x v="1"/>
    <x v="0"/>
    <b v="0"/>
    <x v="1"/>
    <x v="0"/>
    <b v="0"/>
  </r>
  <r>
    <n v="7265860"/>
    <s v="123-010-101-005"/>
    <x v="0"/>
    <x v="6"/>
    <d v="2023-06-10T00:00:00"/>
    <s v="David Phillips"/>
    <d v="2023-07-08T00:00:00"/>
    <m/>
    <s v="declined"/>
    <x v="0"/>
    <x v="0"/>
    <x v="0"/>
    <b v="0"/>
    <x v="0"/>
    <x v="0"/>
    <b v="0"/>
  </r>
  <r>
    <n v="7265860"/>
    <s v="123-010-101-006"/>
    <x v="0"/>
    <x v="6"/>
    <d v="2022-07-15T00:00:00"/>
    <s v="Michelle Adams"/>
    <d v="2022-08-09T00:00:00"/>
    <d v="2022-08-14T00:00:00"/>
    <m/>
    <x v="1"/>
    <x v="1"/>
    <x v="0"/>
    <b v="0"/>
    <x v="0"/>
    <x v="0"/>
    <b v="0"/>
  </r>
  <r>
    <n v="8230086"/>
    <s v="123-005-127-004"/>
    <x v="16"/>
    <x v="0"/>
    <d v="2022-03-16T00:00:00"/>
    <s v="Carol Perez"/>
    <d v="2022-03-22T00:00:00"/>
    <d v="2022-05-03T00:00:00"/>
    <s v="promo"/>
    <x v="1"/>
    <x v="1"/>
    <x v="0"/>
    <b v="0"/>
    <x v="0"/>
    <x v="1"/>
    <b v="0"/>
  </r>
  <r>
    <n v="8230086"/>
    <s v="123-005-127-005"/>
    <x v="16"/>
    <x v="0"/>
    <d v="2023-03-19T00:00:00"/>
    <s v="Kimberly Roberts"/>
    <d v="2023-04-17T00:00:00"/>
    <d v="2023-04-19T00:00:00"/>
    <m/>
    <x v="1"/>
    <x v="1"/>
    <x v="0"/>
    <b v="0"/>
    <x v="0"/>
    <x v="0"/>
    <b v="0"/>
  </r>
  <r>
    <n v="8230086"/>
    <s v="123-005-127-006"/>
    <x v="16"/>
    <x v="0"/>
    <d v="2023-02-04T00:00:00"/>
    <s v="James Flores"/>
    <d v="2023-02-05T00:00:00"/>
    <d v="2023-02-06T00:00:00"/>
    <s v="new to org"/>
    <x v="1"/>
    <x v="1"/>
    <x v="0"/>
    <b v="0"/>
    <x v="0"/>
    <x v="0"/>
    <b v="1"/>
  </r>
  <r>
    <n v="8230086"/>
    <s v="123-005-127-007"/>
    <x v="16"/>
    <x v="0"/>
    <d v="2022-09-23T00:00:00"/>
    <s v="Margaret Martinez"/>
    <d v="2022-10-21T00:00:00"/>
    <m/>
    <s v="rescinded"/>
    <x v="0"/>
    <x v="1"/>
    <x v="1"/>
    <b v="0"/>
    <x v="0"/>
    <x v="0"/>
    <b v="0"/>
  </r>
  <r>
    <n v="4739473"/>
    <s v="123-006-119-006"/>
    <x v="2"/>
    <x v="2"/>
    <d v="2022-12-30T00:00:00"/>
    <s v="Deborah Evans"/>
    <d v="2023-01-28T00:00:00"/>
    <d v="2023-03-26T00:00:00"/>
    <s v="promo"/>
    <x v="1"/>
    <x v="1"/>
    <x v="0"/>
    <b v="0"/>
    <x v="0"/>
    <x v="1"/>
    <b v="0"/>
  </r>
  <r>
    <n v="4739473"/>
    <s v="123-006-119-007"/>
    <x v="2"/>
    <x v="2"/>
    <d v="2022-06-01T00:00:00"/>
    <s v="Richard Roberts"/>
    <d v="2022-06-08T00:00:00"/>
    <d v="2022-06-28T00:00:00"/>
    <s v="promo"/>
    <x v="1"/>
    <x v="1"/>
    <x v="0"/>
    <b v="0"/>
    <x v="0"/>
    <x v="1"/>
    <b v="0"/>
  </r>
  <r>
    <n v="4739473"/>
    <s v="123-006-119-008"/>
    <x v="2"/>
    <x v="2"/>
    <d v="2022-02-10T00:00:00"/>
    <s v="Mary Wright"/>
    <d v="2022-03-07T00:00:00"/>
    <m/>
    <s v="declined"/>
    <x v="0"/>
    <x v="0"/>
    <x v="0"/>
    <b v="0"/>
    <x v="0"/>
    <x v="0"/>
    <b v="0"/>
  </r>
  <r>
    <n v="4739473"/>
    <s v="123-006-119-009"/>
    <x v="2"/>
    <x v="2"/>
    <d v="2022-12-02T00:00:00"/>
    <s v="Daniel Jones"/>
    <d v="2022-12-30T00:00:00"/>
    <m/>
    <s v="declined"/>
    <x v="0"/>
    <x v="0"/>
    <x v="0"/>
    <b v="0"/>
    <x v="0"/>
    <x v="0"/>
    <b v="0"/>
  </r>
  <r>
    <n v="4739473"/>
    <s v="123-006-119-010"/>
    <x v="2"/>
    <x v="2"/>
    <d v="2022-07-26T00:00:00"/>
    <s v="Kevin Wilson"/>
    <d v="2022-08-05T00:00:00"/>
    <d v="2022-08-16T00:00:00"/>
    <s v="promo"/>
    <x v="1"/>
    <x v="1"/>
    <x v="0"/>
    <b v="0"/>
    <x v="0"/>
    <x v="1"/>
    <b v="0"/>
  </r>
  <r>
    <n v="8118298"/>
    <s v="123-004-109-007"/>
    <x v="21"/>
    <x v="1"/>
    <d v="2023-03-27T00:00:00"/>
    <s v="William Cruz"/>
    <d v="2023-03-31T00:00:00"/>
    <d v="2023-05-24T00:00:00"/>
    <s v="transfer"/>
    <x v="1"/>
    <x v="1"/>
    <x v="0"/>
    <b v="0"/>
    <x v="1"/>
    <x v="0"/>
    <b v="0"/>
  </r>
  <r>
    <n v="8118298"/>
    <s v="123-004-109-008"/>
    <x v="21"/>
    <x v="1"/>
    <d v="2022-08-02T00:00:00"/>
    <s v="Mark Parker"/>
    <d v="2022-08-15T00:00:00"/>
    <d v="2022-08-19T00:00:00"/>
    <s v="transfer"/>
    <x v="1"/>
    <x v="1"/>
    <x v="0"/>
    <b v="0"/>
    <x v="1"/>
    <x v="0"/>
    <b v="0"/>
  </r>
  <r>
    <n v="8496267"/>
    <s v="123-007-115-009"/>
    <x v="22"/>
    <x v="4"/>
    <d v="2022-05-08T00:00:00"/>
    <s v="Matthew Nguyen"/>
    <d v="2022-05-11T00:00:00"/>
    <m/>
    <s v="declined"/>
    <x v="0"/>
    <x v="0"/>
    <x v="0"/>
    <b v="0"/>
    <x v="0"/>
    <x v="0"/>
    <b v="0"/>
  </r>
  <r>
    <n v="8496267"/>
    <s v="123-007-115-010"/>
    <x v="22"/>
    <x v="4"/>
    <d v="2022-08-03T00:00:00"/>
    <s v="David Carter"/>
    <d v="2022-08-07T00:00:00"/>
    <d v="2022-09-08T00:00:00"/>
    <s v="transfer"/>
    <x v="1"/>
    <x v="1"/>
    <x v="0"/>
    <b v="0"/>
    <x v="1"/>
    <x v="0"/>
    <b v="0"/>
  </r>
  <r>
    <n v="7012792"/>
    <s v="123-006-124-007"/>
    <x v="15"/>
    <x v="2"/>
    <d v="2023-06-04T00:00:00"/>
    <s v="Jennifer Phillips"/>
    <d v="2023-06-16T00:00:00"/>
    <m/>
    <s v="declined"/>
    <x v="0"/>
    <x v="0"/>
    <x v="0"/>
    <b v="0"/>
    <x v="0"/>
    <x v="0"/>
    <b v="0"/>
  </r>
  <r>
    <n v="7012792"/>
    <s v="123-006-124-008"/>
    <x v="15"/>
    <x v="2"/>
    <d v="2022-01-17T00:00:00"/>
    <s v="Charlotte Robinson"/>
    <d v="2022-01-18T00:00:00"/>
    <d v="2022-02-12T00:00:00"/>
    <s v="transfer"/>
    <x v="1"/>
    <x v="1"/>
    <x v="0"/>
    <b v="0"/>
    <x v="1"/>
    <x v="0"/>
    <b v="0"/>
  </r>
  <r>
    <n v="7012792"/>
    <s v="123-006-124-009"/>
    <x v="15"/>
    <x v="2"/>
    <d v="2022-12-30T00:00:00"/>
    <s v="Mia Miller"/>
    <d v="2023-01-11T00:00:00"/>
    <d v="2023-01-31T00:00:00"/>
    <m/>
    <x v="1"/>
    <x v="1"/>
    <x v="0"/>
    <b v="0"/>
    <x v="0"/>
    <x v="0"/>
    <b v="0"/>
  </r>
  <r>
    <n v="7012792"/>
    <s v="123-006-124-010"/>
    <x v="15"/>
    <x v="2"/>
    <d v="2022-11-04T00:00:00"/>
    <s v="Charlotte Diaz"/>
    <d v="2022-11-12T00:00:00"/>
    <d v="2022-12-27T00:00:00"/>
    <m/>
    <x v="1"/>
    <x v="1"/>
    <x v="0"/>
    <b v="0"/>
    <x v="0"/>
    <x v="0"/>
    <b v="0"/>
  </r>
  <r>
    <n v="2416860"/>
    <s v="123-007-121-006"/>
    <x v="20"/>
    <x v="4"/>
    <d v="2023-01-16T00:00:00"/>
    <s v="Kevin Jackson"/>
    <d v="2023-02-05T00:00:00"/>
    <m/>
    <s v="declined"/>
    <x v="0"/>
    <x v="0"/>
    <x v="0"/>
    <b v="0"/>
    <x v="0"/>
    <x v="0"/>
    <b v="0"/>
  </r>
  <r>
    <n v="2416860"/>
    <s v="123-007-121-007"/>
    <x v="20"/>
    <x v="4"/>
    <d v="2022-09-12T00:00:00"/>
    <s v="Robert Martinez"/>
    <d v="2022-09-18T00:00:00"/>
    <d v="2022-10-25T00:00:00"/>
    <s v="new to org"/>
    <x v="1"/>
    <x v="1"/>
    <x v="0"/>
    <b v="0"/>
    <x v="0"/>
    <x v="0"/>
    <b v="1"/>
  </r>
  <r>
    <n v="2416860"/>
    <s v="123-007-121-008"/>
    <x v="20"/>
    <x v="4"/>
    <d v="2022-05-24T00:00:00"/>
    <s v="Kimberly Martinez"/>
    <d v="2022-06-16T00:00:00"/>
    <m/>
    <s v="declined"/>
    <x v="0"/>
    <x v="0"/>
    <x v="0"/>
    <b v="0"/>
    <x v="0"/>
    <x v="0"/>
    <b v="0"/>
  </r>
  <r>
    <n v="2416860"/>
    <s v="123-007-121-009"/>
    <x v="20"/>
    <x v="4"/>
    <d v="2022-08-03T00:00:00"/>
    <s v="Patricia Hill"/>
    <d v="2022-08-31T00:00:00"/>
    <d v="2022-10-18T00:00:00"/>
    <s v="transfer"/>
    <x v="1"/>
    <x v="1"/>
    <x v="0"/>
    <b v="0"/>
    <x v="1"/>
    <x v="0"/>
    <b v="0"/>
  </r>
  <r>
    <n v="7960470"/>
    <s v="123-003-127-007"/>
    <x v="16"/>
    <x v="9"/>
    <d v="2022-06-05T00:00:00"/>
    <s v="Jackson King"/>
    <d v="2022-06-29T00:00:00"/>
    <m/>
    <s v="declined"/>
    <x v="0"/>
    <x v="0"/>
    <x v="0"/>
    <b v="0"/>
    <x v="0"/>
    <x v="0"/>
    <b v="0"/>
  </r>
  <r>
    <n v="7960470"/>
    <s v="123-003-127-008"/>
    <x v="16"/>
    <x v="9"/>
    <d v="2022-04-23T00:00:00"/>
    <s v="Lisa Cruz"/>
    <d v="2022-05-19T00:00:00"/>
    <d v="2022-05-30T00:00:00"/>
    <s v="promo"/>
    <x v="1"/>
    <x v="1"/>
    <x v="0"/>
    <b v="0"/>
    <x v="0"/>
    <x v="1"/>
    <b v="0"/>
  </r>
  <r>
    <n v="7960470"/>
    <s v="123-003-127-009"/>
    <x v="16"/>
    <x v="9"/>
    <d v="2023-02-18T00:00:00"/>
    <s v="Susan Martin"/>
    <d v="2023-03-11T00:00:00"/>
    <m/>
    <s v="declined"/>
    <x v="0"/>
    <x v="0"/>
    <x v="0"/>
    <b v="0"/>
    <x v="0"/>
    <x v="0"/>
    <b v="0"/>
  </r>
  <r>
    <n v="7960470"/>
    <s v="123-003-127-010"/>
    <x v="16"/>
    <x v="9"/>
    <d v="2022-01-30T00:00:00"/>
    <s v="Michelle Lee"/>
    <d v="2022-02-25T00:00:00"/>
    <d v="2022-02-27T00:00:00"/>
    <s v="new to org"/>
    <x v="1"/>
    <x v="1"/>
    <x v="0"/>
    <b v="0"/>
    <x v="0"/>
    <x v="0"/>
    <b v="1"/>
  </r>
  <r>
    <n v="6563023"/>
    <s v="123-008-101-009"/>
    <x v="0"/>
    <x v="5"/>
    <d v="2022-02-17T00:00:00"/>
    <s v="Ava Clark"/>
    <d v="2022-03-07T00:00:00"/>
    <d v="2022-04-01T00:00:00"/>
    <s v="promo"/>
    <x v="1"/>
    <x v="1"/>
    <x v="0"/>
    <b v="0"/>
    <x v="0"/>
    <x v="1"/>
    <b v="0"/>
  </r>
  <r>
    <n v="9811471"/>
    <s v="123-003-106-001"/>
    <x v="4"/>
    <x v="9"/>
    <m/>
    <m/>
    <m/>
    <m/>
    <s v="cancelled"/>
    <x v="0"/>
    <x v="1"/>
    <x v="0"/>
    <b v="1"/>
    <x v="0"/>
    <x v="0"/>
    <b v="0"/>
  </r>
  <r>
    <n v="4736280"/>
    <s v="123-007-103-008"/>
    <x v="8"/>
    <x v="4"/>
    <d v="2023-03-02T00:00:00"/>
    <s v="Donald Robinson"/>
    <d v="2023-03-30T00:00:00"/>
    <m/>
    <s v="declined"/>
    <x v="0"/>
    <x v="0"/>
    <x v="0"/>
    <b v="0"/>
    <x v="0"/>
    <x v="0"/>
    <b v="0"/>
  </r>
  <r>
    <n v="8388951"/>
    <s v="123-010-105-005"/>
    <x v="7"/>
    <x v="6"/>
    <d v="2022-09-21T00:00:00"/>
    <s v="Donald Edwards"/>
    <d v="2022-09-26T00:00:00"/>
    <m/>
    <s v="rescinded"/>
    <x v="0"/>
    <x v="1"/>
    <x v="1"/>
    <b v="0"/>
    <x v="0"/>
    <x v="0"/>
    <b v="0"/>
  </r>
  <r>
    <n v="6416968"/>
    <s v="123-009-122-004"/>
    <x v="17"/>
    <x v="8"/>
    <d v="2022-07-20T00:00:00"/>
    <s v="Donald Young"/>
    <d v="2022-07-25T00:00:00"/>
    <d v="2022-08-09T00:00:00"/>
    <s v="transfer"/>
    <x v="1"/>
    <x v="1"/>
    <x v="0"/>
    <b v="0"/>
    <x v="1"/>
    <x v="0"/>
    <b v="0"/>
  </r>
  <r>
    <n v="6416968"/>
    <s v="123-009-122-005"/>
    <x v="17"/>
    <x v="8"/>
    <d v="2022-03-26T00:00:00"/>
    <s v="Joseph Nelson"/>
    <d v="2022-04-19T00:00:00"/>
    <d v="2022-04-26T00:00:00"/>
    <s v="promo"/>
    <x v="1"/>
    <x v="1"/>
    <x v="0"/>
    <b v="0"/>
    <x v="0"/>
    <x v="1"/>
    <b v="0"/>
  </r>
  <r>
    <n v="6416968"/>
    <s v="123-009-122-006"/>
    <x v="17"/>
    <x v="8"/>
    <d v="2022-04-18T00:00:00"/>
    <s v="Olivia Flores"/>
    <d v="2022-04-26T00:00:00"/>
    <d v="2022-05-11T00:00:00"/>
    <s v="new to org"/>
    <x v="1"/>
    <x v="1"/>
    <x v="0"/>
    <b v="0"/>
    <x v="0"/>
    <x v="0"/>
    <b v="1"/>
  </r>
  <r>
    <n v="5205556"/>
    <s v="123-005-106-013"/>
    <x v="4"/>
    <x v="0"/>
    <d v="2023-06-17T00:00:00"/>
    <s v="Kevin Nguyen"/>
    <d v="2023-07-04T00:00:00"/>
    <d v="2023-08-10T00:00:00"/>
    <m/>
    <x v="1"/>
    <x v="1"/>
    <x v="0"/>
    <b v="0"/>
    <x v="0"/>
    <x v="0"/>
    <b v="0"/>
  </r>
  <r>
    <n v="5205556"/>
    <s v="123-005-106-014"/>
    <x v="4"/>
    <x v="0"/>
    <d v="2022-05-15T00:00:00"/>
    <s v="Edward Edwards"/>
    <d v="2022-05-26T00:00:00"/>
    <d v="2022-06-23T00:00:00"/>
    <s v="new to org"/>
    <x v="1"/>
    <x v="1"/>
    <x v="0"/>
    <b v="0"/>
    <x v="0"/>
    <x v="0"/>
    <b v="1"/>
  </r>
  <r>
    <n v="5205556"/>
    <s v="123-005-106-015"/>
    <x v="4"/>
    <x v="0"/>
    <d v="2022-02-05T00:00:00"/>
    <s v="Donna Mitchell"/>
    <d v="2022-03-01T00:00:00"/>
    <d v="2022-04-28T00:00:00"/>
    <s v="promo"/>
    <x v="1"/>
    <x v="1"/>
    <x v="0"/>
    <b v="0"/>
    <x v="0"/>
    <x v="1"/>
    <b v="0"/>
  </r>
  <r>
    <n v="7459731"/>
    <s v="123-001-121-002"/>
    <x v="20"/>
    <x v="3"/>
    <d v="2022-02-04T00:00:00"/>
    <s v="Elizabeth Green"/>
    <d v="2022-03-03T00:00:00"/>
    <d v="2022-04-23T00:00:00"/>
    <s v="transfer"/>
    <x v="1"/>
    <x v="1"/>
    <x v="0"/>
    <b v="0"/>
    <x v="1"/>
    <x v="0"/>
    <b v="0"/>
  </r>
  <r>
    <n v="7459731"/>
    <s v="123-001-121-003"/>
    <x v="20"/>
    <x v="3"/>
    <d v="2022-01-12T00:00:00"/>
    <s v="Betty Lee"/>
    <d v="2022-01-31T00:00:00"/>
    <m/>
    <s v="rescinded"/>
    <x v="0"/>
    <x v="1"/>
    <x v="1"/>
    <b v="0"/>
    <x v="0"/>
    <x v="0"/>
    <b v="0"/>
  </r>
  <r>
    <n v="9066089"/>
    <s v="123-006-116-008"/>
    <x v="25"/>
    <x v="2"/>
    <d v="2023-04-10T00:00:00"/>
    <s v="Mark Wilson"/>
    <d v="2023-04-30T00:00:00"/>
    <d v="2023-05-17T00:00:00"/>
    <m/>
    <x v="1"/>
    <x v="1"/>
    <x v="0"/>
    <b v="0"/>
    <x v="0"/>
    <x v="0"/>
    <b v="0"/>
  </r>
  <r>
    <n v="9066089"/>
    <s v="123-006-116-009"/>
    <x v="25"/>
    <x v="2"/>
    <d v="2023-06-11T00:00:00"/>
    <s v="Melissa Moore"/>
    <d v="2023-07-11T00:00:00"/>
    <d v="2023-08-02T00:00:00"/>
    <s v="transfer"/>
    <x v="1"/>
    <x v="1"/>
    <x v="0"/>
    <b v="0"/>
    <x v="1"/>
    <x v="0"/>
    <b v="0"/>
  </r>
  <r>
    <n v="6658193"/>
    <s v="123-003-129-010"/>
    <x v="14"/>
    <x v="9"/>
    <d v="2023-04-13T00:00:00"/>
    <s v="Logan Young"/>
    <d v="2023-05-05T00:00:00"/>
    <m/>
    <s v="rescinded"/>
    <x v="0"/>
    <x v="1"/>
    <x v="1"/>
    <b v="0"/>
    <x v="0"/>
    <x v="0"/>
    <b v="0"/>
  </r>
  <r>
    <n v="6658193"/>
    <s v="123-003-129-011"/>
    <x v="14"/>
    <x v="9"/>
    <d v="2022-05-10T00:00:00"/>
    <s v="Mary Wright"/>
    <d v="2022-05-14T00:00:00"/>
    <m/>
    <s v="declined"/>
    <x v="0"/>
    <x v="0"/>
    <x v="0"/>
    <b v="0"/>
    <x v="0"/>
    <x v="0"/>
    <b v="0"/>
  </r>
  <r>
    <n v="6658193"/>
    <s v="123-003-129-012"/>
    <x v="14"/>
    <x v="9"/>
    <d v="2023-01-10T00:00:00"/>
    <s v="John Gomez"/>
    <d v="2023-01-24T00:00:00"/>
    <d v="2023-03-07T00:00:00"/>
    <s v="new to org"/>
    <x v="1"/>
    <x v="1"/>
    <x v="0"/>
    <b v="0"/>
    <x v="0"/>
    <x v="0"/>
    <b v="1"/>
  </r>
  <r>
    <n v="4810526"/>
    <s v="123-002-115-013"/>
    <x v="22"/>
    <x v="7"/>
    <d v="2022-12-22T00:00:00"/>
    <s v="William Parker"/>
    <d v="2023-01-01T00:00:00"/>
    <d v="2023-01-30T00:00:00"/>
    <s v="new to org"/>
    <x v="1"/>
    <x v="1"/>
    <x v="0"/>
    <b v="0"/>
    <x v="0"/>
    <x v="0"/>
    <b v="1"/>
  </r>
  <r>
    <n v="8317619"/>
    <s v="123-002-118-001"/>
    <x v="1"/>
    <x v="7"/>
    <d v="2023-06-08T00:00:00"/>
    <s v="Isabella Cruz"/>
    <d v="2023-06-15T00:00:00"/>
    <m/>
    <s v="declined"/>
    <x v="0"/>
    <x v="0"/>
    <x v="0"/>
    <b v="0"/>
    <x v="0"/>
    <x v="0"/>
    <b v="0"/>
  </r>
  <r>
    <n v="8317619"/>
    <s v="123-002-118-002"/>
    <x v="1"/>
    <x v="7"/>
    <d v="2022-01-18T00:00:00"/>
    <s v="Amanda Anderson"/>
    <d v="2022-01-25T00:00:00"/>
    <m/>
    <s v="declined"/>
    <x v="0"/>
    <x v="0"/>
    <x v="0"/>
    <b v="0"/>
    <x v="0"/>
    <x v="0"/>
    <b v="0"/>
  </r>
  <r>
    <n v="8317619"/>
    <s v="123-002-118-003"/>
    <x v="1"/>
    <x v="7"/>
    <d v="2022-06-05T00:00:00"/>
    <s v="Kimberly Hill"/>
    <d v="2022-06-24T00:00:00"/>
    <d v="2022-08-19T00:00:00"/>
    <s v="new to org"/>
    <x v="1"/>
    <x v="1"/>
    <x v="0"/>
    <b v="0"/>
    <x v="0"/>
    <x v="0"/>
    <b v="1"/>
  </r>
  <r>
    <n v="8317619"/>
    <s v="123-002-118-004"/>
    <x v="1"/>
    <x v="7"/>
    <d v="2023-01-07T00:00:00"/>
    <s v="Ethan Wright"/>
    <d v="2023-01-25T00:00:00"/>
    <d v="2023-02-09T00:00:00"/>
    <s v="transfer"/>
    <x v="1"/>
    <x v="1"/>
    <x v="0"/>
    <b v="0"/>
    <x v="1"/>
    <x v="0"/>
    <b v="0"/>
  </r>
  <r>
    <n v="8317619"/>
    <s v="123-002-118-005"/>
    <x v="1"/>
    <x v="7"/>
    <d v="2022-04-13T00:00:00"/>
    <s v="Lisa Hernandez"/>
    <d v="2022-05-05T00:00:00"/>
    <d v="2022-05-16T00:00:00"/>
    <s v="promo"/>
    <x v="1"/>
    <x v="1"/>
    <x v="0"/>
    <b v="0"/>
    <x v="0"/>
    <x v="1"/>
    <b v="0"/>
  </r>
  <r>
    <n v="4795970"/>
    <s v="123-003-127-011"/>
    <x v="16"/>
    <x v="9"/>
    <d v="2022-10-13T00:00:00"/>
    <s v="Mia Gonzalez"/>
    <d v="2022-10-15T00:00:00"/>
    <d v="2022-11-10T00:00:00"/>
    <m/>
    <x v="1"/>
    <x v="1"/>
    <x v="0"/>
    <b v="0"/>
    <x v="0"/>
    <x v="0"/>
    <b v="0"/>
  </r>
  <r>
    <n v="4795970"/>
    <s v="123-003-127-012"/>
    <x v="16"/>
    <x v="9"/>
    <d v="2023-03-08T00:00:00"/>
    <s v="Lucas King"/>
    <d v="2023-04-06T00:00:00"/>
    <m/>
    <s v="rescinded"/>
    <x v="0"/>
    <x v="1"/>
    <x v="1"/>
    <b v="0"/>
    <x v="0"/>
    <x v="0"/>
    <b v="0"/>
  </r>
  <r>
    <n v="4795970"/>
    <s v="123-003-127-013"/>
    <x v="16"/>
    <x v="9"/>
    <d v="2022-11-04T00:00:00"/>
    <s v="William Campbell"/>
    <d v="2022-11-05T00:00:00"/>
    <d v="2022-11-10T00:00:00"/>
    <s v="new to org"/>
    <x v="1"/>
    <x v="1"/>
    <x v="0"/>
    <b v="0"/>
    <x v="0"/>
    <x v="0"/>
    <b v="1"/>
  </r>
  <r>
    <n v="4795970"/>
    <s v="123-003-127-014"/>
    <x v="16"/>
    <x v="9"/>
    <d v="2022-11-16T00:00:00"/>
    <s v="Emily Nelson"/>
    <d v="2022-11-23T00:00:00"/>
    <m/>
    <s v="rescinded"/>
    <x v="0"/>
    <x v="1"/>
    <x v="1"/>
    <b v="0"/>
    <x v="0"/>
    <x v="0"/>
    <b v="0"/>
  </r>
  <r>
    <n v="4795970"/>
    <s v="123-003-127-015"/>
    <x v="16"/>
    <x v="9"/>
    <d v="2023-02-25T00:00:00"/>
    <s v="Patricia Carter"/>
    <d v="2023-03-02T00:00:00"/>
    <d v="2023-03-12T00:00:00"/>
    <s v="transfer"/>
    <x v="1"/>
    <x v="1"/>
    <x v="0"/>
    <b v="0"/>
    <x v="1"/>
    <x v="0"/>
    <b v="0"/>
  </r>
  <r>
    <n v="9068702"/>
    <s v="123-003-127-016"/>
    <x v="16"/>
    <x v="9"/>
    <d v="2023-03-06T00:00:00"/>
    <s v="David Adams"/>
    <d v="2023-03-19T00:00:00"/>
    <m/>
    <s v="rescinded"/>
    <x v="0"/>
    <x v="1"/>
    <x v="1"/>
    <b v="0"/>
    <x v="0"/>
    <x v="0"/>
    <b v="0"/>
  </r>
  <r>
    <n v="9068702"/>
    <s v="123-003-127-017"/>
    <x v="16"/>
    <x v="9"/>
    <d v="2022-03-14T00:00:00"/>
    <s v="Mason Thompson"/>
    <d v="2022-03-22T00:00:00"/>
    <d v="2022-04-09T00:00:00"/>
    <s v="promo"/>
    <x v="1"/>
    <x v="1"/>
    <x v="0"/>
    <b v="0"/>
    <x v="0"/>
    <x v="1"/>
    <b v="0"/>
  </r>
  <r>
    <n v="3356197"/>
    <s v="123-007-129-008"/>
    <x v="14"/>
    <x v="4"/>
    <d v="2022-05-26T00:00:00"/>
    <s v="Susan Lewis"/>
    <d v="2022-06-17T00:00:00"/>
    <d v="2022-07-05T00:00:00"/>
    <s v="promo"/>
    <x v="1"/>
    <x v="1"/>
    <x v="0"/>
    <b v="0"/>
    <x v="0"/>
    <x v="1"/>
    <b v="0"/>
  </r>
  <r>
    <n v="6494025"/>
    <s v="123-002-101-010"/>
    <x v="0"/>
    <x v="7"/>
    <d v="2023-04-28T00:00:00"/>
    <s v="Michael Roberts"/>
    <d v="2023-05-06T00:00:00"/>
    <m/>
    <s v="rescinded"/>
    <x v="0"/>
    <x v="1"/>
    <x v="1"/>
    <b v="0"/>
    <x v="0"/>
    <x v="0"/>
    <b v="0"/>
  </r>
  <r>
    <n v="6494025"/>
    <s v="123-002-101-011"/>
    <x v="0"/>
    <x v="7"/>
    <d v="2023-04-11T00:00:00"/>
    <s v="Isabella Davis"/>
    <d v="2023-04-16T00:00:00"/>
    <d v="2023-04-21T00:00:00"/>
    <s v="new to org"/>
    <x v="1"/>
    <x v="1"/>
    <x v="0"/>
    <b v="0"/>
    <x v="0"/>
    <x v="0"/>
    <b v="1"/>
  </r>
  <r>
    <n v="6494025"/>
    <s v="123-002-101-012"/>
    <x v="0"/>
    <x v="7"/>
    <d v="2022-02-11T00:00:00"/>
    <s v="Olivia Moore"/>
    <d v="2022-02-24T00:00:00"/>
    <d v="2022-04-19T00:00:00"/>
    <s v="new to org"/>
    <x v="1"/>
    <x v="1"/>
    <x v="0"/>
    <b v="0"/>
    <x v="0"/>
    <x v="0"/>
    <b v="1"/>
  </r>
  <r>
    <n v="6494025"/>
    <s v="123-002-101-013"/>
    <x v="0"/>
    <x v="7"/>
    <d v="2023-03-13T00:00:00"/>
    <s v="Kenneth Robinson"/>
    <d v="2023-04-01T00:00:00"/>
    <d v="2023-04-12T00:00:00"/>
    <s v="transfer"/>
    <x v="1"/>
    <x v="1"/>
    <x v="0"/>
    <b v="0"/>
    <x v="1"/>
    <x v="0"/>
    <b v="0"/>
  </r>
  <r>
    <n v="6494025"/>
    <s v="123-002-101-014"/>
    <x v="0"/>
    <x v="7"/>
    <d v="2022-08-19T00:00:00"/>
    <s v="Edward Jackson"/>
    <d v="2022-09-05T00:00:00"/>
    <d v="2022-09-12T00:00:00"/>
    <m/>
    <x v="1"/>
    <x v="1"/>
    <x v="0"/>
    <b v="0"/>
    <x v="0"/>
    <x v="0"/>
    <b v="0"/>
  </r>
  <r>
    <n v="2486007"/>
    <s v="123-010-124-012"/>
    <x v="15"/>
    <x v="6"/>
    <d v="2023-05-22T00:00:00"/>
    <s v="Logan Diaz"/>
    <d v="2023-06-18T00:00:00"/>
    <d v="2023-08-02T00:00:00"/>
    <s v="promo"/>
    <x v="1"/>
    <x v="1"/>
    <x v="0"/>
    <b v="0"/>
    <x v="0"/>
    <x v="1"/>
    <b v="0"/>
  </r>
  <r>
    <n v="2486007"/>
    <s v="123-010-124-013"/>
    <x v="15"/>
    <x v="6"/>
    <d v="2022-04-18T00:00:00"/>
    <s v="Patricia Green"/>
    <d v="2022-05-16T00:00:00"/>
    <d v="2022-07-05T00:00:00"/>
    <m/>
    <x v="1"/>
    <x v="1"/>
    <x v="0"/>
    <b v="0"/>
    <x v="0"/>
    <x v="0"/>
    <b v="0"/>
  </r>
  <r>
    <n v="2486007"/>
    <s v="123-010-124-014"/>
    <x v="15"/>
    <x v="6"/>
    <d v="2022-10-10T00:00:00"/>
    <s v="George Campbell"/>
    <d v="2022-11-08T00:00:00"/>
    <m/>
    <s v="rescinded"/>
    <x v="0"/>
    <x v="1"/>
    <x v="1"/>
    <b v="0"/>
    <x v="0"/>
    <x v="0"/>
    <b v="0"/>
  </r>
  <r>
    <n v="2486007"/>
    <s v="123-010-124-015"/>
    <x v="15"/>
    <x v="6"/>
    <d v="2023-03-06T00:00:00"/>
    <s v="Steven Perez"/>
    <d v="2023-03-28T00:00:00"/>
    <m/>
    <s v="rescinded"/>
    <x v="0"/>
    <x v="1"/>
    <x v="1"/>
    <b v="0"/>
    <x v="0"/>
    <x v="0"/>
    <b v="0"/>
  </r>
  <r>
    <n v="2486007"/>
    <s v="123-010-124-016"/>
    <x v="15"/>
    <x v="6"/>
    <d v="2022-04-14T00:00:00"/>
    <s v="Jennifer Smith"/>
    <d v="2022-05-07T00:00:00"/>
    <d v="2022-06-28T00:00:00"/>
    <s v="new to org"/>
    <x v="1"/>
    <x v="1"/>
    <x v="0"/>
    <b v="0"/>
    <x v="0"/>
    <x v="0"/>
    <b v="1"/>
  </r>
  <r>
    <n v="9146156"/>
    <s v="123-010-108-005"/>
    <x v="11"/>
    <x v="6"/>
    <d v="2022-09-30T00:00:00"/>
    <s v="Margaret Nelson"/>
    <d v="2022-10-04T00:00:00"/>
    <m/>
    <s v="declined"/>
    <x v="0"/>
    <x v="0"/>
    <x v="0"/>
    <b v="0"/>
    <x v="0"/>
    <x v="0"/>
    <b v="0"/>
  </r>
  <r>
    <n v="9146156"/>
    <s v="123-010-108-006"/>
    <x v="11"/>
    <x v="6"/>
    <d v="2023-01-20T00:00:00"/>
    <s v="Emily Hill"/>
    <d v="2023-02-09T00:00:00"/>
    <d v="2023-03-15T00:00:00"/>
    <m/>
    <x v="1"/>
    <x v="1"/>
    <x v="0"/>
    <b v="0"/>
    <x v="0"/>
    <x v="0"/>
    <b v="0"/>
  </r>
  <r>
    <n v="9146156"/>
    <s v="123-010-108-007"/>
    <x v="11"/>
    <x v="6"/>
    <d v="2022-04-21T00:00:00"/>
    <s v="Robert Hill"/>
    <d v="2022-05-10T00:00:00"/>
    <d v="2022-07-03T00:00:00"/>
    <m/>
    <x v="1"/>
    <x v="1"/>
    <x v="0"/>
    <b v="0"/>
    <x v="0"/>
    <x v="0"/>
    <b v="0"/>
  </r>
  <r>
    <n v="9146156"/>
    <s v="123-010-108-008"/>
    <x v="11"/>
    <x v="6"/>
    <d v="2022-05-01T00:00:00"/>
    <s v="Andrew Miller"/>
    <d v="2022-05-26T00:00:00"/>
    <d v="2022-06-11T00:00:00"/>
    <s v="transfer"/>
    <x v="1"/>
    <x v="1"/>
    <x v="0"/>
    <b v="0"/>
    <x v="1"/>
    <x v="0"/>
    <b v="0"/>
  </r>
  <r>
    <n v="7051555"/>
    <s v="123-010-119-014"/>
    <x v="2"/>
    <x v="6"/>
    <d v="2023-03-27T00:00:00"/>
    <s v="Daniel Adams"/>
    <d v="2023-04-24T00:00:00"/>
    <d v="2023-05-24T00:00:00"/>
    <s v="transfer"/>
    <x v="1"/>
    <x v="1"/>
    <x v="0"/>
    <b v="0"/>
    <x v="1"/>
    <x v="0"/>
    <b v="0"/>
  </r>
  <r>
    <n v="7051555"/>
    <s v="123-010-119-015"/>
    <x v="2"/>
    <x v="6"/>
    <d v="2023-03-19T00:00:00"/>
    <s v="Charlotte Sanchez"/>
    <d v="2023-04-10T00:00:00"/>
    <d v="2023-06-08T00:00:00"/>
    <s v="transfer"/>
    <x v="1"/>
    <x v="1"/>
    <x v="0"/>
    <b v="0"/>
    <x v="1"/>
    <x v="0"/>
    <b v="0"/>
  </r>
  <r>
    <n v="7051555"/>
    <s v="123-010-119-016"/>
    <x v="2"/>
    <x v="6"/>
    <d v="2022-01-25T00:00:00"/>
    <s v="Andrew Lopez"/>
    <d v="2022-02-15T00:00:00"/>
    <m/>
    <s v="declined"/>
    <x v="0"/>
    <x v="0"/>
    <x v="0"/>
    <b v="0"/>
    <x v="0"/>
    <x v="0"/>
    <b v="0"/>
  </r>
  <r>
    <n v="7051555"/>
    <s v="123-010-119-017"/>
    <x v="2"/>
    <x v="6"/>
    <d v="2023-02-27T00:00:00"/>
    <s v="Charles Collins"/>
    <d v="2023-03-25T00:00:00"/>
    <d v="2023-03-27T00:00:00"/>
    <s v="transfer"/>
    <x v="1"/>
    <x v="1"/>
    <x v="0"/>
    <b v="0"/>
    <x v="1"/>
    <x v="0"/>
    <b v="0"/>
  </r>
  <r>
    <n v="8660865"/>
    <s v="123-005-128-001"/>
    <x v="10"/>
    <x v="0"/>
    <d v="2022-10-11T00:00:00"/>
    <s v="Daniel Thomas"/>
    <d v="2022-10-26T00:00:00"/>
    <d v="2022-12-16T00:00:00"/>
    <s v="new to org"/>
    <x v="1"/>
    <x v="1"/>
    <x v="0"/>
    <b v="0"/>
    <x v="0"/>
    <x v="0"/>
    <b v="1"/>
  </r>
  <r>
    <n v="8660865"/>
    <s v="123-005-128-002"/>
    <x v="10"/>
    <x v="0"/>
    <d v="2022-09-27T00:00:00"/>
    <s v="Sandra Hall"/>
    <d v="2022-10-22T00:00:00"/>
    <m/>
    <s v="declined"/>
    <x v="0"/>
    <x v="0"/>
    <x v="0"/>
    <b v="0"/>
    <x v="0"/>
    <x v="0"/>
    <b v="0"/>
  </r>
  <r>
    <n v="8660865"/>
    <s v="123-005-128-003"/>
    <x v="10"/>
    <x v="0"/>
    <d v="2022-11-26T00:00:00"/>
    <s v="Emily Roberts"/>
    <d v="2022-12-20T00:00:00"/>
    <d v="2023-01-15T00:00:00"/>
    <s v="promo"/>
    <x v="1"/>
    <x v="1"/>
    <x v="0"/>
    <b v="0"/>
    <x v="0"/>
    <x v="1"/>
    <b v="0"/>
  </r>
  <r>
    <n v="6847516"/>
    <s v="123-003-125-011"/>
    <x v="3"/>
    <x v="9"/>
    <d v="2022-08-22T00:00:00"/>
    <s v="Daniel Flores"/>
    <d v="2022-09-02T00:00:00"/>
    <d v="2022-10-26T00:00:00"/>
    <s v="new to org"/>
    <x v="1"/>
    <x v="1"/>
    <x v="0"/>
    <b v="0"/>
    <x v="0"/>
    <x v="0"/>
    <b v="1"/>
  </r>
  <r>
    <n v="6847516"/>
    <s v="123-003-125-012"/>
    <x v="3"/>
    <x v="9"/>
    <d v="2022-11-17T00:00:00"/>
    <s v="Kenneth Sanchez"/>
    <d v="2022-12-07T00:00:00"/>
    <d v="2023-01-08T00:00:00"/>
    <s v="transfer"/>
    <x v="1"/>
    <x v="1"/>
    <x v="0"/>
    <b v="0"/>
    <x v="1"/>
    <x v="0"/>
    <b v="0"/>
  </r>
  <r>
    <n v="6847516"/>
    <s v="123-003-125-013"/>
    <x v="3"/>
    <x v="9"/>
    <d v="2023-05-13T00:00:00"/>
    <s v="Richard Taylor"/>
    <d v="2023-05-25T00:00:00"/>
    <d v="2023-06-16T00:00:00"/>
    <m/>
    <x v="1"/>
    <x v="1"/>
    <x v="0"/>
    <b v="0"/>
    <x v="0"/>
    <x v="0"/>
    <b v="0"/>
  </r>
  <r>
    <n v="6847516"/>
    <s v="123-003-125-014"/>
    <x v="3"/>
    <x v="9"/>
    <d v="2022-06-22T00:00:00"/>
    <s v="Edward Hernandez"/>
    <d v="2022-07-03T00:00:00"/>
    <d v="2022-07-05T00:00:00"/>
    <s v="new to org"/>
    <x v="1"/>
    <x v="1"/>
    <x v="0"/>
    <b v="0"/>
    <x v="0"/>
    <x v="0"/>
    <b v="1"/>
  </r>
  <r>
    <n v="2870334"/>
    <s v="123-010-107-004"/>
    <x v="26"/>
    <x v="6"/>
    <d v="2022-07-02T00:00:00"/>
    <s v="Edward Scott"/>
    <d v="2022-07-15T00:00:00"/>
    <d v="2022-08-24T00:00:00"/>
    <s v="new to org"/>
    <x v="1"/>
    <x v="1"/>
    <x v="0"/>
    <b v="0"/>
    <x v="0"/>
    <x v="0"/>
    <b v="1"/>
  </r>
  <r>
    <n v="2870334"/>
    <s v="123-010-107-005"/>
    <x v="26"/>
    <x v="6"/>
    <d v="2023-02-19T00:00:00"/>
    <s v="Jennifer Garcia"/>
    <d v="2023-03-19T00:00:00"/>
    <d v="2023-04-05T00:00:00"/>
    <s v="promo"/>
    <x v="1"/>
    <x v="1"/>
    <x v="0"/>
    <b v="0"/>
    <x v="0"/>
    <x v="1"/>
    <b v="0"/>
  </r>
  <r>
    <n v="2870334"/>
    <s v="123-010-107-006"/>
    <x v="26"/>
    <x v="6"/>
    <d v="2022-12-29T00:00:00"/>
    <s v="Nancy Wright"/>
    <d v="2023-01-11T00:00:00"/>
    <m/>
    <s v="declined"/>
    <x v="0"/>
    <x v="0"/>
    <x v="0"/>
    <b v="0"/>
    <x v="0"/>
    <x v="0"/>
    <b v="0"/>
  </r>
  <r>
    <n v="3231911"/>
    <s v="123-007-130-002"/>
    <x v="23"/>
    <x v="4"/>
    <d v="2022-03-26T00:00:00"/>
    <s v="Michelle Torres"/>
    <d v="2022-04-06T00:00:00"/>
    <d v="2022-04-21T00:00:00"/>
    <s v="new to org"/>
    <x v="1"/>
    <x v="1"/>
    <x v="0"/>
    <b v="0"/>
    <x v="0"/>
    <x v="0"/>
    <b v="1"/>
  </r>
  <r>
    <n v="8424522"/>
    <s v="123-001-127-013"/>
    <x v="16"/>
    <x v="3"/>
    <d v="2022-08-18T00:00:00"/>
    <s v="Mary Young"/>
    <d v="2022-09-14T00:00:00"/>
    <d v="2022-10-29T00:00:00"/>
    <s v="new to org"/>
    <x v="1"/>
    <x v="1"/>
    <x v="0"/>
    <b v="0"/>
    <x v="0"/>
    <x v="0"/>
    <b v="1"/>
  </r>
  <r>
    <n v="8424522"/>
    <s v="123-001-127-014"/>
    <x v="16"/>
    <x v="3"/>
    <d v="2023-03-27T00:00:00"/>
    <s v="Olivia Anderson"/>
    <d v="2023-04-17T00:00:00"/>
    <d v="2023-06-08T00:00:00"/>
    <s v="promo"/>
    <x v="1"/>
    <x v="1"/>
    <x v="0"/>
    <b v="0"/>
    <x v="0"/>
    <x v="1"/>
    <b v="0"/>
  </r>
  <r>
    <n v="4623343"/>
    <s v="123-001-105-018"/>
    <x v="7"/>
    <x v="3"/>
    <d v="2023-05-10T00:00:00"/>
    <s v="Mary Diaz"/>
    <d v="2023-06-06T00:00:00"/>
    <m/>
    <s v="declined"/>
    <x v="0"/>
    <x v="0"/>
    <x v="0"/>
    <b v="0"/>
    <x v="0"/>
    <x v="0"/>
    <b v="0"/>
  </r>
  <r>
    <n v="4623343"/>
    <s v="123-001-105-019"/>
    <x v="7"/>
    <x v="3"/>
    <d v="2023-06-16T00:00:00"/>
    <s v="Anthony Lopez"/>
    <d v="2023-07-05T00:00:00"/>
    <d v="2023-07-31T00:00:00"/>
    <s v="promo"/>
    <x v="1"/>
    <x v="1"/>
    <x v="0"/>
    <b v="0"/>
    <x v="0"/>
    <x v="1"/>
    <b v="0"/>
  </r>
  <r>
    <n v="4623343"/>
    <s v="123-001-105-020"/>
    <x v="7"/>
    <x v="3"/>
    <d v="2023-01-08T00:00:00"/>
    <s v="Melissa Taylor"/>
    <d v="2023-02-03T00:00:00"/>
    <d v="2023-03-27T00:00:00"/>
    <m/>
    <x v="1"/>
    <x v="1"/>
    <x v="0"/>
    <b v="0"/>
    <x v="0"/>
    <x v="0"/>
    <b v="0"/>
  </r>
  <r>
    <n v="5421758"/>
    <s v="123-006-114-004"/>
    <x v="24"/>
    <x v="2"/>
    <d v="2023-01-01T00:00:00"/>
    <s v="Christopher Wright"/>
    <d v="2023-01-04T00:00:00"/>
    <d v="2023-02-18T00:00:00"/>
    <s v="promo"/>
    <x v="1"/>
    <x v="1"/>
    <x v="0"/>
    <b v="0"/>
    <x v="0"/>
    <x v="1"/>
    <b v="0"/>
  </r>
  <r>
    <n v="5421758"/>
    <s v="123-006-114-005"/>
    <x v="24"/>
    <x v="2"/>
    <d v="2022-09-10T00:00:00"/>
    <s v="Logan Evans"/>
    <d v="2022-10-06T00:00:00"/>
    <m/>
    <s v="declined"/>
    <x v="0"/>
    <x v="0"/>
    <x v="0"/>
    <b v="0"/>
    <x v="0"/>
    <x v="0"/>
    <b v="0"/>
  </r>
  <r>
    <n v="5421758"/>
    <s v="123-006-114-006"/>
    <x v="24"/>
    <x v="2"/>
    <d v="2023-06-04T00:00:00"/>
    <s v="Michael Collins"/>
    <d v="2023-06-27T00:00:00"/>
    <d v="2023-07-28T00:00:00"/>
    <s v="promo"/>
    <x v="1"/>
    <x v="1"/>
    <x v="0"/>
    <b v="0"/>
    <x v="0"/>
    <x v="1"/>
    <b v="0"/>
  </r>
  <r>
    <n v="9981848"/>
    <s v="123-002-111-018"/>
    <x v="29"/>
    <x v="7"/>
    <d v="2022-02-24T00:00:00"/>
    <s v="Sandra Moore"/>
    <d v="2022-03-11T00:00:00"/>
    <d v="2022-04-20T00:00:00"/>
    <s v="promo"/>
    <x v="1"/>
    <x v="1"/>
    <x v="0"/>
    <b v="0"/>
    <x v="0"/>
    <x v="1"/>
    <b v="0"/>
  </r>
  <r>
    <n v="9981848"/>
    <s v="123-002-111-019"/>
    <x v="29"/>
    <x v="7"/>
    <d v="2022-01-23T00:00:00"/>
    <s v="John Hernandez"/>
    <d v="2022-02-10T00:00:00"/>
    <d v="2022-03-11T00:00:00"/>
    <m/>
    <x v="1"/>
    <x v="1"/>
    <x v="0"/>
    <b v="0"/>
    <x v="0"/>
    <x v="0"/>
    <b v="0"/>
  </r>
  <r>
    <n v="1965457"/>
    <s v="123-006-129-001"/>
    <x v="14"/>
    <x v="2"/>
    <d v="2022-12-29T00:00:00"/>
    <s v="John Baker"/>
    <d v="2023-01-01T00:00:00"/>
    <d v="2023-02-17T00:00:00"/>
    <s v="promo"/>
    <x v="1"/>
    <x v="1"/>
    <x v="0"/>
    <b v="0"/>
    <x v="0"/>
    <x v="1"/>
    <b v="0"/>
  </r>
  <r>
    <n v="1965457"/>
    <s v="123-006-129-002"/>
    <x v="14"/>
    <x v="2"/>
    <d v="2022-01-29T00:00:00"/>
    <s v="Thomas Edwards"/>
    <d v="2022-02-21T00:00:00"/>
    <m/>
    <s v="rescinded"/>
    <x v="0"/>
    <x v="1"/>
    <x v="1"/>
    <b v="0"/>
    <x v="0"/>
    <x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46"/>
    <n v="40"/>
    <n v="20"/>
    <n v="22"/>
    <n v="46"/>
    <n v="206"/>
    <n v="0.1941747572815534"/>
    <n v="0.31506849315068491"/>
  </r>
  <r>
    <x v="1"/>
    <n v="147"/>
    <n v="52"/>
    <n v="23"/>
    <n v="32"/>
    <n v="33"/>
    <n v="222"/>
    <n v="0.23423423423423423"/>
    <n v="0.22448979591836735"/>
  </r>
  <r>
    <x v="2"/>
    <n v="146"/>
    <n v="44"/>
    <n v="30"/>
    <n v="32"/>
    <n v="30"/>
    <n v="220"/>
    <n v="0.2"/>
    <n v="0.20547945205479451"/>
  </r>
  <r>
    <x v="3"/>
    <n v="130"/>
    <n v="39"/>
    <n v="17"/>
    <n v="40"/>
    <n v="35"/>
    <n v="186"/>
    <n v="0.20967741935483872"/>
    <n v="0.26923076923076922"/>
  </r>
  <r>
    <x v="4"/>
    <n v="158"/>
    <n v="50"/>
    <n v="23"/>
    <n v="43"/>
    <n v="39"/>
    <n v="231"/>
    <n v="0.21645021645021645"/>
    <n v="0.24683544303797469"/>
  </r>
  <r>
    <x v="5"/>
    <n v="124"/>
    <n v="45"/>
    <n v="26"/>
    <n v="31"/>
    <n v="29"/>
    <n v="195"/>
    <n v="0.23076923076923078"/>
    <n v="0.23387096774193547"/>
  </r>
  <r>
    <x v="6"/>
    <n v="144"/>
    <n v="60"/>
    <n v="25"/>
    <n v="34"/>
    <n v="34"/>
    <n v="229"/>
    <n v="0.26200873362445415"/>
    <n v="0.2361111111111111"/>
  </r>
  <r>
    <x v="7"/>
    <n v="149"/>
    <n v="60"/>
    <n v="15"/>
    <n v="36"/>
    <n v="35"/>
    <n v="224"/>
    <n v="0.26785714285714285"/>
    <n v="0.2348993288590604"/>
  </r>
  <r>
    <x v="8"/>
    <n v="166"/>
    <n v="58"/>
    <n v="26"/>
    <n v="44"/>
    <n v="38"/>
    <n v="250"/>
    <n v="0.23200000000000001"/>
    <n v="0.2289156626506024"/>
  </r>
  <r>
    <x v="9"/>
    <n v="149"/>
    <n v="46"/>
    <n v="15"/>
    <n v="28"/>
    <n v="40"/>
    <n v="210"/>
    <n v="0.21904761904761905"/>
    <n v="0.26845637583892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39"/>
    <n v="22"/>
    <n v="4"/>
    <n v="65"/>
    <n v="15"/>
    <n v="12"/>
    <n v="0.33846153846153848"/>
    <n v="0.30769230769230771"/>
  </r>
  <r>
    <x v="1"/>
    <n v="52"/>
    <n v="13"/>
    <n v="5"/>
    <n v="70"/>
    <n v="11"/>
    <n v="8"/>
    <n v="0.18571428571428572"/>
    <n v="0.15384615384615385"/>
  </r>
  <r>
    <x v="2"/>
    <n v="58"/>
    <n v="20"/>
    <n v="9"/>
    <n v="87"/>
    <n v="15"/>
    <n v="10"/>
    <n v="0.22988505747126436"/>
    <n v="0.17241379310344829"/>
  </r>
  <r>
    <x v="3"/>
    <n v="47"/>
    <n v="12"/>
    <n v="10"/>
    <n v="69"/>
    <n v="8"/>
    <n v="10"/>
    <n v="0.17391304347826086"/>
    <n v="0.21276595744680851"/>
  </r>
  <r>
    <x v="4"/>
    <n v="63"/>
    <n v="23"/>
    <n v="12"/>
    <n v="98"/>
    <n v="9"/>
    <n v="18"/>
    <n v="0.23469387755102042"/>
    <n v="0.2857142857142857"/>
  </r>
  <r>
    <x v="5"/>
    <n v="57"/>
    <n v="20"/>
    <n v="7"/>
    <n v="84"/>
    <n v="17"/>
    <n v="20"/>
    <n v="0.23809523809523808"/>
    <n v="0.35087719298245612"/>
  </r>
  <r>
    <x v="6"/>
    <n v="43"/>
    <n v="18"/>
    <n v="5"/>
    <n v="66"/>
    <n v="9"/>
    <n v="12"/>
    <n v="0.27272727272727271"/>
    <n v="0.27906976744186046"/>
  </r>
  <r>
    <x v="7"/>
    <n v="29"/>
    <n v="14"/>
    <n v="5"/>
    <n v="48"/>
    <n v="8"/>
    <n v="13"/>
    <n v="0.29166666666666669"/>
    <n v="0.44827586206896552"/>
  </r>
  <r>
    <x v="8"/>
    <n v="41"/>
    <n v="7"/>
    <n v="9"/>
    <n v="57"/>
    <n v="6"/>
    <n v="11"/>
    <n v="0.12280701754385964"/>
    <n v="0.26829268292682928"/>
  </r>
  <r>
    <x v="9"/>
    <n v="63"/>
    <n v="15"/>
    <n v="8"/>
    <n v="86"/>
    <n v="16"/>
    <n v="8"/>
    <n v="0.1744186046511628"/>
    <n v="0.12698412698412698"/>
  </r>
  <r>
    <x v="10"/>
    <n v="49"/>
    <n v="17"/>
    <n v="9"/>
    <n v="75"/>
    <n v="11"/>
    <n v="13"/>
    <n v="0.22666666666666666"/>
    <n v="0.26530612244897961"/>
  </r>
  <r>
    <x v="11"/>
    <n v="58"/>
    <n v="29"/>
    <n v="6"/>
    <n v="93"/>
    <n v="14"/>
    <n v="13"/>
    <n v="0.31182795698924731"/>
    <n v="0.22413793103448276"/>
  </r>
  <r>
    <x v="12"/>
    <n v="65"/>
    <n v="22"/>
    <n v="10"/>
    <n v="97"/>
    <n v="13"/>
    <n v="16"/>
    <n v="0.22680412371134021"/>
    <n v="0.24615384615384617"/>
  </r>
  <r>
    <x v="13"/>
    <n v="21"/>
    <n v="7"/>
    <n v="2"/>
    <n v="30"/>
    <n v="5"/>
    <n v="3"/>
    <n v="0.23333333333333334"/>
    <n v="0.14285714285714285"/>
  </r>
  <r>
    <x v="14"/>
    <n v="46"/>
    <n v="13"/>
    <n v="11"/>
    <n v="70"/>
    <n v="10"/>
    <n v="10"/>
    <n v="0.18571428571428572"/>
    <n v="0.21739130434782608"/>
  </r>
  <r>
    <x v="15"/>
    <n v="43"/>
    <n v="14"/>
    <n v="6"/>
    <n v="63"/>
    <n v="15"/>
    <n v="16"/>
    <n v="0.22222222222222221"/>
    <n v="0.37209302325581395"/>
  </r>
  <r>
    <x v="16"/>
    <n v="31"/>
    <n v="16"/>
    <n v="5"/>
    <n v="52"/>
    <n v="6"/>
    <n v="7"/>
    <n v="0.30769230769230771"/>
    <n v="0.22580645161290322"/>
  </r>
  <r>
    <x v="17"/>
    <n v="41"/>
    <n v="15"/>
    <n v="4"/>
    <n v="60"/>
    <n v="7"/>
    <n v="10"/>
    <n v="0.25"/>
    <n v="0.24390243902439024"/>
  </r>
  <r>
    <x v="18"/>
    <n v="37"/>
    <n v="13"/>
    <n v="10"/>
    <n v="60"/>
    <n v="7"/>
    <n v="5"/>
    <n v="0.21666666666666667"/>
    <n v="0.13513513513513514"/>
  </r>
  <r>
    <x v="19"/>
    <n v="77"/>
    <n v="16"/>
    <n v="5"/>
    <n v="98"/>
    <n v="18"/>
    <n v="25"/>
    <n v="0.16326530612244897"/>
    <n v="0.32467532467532467"/>
  </r>
  <r>
    <x v="20"/>
    <n v="42"/>
    <n v="16"/>
    <n v="5"/>
    <n v="63"/>
    <n v="9"/>
    <n v="10"/>
    <n v="0.25396825396825395"/>
    <n v="0.23809523809523808"/>
  </r>
  <r>
    <x v="21"/>
    <n v="40"/>
    <n v="16"/>
    <n v="4"/>
    <n v="60"/>
    <n v="6"/>
    <n v="15"/>
    <n v="0.26666666666666666"/>
    <n v="0.375"/>
  </r>
  <r>
    <x v="22"/>
    <n v="41"/>
    <n v="11"/>
    <n v="5"/>
    <n v="57"/>
    <n v="9"/>
    <n v="11"/>
    <n v="0.19298245614035087"/>
    <n v="0.26829268292682928"/>
  </r>
  <r>
    <x v="23"/>
    <n v="29"/>
    <n v="19"/>
    <n v="2"/>
    <n v="50"/>
    <n v="5"/>
    <n v="7"/>
    <n v="0.38"/>
    <n v="0.2413793103448276"/>
  </r>
  <r>
    <x v="24"/>
    <n v="51"/>
    <n v="19"/>
    <n v="14"/>
    <n v="84"/>
    <n v="10"/>
    <n v="12"/>
    <n v="0.22619047619047619"/>
    <n v="0.23529411764705882"/>
  </r>
  <r>
    <x v="25"/>
    <n v="79"/>
    <n v="23"/>
    <n v="16"/>
    <n v="118"/>
    <n v="28"/>
    <n v="13"/>
    <n v="0.19491525423728814"/>
    <n v="0.16455696202531644"/>
  </r>
  <r>
    <x v="26"/>
    <n v="55"/>
    <n v="13"/>
    <n v="14"/>
    <n v="82"/>
    <n v="19"/>
    <n v="10"/>
    <n v="0.15853658536585366"/>
    <n v="0.18181818181818182"/>
  </r>
  <r>
    <x v="27"/>
    <n v="53"/>
    <n v="19"/>
    <n v="5"/>
    <n v="77"/>
    <n v="12"/>
    <n v="15"/>
    <n v="0.24675324675324675"/>
    <n v="0.28301886792452829"/>
  </r>
  <r>
    <x v="28"/>
    <n v="51"/>
    <n v="17"/>
    <n v="8"/>
    <n v="76"/>
    <n v="12"/>
    <n v="14"/>
    <n v="0.22368421052631579"/>
    <n v="0.27450980392156865"/>
  </r>
  <r>
    <x v="29"/>
    <n v="58"/>
    <n v="15"/>
    <n v="5"/>
    <n v="78"/>
    <n v="12"/>
    <n v="12"/>
    <n v="0.19230769230769232"/>
    <n v="0.2068965517241379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9">
  <r>
    <n v="2867825"/>
    <s v="123-005-101-002"/>
    <s v="Software Engineer"/>
    <x v="0"/>
    <d v="2022-08-27T00:00:00"/>
    <s v="Jennifer Wilson"/>
    <d v="2022-09-13T00:00:00"/>
    <x v="0"/>
    <s v="transfer"/>
    <x v="0"/>
    <b v="0"/>
    <b v="0"/>
    <b v="0"/>
    <b v="1"/>
    <b v="0"/>
    <b v="0"/>
  </r>
  <r>
    <n v="1445199"/>
    <s v="123-004-118-001"/>
    <s v="Network Engineer"/>
    <x v="1"/>
    <d v="2022-01-07T00:00:00"/>
    <s v="Donna Moore"/>
    <d v="2022-02-01T00:00:00"/>
    <x v="1"/>
    <m/>
    <x v="0"/>
    <b v="0"/>
    <b v="0"/>
    <b v="0"/>
    <b v="0"/>
    <b v="0"/>
    <b v="0"/>
  </r>
  <r>
    <n v="1445199"/>
    <s v="123-004-118-004"/>
    <s v="Network Engineer"/>
    <x v="1"/>
    <d v="2022-09-28T00:00:00"/>
    <s v="Mia Thompson"/>
    <d v="2022-10-24T00:00:00"/>
    <x v="2"/>
    <s v="new to org"/>
    <x v="0"/>
    <b v="0"/>
    <b v="0"/>
    <b v="0"/>
    <b v="0"/>
    <b v="0"/>
    <b v="1"/>
  </r>
  <r>
    <n v="1445199"/>
    <s v="123-004-118-005"/>
    <s v="Network Engineer"/>
    <x v="1"/>
    <d v="2022-03-22T00:00:00"/>
    <s v="Jackson Harris"/>
    <d v="2022-04-09T00:00:00"/>
    <x v="3"/>
    <s v="transfer"/>
    <x v="0"/>
    <b v="0"/>
    <b v="0"/>
    <b v="0"/>
    <b v="1"/>
    <b v="0"/>
    <b v="0"/>
  </r>
  <r>
    <n v="4823498"/>
    <s v="123-005-125-001"/>
    <s v="Security Analyst"/>
    <x v="0"/>
    <d v="2023-04-10T00:00:00"/>
    <s v="Matthew Moore"/>
    <d v="2023-05-01T00:00:00"/>
    <x v="4"/>
    <s v="transfer"/>
    <x v="0"/>
    <b v="0"/>
    <b v="0"/>
    <b v="0"/>
    <b v="1"/>
    <b v="0"/>
    <b v="0"/>
  </r>
  <r>
    <n v="7120868"/>
    <s v="123-006-106-002"/>
    <s v="Marketing Coordinator"/>
    <x v="2"/>
    <d v="2023-01-24T00:00:00"/>
    <s v="David Robinson"/>
    <d v="2023-02-02T00:00:00"/>
    <x v="5"/>
    <s v="promo"/>
    <x v="0"/>
    <b v="0"/>
    <b v="0"/>
    <b v="0"/>
    <b v="0"/>
    <b v="1"/>
    <b v="0"/>
  </r>
  <r>
    <n v="7120868"/>
    <s v="123-006-106-003"/>
    <s v="Marketing Coordinator"/>
    <x v="2"/>
    <d v="2022-02-27T00:00:00"/>
    <s v="Amanda Lee"/>
    <d v="2022-03-07T00:00:00"/>
    <x v="6"/>
    <s v="promo"/>
    <x v="0"/>
    <b v="0"/>
    <b v="0"/>
    <b v="0"/>
    <b v="0"/>
    <b v="1"/>
    <b v="0"/>
  </r>
  <r>
    <n v="1538552"/>
    <s v="123-006-126-002"/>
    <s v="Recruiter"/>
    <x v="2"/>
    <d v="2023-04-15T00:00:00"/>
    <s v="Olivia Collins"/>
    <d v="2023-04-20T00:00:00"/>
    <x v="7"/>
    <m/>
    <x v="0"/>
    <b v="0"/>
    <b v="0"/>
    <b v="0"/>
    <b v="0"/>
    <b v="0"/>
    <b v="0"/>
  </r>
  <r>
    <n v="1538552"/>
    <s v="123-006-126-004"/>
    <s v="Recruiter"/>
    <x v="2"/>
    <d v="2022-05-22T00:00:00"/>
    <s v="Lisa Anderson"/>
    <d v="2022-06-08T00:00:00"/>
    <x v="8"/>
    <m/>
    <x v="0"/>
    <b v="0"/>
    <b v="0"/>
    <b v="0"/>
    <b v="0"/>
    <b v="0"/>
    <b v="0"/>
  </r>
  <r>
    <n v="2065818"/>
    <s v="123-007-113-001"/>
    <s v="Operations Supervisor"/>
    <x v="3"/>
    <d v="2022-01-12T00:00:00"/>
    <s v="Emily Parker"/>
    <d v="2022-02-03T00:00:00"/>
    <x v="9"/>
    <s v="new to org"/>
    <x v="0"/>
    <b v="0"/>
    <b v="0"/>
    <b v="0"/>
    <b v="0"/>
    <b v="0"/>
    <b v="1"/>
  </r>
  <r>
    <n v="2065818"/>
    <s v="123-007-113-003"/>
    <s v="Operations Supervisor"/>
    <x v="3"/>
    <d v="2022-06-11T00:00:00"/>
    <s v="Charles Ramirez"/>
    <d v="2022-06-26T00:00:00"/>
    <x v="10"/>
    <s v="transfer"/>
    <x v="0"/>
    <b v="0"/>
    <b v="0"/>
    <b v="0"/>
    <b v="1"/>
    <b v="0"/>
    <b v="0"/>
  </r>
  <r>
    <n v="2065818"/>
    <s v="123-007-113-004"/>
    <s v="Operations Supervisor"/>
    <x v="3"/>
    <d v="2022-07-02T00:00:00"/>
    <s v="Steven Carter"/>
    <d v="2022-07-19T00:00:00"/>
    <x v="11"/>
    <s v="new to org"/>
    <x v="0"/>
    <b v="0"/>
    <b v="0"/>
    <b v="0"/>
    <b v="0"/>
    <b v="0"/>
    <b v="1"/>
  </r>
  <r>
    <n v="4337174"/>
    <s v="123-006-105-001"/>
    <s v="Financial Analyst"/>
    <x v="2"/>
    <d v="2023-05-16T00:00:00"/>
    <s v="Joshua Lee"/>
    <d v="2023-05-17T00:00:00"/>
    <x v="12"/>
    <s v="transfer"/>
    <x v="0"/>
    <b v="0"/>
    <b v="0"/>
    <b v="0"/>
    <b v="1"/>
    <b v="0"/>
    <b v="0"/>
  </r>
  <r>
    <n v="4337174"/>
    <s v="123-006-105-002"/>
    <s v="Financial Analyst"/>
    <x v="2"/>
    <d v="2022-09-04T00:00:00"/>
    <s v="Jessica Brown"/>
    <d v="2022-10-03T00:00:00"/>
    <x v="13"/>
    <s v="new to org"/>
    <x v="0"/>
    <b v="0"/>
    <b v="0"/>
    <b v="0"/>
    <b v="0"/>
    <b v="0"/>
    <b v="1"/>
  </r>
  <r>
    <n v="2321324"/>
    <s v="123-008-103-001"/>
    <s v="Project Manager"/>
    <x v="4"/>
    <d v="2023-05-02T00:00:00"/>
    <s v="William Nelson"/>
    <d v="2023-05-20T00:00:00"/>
    <x v="14"/>
    <s v="promo"/>
    <x v="0"/>
    <b v="0"/>
    <b v="0"/>
    <b v="0"/>
    <b v="0"/>
    <b v="1"/>
    <b v="0"/>
  </r>
  <r>
    <n v="5446912"/>
    <s v="123-010-117-001"/>
    <s v="Quality Assurance"/>
    <x v="5"/>
    <d v="2023-02-13T00:00:00"/>
    <s v="Dorothy Martin"/>
    <d v="2023-03-07T00:00:00"/>
    <x v="15"/>
    <s v="promo"/>
    <x v="0"/>
    <b v="0"/>
    <b v="0"/>
    <b v="0"/>
    <b v="0"/>
    <b v="1"/>
    <b v="0"/>
  </r>
  <r>
    <n v="5446912"/>
    <s v="123-010-117-002"/>
    <s v="Quality Assurance"/>
    <x v="5"/>
    <d v="2022-08-19T00:00:00"/>
    <s v="Linda Thomas"/>
    <d v="2022-08-22T00:00:00"/>
    <x v="16"/>
    <m/>
    <x v="0"/>
    <b v="0"/>
    <b v="0"/>
    <b v="0"/>
    <b v="0"/>
    <b v="0"/>
    <b v="0"/>
  </r>
  <r>
    <n v="1527021"/>
    <s v="123-006-128-001"/>
    <s v="Payroll Specialist"/>
    <x v="2"/>
    <d v="2022-08-08T00:00:00"/>
    <s v="Kevin Young"/>
    <d v="2022-08-26T00:00:00"/>
    <x v="17"/>
    <s v="new to org"/>
    <x v="0"/>
    <b v="0"/>
    <b v="0"/>
    <b v="0"/>
    <b v="0"/>
    <b v="0"/>
    <b v="1"/>
  </r>
  <r>
    <n v="8930103"/>
    <s v="123-008-108-002"/>
    <s v="Customer Support Rep"/>
    <x v="4"/>
    <d v="2022-02-25T00:00:00"/>
    <s v="Logan Campbell"/>
    <d v="2022-03-19T00:00:00"/>
    <x v="18"/>
    <m/>
    <x v="0"/>
    <b v="0"/>
    <b v="0"/>
    <b v="0"/>
    <b v="0"/>
    <b v="0"/>
    <b v="0"/>
  </r>
  <r>
    <n v="8930103"/>
    <s v="123-008-108-003"/>
    <s v="Customer Support Rep"/>
    <x v="4"/>
    <d v="2022-12-14T00:00:00"/>
    <s v="Patricia Sanchez"/>
    <d v="2023-01-09T00:00:00"/>
    <x v="19"/>
    <s v="transfer"/>
    <x v="0"/>
    <b v="0"/>
    <b v="0"/>
    <b v="0"/>
    <b v="1"/>
    <b v="0"/>
    <b v="0"/>
  </r>
  <r>
    <n v="8077999"/>
    <s v="123-005-106-002"/>
    <s v="Marketing Coordinator"/>
    <x v="0"/>
    <d v="2022-01-16T00:00:00"/>
    <s v="Patricia Adams"/>
    <d v="2022-01-19T00:00:00"/>
    <x v="20"/>
    <s v="transfer"/>
    <x v="0"/>
    <b v="0"/>
    <b v="0"/>
    <b v="0"/>
    <b v="1"/>
    <b v="0"/>
    <b v="0"/>
  </r>
  <r>
    <n v="8077999"/>
    <s v="123-005-106-003"/>
    <s v="Marketing Coordinator"/>
    <x v="0"/>
    <d v="2023-05-13T00:00:00"/>
    <s v="David Clark"/>
    <d v="2023-05-29T00:00:00"/>
    <x v="21"/>
    <s v="promo"/>
    <x v="0"/>
    <b v="0"/>
    <b v="0"/>
    <b v="0"/>
    <b v="0"/>
    <b v="1"/>
    <b v="0"/>
  </r>
  <r>
    <n v="8077999"/>
    <s v="123-005-106-004"/>
    <s v="Marketing Coordinator"/>
    <x v="0"/>
    <d v="2022-01-03T00:00:00"/>
    <s v="David Harris"/>
    <d v="2022-01-16T00:00:00"/>
    <x v="22"/>
    <s v="transfer"/>
    <x v="0"/>
    <b v="0"/>
    <b v="0"/>
    <b v="0"/>
    <b v="1"/>
    <b v="0"/>
    <b v="0"/>
  </r>
  <r>
    <n v="8633773"/>
    <s v="123-007-110-001"/>
    <s v="Legal Advisor"/>
    <x v="3"/>
    <d v="2022-10-31T00:00:00"/>
    <s v="Elizabeth Gonzalez"/>
    <d v="2022-11-07T00:00:00"/>
    <x v="23"/>
    <m/>
    <x v="0"/>
    <b v="0"/>
    <b v="0"/>
    <b v="0"/>
    <b v="0"/>
    <b v="0"/>
    <b v="0"/>
  </r>
  <r>
    <n v="8633773"/>
    <s v="123-007-110-002"/>
    <s v="Legal Advisor"/>
    <x v="3"/>
    <d v="2022-02-28T00:00:00"/>
    <s v="Melissa Lee"/>
    <d v="2022-03-02T00:00:00"/>
    <x v="24"/>
    <s v="transfer"/>
    <x v="0"/>
    <b v="0"/>
    <b v="0"/>
    <b v="0"/>
    <b v="1"/>
    <b v="0"/>
    <b v="0"/>
  </r>
  <r>
    <n v="8633773"/>
    <s v="123-007-110-003"/>
    <s v="Legal Advisor"/>
    <x v="3"/>
    <d v="2022-03-24T00:00:00"/>
    <s v="Patricia Allen"/>
    <d v="2022-04-21T00:00:00"/>
    <x v="25"/>
    <s v="promo"/>
    <x v="0"/>
    <b v="0"/>
    <b v="0"/>
    <b v="0"/>
    <b v="0"/>
    <b v="1"/>
    <b v="0"/>
  </r>
  <r>
    <n v="1666754"/>
    <s v="123-002-120-001"/>
    <s v="Executive Assistant"/>
    <x v="6"/>
    <d v="2022-07-29T00:00:00"/>
    <s v="Jackson Taylor"/>
    <d v="2022-08-20T00:00:00"/>
    <x v="26"/>
    <s v="new to org"/>
    <x v="0"/>
    <b v="0"/>
    <b v="0"/>
    <b v="0"/>
    <b v="0"/>
    <b v="0"/>
    <b v="1"/>
  </r>
  <r>
    <n v="1666754"/>
    <s v="123-002-120-002"/>
    <s v="Executive Assistant"/>
    <x v="6"/>
    <d v="2022-11-04T00:00:00"/>
    <s v="Betty Rodriguez"/>
    <d v="2022-11-19T00:00:00"/>
    <x v="27"/>
    <s v="new to org"/>
    <x v="0"/>
    <b v="0"/>
    <b v="0"/>
    <b v="0"/>
    <b v="0"/>
    <b v="0"/>
    <b v="1"/>
  </r>
  <r>
    <n v="1666754"/>
    <s v="123-002-120-003"/>
    <s v="Executive Assistant"/>
    <x v="6"/>
    <d v="2022-04-13T00:00:00"/>
    <s v="James Robinson"/>
    <d v="2022-04-16T00:00:00"/>
    <x v="28"/>
    <s v="transfer"/>
    <x v="0"/>
    <b v="0"/>
    <b v="0"/>
    <b v="0"/>
    <b v="1"/>
    <b v="0"/>
    <b v="0"/>
  </r>
  <r>
    <n v="2154126"/>
    <s v="123-004-129-002"/>
    <s v="Supply Chain Manager"/>
    <x v="1"/>
    <d v="2022-11-03T00:00:00"/>
    <s v="Kevin Evans"/>
    <d v="2022-12-03T00:00:00"/>
    <x v="29"/>
    <s v="transfer"/>
    <x v="0"/>
    <b v="0"/>
    <b v="0"/>
    <b v="0"/>
    <b v="1"/>
    <b v="0"/>
    <b v="0"/>
  </r>
  <r>
    <n v="2795765"/>
    <s v="123-009-124-002"/>
    <s v="Compliance Officer"/>
    <x v="7"/>
    <d v="2022-09-15T00:00:00"/>
    <s v="Steven Young"/>
    <d v="2022-10-14T00:00:00"/>
    <x v="30"/>
    <s v="new to org"/>
    <x v="0"/>
    <b v="0"/>
    <b v="0"/>
    <b v="0"/>
    <b v="0"/>
    <b v="0"/>
    <b v="1"/>
  </r>
  <r>
    <n v="1852264"/>
    <s v="123-007-103-003"/>
    <s v="Project Manager"/>
    <x v="3"/>
    <d v="2022-04-25T00:00:00"/>
    <s v="Emily Smith"/>
    <d v="2022-04-28T00:00:00"/>
    <x v="31"/>
    <m/>
    <x v="0"/>
    <b v="0"/>
    <b v="0"/>
    <b v="0"/>
    <b v="0"/>
    <b v="0"/>
    <b v="0"/>
  </r>
  <r>
    <n v="1604451"/>
    <s v="123-006-127-001"/>
    <s v="Training Coordinator"/>
    <x v="2"/>
    <d v="2022-11-12T00:00:00"/>
    <s v="William Williams"/>
    <d v="2022-11-24T00:00:00"/>
    <x v="32"/>
    <m/>
    <x v="0"/>
    <b v="0"/>
    <b v="0"/>
    <b v="0"/>
    <b v="0"/>
    <b v="0"/>
    <b v="0"/>
  </r>
  <r>
    <n v="1604451"/>
    <s v="123-006-127-002"/>
    <s v="Training Coordinator"/>
    <x v="2"/>
    <d v="2022-08-04T00:00:00"/>
    <s v="Lucas Thompson"/>
    <d v="2022-08-26T00:00:00"/>
    <x v="33"/>
    <s v="transfer"/>
    <x v="0"/>
    <b v="0"/>
    <b v="0"/>
    <b v="0"/>
    <b v="1"/>
    <b v="0"/>
    <b v="0"/>
  </r>
  <r>
    <n v="1604451"/>
    <s v="123-006-127-003"/>
    <s v="Training Coordinator"/>
    <x v="2"/>
    <d v="2023-02-21T00:00:00"/>
    <s v="Deborah Scott"/>
    <d v="2023-03-13T00:00:00"/>
    <x v="34"/>
    <s v="new to org"/>
    <x v="0"/>
    <b v="0"/>
    <b v="0"/>
    <b v="0"/>
    <b v="0"/>
    <b v="0"/>
    <b v="1"/>
  </r>
  <r>
    <n v="1604451"/>
    <s v="123-006-127-005"/>
    <s v="Training Coordinator"/>
    <x v="2"/>
    <d v="2022-12-07T00:00:00"/>
    <s v="Mary Lopez"/>
    <d v="2023-01-02T00:00:00"/>
    <x v="35"/>
    <m/>
    <x v="0"/>
    <b v="0"/>
    <b v="0"/>
    <b v="0"/>
    <b v="0"/>
    <b v="0"/>
    <b v="0"/>
  </r>
  <r>
    <n v="7907400"/>
    <s v="123-004-126-003"/>
    <s v="Recruiter"/>
    <x v="1"/>
    <d v="2023-04-17T00:00:00"/>
    <s v="Isabella Collins"/>
    <d v="2023-04-29T00:00:00"/>
    <x v="36"/>
    <s v="promo"/>
    <x v="0"/>
    <b v="0"/>
    <b v="0"/>
    <b v="0"/>
    <b v="0"/>
    <b v="1"/>
    <b v="0"/>
  </r>
  <r>
    <n v="1397023"/>
    <s v="123-004-122-002"/>
    <s v="DevOps Engineer"/>
    <x v="1"/>
    <d v="2022-12-06T00:00:00"/>
    <s v="Amanda Turner"/>
    <d v="2022-12-07T00:00:00"/>
    <x v="37"/>
    <m/>
    <x v="0"/>
    <b v="0"/>
    <b v="0"/>
    <b v="0"/>
    <b v="0"/>
    <b v="0"/>
    <b v="0"/>
  </r>
  <r>
    <n v="1397023"/>
    <s v="123-004-122-003"/>
    <s v="DevOps Engineer"/>
    <x v="1"/>
    <d v="2022-09-29T00:00:00"/>
    <s v="Barbara Nguyen"/>
    <d v="2022-10-01T00:00:00"/>
    <x v="38"/>
    <s v="new to org"/>
    <x v="0"/>
    <b v="0"/>
    <b v="0"/>
    <b v="0"/>
    <b v="0"/>
    <b v="0"/>
    <b v="1"/>
  </r>
  <r>
    <n v="1397023"/>
    <s v="123-004-122-004"/>
    <s v="DevOps Engineer"/>
    <x v="1"/>
    <d v="2022-11-18T00:00:00"/>
    <s v="George Gomez"/>
    <d v="2022-12-02T00:00:00"/>
    <x v="39"/>
    <s v="new to org"/>
    <x v="0"/>
    <b v="0"/>
    <b v="0"/>
    <b v="0"/>
    <b v="0"/>
    <b v="0"/>
    <b v="1"/>
  </r>
  <r>
    <n v="9580255"/>
    <s v="123-007-104-002"/>
    <s v="HR Specialist"/>
    <x v="3"/>
    <d v="2022-03-13T00:00:00"/>
    <s v="Lisa Ramirez"/>
    <d v="2022-04-04T00:00:00"/>
    <x v="40"/>
    <s v="promo"/>
    <x v="0"/>
    <b v="0"/>
    <b v="0"/>
    <b v="0"/>
    <b v="0"/>
    <b v="1"/>
    <b v="0"/>
  </r>
  <r>
    <n v="9580255"/>
    <s v="123-007-104-003"/>
    <s v="HR Specialist"/>
    <x v="3"/>
    <d v="2022-05-08T00:00:00"/>
    <s v="Kevin Diaz"/>
    <d v="2022-06-01T00:00:00"/>
    <x v="41"/>
    <s v="new to org"/>
    <x v="0"/>
    <b v="0"/>
    <b v="0"/>
    <b v="0"/>
    <b v="0"/>
    <b v="0"/>
    <b v="1"/>
  </r>
  <r>
    <n v="9580255"/>
    <s v="123-007-104-004"/>
    <s v="HR Specialist"/>
    <x v="3"/>
    <d v="2022-12-01T00:00:00"/>
    <s v="Kevin Clark"/>
    <d v="2022-12-14T00:00:00"/>
    <x v="42"/>
    <s v="new to org"/>
    <x v="0"/>
    <b v="0"/>
    <b v="0"/>
    <b v="0"/>
    <b v="0"/>
    <b v="0"/>
    <b v="1"/>
  </r>
  <r>
    <n v="7361002"/>
    <s v="123-003-122-001"/>
    <s v="DevOps Engineer"/>
    <x v="8"/>
    <d v="2022-01-01T00:00:00"/>
    <s v="Emily Turner"/>
    <d v="2022-01-11T00:00:00"/>
    <x v="43"/>
    <m/>
    <x v="0"/>
    <b v="0"/>
    <b v="0"/>
    <b v="0"/>
    <b v="0"/>
    <b v="0"/>
    <b v="0"/>
  </r>
  <r>
    <n v="7361002"/>
    <s v="123-003-122-003"/>
    <s v="DevOps Engineer"/>
    <x v="8"/>
    <d v="2022-06-23T00:00:00"/>
    <s v="Steven Walker"/>
    <d v="2022-07-15T00:00:00"/>
    <x v="44"/>
    <s v="promo"/>
    <x v="0"/>
    <b v="0"/>
    <b v="0"/>
    <b v="0"/>
    <b v="0"/>
    <b v="1"/>
    <b v="0"/>
  </r>
  <r>
    <n v="7361002"/>
    <s v="123-003-122-005"/>
    <s v="DevOps Engineer"/>
    <x v="8"/>
    <d v="2022-08-19T00:00:00"/>
    <s v="Amanda Martin"/>
    <d v="2022-09-14T00:00:00"/>
    <x v="45"/>
    <s v="promo"/>
    <x v="0"/>
    <b v="0"/>
    <b v="0"/>
    <b v="0"/>
    <b v="0"/>
    <b v="1"/>
    <b v="0"/>
  </r>
  <r>
    <n v="3472189"/>
    <s v="123-001-101-001"/>
    <s v="Software Engineer"/>
    <x v="9"/>
    <d v="2022-07-19T00:00:00"/>
    <s v="Sandra Clark"/>
    <d v="2022-08-11T00:00:00"/>
    <x v="46"/>
    <s v="transfer"/>
    <x v="0"/>
    <b v="0"/>
    <b v="0"/>
    <b v="0"/>
    <b v="1"/>
    <b v="0"/>
    <b v="0"/>
  </r>
  <r>
    <n v="3472189"/>
    <s v="123-001-101-002"/>
    <s v="Software Engineer"/>
    <x v="9"/>
    <d v="2022-01-06T00:00:00"/>
    <s v="Jessica Martinez"/>
    <d v="2022-02-04T00:00:00"/>
    <x v="1"/>
    <m/>
    <x v="0"/>
    <b v="0"/>
    <b v="0"/>
    <b v="0"/>
    <b v="0"/>
    <b v="0"/>
    <b v="0"/>
  </r>
  <r>
    <n v="2788238"/>
    <s v="123-007-125-002"/>
    <s v="Security Analyst"/>
    <x v="3"/>
    <d v="2023-04-21T00:00:00"/>
    <s v="Sandra Rodriguez"/>
    <d v="2023-05-13T00:00:00"/>
    <x v="47"/>
    <s v="transfer"/>
    <x v="0"/>
    <b v="0"/>
    <b v="0"/>
    <b v="0"/>
    <b v="1"/>
    <b v="0"/>
    <b v="0"/>
  </r>
  <r>
    <n v="6323376"/>
    <s v="123-008-125-001"/>
    <s v="Security Analyst"/>
    <x v="4"/>
    <d v="2023-04-02T00:00:00"/>
    <s v="Mason Collins"/>
    <d v="2023-05-01T00:00:00"/>
    <x v="48"/>
    <m/>
    <x v="0"/>
    <b v="0"/>
    <b v="0"/>
    <b v="0"/>
    <b v="0"/>
    <b v="0"/>
    <b v="0"/>
  </r>
  <r>
    <n v="6323376"/>
    <s v="123-008-125-002"/>
    <s v="Security Analyst"/>
    <x v="4"/>
    <d v="2022-09-11T00:00:00"/>
    <s v="Mark Taylor"/>
    <d v="2022-10-08T00:00:00"/>
    <x v="49"/>
    <m/>
    <x v="0"/>
    <b v="0"/>
    <b v="0"/>
    <b v="0"/>
    <b v="0"/>
    <b v="0"/>
    <b v="0"/>
  </r>
  <r>
    <n v="3530518"/>
    <s v="123-007-108-001"/>
    <s v="Customer Support Rep"/>
    <x v="3"/>
    <d v="2022-12-05T00:00:00"/>
    <s v="Anthony Clark"/>
    <d v="2022-12-23T00:00:00"/>
    <x v="50"/>
    <s v="transfer"/>
    <x v="0"/>
    <b v="0"/>
    <b v="0"/>
    <b v="0"/>
    <b v="1"/>
    <b v="0"/>
    <b v="0"/>
  </r>
  <r>
    <n v="3530518"/>
    <s v="123-007-108-002"/>
    <s v="Customer Support Rep"/>
    <x v="3"/>
    <d v="2023-02-03T00:00:00"/>
    <s v="Mason Clark"/>
    <d v="2023-03-04T00:00:00"/>
    <x v="51"/>
    <s v="promo"/>
    <x v="0"/>
    <b v="0"/>
    <b v="0"/>
    <b v="0"/>
    <b v="0"/>
    <b v="1"/>
    <b v="0"/>
  </r>
  <r>
    <n v="1327691"/>
    <s v="123-010-128-001"/>
    <s v="Payroll Specialist"/>
    <x v="5"/>
    <d v="2023-02-04T00:00:00"/>
    <s v="Karen Carter"/>
    <d v="2023-03-04T00:00:00"/>
    <x v="52"/>
    <s v="new to org"/>
    <x v="0"/>
    <b v="0"/>
    <b v="0"/>
    <b v="0"/>
    <b v="0"/>
    <b v="0"/>
    <b v="1"/>
  </r>
  <r>
    <n v="1327691"/>
    <s v="123-010-128-002"/>
    <s v="Payroll Specialist"/>
    <x v="5"/>
    <d v="2022-08-14T00:00:00"/>
    <s v="Paul Mitchell"/>
    <d v="2022-08-30T00:00:00"/>
    <x v="53"/>
    <m/>
    <x v="0"/>
    <b v="0"/>
    <b v="0"/>
    <b v="0"/>
    <b v="0"/>
    <b v="0"/>
    <b v="0"/>
  </r>
  <r>
    <n v="1327691"/>
    <s v="123-010-128-004"/>
    <s v="Payroll Specialist"/>
    <x v="5"/>
    <d v="2023-04-24T00:00:00"/>
    <s v="George Hernandez"/>
    <d v="2023-05-24T00:00:00"/>
    <x v="54"/>
    <m/>
    <x v="0"/>
    <b v="0"/>
    <b v="0"/>
    <b v="0"/>
    <b v="0"/>
    <b v="0"/>
    <b v="0"/>
  </r>
  <r>
    <n v="9961107"/>
    <s v="123-007-101-001"/>
    <s v="Software Engineer"/>
    <x v="3"/>
    <d v="2023-03-15T00:00:00"/>
    <s v="Jennifer Adams"/>
    <d v="2023-03-20T00:00:00"/>
    <x v="55"/>
    <s v="transfer"/>
    <x v="0"/>
    <b v="0"/>
    <b v="0"/>
    <b v="0"/>
    <b v="1"/>
    <b v="0"/>
    <b v="0"/>
  </r>
  <r>
    <n v="9961107"/>
    <s v="123-007-101-002"/>
    <s v="Software Engineer"/>
    <x v="3"/>
    <d v="2022-12-02T00:00:00"/>
    <s v="Thomas Harris"/>
    <d v="2022-12-09T00:00:00"/>
    <x v="56"/>
    <s v="transfer"/>
    <x v="0"/>
    <b v="0"/>
    <b v="0"/>
    <b v="0"/>
    <b v="1"/>
    <b v="0"/>
    <b v="0"/>
  </r>
  <r>
    <n v="9961107"/>
    <s v="123-007-101-003"/>
    <s v="Software Engineer"/>
    <x v="3"/>
    <d v="2023-03-08T00:00:00"/>
    <s v="Sarah Carter"/>
    <d v="2023-03-17T00:00:00"/>
    <x v="57"/>
    <m/>
    <x v="0"/>
    <b v="0"/>
    <b v="0"/>
    <b v="0"/>
    <b v="0"/>
    <b v="0"/>
    <b v="0"/>
  </r>
  <r>
    <n v="1520596"/>
    <s v="123-004-108-001"/>
    <s v="Customer Support Rep"/>
    <x v="1"/>
    <d v="2022-04-28T00:00:00"/>
    <s v="William Walker"/>
    <d v="2022-05-17T00:00:00"/>
    <x v="58"/>
    <s v="promo"/>
    <x v="0"/>
    <b v="0"/>
    <b v="0"/>
    <b v="0"/>
    <b v="0"/>
    <b v="1"/>
    <b v="0"/>
  </r>
  <r>
    <n v="8801975"/>
    <s v="123-005-123-002"/>
    <s v="Data Engineer"/>
    <x v="0"/>
    <d v="2022-01-27T00:00:00"/>
    <s v="Michael Nguyen"/>
    <d v="2022-02-26T00:00:00"/>
    <x v="59"/>
    <s v="new to org"/>
    <x v="0"/>
    <b v="0"/>
    <b v="0"/>
    <b v="0"/>
    <b v="0"/>
    <b v="0"/>
    <b v="1"/>
  </r>
  <r>
    <n v="8801975"/>
    <s v="123-005-123-003"/>
    <s v="Data Engineer"/>
    <x v="0"/>
    <d v="2022-07-23T00:00:00"/>
    <s v="Betty Rivera"/>
    <d v="2022-07-26T00:00:00"/>
    <x v="60"/>
    <m/>
    <x v="0"/>
    <b v="0"/>
    <b v="0"/>
    <b v="0"/>
    <b v="0"/>
    <b v="0"/>
    <b v="0"/>
  </r>
  <r>
    <n v="5074336"/>
    <s v="123-005-104-001"/>
    <s v="HR Specialist"/>
    <x v="0"/>
    <d v="2023-03-15T00:00:00"/>
    <s v="Daniel Wright"/>
    <d v="2023-04-06T00:00:00"/>
    <x v="34"/>
    <s v="transfer"/>
    <x v="0"/>
    <b v="0"/>
    <b v="0"/>
    <b v="0"/>
    <b v="1"/>
    <b v="0"/>
    <b v="0"/>
  </r>
  <r>
    <n v="5074336"/>
    <s v="123-005-104-003"/>
    <s v="HR Specialist"/>
    <x v="0"/>
    <d v="2023-01-06T00:00:00"/>
    <s v="Michael Ramirez"/>
    <d v="2023-01-27T00:00:00"/>
    <x v="61"/>
    <m/>
    <x v="0"/>
    <b v="0"/>
    <b v="0"/>
    <b v="0"/>
    <b v="0"/>
    <b v="0"/>
    <b v="0"/>
  </r>
  <r>
    <n v="5074336"/>
    <s v="123-005-104-004"/>
    <s v="HR Specialist"/>
    <x v="0"/>
    <d v="2023-06-19T00:00:00"/>
    <s v="Margaret Lopez"/>
    <d v="2023-07-10T00:00:00"/>
    <x v="62"/>
    <s v="promo"/>
    <x v="0"/>
    <b v="0"/>
    <b v="0"/>
    <b v="0"/>
    <b v="0"/>
    <b v="1"/>
    <b v="0"/>
  </r>
  <r>
    <n v="5074336"/>
    <s v="123-005-104-005"/>
    <s v="HR Specialist"/>
    <x v="0"/>
    <d v="2022-10-02T00:00:00"/>
    <s v="Sandra Ramirez"/>
    <d v="2022-10-13T00:00:00"/>
    <x v="63"/>
    <m/>
    <x v="0"/>
    <b v="0"/>
    <b v="0"/>
    <b v="0"/>
    <b v="0"/>
    <b v="0"/>
    <b v="0"/>
  </r>
  <r>
    <n v="5118725"/>
    <s v="123-002-127-001"/>
    <s v="Training Coordinator"/>
    <x v="6"/>
    <d v="2023-01-24T00:00:00"/>
    <s v="Edward Robinson"/>
    <d v="2023-02-04T00:00:00"/>
    <x v="64"/>
    <s v="promo"/>
    <x v="0"/>
    <b v="0"/>
    <b v="0"/>
    <b v="0"/>
    <b v="0"/>
    <b v="1"/>
    <b v="0"/>
  </r>
  <r>
    <n v="5118725"/>
    <s v="123-002-127-002"/>
    <s v="Training Coordinator"/>
    <x v="6"/>
    <d v="2022-08-06T00:00:00"/>
    <s v="Barbara Young"/>
    <d v="2022-08-18T00:00:00"/>
    <x v="65"/>
    <s v="new to org"/>
    <x v="0"/>
    <b v="0"/>
    <b v="0"/>
    <b v="0"/>
    <b v="0"/>
    <b v="0"/>
    <b v="1"/>
  </r>
  <r>
    <n v="8987516"/>
    <s v="123-008-121-001"/>
    <s v="UX Designer"/>
    <x v="4"/>
    <d v="2023-02-19T00:00:00"/>
    <s v="Charles Anderson"/>
    <d v="2023-03-14T00:00:00"/>
    <x v="66"/>
    <s v="transfer"/>
    <x v="0"/>
    <b v="0"/>
    <b v="0"/>
    <b v="0"/>
    <b v="1"/>
    <b v="0"/>
    <b v="0"/>
  </r>
  <r>
    <n v="8987516"/>
    <s v="123-008-121-002"/>
    <s v="UX Designer"/>
    <x v="4"/>
    <d v="2023-06-28T00:00:00"/>
    <s v="Donald Scott"/>
    <d v="2023-07-10T00:00:00"/>
    <x v="67"/>
    <s v="new to org"/>
    <x v="0"/>
    <b v="0"/>
    <b v="0"/>
    <b v="0"/>
    <b v="0"/>
    <b v="0"/>
    <b v="1"/>
  </r>
  <r>
    <n v="8987516"/>
    <s v="123-008-121-003"/>
    <s v="UX Designer"/>
    <x v="4"/>
    <d v="2023-04-10T00:00:00"/>
    <s v="Daniel Hall"/>
    <d v="2023-04-19T00:00:00"/>
    <x v="68"/>
    <s v="new to org"/>
    <x v="0"/>
    <b v="0"/>
    <b v="0"/>
    <b v="0"/>
    <b v="0"/>
    <b v="0"/>
    <b v="1"/>
  </r>
  <r>
    <n v="3005795"/>
    <s v="123-009-124-004"/>
    <s v="Compliance Officer"/>
    <x v="7"/>
    <d v="2022-07-18T00:00:00"/>
    <s v="Michael Turner"/>
    <d v="2022-07-28T00:00:00"/>
    <x v="69"/>
    <s v="new to org"/>
    <x v="0"/>
    <b v="0"/>
    <b v="0"/>
    <b v="0"/>
    <b v="0"/>
    <b v="0"/>
    <b v="1"/>
  </r>
  <r>
    <n v="7054579"/>
    <s v="123-005-106-005"/>
    <s v="Marketing Coordinator"/>
    <x v="0"/>
    <d v="2022-02-25T00:00:00"/>
    <s v="Sarah Williams"/>
    <d v="2022-03-15T00:00:00"/>
    <x v="70"/>
    <s v="promo"/>
    <x v="0"/>
    <b v="0"/>
    <b v="0"/>
    <b v="0"/>
    <b v="0"/>
    <b v="1"/>
    <b v="0"/>
  </r>
  <r>
    <n v="3118618"/>
    <s v="123-008-121-005"/>
    <s v="UX Designer"/>
    <x v="4"/>
    <d v="2023-03-28T00:00:00"/>
    <s v="Donald Walker"/>
    <d v="2023-04-08T00:00:00"/>
    <x v="71"/>
    <s v="new to org"/>
    <x v="0"/>
    <b v="0"/>
    <b v="0"/>
    <b v="0"/>
    <b v="0"/>
    <b v="0"/>
    <b v="1"/>
  </r>
  <r>
    <n v="1861958"/>
    <s v="123-008-109-001"/>
    <s v="IT Technician"/>
    <x v="4"/>
    <d v="2022-02-24T00:00:00"/>
    <s v="Ashley Jones"/>
    <d v="2022-03-01T00:00:00"/>
    <x v="72"/>
    <m/>
    <x v="0"/>
    <b v="0"/>
    <b v="0"/>
    <b v="0"/>
    <b v="0"/>
    <b v="0"/>
    <b v="0"/>
  </r>
  <r>
    <n v="6097514"/>
    <s v="123-004-103-001"/>
    <s v="Project Manager"/>
    <x v="1"/>
    <d v="2022-08-20T00:00:00"/>
    <s v="Joshua Hill"/>
    <d v="2022-09-14T00:00:00"/>
    <x v="73"/>
    <m/>
    <x v="0"/>
    <b v="0"/>
    <b v="0"/>
    <b v="0"/>
    <b v="0"/>
    <b v="0"/>
    <b v="0"/>
  </r>
  <r>
    <n v="7381684"/>
    <s v="123-008-115-001"/>
    <s v="Graphic Designer"/>
    <x v="4"/>
    <d v="2022-03-03T00:00:00"/>
    <s v="Karen Torres"/>
    <d v="2022-03-23T00:00:00"/>
    <x v="74"/>
    <m/>
    <x v="0"/>
    <b v="0"/>
    <b v="0"/>
    <b v="0"/>
    <b v="0"/>
    <b v="0"/>
    <b v="0"/>
  </r>
  <r>
    <n v="7381684"/>
    <s v="123-008-115-003"/>
    <s v="Graphic Designer"/>
    <x v="4"/>
    <d v="2022-03-18T00:00:00"/>
    <s v="Jessica Lopez"/>
    <d v="2022-03-24T00:00:00"/>
    <x v="1"/>
    <s v="promo"/>
    <x v="0"/>
    <b v="0"/>
    <b v="0"/>
    <b v="0"/>
    <b v="0"/>
    <b v="1"/>
    <b v="0"/>
  </r>
  <r>
    <n v="7853787"/>
    <s v="123-010-115-002"/>
    <s v="Graphic Designer"/>
    <x v="5"/>
    <d v="2022-09-28T00:00:00"/>
    <s v="Amanda Anderson"/>
    <d v="2022-10-24T00:00:00"/>
    <x v="75"/>
    <s v="transfer"/>
    <x v="0"/>
    <b v="0"/>
    <b v="0"/>
    <b v="0"/>
    <b v="1"/>
    <b v="0"/>
    <b v="0"/>
  </r>
  <r>
    <n v="7853787"/>
    <s v="123-010-115-003"/>
    <s v="Graphic Designer"/>
    <x v="5"/>
    <d v="2022-08-19T00:00:00"/>
    <s v="Margaret Davis"/>
    <d v="2022-09-09T00:00:00"/>
    <x v="76"/>
    <s v="promo"/>
    <x v="0"/>
    <b v="0"/>
    <b v="0"/>
    <b v="0"/>
    <b v="0"/>
    <b v="1"/>
    <b v="0"/>
  </r>
  <r>
    <n v="7853787"/>
    <s v="123-010-115-004"/>
    <s v="Graphic Designer"/>
    <x v="5"/>
    <d v="2022-06-19T00:00:00"/>
    <s v="John Brown"/>
    <d v="2022-07-15T00:00:00"/>
    <x v="77"/>
    <s v="promo"/>
    <x v="0"/>
    <b v="0"/>
    <b v="0"/>
    <b v="0"/>
    <b v="0"/>
    <b v="1"/>
    <b v="0"/>
  </r>
  <r>
    <n v="5842082"/>
    <s v="123-002-115-001"/>
    <s v="Graphic Designer"/>
    <x v="6"/>
    <d v="2023-05-28T00:00:00"/>
    <s v="Charlotte Moore"/>
    <d v="2023-06-15T00:00:00"/>
    <x v="78"/>
    <m/>
    <x v="0"/>
    <b v="0"/>
    <b v="0"/>
    <b v="0"/>
    <b v="0"/>
    <b v="0"/>
    <b v="0"/>
  </r>
  <r>
    <n v="5842082"/>
    <s v="123-002-115-002"/>
    <s v="Graphic Designer"/>
    <x v="6"/>
    <d v="2022-11-27T00:00:00"/>
    <s v="Olivia Ramirez"/>
    <d v="2022-12-17T00:00:00"/>
    <x v="79"/>
    <s v="transfer"/>
    <x v="0"/>
    <b v="0"/>
    <b v="0"/>
    <b v="0"/>
    <b v="1"/>
    <b v="0"/>
    <b v="0"/>
  </r>
  <r>
    <n v="5842082"/>
    <s v="123-002-115-004"/>
    <s v="Graphic Designer"/>
    <x v="6"/>
    <d v="2022-06-29T00:00:00"/>
    <s v="Andrew Williams"/>
    <d v="2022-07-15T00:00:00"/>
    <x v="80"/>
    <s v="new to org"/>
    <x v="0"/>
    <b v="0"/>
    <b v="0"/>
    <b v="0"/>
    <b v="0"/>
    <b v="0"/>
    <b v="1"/>
  </r>
  <r>
    <n v="8419378"/>
    <s v="123-005-130-001"/>
    <s v="Biomedical Engineer"/>
    <x v="0"/>
    <d v="2023-05-19T00:00:00"/>
    <s v="Kenneth Evans"/>
    <d v="2023-05-22T00:00:00"/>
    <x v="81"/>
    <m/>
    <x v="0"/>
    <b v="0"/>
    <b v="0"/>
    <b v="0"/>
    <b v="0"/>
    <b v="0"/>
    <b v="0"/>
  </r>
  <r>
    <n v="8419378"/>
    <s v="123-005-130-002"/>
    <s v="Biomedical Engineer"/>
    <x v="0"/>
    <d v="2022-04-18T00:00:00"/>
    <s v="Christopher Nelson"/>
    <d v="2022-05-16T00:00:00"/>
    <x v="82"/>
    <s v="new to org"/>
    <x v="0"/>
    <b v="0"/>
    <b v="0"/>
    <b v="0"/>
    <b v="0"/>
    <b v="0"/>
    <b v="1"/>
  </r>
  <r>
    <n v="6533187"/>
    <s v="123-008-114-001"/>
    <s v="Research Analyst"/>
    <x v="4"/>
    <d v="2022-02-07T00:00:00"/>
    <s v="Isabella Carter"/>
    <d v="2022-02-22T00:00:00"/>
    <x v="83"/>
    <m/>
    <x v="0"/>
    <b v="0"/>
    <b v="0"/>
    <b v="0"/>
    <b v="0"/>
    <b v="0"/>
    <b v="0"/>
  </r>
  <r>
    <n v="6533187"/>
    <s v="123-008-114-002"/>
    <s v="Research Analyst"/>
    <x v="4"/>
    <d v="2023-02-18T00:00:00"/>
    <s v="Linda Roberts"/>
    <d v="2023-03-18T00:00:00"/>
    <x v="71"/>
    <s v="new to org"/>
    <x v="0"/>
    <b v="0"/>
    <b v="0"/>
    <b v="0"/>
    <b v="0"/>
    <b v="0"/>
    <b v="1"/>
  </r>
  <r>
    <n v="6533187"/>
    <s v="123-008-114-003"/>
    <s v="Research Analyst"/>
    <x v="4"/>
    <d v="2023-04-19T00:00:00"/>
    <s v="Kevin Parker"/>
    <d v="2023-05-03T00:00:00"/>
    <x v="7"/>
    <s v="transfer"/>
    <x v="0"/>
    <b v="0"/>
    <b v="0"/>
    <b v="0"/>
    <b v="1"/>
    <b v="0"/>
    <b v="0"/>
  </r>
  <r>
    <n v="4147112"/>
    <s v="123-006-117-001"/>
    <s v="Quality Assurance"/>
    <x v="2"/>
    <d v="2022-07-28T00:00:00"/>
    <s v="Edward Brown"/>
    <d v="2022-08-06T00:00:00"/>
    <x v="33"/>
    <m/>
    <x v="0"/>
    <b v="0"/>
    <b v="0"/>
    <b v="0"/>
    <b v="0"/>
    <b v="0"/>
    <b v="0"/>
  </r>
  <r>
    <n v="2970754"/>
    <s v="123-003-121-001"/>
    <s v="UX Designer"/>
    <x v="8"/>
    <d v="2022-10-07T00:00:00"/>
    <s v="Steven Rivera"/>
    <d v="2022-10-21T00:00:00"/>
    <x v="75"/>
    <s v="new to org"/>
    <x v="0"/>
    <b v="0"/>
    <b v="0"/>
    <b v="0"/>
    <b v="0"/>
    <b v="0"/>
    <b v="1"/>
  </r>
  <r>
    <n v="2970754"/>
    <s v="123-003-121-002"/>
    <s v="UX Designer"/>
    <x v="8"/>
    <d v="2022-05-29T00:00:00"/>
    <s v="Jessica Robinson"/>
    <d v="2022-06-11T00:00:00"/>
    <x v="31"/>
    <m/>
    <x v="0"/>
    <b v="0"/>
    <b v="0"/>
    <b v="0"/>
    <b v="0"/>
    <b v="0"/>
    <b v="0"/>
  </r>
  <r>
    <n v="2970754"/>
    <s v="123-003-121-003"/>
    <s v="UX Designer"/>
    <x v="8"/>
    <d v="2022-10-10T00:00:00"/>
    <s v="Logan Jones"/>
    <d v="2022-11-04T00:00:00"/>
    <x v="84"/>
    <s v="promo"/>
    <x v="0"/>
    <b v="0"/>
    <b v="0"/>
    <b v="0"/>
    <b v="0"/>
    <b v="1"/>
    <b v="0"/>
  </r>
  <r>
    <n v="2970754"/>
    <s v="123-003-121-004"/>
    <s v="UX Designer"/>
    <x v="8"/>
    <d v="2023-06-04T00:00:00"/>
    <s v="Jackson Gomez"/>
    <d v="2023-06-13T00:00:00"/>
    <x v="85"/>
    <s v="new to org"/>
    <x v="0"/>
    <b v="0"/>
    <b v="0"/>
    <b v="0"/>
    <b v="0"/>
    <b v="0"/>
    <b v="1"/>
  </r>
  <r>
    <n v="1043037"/>
    <s v="123-005-110-001"/>
    <s v="Legal Advisor"/>
    <x v="0"/>
    <d v="2023-04-03T00:00:00"/>
    <s v="Logan Martinez"/>
    <d v="2023-04-21T00:00:00"/>
    <x v="86"/>
    <m/>
    <x v="0"/>
    <b v="0"/>
    <b v="0"/>
    <b v="0"/>
    <b v="0"/>
    <b v="0"/>
    <b v="0"/>
  </r>
  <r>
    <n v="1043037"/>
    <s v="123-005-110-002"/>
    <s v="Legal Advisor"/>
    <x v="0"/>
    <d v="2022-07-13T00:00:00"/>
    <s v="Sandra Lee"/>
    <d v="2022-08-05T00:00:00"/>
    <x v="87"/>
    <m/>
    <x v="0"/>
    <b v="0"/>
    <b v="0"/>
    <b v="0"/>
    <b v="0"/>
    <b v="0"/>
    <b v="0"/>
  </r>
  <r>
    <n v="1043037"/>
    <s v="123-005-110-003"/>
    <s v="Legal Advisor"/>
    <x v="0"/>
    <d v="2023-02-25T00:00:00"/>
    <s v="Mia Roberts"/>
    <d v="2023-02-27T00:00:00"/>
    <x v="88"/>
    <s v="promo"/>
    <x v="0"/>
    <b v="0"/>
    <b v="0"/>
    <b v="0"/>
    <b v="0"/>
    <b v="1"/>
    <b v="0"/>
  </r>
  <r>
    <n v="1043037"/>
    <s v="123-005-110-004"/>
    <s v="Legal Advisor"/>
    <x v="0"/>
    <d v="2022-06-05T00:00:00"/>
    <s v="Matthew Nelson"/>
    <d v="2022-06-21T00:00:00"/>
    <x v="31"/>
    <m/>
    <x v="0"/>
    <b v="0"/>
    <b v="0"/>
    <b v="0"/>
    <b v="0"/>
    <b v="0"/>
    <b v="0"/>
  </r>
  <r>
    <n v="8387112"/>
    <s v="123-009-104-003"/>
    <s v="HR Specialist"/>
    <x v="7"/>
    <d v="2023-02-12T00:00:00"/>
    <s v="Nancy Flores"/>
    <d v="2023-03-05T00:00:00"/>
    <x v="89"/>
    <s v="new to org"/>
    <x v="0"/>
    <b v="0"/>
    <b v="0"/>
    <b v="0"/>
    <b v="0"/>
    <b v="0"/>
    <b v="1"/>
  </r>
  <r>
    <n v="8387112"/>
    <s v="123-009-104-004"/>
    <s v="HR Specialist"/>
    <x v="7"/>
    <d v="2023-05-15T00:00:00"/>
    <s v="Christopher Green"/>
    <d v="2023-06-12T00:00:00"/>
    <x v="78"/>
    <m/>
    <x v="0"/>
    <b v="0"/>
    <b v="0"/>
    <b v="0"/>
    <b v="0"/>
    <b v="0"/>
    <b v="0"/>
  </r>
  <r>
    <n v="5821419"/>
    <s v="123-002-108-001"/>
    <s v="Customer Support Rep"/>
    <x v="6"/>
    <d v="2022-11-03T00:00:00"/>
    <s v="Mark Hernandez"/>
    <d v="2022-12-02T00:00:00"/>
    <x v="90"/>
    <s v="transfer"/>
    <x v="0"/>
    <b v="0"/>
    <b v="0"/>
    <b v="0"/>
    <b v="1"/>
    <b v="0"/>
    <b v="0"/>
  </r>
  <r>
    <n v="5821419"/>
    <s v="123-002-108-003"/>
    <s v="Customer Support Rep"/>
    <x v="6"/>
    <d v="2023-02-26T00:00:00"/>
    <s v="Jessica King"/>
    <d v="2023-03-17T00:00:00"/>
    <x v="34"/>
    <s v="promo"/>
    <x v="0"/>
    <b v="0"/>
    <b v="0"/>
    <b v="0"/>
    <b v="0"/>
    <b v="1"/>
    <b v="0"/>
  </r>
  <r>
    <n v="5821419"/>
    <s v="123-002-108-004"/>
    <s v="Customer Support Rep"/>
    <x v="6"/>
    <d v="2023-01-27T00:00:00"/>
    <s v="Barbara Garcia"/>
    <d v="2023-02-16T00:00:00"/>
    <x v="91"/>
    <s v="promo"/>
    <x v="0"/>
    <b v="0"/>
    <b v="0"/>
    <b v="0"/>
    <b v="0"/>
    <b v="1"/>
    <b v="0"/>
  </r>
  <r>
    <n v="5040453"/>
    <s v="123-010-116-002"/>
    <s v="Content Writer"/>
    <x v="5"/>
    <d v="2022-06-11T00:00:00"/>
    <s v="Lucas Jackson"/>
    <d v="2022-06-14T00:00:00"/>
    <x v="92"/>
    <m/>
    <x v="0"/>
    <b v="0"/>
    <b v="0"/>
    <b v="0"/>
    <b v="0"/>
    <b v="0"/>
    <b v="0"/>
  </r>
  <r>
    <n v="6797629"/>
    <s v="123-005-119-001"/>
    <s v="Account Manager"/>
    <x v="0"/>
    <d v="2022-07-23T00:00:00"/>
    <s v="Mia Martin"/>
    <d v="2022-08-05T00:00:00"/>
    <x v="93"/>
    <m/>
    <x v="0"/>
    <b v="0"/>
    <b v="0"/>
    <b v="0"/>
    <b v="0"/>
    <b v="0"/>
    <b v="0"/>
  </r>
  <r>
    <n v="6797629"/>
    <s v="123-005-119-002"/>
    <s v="Account Manager"/>
    <x v="0"/>
    <d v="2023-01-03T00:00:00"/>
    <s v="Matthew Torres"/>
    <d v="2023-01-22T00:00:00"/>
    <x v="94"/>
    <s v="promo"/>
    <x v="0"/>
    <b v="0"/>
    <b v="0"/>
    <b v="0"/>
    <b v="0"/>
    <b v="1"/>
    <b v="0"/>
  </r>
  <r>
    <n v="6797629"/>
    <s v="123-005-119-003"/>
    <s v="Account Manager"/>
    <x v="0"/>
    <d v="2023-02-10T00:00:00"/>
    <s v="Mary Turner"/>
    <d v="2023-02-19T00:00:00"/>
    <x v="95"/>
    <s v="new to org"/>
    <x v="0"/>
    <b v="0"/>
    <b v="0"/>
    <b v="0"/>
    <b v="0"/>
    <b v="0"/>
    <b v="1"/>
  </r>
  <r>
    <n v="6797629"/>
    <s v="123-005-119-004"/>
    <s v="Account Manager"/>
    <x v="0"/>
    <d v="2023-05-24T00:00:00"/>
    <s v="Ava Hill"/>
    <d v="2023-06-20T00:00:00"/>
    <x v="96"/>
    <s v="transfer"/>
    <x v="0"/>
    <b v="0"/>
    <b v="0"/>
    <b v="0"/>
    <b v="1"/>
    <b v="0"/>
    <b v="0"/>
  </r>
  <r>
    <n v="5801541"/>
    <s v="123-004-125-001"/>
    <s v="Security Analyst"/>
    <x v="1"/>
    <d v="2022-09-14T00:00:00"/>
    <s v="Kenneth Gonzalez"/>
    <d v="2022-10-06T00:00:00"/>
    <x v="97"/>
    <s v="promo"/>
    <x v="0"/>
    <b v="0"/>
    <b v="0"/>
    <b v="0"/>
    <b v="0"/>
    <b v="1"/>
    <b v="0"/>
  </r>
  <r>
    <n v="5801541"/>
    <s v="123-004-125-002"/>
    <s v="Security Analyst"/>
    <x v="1"/>
    <d v="2022-02-10T00:00:00"/>
    <s v="Kenneth Miller"/>
    <d v="2022-02-20T00:00:00"/>
    <x v="98"/>
    <s v="promo"/>
    <x v="0"/>
    <b v="0"/>
    <b v="0"/>
    <b v="0"/>
    <b v="0"/>
    <b v="1"/>
    <b v="0"/>
  </r>
  <r>
    <n v="5801541"/>
    <s v="123-004-125-003"/>
    <s v="Security Analyst"/>
    <x v="1"/>
    <d v="2022-04-03T00:00:00"/>
    <s v="George Rodriguez"/>
    <d v="2022-05-03T00:00:00"/>
    <x v="99"/>
    <s v="new to org"/>
    <x v="0"/>
    <b v="0"/>
    <b v="0"/>
    <b v="0"/>
    <b v="0"/>
    <b v="0"/>
    <b v="1"/>
  </r>
  <r>
    <n v="5801541"/>
    <s v="123-004-125-004"/>
    <s v="Security Analyst"/>
    <x v="1"/>
    <d v="2022-05-16T00:00:00"/>
    <s v="Barbara Gonzalez"/>
    <d v="2022-06-11T00:00:00"/>
    <x v="100"/>
    <m/>
    <x v="0"/>
    <b v="0"/>
    <b v="0"/>
    <b v="0"/>
    <b v="0"/>
    <b v="0"/>
    <b v="0"/>
  </r>
  <r>
    <n v="5801541"/>
    <s v="123-004-125-005"/>
    <s v="Security Analyst"/>
    <x v="1"/>
    <d v="2022-10-07T00:00:00"/>
    <s v="Kimberly Allen"/>
    <d v="2022-11-03T00:00:00"/>
    <x v="101"/>
    <s v="new to org"/>
    <x v="0"/>
    <b v="0"/>
    <b v="0"/>
    <b v="0"/>
    <b v="0"/>
    <b v="0"/>
    <b v="1"/>
  </r>
  <r>
    <n v="5311242"/>
    <s v="123-008-130-001"/>
    <s v="Biomedical Engineer"/>
    <x v="4"/>
    <d v="2023-04-25T00:00:00"/>
    <s v="Ethan Davis"/>
    <d v="2023-04-28T00:00:00"/>
    <x v="102"/>
    <s v="new to org"/>
    <x v="0"/>
    <b v="0"/>
    <b v="0"/>
    <b v="0"/>
    <b v="0"/>
    <b v="0"/>
    <b v="1"/>
  </r>
  <r>
    <n v="5311242"/>
    <s v="123-008-130-002"/>
    <s v="Biomedical Engineer"/>
    <x v="4"/>
    <d v="2023-02-11T00:00:00"/>
    <s v="Logan Baker"/>
    <d v="2023-03-11T00:00:00"/>
    <x v="103"/>
    <s v="promo"/>
    <x v="0"/>
    <b v="0"/>
    <b v="0"/>
    <b v="0"/>
    <b v="0"/>
    <b v="1"/>
    <b v="0"/>
  </r>
  <r>
    <n v="5311242"/>
    <s v="123-008-130-003"/>
    <s v="Biomedical Engineer"/>
    <x v="4"/>
    <d v="2022-01-15T00:00:00"/>
    <s v="Sophia Sanchez"/>
    <d v="2022-01-24T00:00:00"/>
    <x v="83"/>
    <s v="transfer"/>
    <x v="0"/>
    <b v="0"/>
    <b v="0"/>
    <b v="0"/>
    <b v="1"/>
    <b v="0"/>
    <b v="0"/>
  </r>
  <r>
    <n v="3073474"/>
    <s v="123-006-115-001"/>
    <s v="Graphic Designer"/>
    <x v="2"/>
    <d v="2022-08-28T00:00:00"/>
    <s v="Michael Baker"/>
    <d v="2022-09-13T00:00:00"/>
    <x v="104"/>
    <s v="new to org"/>
    <x v="0"/>
    <b v="0"/>
    <b v="0"/>
    <b v="0"/>
    <b v="0"/>
    <b v="0"/>
    <b v="1"/>
  </r>
  <r>
    <n v="3073474"/>
    <s v="123-006-115-002"/>
    <s v="Graphic Designer"/>
    <x v="2"/>
    <d v="2022-08-15T00:00:00"/>
    <s v="Ava Flores"/>
    <d v="2022-09-05T00:00:00"/>
    <x v="105"/>
    <s v="new to org"/>
    <x v="0"/>
    <b v="0"/>
    <b v="0"/>
    <b v="0"/>
    <b v="0"/>
    <b v="0"/>
    <b v="1"/>
  </r>
  <r>
    <n v="3073474"/>
    <s v="123-006-115-003"/>
    <s v="Graphic Designer"/>
    <x v="2"/>
    <d v="2022-11-06T00:00:00"/>
    <s v="Ava Hall"/>
    <d v="2022-11-27T00:00:00"/>
    <x v="106"/>
    <m/>
    <x v="0"/>
    <b v="0"/>
    <b v="0"/>
    <b v="0"/>
    <b v="0"/>
    <b v="0"/>
    <b v="0"/>
  </r>
  <r>
    <n v="3276065"/>
    <s v="123-008-113-001"/>
    <s v="Operations Supervisor"/>
    <x v="4"/>
    <d v="2022-06-08T00:00:00"/>
    <s v="Donna Mitchell"/>
    <d v="2022-07-07T00:00:00"/>
    <x v="107"/>
    <m/>
    <x v="0"/>
    <b v="0"/>
    <b v="0"/>
    <b v="0"/>
    <b v="0"/>
    <b v="0"/>
    <b v="0"/>
  </r>
  <r>
    <n v="3276065"/>
    <s v="123-008-113-002"/>
    <s v="Operations Supervisor"/>
    <x v="4"/>
    <d v="2022-10-14T00:00:00"/>
    <s v="Michelle Clark"/>
    <d v="2022-10-16T00:00:00"/>
    <x v="108"/>
    <m/>
    <x v="0"/>
    <b v="0"/>
    <b v="0"/>
    <b v="0"/>
    <b v="0"/>
    <b v="0"/>
    <b v="0"/>
  </r>
  <r>
    <n v="3276065"/>
    <s v="123-008-113-003"/>
    <s v="Operations Supervisor"/>
    <x v="4"/>
    <d v="2023-01-07T00:00:00"/>
    <s v="Mark Thomas"/>
    <d v="2023-01-11T00:00:00"/>
    <x v="109"/>
    <m/>
    <x v="0"/>
    <b v="0"/>
    <b v="0"/>
    <b v="0"/>
    <b v="0"/>
    <b v="0"/>
    <b v="0"/>
  </r>
  <r>
    <n v="6595355"/>
    <s v="123-003-108-004"/>
    <s v="Customer Support Rep"/>
    <x v="8"/>
    <d v="2022-09-14T00:00:00"/>
    <s v="William Wright"/>
    <d v="2022-10-10T00:00:00"/>
    <x v="0"/>
    <s v="promo"/>
    <x v="0"/>
    <b v="0"/>
    <b v="0"/>
    <b v="0"/>
    <b v="0"/>
    <b v="1"/>
    <b v="0"/>
  </r>
  <r>
    <n v="7010308"/>
    <s v="123-004-126-005"/>
    <s v="Recruiter"/>
    <x v="1"/>
    <d v="2023-05-03T00:00:00"/>
    <s v="Melissa Jones"/>
    <d v="2023-05-18T00:00:00"/>
    <x v="110"/>
    <s v="transfer"/>
    <x v="0"/>
    <b v="0"/>
    <b v="0"/>
    <b v="0"/>
    <b v="1"/>
    <b v="0"/>
    <b v="0"/>
  </r>
  <r>
    <n v="7010308"/>
    <s v="123-004-126-006"/>
    <s v="Recruiter"/>
    <x v="1"/>
    <d v="2022-08-15T00:00:00"/>
    <s v="Mark Allen"/>
    <d v="2022-09-04T00:00:00"/>
    <x v="111"/>
    <s v="transfer"/>
    <x v="0"/>
    <b v="0"/>
    <b v="0"/>
    <b v="0"/>
    <b v="1"/>
    <b v="0"/>
    <b v="0"/>
  </r>
  <r>
    <n v="7010308"/>
    <s v="123-004-126-007"/>
    <s v="Recruiter"/>
    <x v="1"/>
    <d v="2022-02-01T00:00:00"/>
    <s v="Sandra Adams"/>
    <d v="2022-02-03T00:00:00"/>
    <x v="112"/>
    <s v="new to org"/>
    <x v="0"/>
    <b v="0"/>
    <b v="0"/>
    <b v="0"/>
    <b v="0"/>
    <b v="0"/>
    <b v="1"/>
  </r>
  <r>
    <n v="7010308"/>
    <s v="123-004-126-008"/>
    <s v="Recruiter"/>
    <x v="1"/>
    <d v="2023-05-18T00:00:00"/>
    <s v="Amanda Miller"/>
    <d v="2023-06-10T00:00:00"/>
    <x v="113"/>
    <m/>
    <x v="0"/>
    <b v="0"/>
    <b v="0"/>
    <b v="0"/>
    <b v="0"/>
    <b v="0"/>
    <b v="0"/>
  </r>
  <r>
    <n v="8441741"/>
    <s v="123-002-103-001"/>
    <s v="Project Manager"/>
    <x v="6"/>
    <d v="2022-11-29T00:00:00"/>
    <s v="William Moore"/>
    <d v="2022-12-12T00:00:00"/>
    <x v="114"/>
    <s v="transfer"/>
    <x v="0"/>
    <b v="0"/>
    <b v="0"/>
    <b v="0"/>
    <b v="1"/>
    <b v="0"/>
    <b v="0"/>
  </r>
  <r>
    <n v="8441741"/>
    <s v="123-002-103-002"/>
    <s v="Project Manager"/>
    <x v="6"/>
    <d v="2023-03-17T00:00:00"/>
    <s v="Steven Hill"/>
    <d v="2023-03-21T00:00:00"/>
    <x v="115"/>
    <m/>
    <x v="0"/>
    <b v="0"/>
    <b v="0"/>
    <b v="0"/>
    <b v="0"/>
    <b v="0"/>
    <b v="0"/>
  </r>
  <r>
    <n v="8441741"/>
    <s v="123-002-103-003"/>
    <s v="Project Manager"/>
    <x v="6"/>
    <d v="2022-08-22T00:00:00"/>
    <s v="Margaret Lewis"/>
    <d v="2022-09-05T00:00:00"/>
    <x v="45"/>
    <s v="promo"/>
    <x v="0"/>
    <b v="0"/>
    <b v="0"/>
    <b v="0"/>
    <b v="0"/>
    <b v="1"/>
    <b v="0"/>
  </r>
  <r>
    <n v="2432176"/>
    <s v="123-007-103-004"/>
    <s v="Project Manager"/>
    <x v="3"/>
    <d v="2022-03-03T00:00:00"/>
    <s v="Ethan Rodriguez"/>
    <d v="2022-03-22T00:00:00"/>
    <x v="116"/>
    <s v="new to org"/>
    <x v="0"/>
    <b v="0"/>
    <b v="0"/>
    <b v="0"/>
    <b v="0"/>
    <b v="0"/>
    <b v="1"/>
  </r>
  <r>
    <n v="6530541"/>
    <s v="123-002-122-002"/>
    <s v="DevOps Engineer"/>
    <x v="6"/>
    <d v="2022-11-16T00:00:00"/>
    <s v="Charles Hill"/>
    <d v="2022-11-28T00:00:00"/>
    <x v="117"/>
    <s v="transfer"/>
    <x v="0"/>
    <b v="0"/>
    <b v="0"/>
    <b v="0"/>
    <b v="1"/>
    <b v="0"/>
    <b v="0"/>
  </r>
  <r>
    <n v="6530541"/>
    <s v="123-002-122-003"/>
    <s v="DevOps Engineer"/>
    <x v="6"/>
    <d v="2023-05-09T00:00:00"/>
    <s v="Elizabeth Nelson"/>
    <d v="2023-05-17T00:00:00"/>
    <x v="118"/>
    <s v="promo"/>
    <x v="0"/>
    <b v="0"/>
    <b v="0"/>
    <b v="0"/>
    <b v="0"/>
    <b v="1"/>
    <b v="0"/>
  </r>
  <r>
    <n v="5673599"/>
    <s v="123-004-119-002"/>
    <s v="Account Manager"/>
    <x v="1"/>
    <d v="2022-10-01T00:00:00"/>
    <s v="Joshua Nelson"/>
    <d v="2022-10-02T00:00:00"/>
    <x v="119"/>
    <s v="transfer"/>
    <x v="0"/>
    <b v="0"/>
    <b v="0"/>
    <b v="0"/>
    <b v="1"/>
    <b v="0"/>
    <b v="0"/>
  </r>
  <r>
    <n v="9900022"/>
    <s v="123-007-107-001"/>
    <s v="Sales Associate"/>
    <x v="3"/>
    <d v="2022-11-29T00:00:00"/>
    <s v="Lisa Martin"/>
    <d v="2022-12-24T00:00:00"/>
    <x v="120"/>
    <s v="promo"/>
    <x v="0"/>
    <b v="0"/>
    <b v="0"/>
    <b v="0"/>
    <b v="0"/>
    <b v="1"/>
    <b v="0"/>
  </r>
  <r>
    <n v="9900022"/>
    <s v="123-007-107-002"/>
    <s v="Sales Associate"/>
    <x v="3"/>
    <d v="2022-02-20T00:00:00"/>
    <s v="Elizabeth Hernandez"/>
    <d v="2022-03-14T00:00:00"/>
    <x v="20"/>
    <s v="transfer"/>
    <x v="0"/>
    <b v="0"/>
    <b v="0"/>
    <b v="0"/>
    <b v="1"/>
    <b v="0"/>
    <b v="0"/>
  </r>
  <r>
    <n v="9900022"/>
    <s v="123-007-107-004"/>
    <s v="Sales Associate"/>
    <x v="3"/>
    <d v="2023-06-09T00:00:00"/>
    <s v="Susan Carter"/>
    <d v="2023-06-13T00:00:00"/>
    <x v="121"/>
    <s v="new to org"/>
    <x v="0"/>
    <b v="0"/>
    <b v="0"/>
    <b v="0"/>
    <b v="0"/>
    <b v="0"/>
    <b v="1"/>
  </r>
  <r>
    <n v="8212753"/>
    <s v="123-005-104-006"/>
    <s v="HR Specialist"/>
    <x v="0"/>
    <d v="2023-02-09T00:00:00"/>
    <s v="Robert Anderson"/>
    <d v="2023-03-01T00:00:00"/>
    <x v="122"/>
    <s v="new to org"/>
    <x v="0"/>
    <b v="0"/>
    <b v="0"/>
    <b v="0"/>
    <b v="0"/>
    <b v="0"/>
    <b v="1"/>
  </r>
  <r>
    <n v="8212753"/>
    <s v="123-005-104-009"/>
    <s v="HR Specialist"/>
    <x v="0"/>
    <d v="2023-06-30T00:00:00"/>
    <s v="William Harris"/>
    <d v="2023-07-23T00:00:00"/>
    <x v="67"/>
    <s v="promo"/>
    <x v="0"/>
    <b v="0"/>
    <b v="0"/>
    <b v="0"/>
    <b v="0"/>
    <b v="1"/>
    <b v="0"/>
  </r>
  <r>
    <n v="8212753"/>
    <s v="123-005-104-010"/>
    <s v="HR Specialist"/>
    <x v="0"/>
    <d v="2022-02-13T00:00:00"/>
    <s v="John Sanchez"/>
    <d v="2022-02-27T00:00:00"/>
    <x v="123"/>
    <s v="new to org"/>
    <x v="0"/>
    <b v="0"/>
    <b v="0"/>
    <b v="0"/>
    <b v="0"/>
    <b v="0"/>
    <b v="1"/>
  </r>
  <r>
    <n v="8713396"/>
    <s v="123-002-130-001"/>
    <s v="Biomedical Engineer"/>
    <x v="6"/>
    <d v="2023-03-04T00:00:00"/>
    <s v="Dorothy Green"/>
    <d v="2023-03-14T00:00:00"/>
    <x v="124"/>
    <m/>
    <x v="0"/>
    <b v="0"/>
    <b v="0"/>
    <b v="0"/>
    <b v="0"/>
    <b v="0"/>
    <b v="0"/>
  </r>
  <r>
    <n v="8713396"/>
    <s v="123-002-130-002"/>
    <s v="Biomedical Engineer"/>
    <x v="6"/>
    <d v="2023-04-17T00:00:00"/>
    <s v="David Phillips"/>
    <d v="2023-05-14T00:00:00"/>
    <x v="125"/>
    <s v="new to org"/>
    <x v="0"/>
    <b v="0"/>
    <b v="0"/>
    <b v="0"/>
    <b v="0"/>
    <b v="0"/>
    <b v="1"/>
  </r>
  <r>
    <n v="8713396"/>
    <s v="123-002-130-003"/>
    <s v="Biomedical Engineer"/>
    <x v="6"/>
    <d v="2022-04-19T00:00:00"/>
    <s v="Margaret Diaz"/>
    <d v="2022-04-27T00:00:00"/>
    <x v="126"/>
    <s v="transfer"/>
    <x v="0"/>
    <b v="0"/>
    <b v="0"/>
    <b v="0"/>
    <b v="1"/>
    <b v="0"/>
    <b v="0"/>
  </r>
  <r>
    <n v="7718433"/>
    <s v="123-002-117-001"/>
    <s v="Quality Assurance"/>
    <x v="6"/>
    <d v="2022-06-22T00:00:00"/>
    <s v="Joseph Perez"/>
    <d v="2022-06-25T00:00:00"/>
    <x v="127"/>
    <s v="new to org"/>
    <x v="0"/>
    <b v="0"/>
    <b v="0"/>
    <b v="0"/>
    <b v="0"/>
    <b v="0"/>
    <b v="1"/>
  </r>
  <r>
    <n v="7718433"/>
    <s v="123-002-117-002"/>
    <s v="Quality Assurance"/>
    <x v="6"/>
    <d v="2022-12-24T00:00:00"/>
    <s v="Lucas Roberts"/>
    <d v="2023-01-05T00:00:00"/>
    <x v="128"/>
    <s v="promo"/>
    <x v="0"/>
    <b v="0"/>
    <b v="0"/>
    <b v="0"/>
    <b v="0"/>
    <b v="1"/>
    <b v="0"/>
  </r>
  <r>
    <n v="7718433"/>
    <s v="123-002-117-003"/>
    <s v="Quality Assurance"/>
    <x v="6"/>
    <d v="2022-05-30T00:00:00"/>
    <s v="Jessica Miller"/>
    <d v="2022-06-08T00:00:00"/>
    <x v="129"/>
    <s v="promo"/>
    <x v="0"/>
    <b v="0"/>
    <b v="0"/>
    <b v="0"/>
    <b v="0"/>
    <b v="1"/>
    <b v="0"/>
  </r>
  <r>
    <n v="9289908"/>
    <s v="123-010-115-005"/>
    <s v="Graphic Designer"/>
    <x v="5"/>
    <d v="2022-11-20T00:00:00"/>
    <s v="Logan Green"/>
    <d v="2022-11-25T00:00:00"/>
    <x v="106"/>
    <s v="new to org"/>
    <x v="0"/>
    <b v="0"/>
    <b v="0"/>
    <b v="0"/>
    <b v="0"/>
    <b v="0"/>
    <b v="1"/>
  </r>
  <r>
    <n v="9289908"/>
    <s v="123-010-115-008"/>
    <s v="Graphic Designer"/>
    <x v="5"/>
    <d v="2023-01-13T00:00:00"/>
    <s v="Robert Brown"/>
    <d v="2023-02-09T00:00:00"/>
    <x v="130"/>
    <m/>
    <x v="0"/>
    <b v="0"/>
    <b v="0"/>
    <b v="0"/>
    <b v="0"/>
    <b v="0"/>
    <b v="0"/>
  </r>
  <r>
    <n v="9507186"/>
    <s v="123-008-113-004"/>
    <s v="Operations Supervisor"/>
    <x v="4"/>
    <d v="2022-07-12T00:00:00"/>
    <s v="Mark Collins"/>
    <d v="2022-07-23T00:00:00"/>
    <x v="131"/>
    <s v="transfer"/>
    <x v="0"/>
    <b v="0"/>
    <b v="0"/>
    <b v="0"/>
    <b v="1"/>
    <b v="0"/>
    <b v="0"/>
  </r>
  <r>
    <n v="9507186"/>
    <s v="123-008-113-005"/>
    <s v="Operations Supervisor"/>
    <x v="4"/>
    <d v="2022-04-16T00:00:00"/>
    <s v="Patricia Lewis"/>
    <d v="2022-05-12T00:00:00"/>
    <x v="132"/>
    <s v="promo"/>
    <x v="0"/>
    <b v="0"/>
    <b v="0"/>
    <b v="0"/>
    <b v="0"/>
    <b v="1"/>
    <b v="0"/>
  </r>
  <r>
    <n v="9507186"/>
    <s v="123-008-113-006"/>
    <s v="Operations Supervisor"/>
    <x v="4"/>
    <d v="2022-06-26T00:00:00"/>
    <s v="Steven Adams"/>
    <d v="2022-06-28T00:00:00"/>
    <x v="133"/>
    <s v="transfer"/>
    <x v="0"/>
    <b v="0"/>
    <b v="0"/>
    <b v="0"/>
    <b v="1"/>
    <b v="0"/>
    <b v="0"/>
  </r>
  <r>
    <n v="9507186"/>
    <s v="123-008-113-007"/>
    <s v="Operations Supervisor"/>
    <x v="4"/>
    <d v="2022-06-12T00:00:00"/>
    <s v="Kimberly King"/>
    <d v="2022-06-24T00:00:00"/>
    <x v="134"/>
    <m/>
    <x v="0"/>
    <b v="0"/>
    <b v="0"/>
    <b v="0"/>
    <b v="0"/>
    <b v="0"/>
    <b v="0"/>
  </r>
  <r>
    <n v="9507186"/>
    <s v="123-008-113-008"/>
    <s v="Operations Supervisor"/>
    <x v="4"/>
    <d v="2022-12-13T00:00:00"/>
    <s v="Anthony Roberts"/>
    <d v="2023-01-04T00:00:00"/>
    <x v="135"/>
    <m/>
    <x v="0"/>
    <b v="0"/>
    <b v="0"/>
    <b v="0"/>
    <b v="0"/>
    <b v="0"/>
    <b v="0"/>
  </r>
  <r>
    <n v="2421349"/>
    <s v="123-009-110-001"/>
    <s v="Legal Advisor"/>
    <x v="7"/>
    <d v="2023-06-24T00:00:00"/>
    <s v="Isabella Rodriguez"/>
    <d v="2023-06-27T00:00:00"/>
    <x v="113"/>
    <s v="new to org"/>
    <x v="0"/>
    <b v="0"/>
    <b v="0"/>
    <b v="0"/>
    <b v="0"/>
    <b v="0"/>
    <b v="1"/>
  </r>
  <r>
    <n v="2421349"/>
    <s v="123-009-110-002"/>
    <s v="Legal Advisor"/>
    <x v="7"/>
    <d v="2022-11-13T00:00:00"/>
    <s v="Mary White"/>
    <d v="2022-11-19T00:00:00"/>
    <x v="136"/>
    <s v="new to org"/>
    <x v="0"/>
    <b v="0"/>
    <b v="0"/>
    <b v="0"/>
    <b v="0"/>
    <b v="0"/>
    <b v="1"/>
  </r>
  <r>
    <n v="2421349"/>
    <s v="123-009-110-003"/>
    <s v="Legal Advisor"/>
    <x v="7"/>
    <d v="2022-05-21T00:00:00"/>
    <s v="Richard Anderson"/>
    <d v="2022-05-26T00:00:00"/>
    <x v="58"/>
    <m/>
    <x v="0"/>
    <b v="0"/>
    <b v="0"/>
    <b v="0"/>
    <b v="0"/>
    <b v="0"/>
    <b v="0"/>
  </r>
  <r>
    <n v="9833734"/>
    <s v="123-006-102-002"/>
    <s v="Data Scientist"/>
    <x v="2"/>
    <d v="2022-02-14T00:00:00"/>
    <s v="George Lewis"/>
    <d v="2022-02-28T00:00:00"/>
    <x v="137"/>
    <s v="promo"/>
    <x v="0"/>
    <b v="0"/>
    <b v="0"/>
    <b v="0"/>
    <b v="0"/>
    <b v="1"/>
    <b v="0"/>
  </r>
  <r>
    <n v="9833734"/>
    <s v="123-006-102-003"/>
    <s v="Data Scientist"/>
    <x v="2"/>
    <d v="2022-10-19T00:00:00"/>
    <s v="Mark Flores"/>
    <d v="2022-11-13T00:00:00"/>
    <x v="138"/>
    <s v="promo"/>
    <x v="0"/>
    <b v="0"/>
    <b v="0"/>
    <b v="0"/>
    <b v="0"/>
    <b v="1"/>
    <b v="0"/>
  </r>
  <r>
    <n v="9833734"/>
    <s v="123-006-102-004"/>
    <s v="Data Scientist"/>
    <x v="2"/>
    <d v="2022-11-13T00:00:00"/>
    <s v="Paul Thomas"/>
    <d v="2022-12-09T00:00:00"/>
    <x v="139"/>
    <s v="promo"/>
    <x v="0"/>
    <b v="0"/>
    <b v="0"/>
    <b v="0"/>
    <b v="0"/>
    <b v="1"/>
    <b v="0"/>
  </r>
  <r>
    <n v="9833734"/>
    <s v="123-006-102-005"/>
    <s v="Data Scientist"/>
    <x v="2"/>
    <d v="2023-03-28T00:00:00"/>
    <s v="Lisa Baker"/>
    <d v="2023-04-12T00:00:00"/>
    <x v="140"/>
    <s v="promo"/>
    <x v="0"/>
    <b v="0"/>
    <b v="0"/>
    <b v="0"/>
    <b v="0"/>
    <b v="1"/>
    <b v="0"/>
  </r>
  <r>
    <n v="5727345"/>
    <s v="123-007-125-003"/>
    <s v="Security Analyst"/>
    <x v="3"/>
    <d v="2022-05-22T00:00:00"/>
    <s v="Isabella Gonzalez"/>
    <d v="2022-06-19T00:00:00"/>
    <x v="141"/>
    <s v="promo"/>
    <x v="0"/>
    <b v="0"/>
    <b v="0"/>
    <b v="0"/>
    <b v="0"/>
    <b v="1"/>
    <b v="0"/>
  </r>
  <r>
    <n v="5727345"/>
    <s v="123-007-125-005"/>
    <s v="Security Analyst"/>
    <x v="3"/>
    <d v="2022-06-14T00:00:00"/>
    <s v="Charles Garcia"/>
    <d v="2022-06-23T00:00:00"/>
    <x v="142"/>
    <s v="transfer"/>
    <x v="0"/>
    <b v="0"/>
    <b v="0"/>
    <b v="0"/>
    <b v="1"/>
    <b v="0"/>
    <b v="0"/>
  </r>
  <r>
    <n v="5727345"/>
    <s v="123-007-125-006"/>
    <s v="Security Analyst"/>
    <x v="3"/>
    <d v="2022-04-04T00:00:00"/>
    <s v="Mason Ramirez"/>
    <d v="2022-05-04T00:00:00"/>
    <x v="143"/>
    <s v="promo"/>
    <x v="0"/>
    <b v="0"/>
    <b v="0"/>
    <b v="0"/>
    <b v="0"/>
    <b v="1"/>
    <b v="0"/>
  </r>
  <r>
    <n v="5727345"/>
    <s v="123-007-125-007"/>
    <s v="Security Analyst"/>
    <x v="3"/>
    <d v="2023-03-01T00:00:00"/>
    <s v="Jackson Johnson"/>
    <d v="2023-03-03T00:00:00"/>
    <x v="144"/>
    <s v="new to org"/>
    <x v="0"/>
    <b v="0"/>
    <b v="0"/>
    <b v="0"/>
    <b v="0"/>
    <b v="0"/>
    <b v="1"/>
  </r>
  <r>
    <n v="9422281"/>
    <s v="123-004-112-001"/>
    <s v="Business Analyst"/>
    <x v="1"/>
    <d v="2022-11-23T00:00:00"/>
    <s v="Joseph Johnson"/>
    <d v="2022-12-23T00:00:00"/>
    <x v="145"/>
    <s v="new to org"/>
    <x v="0"/>
    <b v="0"/>
    <b v="0"/>
    <b v="0"/>
    <b v="0"/>
    <b v="0"/>
    <b v="1"/>
  </r>
  <r>
    <n v="9422281"/>
    <s v="123-004-112-002"/>
    <s v="Business Analyst"/>
    <x v="1"/>
    <d v="2022-05-21T00:00:00"/>
    <s v="Sophia Martinez"/>
    <d v="2022-05-23T00:00:00"/>
    <x v="146"/>
    <s v="new to org"/>
    <x v="0"/>
    <b v="0"/>
    <b v="0"/>
    <b v="0"/>
    <b v="0"/>
    <b v="0"/>
    <b v="1"/>
  </r>
  <r>
    <n v="9422281"/>
    <s v="123-004-112-003"/>
    <s v="Business Analyst"/>
    <x v="1"/>
    <d v="2022-05-23T00:00:00"/>
    <s v="Brian Turner"/>
    <d v="2022-06-17T00:00:00"/>
    <x v="147"/>
    <m/>
    <x v="0"/>
    <b v="0"/>
    <b v="0"/>
    <b v="0"/>
    <b v="0"/>
    <b v="0"/>
    <b v="0"/>
  </r>
  <r>
    <n v="9422281"/>
    <s v="123-004-112-004"/>
    <s v="Business Analyst"/>
    <x v="1"/>
    <d v="2022-01-20T00:00:00"/>
    <s v="Lucas Garcia"/>
    <d v="2022-01-29T00:00:00"/>
    <x v="148"/>
    <s v="transfer"/>
    <x v="0"/>
    <b v="0"/>
    <b v="0"/>
    <b v="0"/>
    <b v="1"/>
    <b v="0"/>
    <b v="0"/>
  </r>
  <r>
    <n v="3508522"/>
    <s v="123-010-118-001"/>
    <s v="Network Engineer"/>
    <x v="5"/>
    <d v="2022-05-05T00:00:00"/>
    <s v="Jessica Martin"/>
    <d v="2022-05-07T00:00:00"/>
    <x v="149"/>
    <s v="new to org"/>
    <x v="0"/>
    <b v="0"/>
    <b v="0"/>
    <b v="0"/>
    <b v="0"/>
    <b v="0"/>
    <b v="1"/>
  </r>
  <r>
    <n v="3508522"/>
    <s v="123-010-118-002"/>
    <s v="Network Engineer"/>
    <x v="5"/>
    <d v="2023-05-27T00:00:00"/>
    <s v="John Davis"/>
    <d v="2023-06-16T00:00:00"/>
    <x v="150"/>
    <m/>
    <x v="0"/>
    <b v="0"/>
    <b v="0"/>
    <b v="0"/>
    <b v="0"/>
    <b v="0"/>
    <b v="0"/>
  </r>
  <r>
    <n v="3508522"/>
    <s v="123-010-118-005"/>
    <s v="Network Engineer"/>
    <x v="5"/>
    <d v="2022-03-29T00:00:00"/>
    <s v="Kevin Nelson"/>
    <d v="2022-04-15T00:00:00"/>
    <x v="151"/>
    <s v="promo"/>
    <x v="0"/>
    <b v="0"/>
    <b v="0"/>
    <b v="0"/>
    <b v="0"/>
    <b v="1"/>
    <b v="0"/>
  </r>
  <r>
    <n v="2135470"/>
    <s v="123-009-117-001"/>
    <s v="Quality Assurance"/>
    <x v="7"/>
    <d v="2023-04-27T00:00:00"/>
    <s v="Matthew Parker"/>
    <d v="2023-04-29T00:00:00"/>
    <x v="152"/>
    <s v="transfer"/>
    <x v="0"/>
    <b v="0"/>
    <b v="0"/>
    <b v="0"/>
    <b v="1"/>
    <b v="0"/>
    <b v="0"/>
  </r>
  <r>
    <n v="2135470"/>
    <s v="123-009-117-002"/>
    <s v="Quality Assurance"/>
    <x v="7"/>
    <d v="2022-01-17T00:00:00"/>
    <s v="Thomas Mitchell"/>
    <d v="2022-01-29T00:00:00"/>
    <x v="153"/>
    <s v="new to org"/>
    <x v="0"/>
    <b v="0"/>
    <b v="0"/>
    <b v="0"/>
    <b v="0"/>
    <b v="0"/>
    <b v="1"/>
  </r>
  <r>
    <n v="2135470"/>
    <s v="123-009-117-004"/>
    <s v="Quality Assurance"/>
    <x v="7"/>
    <d v="2022-12-27T00:00:00"/>
    <s v="William Williams"/>
    <d v="2023-01-14T00:00:00"/>
    <x v="154"/>
    <s v="new to org"/>
    <x v="0"/>
    <b v="0"/>
    <b v="0"/>
    <b v="0"/>
    <b v="0"/>
    <b v="0"/>
    <b v="1"/>
  </r>
  <r>
    <n v="2135470"/>
    <s v="123-009-117-005"/>
    <s v="Quality Assurance"/>
    <x v="7"/>
    <d v="2023-04-21T00:00:00"/>
    <s v="Mason Roberts"/>
    <d v="2023-05-14T00:00:00"/>
    <x v="155"/>
    <s v="promo"/>
    <x v="0"/>
    <b v="0"/>
    <b v="0"/>
    <b v="0"/>
    <b v="0"/>
    <b v="1"/>
    <b v="0"/>
  </r>
  <r>
    <n v="4058117"/>
    <s v="123-003-126-001"/>
    <s v="Recruiter"/>
    <x v="8"/>
    <d v="2022-07-26T00:00:00"/>
    <s v="Robert Jackson"/>
    <d v="2022-07-28T00:00:00"/>
    <x v="156"/>
    <m/>
    <x v="0"/>
    <b v="0"/>
    <b v="0"/>
    <b v="0"/>
    <b v="0"/>
    <b v="0"/>
    <b v="0"/>
  </r>
  <r>
    <n v="4346548"/>
    <s v="123-001-129-001"/>
    <s v="Supply Chain Manager"/>
    <x v="9"/>
    <d v="2023-04-30T00:00:00"/>
    <s v="Isabella Wright"/>
    <d v="2023-05-09T00:00:00"/>
    <x v="48"/>
    <m/>
    <x v="0"/>
    <b v="0"/>
    <b v="0"/>
    <b v="0"/>
    <b v="0"/>
    <b v="0"/>
    <b v="0"/>
  </r>
  <r>
    <n v="4346548"/>
    <s v="123-001-129-002"/>
    <s v="Supply Chain Manager"/>
    <x v="9"/>
    <d v="2022-02-18T00:00:00"/>
    <s v="Charles Thompson"/>
    <d v="2022-03-18T00:00:00"/>
    <x v="6"/>
    <s v="promo"/>
    <x v="0"/>
    <b v="0"/>
    <b v="0"/>
    <b v="0"/>
    <b v="0"/>
    <b v="1"/>
    <b v="0"/>
  </r>
  <r>
    <n v="4346548"/>
    <s v="123-001-129-003"/>
    <s v="Supply Chain Manager"/>
    <x v="9"/>
    <d v="2023-03-24T00:00:00"/>
    <s v="Ethan White"/>
    <d v="2023-04-22T00:00:00"/>
    <x v="157"/>
    <s v="transfer"/>
    <x v="0"/>
    <b v="0"/>
    <b v="0"/>
    <b v="0"/>
    <b v="1"/>
    <b v="0"/>
    <b v="0"/>
  </r>
  <r>
    <n v="8377556"/>
    <s v="123-007-129-001"/>
    <s v="Supply Chain Manager"/>
    <x v="3"/>
    <d v="2023-01-12T00:00:00"/>
    <s v="Brian Young"/>
    <d v="2023-02-11T00:00:00"/>
    <x v="158"/>
    <m/>
    <x v="0"/>
    <b v="0"/>
    <b v="0"/>
    <b v="0"/>
    <b v="0"/>
    <b v="0"/>
    <b v="0"/>
  </r>
  <r>
    <n v="8377556"/>
    <s v="123-007-129-002"/>
    <s v="Supply Chain Manager"/>
    <x v="3"/>
    <d v="2022-03-22T00:00:00"/>
    <s v="George Ramirez"/>
    <d v="2022-04-05T00:00:00"/>
    <x v="159"/>
    <s v="transfer"/>
    <x v="0"/>
    <b v="0"/>
    <b v="0"/>
    <b v="0"/>
    <b v="1"/>
    <b v="0"/>
    <b v="0"/>
  </r>
  <r>
    <n v="8377556"/>
    <s v="123-007-129-003"/>
    <s v="Supply Chain Manager"/>
    <x v="3"/>
    <d v="2022-11-25T00:00:00"/>
    <s v="Paul Jackson"/>
    <d v="2022-11-29T00:00:00"/>
    <x v="117"/>
    <s v="promo"/>
    <x v="0"/>
    <b v="0"/>
    <b v="0"/>
    <b v="0"/>
    <b v="0"/>
    <b v="1"/>
    <b v="0"/>
  </r>
  <r>
    <n v="6501583"/>
    <s v="123-005-122-001"/>
    <s v="DevOps Engineer"/>
    <x v="0"/>
    <d v="2023-03-31T00:00:00"/>
    <s v="David Hall"/>
    <d v="2023-04-12T00:00:00"/>
    <x v="115"/>
    <m/>
    <x v="0"/>
    <b v="0"/>
    <b v="0"/>
    <b v="0"/>
    <b v="0"/>
    <b v="0"/>
    <b v="0"/>
  </r>
  <r>
    <n v="6501583"/>
    <s v="123-005-122-003"/>
    <s v="DevOps Engineer"/>
    <x v="0"/>
    <d v="2022-02-28T00:00:00"/>
    <s v="Kenneth Gomez"/>
    <d v="2022-03-03T00:00:00"/>
    <x v="160"/>
    <s v="new to org"/>
    <x v="0"/>
    <b v="0"/>
    <b v="0"/>
    <b v="0"/>
    <b v="0"/>
    <b v="0"/>
    <b v="1"/>
  </r>
  <r>
    <n v="7815076"/>
    <s v="123-009-112-001"/>
    <s v="Business Analyst"/>
    <x v="7"/>
    <d v="2023-03-25T00:00:00"/>
    <s v="Mia Hill"/>
    <d v="2023-03-27T00:00:00"/>
    <x v="161"/>
    <s v="promo"/>
    <x v="0"/>
    <b v="0"/>
    <b v="0"/>
    <b v="0"/>
    <b v="0"/>
    <b v="1"/>
    <b v="0"/>
  </r>
  <r>
    <n v="7423230"/>
    <s v="123-001-119-002"/>
    <s v="Account Manager"/>
    <x v="9"/>
    <d v="2023-02-12T00:00:00"/>
    <s v="Kimberly White"/>
    <d v="2023-02-23T00:00:00"/>
    <x v="162"/>
    <s v="promo"/>
    <x v="0"/>
    <b v="0"/>
    <b v="0"/>
    <b v="0"/>
    <b v="0"/>
    <b v="1"/>
    <b v="0"/>
  </r>
  <r>
    <n v="7423230"/>
    <s v="123-001-119-004"/>
    <s v="Account Manager"/>
    <x v="9"/>
    <d v="2022-09-24T00:00:00"/>
    <s v="Thomas Roberts"/>
    <d v="2022-10-17T00:00:00"/>
    <x v="163"/>
    <s v="transfer"/>
    <x v="0"/>
    <b v="0"/>
    <b v="0"/>
    <b v="0"/>
    <b v="1"/>
    <b v="0"/>
    <b v="0"/>
  </r>
  <r>
    <n v="3057514"/>
    <s v="123-002-105-002"/>
    <s v="Financial Analyst"/>
    <x v="6"/>
    <d v="2022-03-08T00:00:00"/>
    <s v="Kevin Thompson"/>
    <d v="2022-03-26T00:00:00"/>
    <x v="18"/>
    <s v="new to org"/>
    <x v="0"/>
    <b v="0"/>
    <b v="0"/>
    <b v="0"/>
    <b v="0"/>
    <b v="0"/>
    <b v="1"/>
  </r>
  <r>
    <n v="3057514"/>
    <s v="123-002-105-004"/>
    <s v="Financial Analyst"/>
    <x v="6"/>
    <d v="2023-06-05T00:00:00"/>
    <s v="Sophia White"/>
    <d v="2023-06-13T00:00:00"/>
    <x v="164"/>
    <s v="promo"/>
    <x v="0"/>
    <b v="0"/>
    <b v="0"/>
    <b v="0"/>
    <b v="0"/>
    <b v="1"/>
    <b v="0"/>
  </r>
  <r>
    <n v="4371891"/>
    <s v="123-003-126-002"/>
    <s v="Recruiter"/>
    <x v="8"/>
    <d v="2023-01-13T00:00:00"/>
    <s v="Lisa Scott"/>
    <d v="2023-01-28T00:00:00"/>
    <x v="165"/>
    <s v="transfer"/>
    <x v="0"/>
    <b v="0"/>
    <b v="0"/>
    <b v="0"/>
    <b v="1"/>
    <b v="0"/>
    <b v="0"/>
  </r>
  <r>
    <n v="4371891"/>
    <s v="123-003-126-003"/>
    <s v="Recruiter"/>
    <x v="8"/>
    <d v="2022-03-30T00:00:00"/>
    <s v="Michelle Cruz"/>
    <d v="2022-04-02T00:00:00"/>
    <x v="166"/>
    <s v="promo"/>
    <x v="0"/>
    <b v="0"/>
    <b v="0"/>
    <b v="0"/>
    <b v="0"/>
    <b v="1"/>
    <b v="0"/>
  </r>
  <r>
    <n v="7680015"/>
    <s v="123-008-123-001"/>
    <s v="Data Engineer"/>
    <x v="4"/>
    <d v="2022-03-17T00:00:00"/>
    <s v="Isabella Torres"/>
    <d v="2022-03-22T00:00:00"/>
    <x v="98"/>
    <m/>
    <x v="0"/>
    <b v="0"/>
    <b v="0"/>
    <b v="0"/>
    <b v="0"/>
    <b v="0"/>
    <b v="0"/>
  </r>
  <r>
    <n v="7680015"/>
    <s v="123-008-123-002"/>
    <s v="Data Engineer"/>
    <x v="4"/>
    <d v="2023-06-14T00:00:00"/>
    <s v="Sandra Baker"/>
    <d v="2023-06-26T00:00:00"/>
    <x v="167"/>
    <m/>
    <x v="0"/>
    <b v="0"/>
    <b v="0"/>
    <b v="0"/>
    <b v="0"/>
    <b v="0"/>
    <b v="0"/>
  </r>
  <r>
    <n v="7680015"/>
    <s v="123-008-123-003"/>
    <s v="Data Engineer"/>
    <x v="4"/>
    <d v="2023-03-20T00:00:00"/>
    <s v="Deborah Rodriguez"/>
    <d v="2023-04-06T00:00:00"/>
    <x v="168"/>
    <s v="promo"/>
    <x v="0"/>
    <b v="0"/>
    <b v="0"/>
    <b v="0"/>
    <b v="0"/>
    <b v="1"/>
    <b v="0"/>
  </r>
  <r>
    <n v="7680015"/>
    <s v="123-008-123-004"/>
    <s v="Data Engineer"/>
    <x v="4"/>
    <d v="2022-11-08T00:00:00"/>
    <s v="Kimberly Martinez"/>
    <d v="2022-11-14T00:00:00"/>
    <x v="169"/>
    <s v="transfer"/>
    <x v="0"/>
    <b v="0"/>
    <b v="0"/>
    <b v="0"/>
    <b v="1"/>
    <b v="0"/>
    <b v="0"/>
  </r>
  <r>
    <n v="7680015"/>
    <s v="123-008-123-005"/>
    <s v="Data Engineer"/>
    <x v="4"/>
    <d v="2022-10-18T00:00:00"/>
    <s v="Daniel King"/>
    <d v="2022-11-15T00:00:00"/>
    <x v="170"/>
    <s v="promo"/>
    <x v="0"/>
    <b v="0"/>
    <b v="0"/>
    <b v="0"/>
    <b v="0"/>
    <b v="1"/>
    <b v="0"/>
  </r>
  <r>
    <n v="5204459"/>
    <s v="123-009-107-002"/>
    <s v="Sales Associate"/>
    <x v="7"/>
    <d v="2022-12-12T00:00:00"/>
    <s v="David Nelson"/>
    <d v="2023-01-08T00:00:00"/>
    <x v="171"/>
    <s v="promo"/>
    <x v="0"/>
    <b v="0"/>
    <b v="0"/>
    <b v="0"/>
    <b v="0"/>
    <b v="1"/>
    <b v="0"/>
  </r>
  <r>
    <n v="5204459"/>
    <s v="123-009-107-003"/>
    <s v="Sales Associate"/>
    <x v="7"/>
    <d v="2022-09-29T00:00:00"/>
    <s v="Jennifer Williams"/>
    <d v="2022-10-20T00:00:00"/>
    <x v="172"/>
    <s v="transfer"/>
    <x v="0"/>
    <b v="0"/>
    <b v="0"/>
    <b v="0"/>
    <b v="1"/>
    <b v="0"/>
    <b v="0"/>
  </r>
  <r>
    <n v="7989166"/>
    <s v="123-001-120-001"/>
    <s v="Executive Assistant"/>
    <x v="9"/>
    <d v="2023-05-10T00:00:00"/>
    <s v="Carol Martin"/>
    <d v="2023-05-18T00:00:00"/>
    <x v="173"/>
    <s v="new to org"/>
    <x v="0"/>
    <b v="0"/>
    <b v="0"/>
    <b v="0"/>
    <b v="0"/>
    <b v="0"/>
    <b v="1"/>
  </r>
  <r>
    <n v="7989166"/>
    <s v="123-001-120-002"/>
    <s v="Executive Assistant"/>
    <x v="9"/>
    <d v="2022-03-16T00:00:00"/>
    <s v="Karen Robinson"/>
    <d v="2022-04-08T00:00:00"/>
    <x v="98"/>
    <m/>
    <x v="0"/>
    <b v="0"/>
    <b v="0"/>
    <b v="0"/>
    <b v="0"/>
    <b v="0"/>
    <b v="0"/>
  </r>
  <r>
    <n v="7989166"/>
    <s v="123-001-120-004"/>
    <s v="Executive Assistant"/>
    <x v="9"/>
    <d v="2022-11-23T00:00:00"/>
    <s v="Christopher Parker"/>
    <d v="2022-12-17T00:00:00"/>
    <x v="174"/>
    <s v="promo"/>
    <x v="0"/>
    <b v="0"/>
    <b v="0"/>
    <b v="0"/>
    <b v="0"/>
    <b v="1"/>
    <b v="0"/>
  </r>
  <r>
    <n v="6794356"/>
    <s v="123-003-113-001"/>
    <s v="Operations Supervisor"/>
    <x v="8"/>
    <d v="2023-04-23T00:00:00"/>
    <s v="Christopher Thomas"/>
    <d v="2023-04-27T00:00:00"/>
    <x v="55"/>
    <s v="transfer"/>
    <x v="0"/>
    <b v="0"/>
    <b v="0"/>
    <b v="0"/>
    <b v="1"/>
    <b v="0"/>
    <b v="0"/>
  </r>
  <r>
    <n v="6794356"/>
    <s v="123-003-113-002"/>
    <s v="Operations Supervisor"/>
    <x v="8"/>
    <d v="2022-10-25T00:00:00"/>
    <s v="Michael Brown"/>
    <d v="2022-11-07T00:00:00"/>
    <x v="175"/>
    <s v="promo"/>
    <x v="0"/>
    <b v="0"/>
    <b v="0"/>
    <b v="0"/>
    <b v="0"/>
    <b v="1"/>
    <b v="0"/>
  </r>
  <r>
    <n v="6794356"/>
    <s v="123-003-113-003"/>
    <s v="Operations Supervisor"/>
    <x v="8"/>
    <d v="2022-06-13T00:00:00"/>
    <s v="Logan Edwards"/>
    <d v="2022-07-10T00:00:00"/>
    <x v="176"/>
    <s v="promo"/>
    <x v="0"/>
    <b v="0"/>
    <b v="0"/>
    <b v="0"/>
    <b v="0"/>
    <b v="1"/>
    <b v="0"/>
  </r>
  <r>
    <n v="6246485"/>
    <s v="123-003-107-001"/>
    <s v="Sales Associate"/>
    <x v="8"/>
    <d v="2022-11-12T00:00:00"/>
    <s v="Ashley Cruz"/>
    <d v="2022-11-28T00:00:00"/>
    <x v="108"/>
    <m/>
    <x v="0"/>
    <b v="0"/>
    <b v="0"/>
    <b v="0"/>
    <b v="0"/>
    <b v="0"/>
    <b v="0"/>
  </r>
  <r>
    <n v="6246485"/>
    <s v="123-003-107-004"/>
    <s v="Sales Associate"/>
    <x v="8"/>
    <d v="2022-01-09T00:00:00"/>
    <s v="Charles Wright"/>
    <d v="2022-02-06T00:00:00"/>
    <x v="177"/>
    <m/>
    <x v="0"/>
    <b v="0"/>
    <b v="0"/>
    <b v="0"/>
    <b v="0"/>
    <b v="0"/>
    <b v="0"/>
  </r>
  <r>
    <n v="8229768"/>
    <s v="123-005-105-001"/>
    <s v="Financial Analyst"/>
    <x v="0"/>
    <d v="2022-02-22T00:00:00"/>
    <s v="Robert Sanchez"/>
    <d v="2022-03-13T00:00:00"/>
    <x v="178"/>
    <s v="new to org"/>
    <x v="0"/>
    <b v="0"/>
    <b v="0"/>
    <b v="0"/>
    <b v="0"/>
    <b v="0"/>
    <b v="1"/>
  </r>
  <r>
    <n v="8229768"/>
    <s v="123-005-105-003"/>
    <s v="Financial Analyst"/>
    <x v="0"/>
    <d v="2022-05-02T00:00:00"/>
    <s v="Isabella Flores"/>
    <d v="2022-05-07T00:00:00"/>
    <x v="159"/>
    <s v="new to org"/>
    <x v="0"/>
    <b v="0"/>
    <b v="0"/>
    <b v="0"/>
    <b v="0"/>
    <b v="0"/>
    <b v="1"/>
  </r>
  <r>
    <n v="7608607"/>
    <s v="123-006-112-001"/>
    <s v="Business Analyst"/>
    <x v="2"/>
    <d v="2023-06-06T00:00:00"/>
    <s v="Richard Hill"/>
    <d v="2023-06-19T00:00:00"/>
    <x v="179"/>
    <s v="promo"/>
    <x v="0"/>
    <b v="0"/>
    <b v="0"/>
    <b v="0"/>
    <b v="0"/>
    <b v="1"/>
    <b v="0"/>
  </r>
  <r>
    <n v="7608607"/>
    <s v="123-006-112-003"/>
    <s v="Business Analyst"/>
    <x v="2"/>
    <d v="2023-06-12T00:00:00"/>
    <s v="Elizabeth Hill"/>
    <d v="2023-06-17T00:00:00"/>
    <x v="180"/>
    <m/>
    <x v="0"/>
    <b v="0"/>
    <b v="0"/>
    <b v="0"/>
    <b v="0"/>
    <b v="0"/>
    <b v="0"/>
  </r>
  <r>
    <n v="7608607"/>
    <s v="123-006-112-004"/>
    <s v="Business Analyst"/>
    <x v="2"/>
    <d v="2022-11-03T00:00:00"/>
    <s v="David Sanchez"/>
    <d v="2022-11-22T00:00:00"/>
    <x v="75"/>
    <s v="new to org"/>
    <x v="0"/>
    <b v="0"/>
    <b v="0"/>
    <b v="0"/>
    <b v="0"/>
    <b v="0"/>
    <b v="1"/>
  </r>
  <r>
    <n v="7608607"/>
    <s v="123-006-112-005"/>
    <s v="Business Analyst"/>
    <x v="2"/>
    <d v="2022-11-03T00:00:00"/>
    <s v="Dorothy Torres"/>
    <d v="2022-11-19T00:00:00"/>
    <x v="181"/>
    <m/>
    <x v="0"/>
    <b v="0"/>
    <b v="0"/>
    <b v="0"/>
    <b v="0"/>
    <b v="0"/>
    <b v="0"/>
  </r>
  <r>
    <n v="1279121"/>
    <s v="123-006-112-006"/>
    <s v="Business Analyst"/>
    <x v="2"/>
    <d v="2022-01-28T00:00:00"/>
    <s v="Sophia Edwards"/>
    <d v="2022-02-17T00:00:00"/>
    <x v="20"/>
    <s v="new to org"/>
    <x v="0"/>
    <b v="0"/>
    <b v="0"/>
    <b v="0"/>
    <b v="0"/>
    <b v="0"/>
    <b v="1"/>
  </r>
  <r>
    <n v="5454861"/>
    <s v="123-010-121-003"/>
    <s v="UX Designer"/>
    <x v="5"/>
    <d v="2022-09-06T00:00:00"/>
    <s v="Elizabeth Evans"/>
    <d v="2022-09-08T00:00:00"/>
    <x v="182"/>
    <m/>
    <x v="0"/>
    <b v="0"/>
    <b v="0"/>
    <b v="0"/>
    <b v="0"/>
    <b v="0"/>
    <b v="0"/>
  </r>
  <r>
    <n v="5454861"/>
    <s v="123-010-121-004"/>
    <s v="UX Designer"/>
    <x v="5"/>
    <d v="2023-03-28T00:00:00"/>
    <s v="Richard Johnson"/>
    <d v="2023-04-08T00:00:00"/>
    <x v="183"/>
    <s v="transfer"/>
    <x v="0"/>
    <b v="0"/>
    <b v="0"/>
    <b v="0"/>
    <b v="1"/>
    <b v="0"/>
    <b v="0"/>
  </r>
  <r>
    <n v="5454861"/>
    <s v="123-010-121-006"/>
    <s v="UX Designer"/>
    <x v="5"/>
    <d v="2022-03-05T00:00:00"/>
    <s v="Logan Diaz"/>
    <d v="2022-03-28T00:00:00"/>
    <x v="184"/>
    <m/>
    <x v="0"/>
    <b v="0"/>
    <b v="0"/>
    <b v="0"/>
    <b v="0"/>
    <b v="0"/>
    <b v="0"/>
  </r>
  <r>
    <n v="9702060"/>
    <s v="123-009-107-004"/>
    <s v="Sales Associate"/>
    <x v="7"/>
    <d v="2022-11-18T00:00:00"/>
    <s v="Kimberly Harris"/>
    <d v="2022-11-24T00:00:00"/>
    <x v="106"/>
    <m/>
    <x v="0"/>
    <b v="0"/>
    <b v="0"/>
    <b v="0"/>
    <b v="0"/>
    <b v="0"/>
    <b v="0"/>
  </r>
  <r>
    <n v="9702060"/>
    <s v="123-009-107-005"/>
    <s v="Sales Associate"/>
    <x v="7"/>
    <d v="2022-09-28T00:00:00"/>
    <s v="Paul Thompson"/>
    <d v="2022-10-18T00:00:00"/>
    <x v="49"/>
    <s v="new to org"/>
    <x v="0"/>
    <b v="0"/>
    <b v="0"/>
    <b v="0"/>
    <b v="0"/>
    <b v="0"/>
    <b v="1"/>
  </r>
  <r>
    <n v="5993143"/>
    <s v="123-005-125-002"/>
    <s v="Security Analyst"/>
    <x v="0"/>
    <d v="2022-12-24T00:00:00"/>
    <s v="Christopher Walker"/>
    <d v="2023-01-11T00:00:00"/>
    <x v="185"/>
    <m/>
    <x v="0"/>
    <b v="0"/>
    <b v="0"/>
    <b v="0"/>
    <b v="0"/>
    <b v="0"/>
    <b v="0"/>
  </r>
  <r>
    <n v="5993143"/>
    <s v="123-005-125-003"/>
    <s v="Security Analyst"/>
    <x v="0"/>
    <d v="2023-01-24T00:00:00"/>
    <s v="Charles Davis"/>
    <d v="2023-02-22T00:00:00"/>
    <x v="88"/>
    <s v="new to org"/>
    <x v="0"/>
    <b v="0"/>
    <b v="0"/>
    <b v="0"/>
    <b v="0"/>
    <b v="0"/>
    <b v="1"/>
  </r>
  <r>
    <n v="6790398"/>
    <s v="123-003-125-002"/>
    <s v="Security Analyst"/>
    <x v="8"/>
    <d v="2022-09-20T00:00:00"/>
    <s v="Daniel Lewis"/>
    <d v="2022-10-14T00:00:00"/>
    <x v="101"/>
    <s v="transfer"/>
    <x v="0"/>
    <b v="0"/>
    <b v="0"/>
    <b v="0"/>
    <b v="1"/>
    <b v="0"/>
    <b v="0"/>
  </r>
  <r>
    <n v="2832517"/>
    <s v="123-010-120-002"/>
    <s v="Executive Assistant"/>
    <x v="5"/>
    <d v="2022-12-05T00:00:00"/>
    <s v="Michael Clark"/>
    <d v="2022-12-28T00:00:00"/>
    <x v="42"/>
    <s v="transfer"/>
    <x v="0"/>
    <b v="0"/>
    <b v="0"/>
    <b v="0"/>
    <b v="1"/>
    <b v="0"/>
    <b v="0"/>
  </r>
  <r>
    <n v="2686863"/>
    <s v="123-003-122-006"/>
    <s v="DevOps Engineer"/>
    <x v="8"/>
    <d v="2023-05-03T00:00:00"/>
    <s v="Anthony Adams"/>
    <d v="2023-05-19T00:00:00"/>
    <x v="186"/>
    <s v="promo"/>
    <x v="0"/>
    <b v="0"/>
    <b v="0"/>
    <b v="0"/>
    <b v="0"/>
    <b v="1"/>
    <b v="0"/>
  </r>
  <r>
    <n v="4346315"/>
    <s v="123-005-125-005"/>
    <s v="Security Analyst"/>
    <x v="0"/>
    <d v="2022-06-29T00:00:00"/>
    <s v="Ava Collins"/>
    <d v="2022-07-13T00:00:00"/>
    <x v="187"/>
    <s v="transfer"/>
    <x v="0"/>
    <b v="0"/>
    <b v="0"/>
    <b v="0"/>
    <b v="1"/>
    <b v="0"/>
    <b v="0"/>
  </r>
  <r>
    <n v="4346315"/>
    <s v="123-005-125-006"/>
    <s v="Security Analyst"/>
    <x v="0"/>
    <d v="2023-05-23T00:00:00"/>
    <s v="Mason Sanchez"/>
    <d v="2023-05-29T00:00:00"/>
    <x v="62"/>
    <s v="transfer"/>
    <x v="0"/>
    <b v="0"/>
    <b v="0"/>
    <b v="0"/>
    <b v="1"/>
    <b v="0"/>
    <b v="0"/>
  </r>
  <r>
    <n v="8622712"/>
    <s v="123-009-121-001"/>
    <s v="UX Designer"/>
    <x v="7"/>
    <d v="2023-04-25T00:00:00"/>
    <s v="Mia Allen"/>
    <d v="2023-05-04T00:00:00"/>
    <x v="188"/>
    <s v="promo"/>
    <x v="0"/>
    <b v="0"/>
    <b v="0"/>
    <b v="0"/>
    <b v="0"/>
    <b v="1"/>
    <b v="0"/>
  </r>
  <r>
    <n v="8622712"/>
    <s v="123-009-121-002"/>
    <s v="UX Designer"/>
    <x v="7"/>
    <d v="2023-04-15T00:00:00"/>
    <s v="David Campbell"/>
    <d v="2023-05-06T00:00:00"/>
    <x v="189"/>
    <s v="new to org"/>
    <x v="0"/>
    <b v="0"/>
    <b v="0"/>
    <b v="0"/>
    <b v="0"/>
    <b v="0"/>
    <b v="1"/>
  </r>
  <r>
    <n v="8622712"/>
    <s v="123-009-121-003"/>
    <s v="UX Designer"/>
    <x v="7"/>
    <d v="2022-10-30T00:00:00"/>
    <s v="Melissa Perez"/>
    <d v="2022-11-18T00:00:00"/>
    <x v="190"/>
    <s v="transfer"/>
    <x v="0"/>
    <b v="0"/>
    <b v="0"/>
    <b v="0"/>
    <b v="1"/>
    <b v="0"/>
    <b v="0"/>
  </r>
  <r>
    <n v="8622712"/>
    <s v="123-009-121-004"/>
    <s v="UX Designer"/>
    <x v="7"/>
    <d v="2023-02-20T00:00:00"/>
    <s v="Michelle Diaz"/>
    <d v="2023-03-19T00:00:00"/>
    <x v="191"/>
    <s v="promo"/>
    <x v="0"/>
    <b v="0"/>
    <b v="0"/>
    <b v="0"/>
    <b v="0"/>
    <b v="1"/>
    <b v="0"/>
  </r>
  <r>
    <n v="8622712"/>
    <s v="123-009-121-005"/>
    <s v="UX Designer"/>
    <x v="7"/>
    <d v="2022-04-08T00:00:00"/>
    <s v="Betty Nelson"/>
    <d v="2022-04-14T00:00:00"/>
    <x v="192"/>
    <s v="transfer"/>
    <x v="0"/>
    <b v="0"/>
    <b v="0"/>
    <b v="0"/>
    <b v="1"/>
    <b v="0"/>
    <b v="0"/>
  </r>
  <r>
    <n v="2983483"/>
    <s v="123-005-115-001"/>
    <s v="Graphic Designer"/>
    <x v="0"/>
    <d v="2022-10-30T00:00:00"/>
    <s v="Brian Davis"/>
    <d v="2022-11-11T00:00:00"/>
    <x v="193"/>
    <s v="new to org"/>
    <x v="0"/>
    <b v="0"/>
    <b v="0"/>
    <b v="0"/>
    <b v="0"/>
    <b v="0"/>
    <b v="1"/>
  </r>
  <r>
    <n v="7268384"/>
    <s v="123-009-114-001"/>
    <s v="Research Analyst"/>
    <x v="7"/>
    <d v="2022-03-25T00:00:00"/>
    <s v="Edward Thomas"/>
    <d v="2022-04-11T00:00:00"/>
    <x v="74"/>
    <s v="promo"/>
    <x v="0"/>
    <b v="0"/>
    <b v="0"/>
    <b v="0"/>
    <b v="0"/>
    <b v="1"/>
    <b v="0"/>
  </r>
  <r>
    <n v="7268384"/>
    <s v="123-009-114-002"/>
    <s v="Research Analyst"/>
    <x v="7"/>
    <d v="2022-04-25T00:00:00"/>
    <s v="John Collins"/>
    <d v="2022-04-27T00:00:00"/>
    <x v="194"/>
    <s v="new to org"/>
    <x v="0"/>
    <b v="0"/>
    <b v="0"/>
    <b v="0"/>
    <b v="0"/>
    <b v="0"/>
    <b v="1"/>
  </r>
  <r>
    <n v="7268384"/>
    <s v="123-009-114-003"/>
    <s v="Research Analyst"/>
    <x v="7"/>
    <d v="2022-06-03T00:00:00"/>
    <s v="Andrew Wright"/>
    <d v="2022-06-09T00:00:00"/>
    <x v="195"/>
    <s v="promo"/>
    <x v="0"/>
    <b v="0"/>
    <b v="0"/>
    <b v="0"/>
    <b v="0"/>
    <b v="1"/>
    <b v="0"/>
  </r>
  <r>
    <n v="7268384"/>
    <s v="123-009-114-004"/>
    <s v="Research Analyst"/>
    <x v="7"/>
    <d v="2022-07-30T00:00:00"/>
    <s v="Linda Baker"/>
    <d v="2022-08-22T00:00:00"/>
    <x v="93"/>
    <m/>
    <x v="0"/>
    <b v="0"/>
    <b v="0"/>
    <b v="0"/>
    <b v="0"/>
    <b v="0"/>
    <b v="0"/>
  </r>
  <r>
    <n v="9201172"/>
    <s v="123-009-103-001"/>
    <s v="Project Manager"/>
    <x v="7"/>
    <d v="2023-03-02T00:00:00"/>
    <s v="William Allen"/>
    <d v="2023-03-17T00:00:00"/>
    <x v="51"/>
    <m/>
    <x v="0"/>
    <b v="0"/>
    <b v="0"/>
    <b v="0"/>
    <b v="0"/>
    <b v="0"/>
    <b v="0"/>
  </r>
  <r>
    <n v="2069713"/>
    <s v="123-001-118-001"/>
    <s v="Network Engineer"/>
    <x v="9"/>
    <d v="2023-02-23T00:00:00"/>
    <s v="Robert Jackson"/>
    <d v="2023-03-01T00:00:00"/>
    <x v="71"/>
    <m/>
    <x v="0"/>
    <b v="0"/>
    <b v="0"/>
    <b v="0"/>
    <b v="0"/>
    <b v="0"/>
    <b v="0"/>
  </r>
  <r>
    <n v="3272119"/>
    <s v="123-007-125-008"/>
    <s v="Security Analyst"/>
    <x v="3"/>
    <d v="2023-01-22T00:00:00"/>
    <s v="Mark Parker"/>
    <d v="2023-02-04T00:00:00"/>
    <x v="94"/>
    <m/>
    <x v="0"/>
    <b v="0"/>
    <b v="0"/>
    <b v="0"/>
    <b v="0"/>
    <b v="0"/>
    <b v="0"/>
  </r>
  <r>
    <n v="3272119"/>
    <s v="123-007-125-009"/>
    <s v="Security Analyst"/>
    <x v="3"/>
    <d v="2022-12-23T00:00:00"/>
    <s v="Carol Parker"/>
    <d v="2022-12-27T00:00:00"/>
    <x v="56"/>
    <s v="promo"/>
    <x v="0"/>
    <b v="0"/>
    <b v="0"/>
    <b v="0"/>
    <b v="0"/>
    <b v="1"/>
    <b v="0"/>
  </r>
  <r>
    <n v="3272119"/>
    <s v="123-007-125-010"/>
    <s v="Security Analyst"/>
    <x v="3"/>
    <d v="2022-08-17T00:00:00"/>
    <s v="Kimberly Rodriguez"/>
    <d v="2022-09-13T00:00:00"/>
    <x v="53"/>
    <m/>
    <x v="0"/>
    <b v="0"/>
    <b v="0"/>
    <b v="0"/>
    <b v="0"/>
    <b v="0"/>
    <b v="0"/>
  </r>
  <r>
    <n v="1381435"/>
    <s v="123-008-110-001"/>
    <s v="Legal Advisor"/>
    <x v="4"/>
    <d v="2022-09-11T00:00:00"/>
    <s v="Isabella Anderson"/>
    <d v="2022-09-26T00:00:00"/>
    <x v="196"/>
    <m/>
    <x v="0"/>
    <b v="0"/>
    <b v="0"/>
    <b v="0"/>
    <b v="0"/>
    <b v="0"/>
    <b v="0"/>
  </r>
  <r>
    <n v="1381435"/>
    <s v="123-008-110-003"/>
    <s v="Legal Advisor"/>
    <x v="4"/>
    <d v="2022-01-17T00:00:00"/>
    <s v="Michelle Roberts"/>
    <d v="2022-01-25T00:00:00"/>
    <x v="197"/>
    <m/>
    <x v="0"/>
    <b v="0"/>
    <b v="0"/>
    <b v="0"/>
    <b v="0"/>
    <b v="0"/>
    <b v="0"/>
  </r>
  <r>
    <n v="1381435"/>
    <s v="123-008-110-005"/>
    <s v="Legal Advisor"/>
    <x v="4"/>
    <d v="2022-02-15T00:00:00"/>
    <s v="Jessica Mitchell"/>
    <d v="2022-02-28T00:00:00"/>
    <x v="198"/>
    <s v="transfer"/>
    <x v="0"/>
    <b v="0"/>
    <b v="0"/>
    <b v="0"/>
    <b v="1"/>
    <b v="0"/>
    <b v="0"/>
  </r>
  <r>
    <n v="6379867"/>
    <s v="123-005-108-001"/>
    <s v="Customer Support Rep"/>
    <x v="0"/>
    <d v="2022-10-09T00:00:00"/>
    <s v="Anthony Martin"/>
    <d v="2022-10-11T00:00:00"/>
    <x v="199"/>
    <s v="promo"/>
    <x v="0"/>
    <b v="0"/>
    <b v="0"/>
    <b v="0"/>
    <b v="0"/>
    <b v="1"/>
    <b v="0"/>
  </r>
  <r>
    <n v="6379867"/>
    <s v="123-005-108-002"/>
    <s v="Customer Support Rep"/>
    <x v="0"/>
    <d v="2023-03-14T00:00:00"/>
    <s v="Kenneth Baker"/>
    <d v="2023-04-01T00:00:00"/>
    <x v="200"/>
    <s v="promo"/>
    <x v="0"/>
    <b v="0"/>
    <b v="0"/>
    <b v="0"/>
    <b v="0"/>
    <b v="1"/>
    <b v="0"/>
  </r>
  <r>
    <n v="1786584"/>
    <s v="123-007-112-003"/>
    <s v="Business Analyst"/>
    <x v="3"/>
    <d v="2022-05-28T00:00:00"/>
    <s v="Mia Rivera"/>
    <d v="2022-06-23T00:00:00"/>
    <x v="201"/>
    <s v="new to org"/>
    <x v="0"/>
    <b v="0"/>
    <b v="0"/>
    <b v="0"/>
    <b v="0"/>
    <b v="0"/>
    <b v="1"/>
  </r>
  <r>
    <n v="1786584"/>
    <s v="123-007-112-004"/>
    <s v="Business Analyst"/>
    <x v="3"/>
    <d v="2023-06-27T00:00:00"/>
    <s v="Anthony Scott"/>
    <d v="2023-07-02T00:00:00"/>
    <x v="202"/>
    <m/>
    <x v="0"/>
    <b v="0"/>
    <b v="0"/>
    <b v="0"/>
    <b v="0"/>
    <b v="0"/>
    <b v="0"/>
  </r>
  <r>
    <n v="8546170"/>
    <s v="123-006-128-002"/>
    <s v="Payroll Specialist"/>
    <x v="2"/>
    <d v="2023-01-22T00:00:00"/>
    <s v="Patricia Moore"/>
    <d v="2023-02-13T00:00:00"/>
    <x v="203"/>
    <s v="promo"/>
    <x v="0"/>
    <b v="0"/>
    <b v="0"/>
    <b v="0"/>
    <b v="0"/>
    <b v="1"/>
    <b v="0"/>
  </r>
  <r>
    <n v="1663497"/>
    <s v="123-002-128-001"/>
    <s v="Payroll Specialist"/>
    <x v="6"/>
    <d v="2022-12-07T00:00:00"/>
    <s v="Donald Wilson"/>
    <d v="2022-12-17T00:00:00"/>
    <x v="204"/>
    <s v="promo"/>
    <x v="0"/>
    <b v="0"/>
    <b v="0"/>
    <b v="0"/>
    <b v="0"/>
    <b v="1"/>
    <b v="0"/>
  </r>
  <r>
    <n v="9034958"/>
    <s v="123-004-130-001"/>
    <s v="Biomedical Engineer"/>
    <x v="1"/>
    <d v="2022-11-26T00:00:00"/>
    <s v="Ava Thomas"/>
    <d v="2022-12-21T00:00:00"/>
    <x v="205"/>
    <m/>
    <x v="0"/>
    <b v="0"/>
    <b v="0"/>
    <b v="0"/>
    <b v="0"/>
    <b v="0"/>
    <b v="0"/>
  </r>
  <r>
    <n v="9034958"/>
    <s v="123-004-130-002"/>
    <s v="Biomedical Engineer"/>
    <x v="1"/>
    <d v="2023-01-04T00:00:00"/>
    <s v="Karen Taylor"/>
    <d v="2023-01-21T00:00:00"/>
    <x v="206"/>
    <s v="new to org"/>
    <x v="0"/>
    <b v="0"/>
    <b v="0"/>
    <b v="0"/>
    <b v="0"/>
    <b v="0"/>
    <b v="1"/>
  </r>
  <r>
    <n v="9034958"/>
    <s v="123-004-130-003"/>
    <s v="Biomedical Engineer"/>
    <x v="1"/>
    <d v="2023-04-26T00:00:00"/>
    <s v="Ethan Campbell"/>
    <d v="2023-05-21T00:00:00"/>
    <x v="207"/>
    <s v="transfer"/>
    <x v="0"/>
    <b v="0"/>
    <b v="0"/>
    <b v="0"/>
    <b v="1"/>
    <b v="0"/>
    <b v="0"/>
  </r>
  <r>
    <n v="9034958"/>
    <s v="123-004-130-004"/>
    <s v="Biomedical Engineer"/>
    <x v="1"/>
    <d v="2023-02-28T00:00:00"/>
    <s v="Lisa Lee"/>
    <d v="2023-03-02T00:00:00"/>
    <x v="208"/>
    <s v="promo"/>
    <x v="0"/>
    <b v="0"/>
    <b v="0"/>
    <b v="0"/>
    <b v="0"/>
    <b v="1"/>
    <b v="0"/>
  </r>
  <r>
    <n v="9034958"/>
    <s v="123-004-130-005"/>
    <s v="Biomedical Engineer"/>
    <x v="1"/>
    <d v="2023-03-04T00:00:00"/>
    <s v="Mary Taylor"/>
    <d v="2023-03-14T00:00:00"/>
    <x v="203"/>
    <s v="promo"/>
    <x v="0"/>
    <b v="0"/>
    <b v="0"/>
    <b v="0"/>
    <b v="0"/>
    <b v="1"/>
    <b v="0"/>
  </r>
  <r>
    <n v="4291551"/>
    <s v="123-004-111-002"/>
    <s v="Product Manager"/>
    <x v="1"/>
    <d v="2022-12-12T00:00:00"/>
    <s v="Ashley Scott"/>
    <d v="2022-12-21T00:00:00"/>
    <x v="209"/>
    <s v="promo"/>
    <x v="0"/>
    <b v="0"/>
    <b v="0"/>
    <b v="0"/>
    <b v="0"/>
    <b v="1"/>
    <b v="0"/>
  </r>
  <r>
    <n v="4291551"/>
    <s v="123-004-111-003"/>
    <s v="Product Manager"/>
    <x v="1"/>
    <d v="2022-12-27T00:00:00"/>
    <s v="Sandra Hernandez"/>
    <d v="2023-01-02T00:00:00"/>
    <x v="181"/>
    <m/>
    <x v="0"/>
    <b v="0"/>
    <b v="0"/>
    <b v="0"/>
    <b v="0"/>
    <b v="0"/>
    <b v="0"/>
  </r>
  <r>
    <n v="4291551"/>
    <s v="123-004-111-004"/>
    <s v="Product Manager"/>
    <x v="1"/>
    <d v="2022-03-02T00:00:00"/>
    <s v="Barbara Collins"/>
    <d v="2022-03-19T00:00:00"/>
    <x v="9"/>
    <m/>
    <x v="0"/>
    <b v="0"/>
    <b v="0"/>
    <b v="0"/>
    <b v="0"/>
    <b v="0"/>
    <b v="0"/>
  </r>
  <r>
    <n v="4291551"/>
    <s v="123-004-111-005"/>
    <s v="Product Manager"/>
    <x v="1"/>
    <d v="2022-02-19T00:00:00"/>
    <s v="Charlotte Evans"/>
    <d v="2022-03-16T00:00:00"/>
    <x v="210"/>
    <s v="transfer"/>
    <x v="0"/>
    <b v="0"/>
    <b v="0"/>
    <b v="0"/>
    <b v="1"/>
    <b v="0"/>
    <b v="0"/>
  </r>
  <r>
    <n v="7918793"/>
    <s v="123-004-105-001"/>
    <s v="Financial Analyst"/>
    <x v="1"/>
    <d v="2023-04-12T00:00:00"/>
    <s v="Susan Allen"/>
    <d v="2023-04-24T00:00:00"/>
    <x v="211"/>
    <s v="transfer"/>
    <x v="0"/>
    <b v="0"/>
    <b v="0"/>
    <b v="0"/>
    <b v="1"/>
    <b v="0"/>
    <b v="0"/>
  </r>
  <r>
    <n v="7901115"/>
    <s v="123-001-101-003"/>
    <s v="Software Engineer"/>
    <x v="9"/>
    <d v="2023-03-17T00:00:00"/>
    <s v="Mary Allen"/>
    <d v="2023-04-12T00:00:00"/>
    <x v="212"/>
    <s v="new to org"/>
    <x v="0"/>
    <b v="0"/>
    <b v="0"/>
    <b v="0"/>
    <b v="0"/>
    <b v="0"/>
    <b v="1"/>
  </r>
  <r>
    <n v="7901115"/>
    <s v="123-001-101-006"/>
    <s v="Software Engineer"/>
    <x v="9"/>
    <d v="2023-02-20T00:00:00"/>
    <s v="Jennifer White"/>
    <d v="2023-03-07T00:00:00"/>
    <x v="213"/>
    <m/>
    <x v="0"/>
    <b v="0"/>
    <b v="0"/>
    <b v="0"/>
    <b v="0"/>
    <b v="0"/>
    <b v="0"/>
  </r>
  <r>
    <n v="2352527"/>
    <s v="123-001-121-001"/>
    <s v="UX Designer"/>
    <x v="9"/>
    <d v="2022-02-27T00:00:00"/>
    <s v="Emily Walker"/>
    <d v="2022-03-20T00:00:00"/>
    <x v="153"/>
    <m/>
    <x v="0"/>
    <b v="0"/>
    <b v="0"/>
    <b v="0"/>
    <b v="0"/>
    <b v="0"/>
    <b v="0"/>
  </r>
  <r>
    <n v="3875339"/>
    <s v="123-008-103-002"/>
    <s v="Project Manager"/>
    <x v="4"/>
    <d v="2022-04-08T00:00:00"/>
    <s v="Andrew Diaz"/>
    <d v="2022-05-07T00:00:00"/>
    <x v="214"/>
    <s v="new to org"/>
    <x v="0"/>
    <b v="0"/>
    <b v="0"/>
    <b v="0"/>
    <b v="0"/>
    <b v="0"/>
    <b v="1"/>
  </r>
  <r>
    <n v="3875339"/>
    <s v="123-008-103-003"/>
    <s v="Project Manager"/>
    <x v="4"/>
    <d v="2023-05-02T00:00:00"/>
    <s v="Susan Edwards"/>
    <d v="2023-05-11T00:00:00"/>
    <x v="215"/>
    <s v="promo"/>
    <x v="0"/>
    <b v="0"/>
    <b v="0"/>
    <b v="0"/>
    <b v="0"/>
    <b v="1"/>
    <b v="0"/>
  </r>
  <r>
    <n v="3875339"/>
    <s v="123-008-103-004"/>
    <s v="Project Manager"/>
    <x v="4"/>
    <d v="2022-02-03T00:00:00"/>
    <s v="Lucas Wright"/>
    <d v="2022-02-09T00:00:00"/>
    <x v="216"/>
    <s v="new to org"/>
    <x v="0"/>
    <b v="0"/>
    <b v="0"/>
    <b v="0"/>
    <b v="0"/>
    <b v="0"/>
    <b v="1"/>
  </r>
  <r>
    <n v="3875339"/>
    <s v="123-008-103-005"/>
    <s v="Project Manager"/>
    <x v="4"/>
    <d v="2022-05-28T00:00:00"/>
    <s v="Susan Nguyen"/>
    <d v="2022-06-22T00:00:00"/>
    <x v="217"/>
    <s v="transfer"/>
    <x v="0"/>
    <b v="0"/>
    <b v="0"/>
    <b v="0"/>
    <b v="1"/>
    <b v="0"/>
    <b v="0"/>
  </r>
  <r>
    <n v="7682298"/>
    <s v="123-002-130-005"/>
    <s v="Biomedical Engineer"/>
    <x v="6"/>
    <d v="2022-05-24T00:00:00"/>
    <s v="Matthew Carter"/>
    <d v="2022-06-19T00:00:00"/>
    <x v="107"/>
    <s v="new to org"/>
    <x v="0"/>
    <b v="0"/>
    <b v="0"/>
    <b v="0"/>
    <b v="0"/>
    <b v="0"/>
    <b v="1"/>
  </r>
  <r>
    <n v="7682298"/>
    <s v="123-002-130-006"/>
    <s v="Biomedical Engineer"/>
    <x v="6"/>
    <d v="2023-03-24T00:00:00"/>
    <s v="Patricia Miller"/>
    <d v="2023-04-01T00:00:00"/>
    <x v="12"/>
    <s v="new to org"/>
    <x v="0"/>
    <b v="0"/>
    <b v="0"/>
    <b v="0"/>
    <b v="0"/>
    <b v="0"/>
    <b v="1"/>
  </r>
  <r>
    <n v="2275374"/>
    <s v="123-010-111-001"/>
    <s v="Product Manager"/>
    <x v="5"/>
    <d v="2022-01-31T00:00:00"/>
    <s v="Deborah Lee"/>
    <d v="2022-02-21T00:00:00"/>
    <x v="72"/>
    <m/>
    <x v="0"/>
    <b v="0"/>
    <b v="0"/>
    <b v="0"/>
    <b v="0"/>
    <b v="0"/>
    <b v="0"/>
  </r>
  <r>
    <n v="2275374"/>
    <s v="123-010-111-002"/>
    <s v="Product Manager"/>
    <x v="5"/>
    <d v="2022-12-31T00:00:00"/>
    <s v="Ashley Anderson"/>
    <d v="2023-01-18T00:00:00"/>
    <x v="135"/>
    <m/>
    <x v="0"/>
    <b v="0"/>
    <b v="0"/>
    <b v="0"/>
    <b v="0"/>
    <b v="0"/>
    <b v="0"/>
  </r>
  <r>
    <n v="2275374"/>
    <s v="123-010-111-003"/>
    <s v="Product Manager"/>
    <x v="5"/>
    <d v="2022-10-30T00:00:00"/>
    <s v="Jennifer Roberts"/>
    <d v="2022-11-25T00:00:00"/>
    <x v="218"/>
    <m/>
    <x v="0"/>
    <b v="0"/>
    <b v="0"/>
    <b v="0"/>
    <b v="0"/>
    <b v="0"/>
    <b v="0"/>
  </r>
  <r>
    <n v="2275374"/>
    <s v="123-010-111-004"/>
    <s v="Product Manager"/>
    <x v="5"/>
    <d v="2023-01-25T00:00:00"/>
    <s v="Sarah Martinez"/>
    <d v="2023-02-17T00:00:00"/>
    <x v="219"/>
    <s v="transfer"/>
    <x v="0"/>
    <b v="0"/>
    <b v="0"/>
    <b v="0"/>
    <b v="1"/>
    <b v="0"/>
    <b v="0"/>
  </r>
  <r>
    <n v="2275374"/>
    <s v="123-010-111-005"/>
    <s v="Product Manager"/>
    <x v="5"/>
    <d v="2022-04-20T00:00:00"/>
    <s v="Christopher White"/>
    <d v="2022-04-23T00:00:00"/>
    <x v="220"/>
    <m/>
    <x v="0"/>
    <b v="0"/>
    <b v="0"/>
    <b v="0"/>
    <b v="0"/>
    <b v="0"/>
    <b v="0"/>
  </r>
  <r>
    <n v="6171869"/>
    <s v="123-006-115-005"/>
    <s v="Graphic Designer"/>
    <x v="2"/>
    <d v="2022-04-02T00:00:00"/>
    <s v="Michael Johnson"/>
    <d v="2022-04-14T00:00:00"/>
    <x v="221"/>
    <m/>
    <x v="0"/>
    <b v="0"/>
    <b v="0"/>
    <b v="0"/>
    <b v="0"/>
    <b v="0"/>
    <b v="0"/>
  </r>
  <r>
    <n v="7463219"/>
    <s v="123-005-101-004"/>
    <s v="Software Engineer"/>
    <x v="0"/>
    <d v="2022-10-03T00:00:00"/>
    <s v="David Rodriguez"/>
    <d v="2022-10-13T00:00:00"/>
    <x v="222"/>
    <m/>
    <x v="0"/>
    <b v="0"/>
    <b v="0"/>
    <b v="0"/>
    <b v="0"/>
    <b v="0"/>
    <b v="0"/>
  </r>
  <r>
    <n v="7463219"/>
    <s v="123-005-101-005"/>
    <s v="Software Engineer"/>
    <x v="0"/>
    <d v="2022-10-10T00:00:00"/>
    <s v="David Ramirez"/>
    <d v="2022-10-24T00:00:00"/>
    <x v="223"/>
    <s v="transfer"/>
    <x v="0"/>
    <b v="0"/>
    <b v="0"/>
    <b v="0"/>
    <b v="1"/>
    <b v="0"/>
    <b v="0"/>
  </r>
  <r>
    <n v="7463219"/>
    <s v="123-005-101-006"/>
    <s v="Software Engineer"/>
    <x v="0"/>
    <d v="2022-09-10T00:00:00"/>
    <s v="Lisa Taylor"/>
    <d v="2022-10-04T00:00:00"/>
    <x v="101"/>
    <s v="transfer"/>
    <x v="0"/>
    <b v="0"/>
    <b v="0"/>
    <b v="0"/>
    <b v="1"/>
    <b v="0"/>
    <b v="0"/>
  </r>
  <r>
    <n v="9318184"/>
    <s v="123-010-120-003"/>
    <s v="Executive Assistant"/>
    <x v="5"/>
    <d v="2023-02-10T00:00:00"/>
    <s v="Karen Smith"/>
    <d v="2023-02-21T00:00:00"/>
    <x v="191"/>
    <s v="promo"/>
    <x v="0"/>
    <b v="0"/>
    <b v="0"/>
    <b v="0"/>
    <b v="0"/>
    <b v="1"/>
    <b v="0"/>
  </r>
  <r>
    <n v="9318184"/>
    <s v="123-010-120-004"/>
    <s v="Executive Assistant"/>
    <x v="5"/>
    <d v="2023-03-17T00:00:00"/>
    <s v="Mark Perez"/>
    <d v="2023-04-13T00:00:00"/>
    <x v="224"/>
    <s v="new to org"/>
    <x v="0"/>
    <b v="0"/>
    <b v="0"/>
    <b v="0"/>
    <b v="0"/>
    <b v="0"/>
    <b v="1"/>
  </r>
  <r>
    <n v="3283789"/>
    <s v="123-006-110-001"/>
    <s v="Legal Advisor"/>
    <x v="2"/>
    <d v="2022-07-01T00:00:00"/>
    <s v="Donald Lee"/>
    <d v="2022-07-14T00:00:00"/>
    <x v="77"/>
    <s v="promo"/>
    <x v="0"/>
    <b v="0"/>
    <b v="0"/>
    <b v="0"/>
    <b v="0"/>
    <b v="1"/>
    <b v="0"/>
  </r>
  <r>
    <n v="3283789"/>
    <s v="123-006-110-003"/>
    <s v="Legal Advisor"/>
    <x v="2"/>
    <d v="2023-02-07T00:00:00"/>
    <s v="Matthew Moore"/>
    <d v="2023-02-19T00:00:00"/>
    <x v="225"/>
    <s v="new to org"/>
    <x v="0"/>
    <b v="0"/>
    <b v="0"/>
    <b v="0"/>
    <b v="0"/>
    <b v="0"/>
    <b v="1"/>
  </r>
  <r>
    <n v="3283789"/>
    <s v="123-006-110-004"/>
    <s v="Legal Advisor"/>
    <x v="2"/>
    <d v="2022-07-04T00:00:00"/>
    <s v="Donna Wright"/>
    <d v="2022-07-26T00:00:00"/>
    <x v="53"/>
    <s v="promo"/>
    <x v="0"/>
    <b v="0"/>
    <b v="0"/>
    <b v="0"/>
    <b v="0"/>
    <b v="1"/>
    <b v="0"/>
  </r>
  <r>
    <n v="3283789"/>
    <s v="123-006-110-005"/>
    <s v="Legal Advisor"/>
    <x v="2"/>
    <d v="2022-08-03T00:00:00"/>
    <s v="Charlotte Rivera"/>
    <d v="2022-08-18T00:00:00"/>
    <x v="65"/>
    <m/>
    <x v="0"/>
    <b v="0"/>
    <b v="0"/>
    <b v="0"/>
    <b v="0"/>
    <b v="0"/>
    <b v="0"/>
  </r>
  <r>
    <n v="5887726"/>
    <s v="123-002-127-004"/>
    <s v="Training Coordinator"/>
    <x v="6"/>
    <d v="2022-09-05T00:00:00"/>
    <s v="Kenneth Martin"/>
    <d v="2022-09-14T00:00:00"/>
    <x v="2"/>
    <s v="promo"/>
    <x v="0"/>
    <b v="0"/>
    <b v="0"/>
    <b v="0"/>
    <b v="0"/>
    <b v="1"/>
    <b v="0"/>
  </r>
  <r>
    <n v="5887726"/>
    <s v="123-002-127-006"/>
    <s v="Training Coordinator"/>
    <x v="6"/>
    <d v="2023-06-03T00:00:00"/>
    <s v="Donna Sanchez"/>
    <d v="2023-07-03T00:00:00"/>
    <x v="226"/>
    <m/>
    <x v="0"/>
    <b v="0"/>
    <b v="0"/>
    <b v="0"/>
    <b v="0"/>
    <b v="0"/>
    <b v="0"/>
  </r>
  <r>
    <n v="5887726"/>
    <s v="123-002-127-007"/>
    <s v="Training Coordinator"/>
    <x v="6"/>
    <d v="2023-01-04T00:00:00"/>
    <s v="Paul Williams"/>
    <d v="2023-01-27T00:00:00"/>
    <x v="61"/>
    <m/>
    <x v="0"/>
    <b v="0"/>
    <b v="0"/>
    <b v="0"/>
    <b v="0"/>
    <b v="0"/>
    <b v="0"/>
  </r>
  <r>
    <n v="4724560"/>
    <s v="123-009-117-006"/>
    <s v="Quality Assurance"/>
    <x v="7"/>
    <d v="2023-02-05T00:00:00"/>
    <s v="Mark White"/>
    <d v="2023-02-20T00:00:00"/>
    <x v="227"/>
    <s v="promo"/>
    <x v="0"/>
    <b v="0"/>
    <b v="0"/>
    <b v="0"/>
    <b v="0"/>
    <b v="1"/>
    <b v="0"/>
  </r>
  <r>
    <n v="4724560"/>
    <s v="123-009-117-007"/>
    <s v="Quality Assurance"/>
    <x v="7"/>
    <d v="2023-05-10T00:00:00"/>
    <s v="Daniel Johnson"/>
    <d v="2023-05-14T00:00:00"/>
    <x v="54"/>
    <s v="promo"/>
    <x v="0"/>
    <b v="0"/>
    <b v="0"/>
    <b v="0"/>
    <b v="0"/>
    <b v="1"/>
    <b v="0"/>
  </r>
  <r>
    <n v="4724560"/>
    <s v="123-009-117-008"/>
    <s v="Quality Assurance"/>
    <x v="7"/>
    <d v="2022-05-26T00:00:00"/>
    <s v="Linda Turner"/>
    <d v="2022-06-07T00:00:00"/>
    <x v="10"/>
    <s v="transfer"/>
    <x v="0"/>
    <b v="0"/>
    <b v="0"/>
    <b v="0"/>
    <b v="1"/>
    <b v="0"/>
    <b v="0"/>
  </r>
  <r>
    <n v="4724560"/>
    <s v="123-009-117-009"/>
    <s v="Quality Assurance"/>
    <x v="7"/>
    <d v="2022-12-23T00:00:00"/>
    <s v="Kimberly Walker"/>
    <d v="2023-01-08T00:00:00"/>
    <x v="29"/>
    <s v="promo"/>
    <x v="0"/>
    <b v="0"/>
    <b v="0"/>
    <b v="0"/>
    <b v="0"/>
    <b v="1"/>
    <b v="0"/>
  </r>
  <r>
    <n v="4724560"/>
    <s v="123-009-117-010"/>
    <s v="Quality Assurance"/>
    <x v="7"/>
    <d v="2022-11-04T00:00:00"/>
    <s v="Christopher Jones"/>
    <d v="2022-11-06T00:00:00"/>
    <x v="228"/>
    <m/>
    <x v="0"/>
    <b v="0"/>
    <b v="0"/>
    <b v="0"/>
    <b v="0"/>
    <b v="0"/>
    <b v="0"/>
  </r>
  <r>
    <n v="2930810"/>
    <s v="123-006-101-001"/>
    <s v="Software Engineer"/>
    <x v="2"/>
    <d v="2022-09-07T00:00:00"/>
    <s v="Jackson Mitchell"/>
    <d v="2022-09-24T00:00:00"/>
    <x v="229"/>
    <s v="promo"/>
    <x v="0"/>
    <b v="0"/>
    <b v="0"/>
    <b v="0"/>
    <b v="0"/>
    <b v="1"/>
    <b v="0"/>
  </r>
  <r>
    <n v="3686631"/>
    <s v="123-009-111-001"/>
    <s v="Product Manager"/>
    <x v="7"/>
    <d v="2022-07-08T00:00:00"/>
    <s v="Ethan Sanchez"/>
    <d v="2022-07-14T00:00:00"/>
    <x v="230"/>
    <s v="promo"/>
    <x v="0"/>
    <b v="0"/>
    <b v="0"/>
    <b v="0"/>
    <b v="0"/>
    <b v="1"/>
    <b v="0"/>
  </r>
  <r>
    <n v="3686631"/>
    <s v="123-009-111-002"/>
    <s v="Product Manager"/>
    <x v="7"/>
    <d v="2022-07-22T00:00:00"/>
    <s v="Mary Mitchell"/>
    <d v="2022-08-06T00:00:00"/>
    <x v="16"/>
    <m/>
    <x v="0"/>
    <b v="0"/>
    <b v="0"/>
    <b v="0"/>
    <b v="0"/>
    <b v="0"/>
    <b v="0"/>
  </r>
  <r>
    <n v="3686631"/>
    <s v="123-009-111-003"/>
    <s v="Product Manager"/>
    <x v="7"/>
    <d v="2022-07-30T00:00:00"/>
    <s v="Dorothy Wilson"/>
    <d v="2022-08-08T00:00:00"/>
    <x v="231"/>
    <s v="transfer"/>
    <x v="0"/>
    <b v="0"/>
    <b v="0"/>
    <b v="0"/>
    <b v="1"/>
    <b v="0"/>
    <b v="0"/>
  </r>
  <r>
    <n v="3686631"/>
    <s v="123-009-111-004"/>
    <s v="Product Manager"/>
    <x v="7"/>
    <d v="2022-07-11T00:00:00"/>
    <s v="Andrew Miller"/>
    <d v="2022-07-23T00:00:00"/>
    <x v="232"/>
    <s v="transfer"/>
    <x v="0"/>
    <b v="0"/>
    <b v="0"/>
    <b v="0"/>
    <b v="1"/>
    <b v="0"/>
    <b v="0"/>
  </r>
  <r>
    <n v="4306357"/>
    <s v="123-002-115-005"/>
    <s v="Graphic Designer"/>
    <x v="6"/>
    <d v="2022-11-17T00:00:00"/>
    <s v="Kimberly Green"/>
    <d v="2022-12-07T00:00:00"/>
    <x v="190"/>
    <m/>
    <x v="0"/>
    <b v="0"/>
    <b v="0"/>
    <b v="0"/>
    <b v="0"/>
    <b v="0"/>
    <b v="0"/>
  </r>
  <r>
    <n v="4306357"/>
    <s v="123-002-115-006"/>
    <s v="Graphic Designer"/>
    <x v="6"/>
    <d v="2023-04-14T00:00:00"/>
    <s v="Daniel Thompson"/>
    <d v="2023-05-04T00:00:00"/>
    <x v="233"/>
    <s v="transfer"/>
    <x v="0"/>
    <b v="0"/>
    <b v="0"/>
    <b v="0"/>
    <b v="1"/>
    <b v="0"/>
    <b v="0"/>
  </r>
  <r>
    <n v="4306357"/>
    <s v="123-002-115-007"/>
    <s v="Graphic Designer"/>
    <x v="6"/>
    <d v="2022-03-28T00:00:00"/>
    <s v="Ava Flores"/>
    <d v="2022-04-19T00:00:00"/>
    <x v="3"/>
    <s v="new to org"/>
    <x v="0"/>
    <b v="0"/>
    <b v="0"/>
    <b v="0"/>
    <b v="0"/>
    <b v="0"/>
    <b v="1"/>
  </r>
  <r>
    <n v="7441514"/>
    <s v="123-009-118-001"/>
    <s v="Network Engineer"/>
    <x v="7"/>
    <d v="2023-03-31T00:00:00"/>
    <s v="Anthony Rivera"/>
    <d v="2023-04-16T00:00:00"/>
    <x v="234"/>
    <m/>
    <x v="0"/>
    <b v="0"/>
    <b v="0"/>
    <b v="0"/>
    <b v="0"/>
    <b v="0"/>
    <b v="0"/>
  </r>
  <r>
    <n v="7441514"/>
    <s v="123-009-118-004"/>
    <s v="Network Engineer"/>
    <x v="7"/>
    <d v="2022-04-26T00:00:00"/>
    <s v="Emily Allen"/>
    <d v="2022-05-15T00:00:00"/>
    <x v="149"/>
    <m/>
    <x v="0"/>
    <b v="0"/>
    <b v="0"/>
    <b v="0"/>
    <b v="0"/>
    <b v="0"/>
    <b v="0"/>
  </r>
  <r>
    <n v="5494430"/>
    <s v="123-009-125-001"/>
    <s v="Security Analyst"/>
    <x v="7"/>
    <d v="2023-03-28T00:00:00"/>
    <s v="Edward Campbell"/>
    <d v="2023-04-15T00:00:00"/>
    <x v="235"/>
    <s v="transfer"/>
    <x v="0"/>
    <b v="0"/>
    <b v="0"/>
    <b v="0"/>
    <b v="1"/>
    <b v="0"/>
    <b v="0"/>
  </r>
  <r>
    <n v="5494430"/>
    <s v="123-009-125-002"/>
    <s v="Security Analyst"/>
    <x v="7"/>
    <d v="2022-09-11T00:00:00"/>
    <s v="Melissa Turner"/>
    <d v="2022-09-21T00:00:00"/>
    <x v="199"/>
    <s v="transfer"/>
    <x v="0"/>
    <b v="0"/>
    <b v="0"/>
    <b v="0"/>
    <b v="1"/>
    <b v="0"/>
    <b v="0"/>
  </r>
  <r>
    <n v="5494430"/>
    <s v="123-009-125-003"/>
    <s v="Security Analyst"/>
    <x v="7"/>
    <d v="2022-03-31T00:00:00"/>
    <s v="Thomas Thompson"/>
    <d v="2022-04-15T00:00:00"/>
    <x v="214"/>
    <m/>
    <x v="0"/>
    <b v="0"/>
    <b v="0"/>
    <b v="0"/>
    <b v="0"/>
    <b v="0"/>
    <b v="0"/>
  </r>
  <r>
    <n v="2969410"/>
    <s v="123-004-125-006"/>
    <s v="Security Analyst"/>
    <x v="1"/>
    <d v="2023-03-15T00:00:00"/>
    <s v="Logan Rivera"/>
    <d v="2023-03-21T00:00:00"/>
    <x v="34"/>
    <s v="new to org"/>
    <x v="0"/>
    <b v="0"/>
    <b v="0"/>
    <b v="0"/>
    <b v="0"/>
    <b v="0"/>
    <b v="1"/>
  </r>
  <r>
    <n v="1995859"/>
    <s v="123-006-119-003"/>
    <s v="Account Manager"/>
    <x v="2"/>
    <d v="2023-02-26T00:00:00"/>
    <s v="William Carter"/>
    <d v="2023-03-28T00:00:00"/>
    <x v="91"/>
    <s v="transfer"/>
    <x v="0"/>
    <b v="0"/>
    <b v="0"/>
    <b v="0"/>
    <b v="1"/>
    <b v="0"/>
    <b v="0"/>
  </r>
  <r>
    <n v="1995859"/>
    <s v="123-006-119-004"/>
    <s v="Account Manager"/>
    <x v="2"/>
    <d v="2022-05-16T00:00:00"/>
    <s v="Brian Parker"/>
    <d v="2022-05-24T00:00:00"/>
    <x v="236"/>
    <s v="promo"/>
    <x v="0"/>
    <b v="0"/>
    <b v="0"/>
    <b v="0"/>
    <b v="0"/>
    <b v="1"/>
    <b v="0"/>
  </r>
  <r>
    <n v="1995859"/>
    <s v="123-006-119-005"/>
    <s v="Account Manager"/>
    <x v="2"/>
    <d v="2023-02-07T00:00:00"/>
    <s v="Edward Turner"/>
    <d v="2023-02-23T00:00:00"/>
    <x v="122"/>
    <s v="promo"/>
    <x v="0"/>
    <b v="0"/>
    <b v="0"/>
    <b v="0"/>
    <b v="0"/>
    <b v="1"/>
    <b v="0"/>
  </r>
  <r>
    <n v="5508325"/>
    <s v="123-007-121-001"/>
    <s v="UX Designer"/>
    <x v="3"/>
    <d v="2022-10-12T00:00:00"/>
    <s v="Betty Allen"/>
    <d v="2022-11-04T00:00:00"/>
    <x v="79"/>
    <s v="transfer"/>
    <x v="0"/>
    <b v="0"/>
    <b v="0"/>
    <b v="0"/>
    <b v="1"/>
    <b v="0"/>
    <b v="0"/>
  </r>
  <r>
    <n v="5508325"/>
    <s v="123-007-121-002"/>
    <s v="UX Designer"/>
    <x v="3"/>
    <d v="2022-12-02T00:00:00"/>
    <s v="Charlotte Young"/>
    <d v="2022-12-21T00:00:00"/>
    <x v="237"/>
    <m/>
    <x v="0"/>
    <b v="0"/>
    <b v="0"/>
    <b v="0"/>
    <b v="0"/>
    <b v="0"/>
    <b v="0"/>
  </r>
  <r>
    <n v="5508325"/>
    <s v="123-007-121-003"/>
    <s v="UX Designer"/>
    <x v="3"/>
    <d v="2023-01-02T00:00:00"/>
    <s v="George Robinson"/>
    <d v="2023-01-30T00:00:00"/>
    <x v="238"/>
    <s v="transfer"/>
    <x v="0"/>
    <b v="0"/>
    <b v="0"/>
    <b v="0"/>
    <b v="1"/>
    <b v="0"/>
    <b v="0"/>
  </r>
  <r>
    <n v="5508325"/>
    <s v="123-007-121-004"/>
    <s v="UX Designer"/>
    <x v="3"/>
    <d v="2022-08-05T00:00:00"/>
    <s v="Susan Ramirez"/>
    <d v="2022-08-21T00:00:00"/>
    <x v="187"/>
    <m/>
    <x v="0"/>
    <b v="0"/>
    <b v="0"/>
    <b v="0"/>
    <b v="0"/>
    <b v="0"/>
    <b v="0"/>
  </r>
  <r>
    <n v="6416778"/>
    <s v="123-005-127-001"/>
    <s v="Training Coordinator"/>
    <x v="0"/>
    <d v="2023-05-12T00:00:00"/>
    <s v="Andrew Diaz"/>
    <d v="2023-06-07T00:00:00"/>
    <x v="239"/>
    <s v="promo"/>
    <x v="0"/>
    <b v="0"/>
    <b v="0"/>
    <b v="0"/>
    <b v="0"/>
    <b v="1"/>
    <b v="0"/>
  </r>
  <r>
    <n v="6416778"/>
    <s v="123-005-127-002"/>
    <s v="Training Coordinator"/>
    <x v="0"/>
    <d v="2023-04-16T00:00:00"/>
    <s v="Robert Miller"/>
    <d v="2023-04-17T00:00:00"/>
    <x v="240"/>
    <s v="transfer"/>
    <x v="0"/>
    <b v="0"/>
    <b v="0"/>
    <b v="0"/>
    <b v="1"/>
    <b v="0"/>
    <b v="0"/>
  </r>
  <r>
    <n v="6416778"/>
    <s v="123-005-127-003"/>
    <s v="Training Coordinator"/>
    <x v="0"/>
    <d v="2022-01-01T00:00:00"/>
    <s v="Mark Robinson"/>
    <d v="2022-01-15T00:00:00"/>
    <x v="241"/>
    <s v="promo"/>
    <x v="0"/>
    <b v="0"/>
    <b v="0"/>
    <b v="0"/>
    <b v="0"/>
    <b v="1"/>
    <b v="0"/>
  </r>
  <r>
    <n v="3213134"/>
    <s v="123-005-129-001"/>
    <s v="Supply Chain Manager"/>
    <x v="0"/>
    <d v="2023-01-05T00:00:00"/>
    <s v="Jennifer Adams"/>
    <d v="2023-01-14T00:00:00"/>
    <x v="114"/>
    <s v="new to org"/>
    <x v="0"/>
    <b v="0"/>
    <b v="0"/>
    <b v="0"/>
    <b v="0"/>
    <b v="0"/>
    <b v="1"/>
  </r>
  <r>
    <n v="3213134"/>
    <s v="123-005-129-002"/>
    <s v="Supply Chain Manager"/>
    <x v="0"/>
    <d v="2022-11-09T00:00:00"/>
    <s v="Patricia Sanchez"/>
    <d v="2022-12-03T00:00:00"/>
    <x v="242"/>
    <s v="promo"/>
    <x v="0"/>
    <b v="0"/>
    <b v="0"/>
    <b v="0"/>
    <b v="0"/>
    <b v="1"/>
    <b v="0"/>
  </r>
  <r>
    <n v="8999489"/>
    <s v="123-003-103-002"/>
    <s v="Project Manager"/>
    <x v="8"/>
    <d v="2022-05-16T00:00:00"/>
    <s v="Logan Ramirez"/>
    <d v="2022-06-01T00:00:00"/>
    <x v="243"/>
    <s v="transfer"/>
    <x v="0"/>
    <b v="0"/>
    <b v="0"/>
    <b v="0"/>
    <b v="1"/>
    <b v="0"/>
    <b v="0"/>
  </r>
  <r>
    <n v="8999489"/>
    <s v="123-003-103-004"/>
    <s v="Project Manager"/>
    <x v="8"/>
    <d v="2022-05-17T00:00:00"/>
    <s v="William Harris"/>
    <d v="2022-06-07T00:00:00"/>
    <x v="44"/>
    <s v="new to org"/>
    <x v="0"/>
    <b v="0"/>
    <b v="0"/>
    <b v="0"/>
    <b v="0"/>
    <b v="0"/>
    <b v="1"/>
  </r>
  <r>
    <n v="3753418"/>
    <s v="123-006-115-007"/>
    <s v="Graphic Designer"/>
    <x v="2"/>
    <d v="2023-03-30T00:00:00"/>
    <s v="Ava Clark"/>
    <d v="2023-04-27T00:00:00"/>
    <x v="115"/>
    <s v="promo"/>
    <x v="0"/>
    <b v="0"/>
    <b v="0"/>
    <b v="0"/>
    <b v="0"/>
    <b v="1"/>
    <b v="0"/>
  </r>
  <r>
    <n v="7442986"/>
    <s v="123-007-112-006"/>
    <s v="Business Analyst"/>
    <x v="3"/>
    <d v="2022-03-28T00:00:00"/>
    <s v="Sarah Adams"/>
    <d v="2022-04-05T00:00:00"/>
    <x v="244"/>
    <s v="promo"/>
    <x v="0"/>
    <b v="0"/>
    <b v="0"/>
    <b v="0"/>
    <b v="0"/>
    <b v="1"/>
    <b v="0"/>
  </r>
  <r>
    <n v="7442986"/>
    <s v="123-007-112-007"/>
    <s v="Business Analyst"/>
    <x v="3"/>
    <d v="2022-01-28T00:00:00"/>
    <s v="Deborah Hall"/>
    <d v="2022-02-25T00:00:00"/>
    <x v="245"/>
    <s v="new to org"/>
    <x v="0"/>
    <b v="0"/>
    <b v="0"/>
    <b v="0"/>
    <b v="0"/>
    <b v="0"/>
    <b v="1"/>
  </r>
  <r>
    <n v="7442986"/>
    <s v="123-007-112-008"/>
    <s v="Business Analyst"/>
    <x v="3"/>
    <d v="2023-06-06T00:00:00"/>
    <s v="Susan King"/>
    <d v="2023-06-13T00:00:00"/>
    <x v="246"/>
    <s v="new to org"/>
    <x v="0"/>
    <b v="0"/>
    <b v="0"/>
    <b v="0"/>
    <b v="0"/>
    <b v="0"/>
    <b v="1"/>
  </r>
  <r>
    <n v="7572491"/>
    <s v="123-001-110-001"/>
    <s v="Legal Advisor"/>
    <x v="9"/>
    <d v="2022-03-14T00:00:00"/>
    <s v="Jessica Young"/>
    <d v="2022-03-31T00:00:00"/>
    <x v="82"/>
    <s v="transfer"/>
    <x v="0"/>
    <b v="0"/>
    <b v="0"/>
    <b v="0"/>
    <b v="1"/>
    <b v="0"/>
    <b v="0"/>
  </r>
  <r>
    <n v="7572491"/>
    <s v="123-001-110-002"/>
    <s v="Legal Advisor"/>
    <x v="9"/>
    <d v="2022-05-16T00:00:00"/>
    <s v="Jackson Lee"/>
    <d v="2022-05-29T00:00:00"/>
    <x v="247"/>
    <s v="new to org"/>
    <x v="0"/>
    <b v="0"/>
    <b v="0"/>
    <b v="0"/>
    <b v="0"/>
    <b v="0"/>
    <b v="1"/>
  </r>
  <r>
    <n v="8060918"/>
    <s v="123-009-112-003"/>
    <s v="Business Analyst"/>
    <x v="7"/>
    <d v="2022-03-11T00:00:00"/>
    <s v="Mary Nguyen"/>
    <d v="2022-03-12T00:00:00"/>
    <x v="198"/>
    <s v="transfer"/>
    <x v="0"/>
    <b v="0"/>
    <b v="0"/>
    <b v="0"/>
    <b v="1"/>
    <b v="0"/>
    <b v="0"/>
  </r>
  <r>
    <n v="5806467"/>
    <s v="123-009-121-006"/>
    <s v="UX Designer"/>
    <x v="7"/>
    <d v="2022-06-06T00:00:00"/>
    <s v="Jennifer Green"/>
    <d v="2022-06-15T00:00:00"/>
    <x v="129"/>
    <m/>
    <x v="0"/>
    <b v="0"/>
    <b v="0"/>
    <b v="0"/>
    <b v="0"/>
    <b v="0"/>
    <b v="0"/>
  </r>
  <r>
    <n v="5806467"/>
    <s v="123-009-121-007"/>
    <s v="UX Designer"/>
    <x v="7"/>
    <d v="2022-12-01T00:00:00"/>
    <s v="Ethan Martinez"/>
    <d v="2022-12-14T00:00:00"/>
    <x v="32"/>
    <s v="promo"/>
    <x v="0"/>
    <b v="0"/>
    <b v="0"/>
    <b v="0"/>
    <b v="0"/>
    <b v="1"/>
    <b v="0"/>
  </r>
  <r>
    <n v="5806467"/>
    <s v="123-009-121-008"/>
    <s v="UX Designer"/>
    <x v="7"/>
    <d v="2023-03-24T00:00:00"/>
    <s v="Karen Hall"/>
    <d v="2023-04-17T00:00:00"/>
    <x v="248"/>
    <s v="transfer"/>
    <x v="0"/>
    <b v="0"/>
    <b v="0"/>
    <b v="0"/>
    <b v="1"/>
    <b v="0"/>
    <b v="0"/>
  </r>
  <r>
    <n v="5349442"/>
    <s v="123-006-106-004"/>
    <s v="Marketing Coordinator"/>
    <x v="2"/>
    <d v="2022-05-01T00:00:00"/>
    <s v="George Cruz"/>
    <d v="2022-05-26T00:00:00"/>
    <x v="201"/>
    <s v="new to org"/>
    <x v="0"/>
    <b v="0"/>
    <b v="0"/>
    <b v="0"/>
    <b v="0"/>
    <b v="0"/>
    <b v="1"/>
  </r>
  <r>
    <n v="2071594"/>
    <s v="123-010-109-001"/>
    <s v="IT Technician"/>
    <x v="5"/>
    <d v="2022-06-20T00:00:00"/>
    <s v="Patricia Young"/>
    <d v="2022-07-02T00:00:00"/>
    <x v="92"/>
    <s v="new to org"/>
    <x v="0"/>
    <b v="0"/>
    <b v="0"/>
    <b v="0"/>
    <b v="0"/>
    <b v="0"/>
    <b v="1"/>
  </r>
  <r>
    <n v="5280137"/>
    <s v="123-002-125-001"/>
    <s v="Security Analyst"/>
    <x v="6"/>
    <d v="2023-06-06T00:00:00"/>
    <s v="Joseph Mitchell"/>
    <d v="2023-06-07T00:00:00"/>
    <x v="212"/>
    <s v="transfer"/>
    <x v="0"/>
    <b v="0"/>
    <b v="0"/>
    <b v="0"/>
    <b v="1"/>
    <b v="0"/>
    <b v="0"/>
  </r>
  <r>
    <n v="5280137"/>
    <s v="123-002-125-002"/>
    <s v="Security Analyst"/>
    <x v="6"/>
    <d v="2023-04-29T00:00:00"/>
    <s v="Jessica Williams"/>
    <d v="2023-05-11T00:00:00"/>
    <x v="224"/>
    <s v="transfer"/>
    <x v="0"/>
    <b v="0"/>
    <b v="0"/>
    <b v="0"/>
    <b v="1"/>
    <b v="0"/>
    <b v="0"/>
  </r>
  <r>
    <n v="5280137"/>
    <s v="123-002-125-003"/>
    <s v="Security Analyst"/>
    <x v="6"/>
    <d v="2022-02-06T00:00:00"/>
    <s v="Jackson Diaz"/>
    <d v="2022-02-24T00:00:00"/>
    <x v="249"/>
    <s v="promo"/>
    <x v="0"/>
    <b v="0"/>
    <b v="0"/>
    <b v="0"/>
    <b v="0"/>
    <b v="1"/>
    <b v="0"/>
  </r>
  <r>
    <n v="5280137"/>
    <s v="123-002-125-004"/>
    <s v="Security Analyst"/>
    <x v="6"/>
    <d v="2022-09-12T00:00:00"/>
    <s v="Joseph Lee"/>
    <d v="2022-09-26T00:00:00"/>
    <x v="97"/>
    <m/>
    <x v="0"/>
    <b v="0"/>
    <b v="0"/>
    <b v="0"/>
    <b v="0"/>
    <b v="0"/>
    <b v="0"/>
  </r>
  <r>
    <n v="5280137"/>
    <s v="123-002-125-005"/>
    <s v="Security Analyst"/>
    <x v="6"/>
    <d v="2023-01-17T00:00:00"/>
    <s v="Isabella Jones"/>
    <d v="2023-01-21T00:00:00"/>
    <x v="250"/>
    <s v="new to org"/>
    <x v="0"/>
    <b v="0"/>
    <b v="0"/>
    <b v="0"/>
    <b v="0"/>
    <b v="0"/>
    <b v="1"/>
  </r>
  <r>
    <n v="1883692"/>
    <s v="123-004-106-001"/>
    <s v="Marketing Coordinator"/>
    <x v="1"/>
    <d v="2023-04-22T00:00:00"/>
    <s v="John Cruz"/>
    <d v="2023-05-20T00:00:00"/>
    <x v="251"/>
    <m/>
    <x v="0"/>
    <b v="0"/>
    <b v="0"/>
    <b v="0"/>
    <b v="0"/>
    <b v="0"/>
    <b v="0"/>
  </r>
  <r>
    <n v="1883692"/>
    <s v="123-004-106-002"/>
    <s v="Marketing Coordinator"/>
    <x v="1"/>
    <d v="2023-04-13T00:00:00"/>
    <s v="Christopher Garcia"/>
    <d v="2023-04-14T00:00:00"/>
    <x v="102"/>
    <s v="new to org"/>
    <x v="0"/>
    <b v="0"/>
    <b v="0"/>
    <b v="0"/>
    <b v="0"/>
    <b v="0"/>
    <b v="1"/>
  </r>
  <r>
    <n v="1883692"/>
    <s v="123-004-106-004"/>
    <s v="Marketing Coordinator"/>
    <x v="1"/>
    <d v="2023-05-21T00:00:00"/>
    <s v="Lisa Nguyen"/>
    <d v="2023-06-15T00:00:00"/>
    <x v="252"/>
    <m/>
    <x v="0"/>
    <b v="0"/>
    <b v="0"/>
    <b v="0"/>
    <b v="0"/>
    <b v="0"/>
    <b v="0"/>
  </r>
  <r>
    <n v="1024528"/>
    <s v="123-007-125-012"/>
    <s v="Security Analyst"/>
    <x v="3"/>
    <d v="2022-04-06T00:00:00"/>
    <s v="Dorothy Moore"/>
    <d v="2022-04-08T00:00:00"/>
    <x v="243"/>
    <s v="promo"/>
    <x v="0"/>
    <b v="0"/>
    <b v="0"/>
    <b v="0"/>
    <b v="0"/>
    <b v="1"/>
    <b v="0"/>
  </r>
  <r>
    <n v="7249378"/>
    <s v="123-002-115-010"/>
    <s v="Graphic Designer"/>
    <x v="6"/>
    <d v="2022-08-31T00:00:00"/>
    <s v="Kevin Rodriguez"/>
    <d v="2022-09-10T00:00:00"/>
    <x v="45"/>
    <m/>
    <x v="0"/>
    <b v="0"/>
    <b v="0"/>
    <b v="0"/>
    <b v="0"/>
    <b v="0"/>
    <b v="0"/>
  </r>
  <r>
    <n v="7249378"/>
    <s v="123-002-115-011"/>
    <s v="Graphic Designer"/>
    <x v="6"/>
    <d v="2022-12-01T00:00:00"/>
    <s v="Brian Turner"/>
    <d v="2022-12-12T00:00:00"/>
    <x v="39"/>
    <m/>
    <x v="0"/>
    <b v="0"/>
    <b v="0"/>
    <b v="0"/>
    <b v="0"/>
    <b v="0"/>
    <b v="0"/>
  </r>
  <r>
    <n v="2772642"/>
    <s v="123-008-106-004"/>
    <s v="Marketing Coordinator"/>
    <x v="4"/>
    <d v="2022-12-02T00:00:00"/>
    <s v="Susan Turner"/>
    <d v="2022-12-07T00:00:00"/>
    <x v="253"/>
    <s v="transfer"/>
    <x v="0"/>
    <b v="0"/>
    <b v="0"/>
    <b v="0"/>
    <b v="1"/>
    <b v="0"/>
    <b v="0"/>
  </r>
  <r>
    <n v="5164420"/>
    <s v="123-007-112-011"/>
    <s v="Business Analyst"/>
    <x v="3"/>
    <d v="2022-04-15T00:00:00"/>
    <s v="Michael Robinson"/>
    <d v="2022-05-11T00:00:00"/>
    <x v="254"/>
    <s v="promo"/>
    <x v="0"/>
    <b v="0"/>
    <b v="0"/>
    <b v="0"/>
    <b v="0"/>
    <b v="1"/>
    <b v="0"/>
  </r>
  <r>
    <n v="2081661"/>
    <s v="123-008-107-002"/>
    <s v="Sales Associate"/>
    <x v="4"/>
    <d v="2023-04-18T00:00:00"/>
    <s v="Linda Williams"/>
    <d v="2023-04-20T00:00:00"/>
    <x v="52"/>
    <s v="new to org"/>
    <x v="0"/>
    <b v="0"/>
    <b v="0"/>
    <b v="0"/>
    <b v="0"/>
    <b v="0"/>
    <b v="1"/>
  </r>
  <r>
    <n v="7626978"/>
    <s v="123-001-116-001"/>
    <s v="Content Writer"/>
    <x v="9"/>
    <d v="2022-07-11T00:00:00"/>
    <s v="Daniel Wilson"/>
    <d v="2022-07-20T00:00:00"/>
    <x v="255"/>
    <s v="promo"/>
    <x v="0"/>
    <b v="0"/>
    <b v="0"/>
    <b v="0"/>
    <b v="0"/>
    <b v="1"/>
    <b v="0"/>
  </r>
  <r>
    <n v="7626978"/>
    <s v="123-001-116-002"/>
    <s v="Content Writer"/>
    <x v="9"/>
    <d v="2022-09-09T00:00:00"/>
    <s v="Robert Flores"/>
    <d v="2022-09-30T00:00:00"/>
    <x v="196"/>
    <s v="promo"/>
    <x v="0"/>
    <b v="0"/>
    <b v="0"/>
    <b v="0"/>
    <b v="0"/>
    <b v="1"/>
    <b v="0"/>
  </r>
  <r>
    <n v="7626978"/>
    <s v="123-001-116-003"/>
    <s v="Content Writer"/>
    <x v="9"/>
    <d v="2022-10-14T00:00:00"/>
    <s v="Patricia Garcia"/>
    <d v="2022-10-27T00:00:00"/>
    <x v="256"/>
    <m/>
    <x v="0"/>
    <b v="0"/>
    <b v="0"/>
    <b v="0"/>
    <b v="0"/>
    <b v="0"/>
    <b v="0"/>
  </r>
  <r>
    <n v="7626978"/>
    <s v="123-001-116-004"/>
    <s v="Content Writer"/>
    <x v="9"/>
    <d v="2022-01-20T00:00:00"/>
    <s v="Kenneth Phillips"/>
    <d v="2022-02-02T00:00:00"/>
    <x v="1"/>
    <s v="promo"/>
    <x v="0"/>
    <b v="0"/>
    <b v="0"/>
    <b v="0"/>
    <b v="0"/>
    <b v="1"/>
    <b v="0"/>
  </r>
  <r>
    <n v="7024901"/>
    <s v="123-009-116-003"/>
    <s v="Content Writer"/>
    <x v="7"/>
    <d v="2023-04-29T00:00:00"/>
    <s v="Patricia Phillips"/>
    <d v="2023-05-16T00:00:00"/>
    <x v="251"/>
    <s v="new to org"/>
    <x v="0"/>
    <b v="0"/>
    <b v="0"/>
    <b v="0"/>
    <b v="0"/>
    <b v="0"/>
    <b v="1"/>
  </r>
  <r>
    <n v="7024901"/>
    <s v="123-009-116-004"/>
    <s v="Content Writer"/>
    <x v="7"/>
    <d v="2022-09-11T00:00:00"/>
    <s v="David Miller"/>
    <d v="2022-10-03T00:00:00"/>
    <x v="196"/>
    <s v="promo"/>
    <x v="0"/>
    <b v="0"/>
    <b v="0"/>
    <b v="0"/>
    <b v="0"/>
    <b v="1"/>
    <b v="0"/>
  </r>
  <r>
    <n v="5471581"/>
    <s v="123-001-118-002"/>
    <s v="Network Engineer"/>
    <x v="9"/>
    <d v="2022-06-27T00:00:00"/>
    <s v="Daniel Turner"/>
    <d v="2022-07-03T00:00:00"/>
    <x v="257"/>
    <m/>
    <x v="0"/>
    <b v="0"/>
    <b v="0"/>
    <b v="0"/>
    <b v="0"/>
    <b v="0"/>
    <b v="0"/>
  </r>
  <r>
    <n v="5471581"/>
    <s v="123-001-118-003"/>
    <s v="Network Engineer"/>
    <x v="9"/>
    <d v="2022-01-29T00:00:00"/>
    <s v="Ava Nguyen"/>
    <d v="2022-02-21T00:00:00"/>
    <x v="258"/>
    <s v="new to org"/>
    <x v="0"/>
    <b v="0"/>
    <b v="0"/>
    <b v="0"/>
    <b v="0"/>
    <b v="0"/>
    <b v="1"/>
  </r>
  <r>
    <n v="6900247"/>
    <s v="123-010-119-002"/>
    <s v="Account Manager"/>
    <x v="5"/>
    <d v="2023-05-20T00:00:00"/>
    <s v="Mason Phillips"/>
    <d v="2023-06-07T00:00:00"/>
    <x v="259"/>
    <s v="promo"/>
    <x v="0"/>
    <b v="0"/>
    <b v="0"/>
    <b v="0"/>
    <b v="0"/>
    <b v="1"/>
    <b v="0"/>
  </r>
  <r>
    <n v="4671004"/>
    <s v="123-009-101-002"/>
    <s v="Software Engineer"/>
    <x v="7"/>
    <d v="2022-12-15T00:00:00"/>
    <s v="Ethan Rodriguez"/>
    <d v="2023-01-07T00:00:00"/>
    <x v="260"/>
    <s v="promo"/>
    <x v="0"/>
    <b v="0"/>
    <b v="0"/>
    <b v="0"/>
    <b v="0"/>
    <b v="1"/>
    <b v="0"/>
  </r>
  <r>
    <n v="4671004"/>
    <s v="123-009-101-003"/>
    <s v="Software Engineer"/>
    <x v="7"/>
    <d v="2022-06-01T00:00:00"/>
    <s v="Patricia Johnson"/>
    <d v="2022-06-20T00:00:00"/>
    <x v="261"/>
    <s v="new to org"/>
    <x v="0"/>
    <b v="0"/>
    <b v="0"/>
    <b v="0"/>
    <b v="0"/>
    <b v="0"/>
    <b v="1"/>
  </r>
  <r>
    <n v="4671004"/>
    <s v="123-009-101-004"/>
    <s v="Software Engineer"/>
    <x v="7"/>
    <d v="2023-01-09T00:00:00"/>
    <s v="Mia King"/>
    <d v="2023-01-12T00:00:00"/>
    <x v="154"/>
    <s v="transfer"/>
    <x v="0"/>
    <b v="0"/>
    <b v="0"/>
    <b v="0"/>
    <b v="1"/>
    <b v="0"/>
    <b v="0"/>
  </r>
  <r>
    <n v="2695038"/>
    <s v="123-005-111-002"/>
    <s v="Product Manager"/>
    <x v="0"/>
    <d v="2022-06-28T00:00:00"/>
    <s v="Carol Lee"/>
    <d v="2022-07-21T00:00:00"/>
    <x v="262"/>
    <m/>
    <x v="0"/>
    <b v="0"/>
    <b v="0"/>
    <b v="0"/>
    <b v="0"/>
    <b v="0"/>
    <b v="0"/>
  </r>
  <r>
    <n v="2695038"/>
    <s v="123-005-111-003"/>
    <s v="Product Manager"/>
    <x v="0"/>
    <d v="2022-06-29T00:00:00"/>
    <s v="Joseph Nelson"/>
    <d v="2022-07-12T00:00:00"/>
    <x v="263"/>
    <s v="new to org"/>
    <x v="0"/>
    <b v="0"/>
    <b v="0"/>
    <b v="0"/>
    <b v="0"/>
    <b v="0"/>
    <b v="1"/>
  </r>
  <r>
    <n v="5941179"/>
    <s v="123-003-105-001"/>
    <s v="Financial Analyst"/>
    <x v="8"/>
    <d v="2022-02-03T00:00:00"/>
    <s v="Mia Roberts"/>
    <d v="2022-02-09T00:00:00"/>
    <x v="20"/>
    <m/>
    <x v="0"/>
    <b v="0"/>
    <b v="0"/>
    <b v="0"/>
    <b v="0"/>
    <b v="0"/>
    <b v="0"/>
  </r>
  <r>
    <n v="6338793"/>
    <s v="123-010-130-001"/>
    <s v="Biomedical Engineer"/>
    <x v="5"/>
    <d v="2022-05-25T00:00:00"/>
    <s v="Jackson Young"/>
    <d v="2022-06-05T00:00:00"/>
    <x v="201"/>
    <s v="transfer"/>
    <x v="0"/>
    <b v="0"/>
    <b v="0"/>
    <b v="0"/>
    <b v="1"/>
    <b v="0"/>
    <b v="0"/>
  </r>
  <r>
    <n v="2488575"/>
    <s v="123-006-127-008"/>
    <s v="Training Coordinator"/>
    <x v="2"/>
    <d v="2023-03-25T00:00:00"/>
    <s v="Patricia Harris"/>
    <d v="2023-04-18T00:00:00"/>
    <x v="55"/>
    <s v="transfer"/>
    <x v="0"/>
    <b v="0"/>
    <b v="0"/>
    <b v="0"/>
    <b v="1"/>
    <b v="0"/>
    <b v="0"/>
  </r>
  <r>
    <n v="2488575"/>
    <s v="123-006-127-009"/>
    <s v="Training Coordinator"/>
    <x v="2"/>
    <d v="2023-01-23T00:00:00"/>
    <s v="Ashley Cruz"/>
    <d v="2023-02-04T00:00:00"/>
    <x v="89"/>
    <m/>
    <x v="0"/>
    <b v="0"/>
    <b v="0"/>
    <b v="0"/>
    <b v="0"/>
    <b v="0"/>
    <b v="0"/>
  </r>
  <r>
    <n v="4784650"/>
    <s v="123-008-106-005"/>
    <s v="Marketing Coordinator"/>
    <x v="4"/>
    <d v="2022-11-23T00:00:00"/>
    <s v="Charles Johnson"/>
    <d v="2022-12-02T00:00:00"/>
    <x v="264"/>
    <s v="transfer"/>
    <x v="0"/>
    <b v="0"/>
    <b v="0"/>
    <b v="0"/>
    <b v="1"/>
    <b v="0"/>
    <b v="0"/>
  </r>
  <r>
    <n v="2244876"/>
    <s v="123-003-111-002"/>
    <s v="Product Manager"/>
    <x v="8"/>
    <d v="2023-03-18T00:00:00"/>
    <s v="Dorothy Johnson"/>
    <d v="2023-04-08T00:00:00"/>
    <x v="265"/>
    <m/>
    <x v="0"/>
    <b v="0"/>
    <b v="0"/>
    <b v="0"/>
    <b v="0"/>
    <b v="0"/>
    <b v="0"/>
  </r>
  <r>
    <n v="2244876"/>
    <s v="123-003-111-003"/>
    <s v="Product Manager"/>
    <x v="8"/>
    <d v="2022-04-14T00:00:00"/>
    <s v="David Brown"/>
    <d v="2022-04-25T00:00:00"/>
    <x v="151"/>
    <m/>
    <x v="0"/>
    <b v="0"/>
    <b v="0"/>
    <b v="0"/>
    <b v="0"/>
    <b v="0"/>
    <b v="0"/>
  </r>
  <r>
    <n v="2244876"/>
    <s v="123-003-111-004"/>
    <s v="Product Manager"/>
    <x v="8"/>
    <d v="2022-09-29T00:00:00"/>
    <s v="Brian Scott"/>
    <d v="2022-10-21T00:00:00"/>
    <x v="13"/>
    <m/>
    <x v="0"/>
    <b v="0"/>
    <b v="0"/>
    <b v="0"/>
    <b v="0"/>
    <b v="0"/>
    <b v="0"/>
  </r>
  <r>
    <n v="1914439"/>
    <s v="123-001-112-002"/>
    <s v="Business Analyst"/>
    <x v="9"/>
    <d v="2022-01-27T00:00:00"/>
    <s v="Richard Miller"/>
    <d v="2022-02-03T00:00:00"/>
    <x v="266"/>
    <m/>
    <x v="0"/>
    <b v="0"/>
    <b v="0"/>
    <b v="0"/>
    <b v="0"/>
    <b v="0"/>
    <b v="0"/>
  </r>
  <r>
    <n v="1914439"/>
    <s v="123-001-112-003"/>
    <s v="Business Analyst"/>
    <x v="9"/>
    <d v="2022-04-29T00:00:00"/>
    <s v="Donald Diaz"/>
    <d v="2022-05-09T00:00:00"/>
    <x v="267"/>
    <s v="transfer"/>
    <x v="0"/>
    <b v="0"/>
    <b v="0"/>
    <b v="0"/>
    <b v="1"/>
    <b v="0"/>
    <b v="0"/>
  </r>
  <r>
    <n v="1914439"/>
    <s v="123-001-112-004"/>
    <s v="Business Analyst"/>
    <x v="9"/>
    <d v="2022-09-29T00:00:00"/>
    <s v="Lucas Nelson"/>
    <d v="2022-10-02T00:00:00"/>
    <x v="223"/>
    <m/>
    <x v="0"/>
    <b v="0"/>
    <b v="0"/>
    <b v="0"/>
    <b v="0"/>
    <b v="0"/>
    <b v="0"/>
  </r>
  <r>
    <n v="7399588"/>
    <s v="123-003-112-002"/>
    <s v="Business Analyst"/>
    <x v="8"/>
    <d v="2022-10-03T00:00:00"/>
    <s v="Joseph Turner"/>
    <d v="2022-10-22T00:00:00"/>
    <x v="268"/>
    <s v="new to org"/>
    <x v="0"/>
    <b v="0"/>
    <b v="0"/>
    <b v="0"/>
    <b v="0"/>
    <b v="0"/>
    <b v="1"/>
  </r>
  <r>
    <n v="7399588"/>
    <s v="123-003-112-004"/>
    <s v="Business Analyst"/>
    <x v="8"/>
    <d v="2022-08-21T00:00:00"/>
    <s v="Edward Nguyen"/>
    <d v="2022-09-08T00:00:00"/>
    <x v="269"/>
    <m/>
    <x v="0"/>
    <b v="0"/>
    <b v="0"/>
    <b v="0"/>
    <b v="0"/>
    <b v="0"/>
    <b v="0"/>
  </r>
  <r>
    <n v="9984440"/>
    <s v="123-008-122-003"/>
    <s v="DevOps Engineer"/>
    <x v="4"/>
    <d v="2023-02-09T00:00:00"/>
    <s v="Karen Garcia"/>
    <d v="2023-03-10T00:00:00"/>
    <x v="270"/>
    <m/>
    <x v="0"/>
    <b v="0"/>
    <b v="0"/>
    <b v="0"/>
    <b v="0"/>
    <b v="0"/>
    <b v="0"/>
  </r>
  <r>
    <n v="9984440"/>
    <s v="123-008-122-004"/>
    <s v="DevOps Engineer"/>
    <x v="4"/>
    <d v="2023-04-05T00:00:00"/>
    <s v="Linda Carter"/>
    <d v="2023-04-11T00:00:00"/>
    <x v="271"/>
    <s v="promo"/>
    <x v="0"/>
    <b v="0"/>
    <b v="0"/>
    <b v="0"/>
    <b v="0"/>
    <b v="1"/>
    <b v="0"/>
  </r>
  <r>
    <n v="9984440"/>
    <s v="123-008-122-005"/>
    <s v="DevOps Engineer"/>
    <x v="4"/>
    <d v="2023-03-10T00:00:00"/>
    <s v="William Williams"/>
    <d v="2023-03-13T00:00:00"/>
    <x v="272"/>
    <s v="promo"/>
    <x v="0"/>
    <b v="0"/>
    <b v="0"/>
    <b v="0"/>
    <b v="0"/>
    <b v="1"/>
    <b v="0"/>
  </r>
  <r>
    <n v="9984440"/>
    <s v="123-008-122-006"/>
    <s v="DevOps Engineer"/>
    <x v="4"/>
    <d v="2022-09-22T00:00:00"/>
    <s v="Mason Hill"/>
    <d v="2022-10-03T00:00:00"/>
    <x v="273"/>
    <s v="promo"/>
    <x v="0"/>
    <b v="0"/>
    <b v="0"/>
    <b v="0"/>
    <b v="0"/>
    <b v="1"/>
    <b v="0"/>
  </r>
  <r>
    <n v="9984440"/>
    <s v="123-008-122-007"/>
    <s v="DevOps Engineer"/>
    <x v="4"/>
    <d v="2023-02-11T00:00:00"/>
    <s v="Jennifer Harris"/>
    <d v="2023-03-01T00:00:00"/>
    <x v="124"/>
    <s v="transfer"/>
    <x v="0"/>
    <b v="0"/>
    <b v="0"/>
    <b v="0"/>
    <b v="1"/>
    <b v="0"/>
    <b v="0"/>
  </r>
  <r>
    <n v="5633880"/>
    <s v="123-008-117-001"/>
    <s v="Quality Assurance"/>
    <x v="4"/>
    <d v="2022-06-03T00:00:00"/>
    <s v="Linda Clark"/>
    <d v="2022-06-08T00:00:00"/>
    <x v="274"/>
    <m/>
    <x v="0"/>
    <b v="0"/>
    <b v="0"/>
    <b v="0"/>
    <b v="0"/>
    <b v="0"/>
    <b v="0"/>
  </r>
  <r>
    <n v="2681144"/>
    <s v="123-002-130-007"/>
    <s v="Biomedical Engineer"/>
    <x v="6"/>
    <d v="2022-12-19T00:00:00"/>
    <s v="Logan Wright"/>
    <d v="2023-01-17T00:00:00"/>
    <x v="275"/>
    <s v="new to org"/>
    <x v="0"/>
    <b v="0"/>
    <b v="0"/>
    <b v="0"/>
    <b v="0"/>
    <b v="0"/>
    <b v="1"/>
  </r>
  <r>
    <n v="2681144"/>
    <s v="123-002-130-010"/>
    <s v="Biomedical Engineer"/>
    <x v="6"/>
    <d v="2022-02-20T00:00:00"/>
    <s v="Brian Thomas"/>
    <d v="2022-03-16T00:00:00"/>
    <x v="276"/>
    <s v="new to org"/>
    <x v="0"/>
    <b v="0"/>
    <b v="0"/>
    <b v="0"/>
    <b v="0"/>
    <b v="0"/>
    <b v="1"/>
  </r>
  <r>
    <n v="2681144"/>
    <s v="123-002-130-011"/>
    <s v="Biomedical Engineer"/>
    <x v="6"/>
    <d v="2022-11-07T00:00:00"/>
    <s v="Mary Perez"/>
    <d v="2022-11-17T00:00:00"/>
    <x v="117"/>
    <s v="new to org"/>
    <x v="0"/>
    <b v="0"/>
    <b v="0"/>
    <b v="0"/>
    <b v="0"/>
    <b v="0"/>
    <b v="1"/>
  </r>
  <r>
    <n v="9248001"/>
    <s v="123-002-128-004"/>
    <s v="Payroll Specialist"/>
    <x v="6"/>
    <d v="2022-08-05T00:00:00"/>
    <s v="Richard Lewis"/>
    <d v="2022-09-04T00:00:00"/>
    <x v="2"/>
    <s v="transfer"/>
    <x v="0"/>
    <b v="0"/>
    <b v="0"/>
    <b v="0"/>
    <b v="1"/>
    <b v="0"/>
    <b v="0"/>
  </r>
  <r>
    <n v="7831185"/>
    <s v="123-008-124-001"/>
    <s v="Compliance Officer"/>
    <x v="4"/>
    <d v="2022-06-12T00:00:00"/>
    <s v="Steven Gomez"/>
    <d v="2022-06-15T00:00:00"/>
    <x v="277"/>
    <s v="transfer"/>
    <x v="0"/>
    <b v="0"/>
    <b v="0"/>
    <b v="0"/>
    <b v="1"/>
    <b v="0"/>
    <b v="0"/>
  </r>
  <r>
    <n v="7831185"/>
    <s v="123-008-124-002"/>
    <s v="Compliance Officer"/>
    <x v="4"/>
    <d v="2023-06-21T00:00:00"/>
    <s v="William Roberts"/>
    <d v="2023-07-20T00:00:00"/>
    <x v="278"/>
    <m/>
    <x v="0"/>
    <b v="0"/>
    <b v="0"/>
    <b v="0"/>
    <b v="0"/>
    <b v="0"/>
    <b v="0"/>
  </r>
  <r>
    <n v="7831185"/>
    <s v="123-008-124-005"/>
    <s v="Compliance Officer"/>
    <x v="4"/>
    <d v="2023-04-21T00:00:00"/>
    <s v="Sarah White"/>
    <d v="2023-05-08T00:00:00"/>
    <x v="279"/>
    <s v="promo"/>
    <x v="0"/>
    <b v="0"/>
    <b v="0"/>
    <b v="0"/>
    <b v="0"/>
    <b v="1"/>
    <b v="0"/>
  </r>
  <r>
    <n v="3078241"/>
    <s v="123-001-122-002"/>
    <s v="DevOps Engineer"/>
    <x v="9"/>
    <d v="2022-09-22T00:00:00"/>
    <s v="Daniel Hernandez"/>
    <d v="2022-10-16T00:00:00"/>
    <x v="264"/>
    <s v="new to org"/>
    <x v="0"/>
    <b v="0"/>
    <b v="0"/>
    <b v="0"/>
    <b v="0"/>
    <b v="0"/>
    <b v="1"/>
  </r>
  <r>
    <n v="2516524"/>
    <s v="123-001-110-004"/>
    <s v="Legal Advisor"/>
    <x v="9"/>
    <d v="2022-08-19T00:00:00"/>
    <s v="Mia Anderson"/>
    <d v="2022-09-10T00:00:00"/>
    <x v="280"/>
    <s v="promo"/>
    <x v="0"/>
    <b v="0"/>
    <b v="0"/>
    <b v="0"/>
    <b v="0"/>
    <b v="1"/>
    <b v="0"/>
  </r>
  <r>
    <n v="2516524"/>
    <s v="123-001-110-006"/>
    <s v="Legal Advisor"/>
    <x v="9"/>
    <d v="2022-05-16T00:00:00"/>
    <s v="Donald Collins"/>
    <d v="2022-06-06T00:00:00"/>
    <x v="281"/>
    <s v="transfer"/>
    <x v="0"/>
    <b v="0"/>
    <b v="0"/>
    <b v="0"/>
    <b v="1"/>
    <b v="0"/>
    <b v="0"/>
  </r>
  <r>
    <n v="5234408"/>
    <s v="123-005-120-001"/>
    <s v="Executive Assistant"/>
    <x v="0"/>
    <d v="2023-04-16T00:00:00"/>
    <s v="Mia Thompson"/>
    <d v="2023-04-25T00:00:00"/>
    <x v="68"/>
    <m/>
    <x v="0"/>
    <b v="0"/>
    <b v="0"/>
    <b v="0"/>
    <b v="0"/>
    <b v="0"/>
    <b v="0"/>
  </r>
  <r>
    <n v="5234408"/>
    <s v="123-005-120-002"/>
    <s v="Executive Assistant"/>
    <x v="0"/>
    <d v="2022-01-08T00:00:00"/>
    <s v="Donna Miller"/>
    <d v="2022-01-25T00:00:00"/>
    <x v="282"/>
    <m/>
    <x v="0"/>
    <b v="0"/>
    <b v="0"/>
    <b v="0"/>
    <b v="0"/>
    <b v="0"/>
    <b v="0"/>
  </r>
  <r>
    <n v="5234408"/>
    <s v="123-005-120-003"/>
    <s v="Executive Assistant"/>
    <x v="0"/>
    <d v="2022-10-17T00:00:00"/>
    <s v="Emily Adams"/>
    <d v="2022-10-27T00:00:00"/>
    <x v="27"/>
    <s v="new to org"/>
    <x v="0"/>
    <b v="0"/>
    <b v="0"/>
    <b v="0"/>
    <b v="0"/>
    <b v="0"/>
    <b v="1"/>
  </r>
  <r>
    <n v="2813693"/>
    <s v="123-002-116-001"/>
    <s v="Content Writer"/>
    <x v="6"/>
    <d v="2022-09-25T00:00:00"/>
    <s v="Logan Moore"/>
    <d v="2022-10-16T00:00:00"/>
    <x v="273"/>
    <s v="new to org"/>
    <x v="0"/>
    <b v="0"/>
    <b v="0"/>
    <b v="0"/>
    <b v="0"/>
    <b v="0"/>
    <b v="1"/>
  </r>
  <r>
    <n v="2813693"/>
    <s v="123-002-116-002"/>
    <s v="Content Writer"/>
    <x v="6"/>
    <d v="2023-06-14T00:00:00"/>
    <s v="Richard Martinez"/>
    <d v="2023-07-09T00:00:00"/>
    <x v="283"/>
    <s v="new to org"/>
    <x v="0"/>
    <b v="0"/>
    <b v="0"/>
    <b v="0"/>
    <b v="0"/>
    <b v="0"/>
    <b v="1"/>
  </r>
  <r>
    <n v="2813693"/>
    <s v="123-002-116-003"/>
    <s v="Content Writer"/>
    <x v="6"/>
    <d v="2022-05-24T00:00:00"/>
    <s v="Kevin Lee"/>
    <d v="2022-06-17T00:00:00"/>
    <x v="284"/>
    <m/>
    <x v="0"/>
    <b v="0"/>
    <b v="0"/>
    <b v="0"/>
    <b v="0"/>
    <b v="0"/>
    <b v="0"/>
  </r>
  <r>
    <n v="9344531"/>
    <s v="123-005-110-006"/>
    <s v="Legal Advisor"/>
    <x v="0"/>
    <d v="2022-07-14T00:00:00"/>
    <s v="Donna Rivera"/>
    <d v="2022-07-25T00:00:00"/>
    <x v="105"/>
    <s v="transfer"/>
    <x v="0"/>
    <b v="0"/>
    <b v="0"/>
    <b v="0"/>
    <b v="1"/>
    <b v="0"/>
    <b v="0"/>
  </r>
  <r>
    <n v="9344531"/>
    <s v="123-005-110-007"/>
    <s v="Legal Advisor"/>
    <x v="0"/>
    <d v="2023-01-03T00:00:00"/>
    <s v="Ava Nelson"/>
    <d v="2023-01-20T00:00:00"/>
    <x v="285"/>
    <m/>
    <x v="0"/>
    <b v="0"/>
    <b v="0"/>
    <b v="0"/>
    <b v="0"/>
    <b v="0"/>
    <b v="0"/>
  </r>
  <r>
    <n v="9344531"/>
    <s v="123-005-110-008"/>
    <s v="Legal Advisor"/>
    <x v="0"/>
    <d v="2023-04-28T00:00:00"/>
    <s v="Charles Miller"/>
    <d v="2023-05-03T00:00:00"/>
    <x v="286"/>
    <s v="promo"/>
    <x v="0"/>
    <b v="0"/>
    <b v="0"/>
    <b v="0"/>
    <b v="0"/>
    <b v="1"/>
    <b v="0"/>
  </r>
  <r>
    <n v="6630978"/>
    <s v="123-002-121-002"/>
    <s v="UX Designer"/>
    <x v="6"/>
    <d v="2022-10-29T00:00:00"/>
    <s v="Lisa Taylor"/>
    <d v="2022-11-13T00:00:00"/>
    <x v="287"/>
    <s v="new to org"/>
    <x v="0"/>
    <b v="0"/>
    <b v="0"/>
    <b v="0"/>
    <b v="0"/>
    <b v="0"/>
    <b v="1"/>
  </r>
  <r>
    <n v="2976045"/>
    <s v="123-001-116-005"/>
    <s v="Content Writer"/>
    <x v="9"/>
    <d v="2022-07-19T00:00:00"/>
    <s v="Donald Cruz"/>
    <d v="2022-08-05T00:00:00"/>
    <x v="232"/>
    <s v="transfer"/>
    <x v="0"/>
    <b v="0"/>
    <b v="0"/>
    <b v="0"/>
    <b v="1"/>
    <b v="0"/>
    <b v="0"/>
  </r>
  <r>
    <n v="2976045"/>
    <s v="123-001-116-006"/>
    <s v="Content Writer"/>
    <x v="9"/>
    <d v="2023-02-28T00:00:00"/>
    <s v="Kimberly Martin"/>
    <d v="2023-03-02T00:00:00"/>
    <x v="234"/>
    <m/>
    <x v="0"/>
    <b v="0"/>
    <b v="0"/>
    <b v="0"/>
    <b v="0"/>
    <b v="0"/>
    <b v="0"/>
  </r>
  <r>
    <n v="2976045"/>
    <s v="123-001-116-007"/>
    <s v="Content Writer"/>
    <x v="9"/>
    <d v="2023-02-24T00:00:00"/>
    <s v="Richard Perez"/>
    <d v="2023-03-15T00:00:00"/>
    <x v="48"/>
    <s v="promo"/>
    <x v="0"/>
    <b v="0"/>
    <b v="0"/>
    <b v="0"/>
    <b v="0"/>
    <b v="1"/>
    <b v="0"/>
  </r>
  <r>
    <n v="2976045"/>
    <s v="123-001-116-008"/>
    <s v="Content Writer"/>
    <x v="9"/>
    <d v="2022-07-04T00:00:00"/>
    <s v="Elizabeth Lee"/>
    <d v="2022-07-29T00:00:00"/>
    <x v="77"/>
    <m/>
    <x v="0"/>
    <b v="0"/>
    <b v="0"/>
    <b v="0"/>
    <b v="0"/>
    <b v="0"/>
    <b v="0"/>
  </r>
  <r>
    <n v="2976045"/>
    <s v="123-001-116-009"/>
    <s v="Content Writer"/>
    <x v="9"/>
    <d v="2022-03-01T00:00:00"/>
    <s v="Christopher Green"/>
    <d v="2022-03-02T00:00:00"/>
    <x v="288"/>
    <s v="promo"/>
    <x v="0"/>
    <b v="0"/>
    <b v="0"/>
    <b v="0"/>
    <b v="0"/>
    <b v="1"/>
    <b v="0"/>
  </r>
  <r>
    <n v="5589036"/>
    <s v="123-003-107-005"/>
    <s v="Sales Associate"/>
    <x v="8"/>
    <d v="2022-04-01T00:00:00"/>
    <s v="Sophia Carter"/>
    <d v="2022-04-06T00:00:00"/>
    <x v="289"/>
    <m/>
    <x v="0"/>
    <b v="0"/>
    <b v="0"/>
    <b v="0"/>
    <b v="0"/>
    <b v="0"/>
    <b v="0"/>
  </r>
  <r>
    <n v="5589036"/>
    <s v="123-003-107-006"/>
    <s v="Sales Associate"/>
    <x v="8"/>
    <d v="2023-05-04T00:00:00"/>
    <s v="Betty Ramirez"/>
    <d v="2023-05-17T00:00:00"/>
    <x v="157"/>
    <m/>
    <x v="0"/>
    <b v="0"/>
    <b v="0"/>
    <b v="0"/>
    <b v="0"/>
    <b v="0"/>
    <b v="0"/>
  </r>
  <r>
    <n v="5589036"/>
    <s v="123-003-107-008"/>
    <s v="Sales Associate"/>
    <x v="8"/>
    <d v="2022-01-05T00:00:00"/>
    <s v="Mary Baker"/>
    <d v="2022-01-26T00:00:00"/>
    <x v="290"/>
    <s v="promo"/>
    <x v="0"/>
    <b v="0"/>
    <b v="0"/>
    <b v="0"/>
    <b v="0"/>
    <b v="1"/>
    <b v="0"/>
  </r>
  <r>
    <n v="3163099"/>
    <s v="123-007-104-006"/>
    <s v="HR Specialist"/>
    <x v="3"/>
    <d v="2022-02-16T00:00:00"/>
    <s v="John Evans"/>
    <d v="2022-02-26T00:00:00"/>
    <x v="210"/>
    <s v="promo"/>
    <x v="0"/>
    <b v="0"/>
    <b v="0"/>
    <b v="0"/>
    <b v="0"/>
    <b v="1"/>
    <b v="0"/>
  </r>
  <r>
    <n v="3163099"/>
    <s v="123-007-104-007"/>
    <s v="HR Specialist"/>
    <x v="3"/>
    <d v="2022-05-18T00:00:00"/>
    <s v="Margaret Cruz"/>
    <d v="2022-05-29T00:00:00"/>
    <x v="291"/>
    <s v="new to org"/>
    <x v="0"/>
    <b v="0"/>
    <b v="0"/>
    <b v="0"/>
    <b v="0"/>
    <b v="0"/>
    <b v="1"/>
  </r>
  <r>
    <n v="3163099"/>
    <s v="123-007-104-008"/>
    <s v="HR Specialist"/>
    <x v="3"/>
    <d v="2023-02-18T00:00:00"/>
    <s v="David Collins"/>
    <d v="2023-02-19T00:00:00"/>
    <x v="19"/>
    <s v="promo"/>
    <x v="0"/>
    <b v="0"/>
    <b v="0"/>
    <b v="0"/>
    <b v="0"/>
    <b v="1"/>
    <b v="0"/>
  </r>
  <r>
    <n v="3163099"/>
    <s v="123-007-104-010"/>
    <s v="HR Specialist"/>
    <x v="3"/>
    <d v="2022-02-08T00:00:00"/>
    <s v="Lisa Rivera"/>
    <d v="2022-02-21T00:00:00"/>
    <x v="292"/>
    <s v="transfer"/>
    <x v="0"/>
    <b v="0"/>
    <b v="0"/>
    <b v="0"/>
    <b v="1"/>
    <b v="0"/>
    <b v="0"/>
  </r>
  <r>
    <n v="5291430"/>
    <s v="123-009-125-005"/>
    <s v="Security Analyst"/>
    <x v="7"/>
    <d v="2022-01-21T00:00:00"/>
    <s v="Carol Turner"/>
    <d v="2022-01-23T00:00:00"/>
    <x v="282"/>
    <s v="transfer"/>
    <x v="0"/>
    <b v="0"/>
    <b v="0"/>
    <b v="0"/>
    <b v="1"/>
    <b v="0"/>
    <b v="0"/>
  </r>
  <r>
    <n v="5291430"/>
    <s v="123-009-125-008"/>
    <s v="Security Analyst"/>
    <x v="7"/>
    <d v="2022-04-14T00:00:00"/>
    <s v="Karen Clark"/>
    <d v="2022-05-06T00:00:00"/>
    <x v="293"/>
    <s v="transfer"/>
    <x v="0"/>
    <b v="0"/>
    <b v="0"/>
    <b v="0"/>
    <b v="1"/>
    <b v="0"/>
    <b v="0"/>
  </r>
  <r>
    <n v="4351238"/>
    <s v="123-005-125-007"/>
    <s v="Security Analyst"/>
    <x v="0"/>
    <d v="2022-10-30T00:00:00"/>
    <s v="Dorothy Clark"/>
    <d v="2022-11-05T00:00:00"/>
    <x v="294"/>
    <s v="new to org"/>
    <x v="0"/>
    <b v="0"/>
    <b v="0"/>
    <b v="0"/>
    <b v="0"/>
    <b v="0"/>
    <b v="1"/>
  </r>
  <r>
    <n v="4351238"/>
    <s v="123-005-125-008"/>
    <s v="Security Analyst"/>
    <x v="0"/>
    <d v="2022-12-05T00:00:00"/>
    <s v="Brian Walker"/>
    <d v="2022-12-13T00:00:00"/>
    <x v="75"/>
    <s v="promo"/>
    <x v="0"/>
    <b v="0"/>
    <b v="0"/>
    <b v="0"/>
    <b v="0"/>
    <b v="1"/>
    <b v="0"/>
  </r>
  <r>
    <n v="4351238"/>
    <s v="123-005-125-010"/>
    <s v="Security Analyst"/>
    <x v="0"/>
    <d v="2023-06-08T00:00:00"/>
    <s v="Elizabeth Garcia"/>
    <d v="2023-06-11T00:00:00"/>
    <x v="62"/>
    <m/>
    <x v="0"/>
    <b v="0"/>
    <b v="0"/>
    <b v="0"/>
    <b v="0"/>
    <b v="0"/>
    <b v="0"/>
  </r>
  <r>
    <n v="4351238"/>
    <s v="123-005-125-011"/>
    <s v="Security Analyst"/>
    <x v="0"/>
    <d v="2023-04-13T00:00:00"/>
    <s v="Carol Anderson"/>
    <d v="2023-04-23T00:00:00"/>
    <x v="57"/>
    <s v="new to org"/>
    <x v="0"/>
    <b v="0"/>
    <b v="0"/>
    <b v="0"/>
    <b v="0"/>
    <b v="0"/>
    <b v="1"/>
  </r>
  <r>
    <n v="8789281"/>
    <s v="123-002-102-001"/>
    <s v="Data Scientist"/>
    <x v="6"/>
    <d v="2022-11-17T00:00:00"/>
    <s v="Lisa Phillips"/>
    <d v="2022-12-01T00:00:00"/>
    <x v="295"/>
    <s v="new to org"/>
    <x v="0"/>
    <b v="0"/>
    <b v="0"/>
    <b v="0"/>
    <b v="0"/>
    <b v="0"/>
    <b v="1"/>
  </r>
  <r>
    <n v="3321873"/>
    <s v="123-003-122-008"/>
    <s v="DevOps Engineer"/>
    <x v="8"/>
    <d v="2022-07-07T00:00:00"/>
    <s v="Isabella Perez"/>
    <d v="2022-07-11T00:00:00"/>
    <x v="296"/>
    <s v="new to org"/>
    <x v="0"/>
    <b v="0"/>
    <b v="0"/>
    <b v="0"/>
    <b v="0"/>
    <b v="0"/>
    <b v="1"/>
  </r>
  <r>
    <n v="3321873"/>
    <s v="123-003-122-009"/>
    <s v="DevOps Engineer"/>
    <x v="8"/>
    <d v="2023-01-30T00:00:00"/>
    <s v="Sarah Turner"/>
    <d v="2023-02-22T00:00:00"/>
    <x v="15"/>
    <m/>
    <x v="0"/>
    <b v="0"/>
    <b v="0"/>
    <b v="0"/>
    <b v="0"/>
    <b v="0"/>
    <b v="0"/>
  </r>
  <r>
    <n v="8351152"/>
    <s v="123-010-106-001"/>
    <s v="Marketing Coordinator"/>
    <x v="5"/>
    <d v="2022-05-14T00:00:00"/>
    <s v="Logan Baker"/>
    <d v="2022-05-30T00:00:00"/>
    <x v="127"/>
    <s v="transfer"/>
    <x v="0"/>
    <b v="0"/>
    <b v="0"/>
    <b v="0"/>
    <b v="1"/>
    <b v="0"/>
    <b v="0"/>
  </r>
  <r>
    <n v="8351152"/>
    <s v="123-010-106-002"/>
    <s v="Marketing Coordinator"/>
    <x v="5"/>
    <d v="2022-03-06T00:00:00"/>
    <s v="Mark Williams"/>
    <d v="2022-03-15T00:00:00"/>
    <x v="297"/>
    <m/>
    <x v="0"/>
    <b v="0"/>
    <b v="0"/>
    <b v="0"/>
    <b v="0"/>
    <b v="0"/>
    <b v="0"/>
  </r>
  <r>
    <n v="8351152"/>
    <s v="123-010-106-003"/>
    <s v="Marketing Coordinator"/>
    <x v="5"/>
    <d v="2022-12-13T00:00:00"/>
    <s v="Kevin Parker"/>
    <d v="2022-12-30T00:00:00"/>
    <x v="298"/>
    <s v="promo"/>
    <x v="0"/>
    <b v="0"/>
    <b v="0"/>
    <b v="0"/>
    <b v="0"/>
    <b v="1"/>
    <b v="0"/>
  </r>
  <r>
    <n v="8351152"/>
    <s v="123-010-106-004"/>
    <s v="Marketing Coordinator"/>
    <x v="5"/>
    <d v="2022-09-12T00:00:00"/>
    <s v="Margaret Nelson"/>
    <d v="2022-09-28T00:00:00"/>
    <x v="299"/>
    <s v="transfer"/>
    <x v="0"/>
    <b v="0"/>
    <b v="0"/>
    <b v="0"/>
    <b v="1"/>
    <b v="0"/>
    <b v="0"/>
  </r>
  <r>
    <n v="7457158"/>
    <s v="123-009-105-002"/>
    <s v="Financial Analyst"/>
    <x v="7"/>
    <d v="2023-04-26T00:00:00"/>
    <s v="Steven Diaz"/>
    <d v="2023-05-24T00:00:00"/>
    <x v="300"/>
    <s v="promo"/>
    <x v="0"/>
    <b v="0"/>
    <b v="0"/>
    <b v="0"/>
    <b v="0"/>
    <b v="1"/>
    <b v="0"/>
  </r>
  <r>
    <n v="7457158"/>
    <s v="123-009-105-003"/>
    <s v="Financial Analyst"/>
    <x v="7"/>
    <d v="2022-11-25T00:00:00"/>
    <s v="Edward Young"/>
    <d v="2022-12-03T00:00:00"/>
    <x v="84"/>
    <s v="transfer"/>
    <x v="0"/>
    <b v="0"/>
    <b v="0"/>
    <b v="0"/>
    <b v="1"/>
    <b v="0"/>
    <b v="0"/>
  </r>
  <r>
    <n v="7457158"/>
    <s v="123-009-105-004"/>
    <s v="Financial Analyst"/>
    <x v="7"/>
    <d v="2023-01-23T00:00:00"/>
    <s v="Steven Anderson"/>
    <d v="2023-02-05T00:00:00"/>
    <x v="66"/>
    <s v="transfer"/>
    <x v="0"/>
    <b v="0"/>
    <b v="0"/>
    <b v="0"/>
    <b v="1"/>
    <b v="0"/>
    <b v="0"/>
  </r>
  <r>
    <n v="2991570"/>
    <s v="123-001-116-010"/>
    <s v="Content Writer"/>
    <x v="9"/>
    <d v="2022-01-01T00:00:00"/>
    <s v="Emily Scott"/>
    <d v="2022-01-28T00:00:00"/>
    <x v="301"/>
    <s v="transfer"/>
    <x v="0"/>
    <b v="0"/>
    <b v="0"/>
    <b v="0"/>
    <b v="1"/>
    <b v="0"/>
    <b v="0"/>
  </r>
  <r>
    <n v="6110305"/>
    <s v="123-009-129-002"/>
    <s v="Supply Chain Manager"/>
    <x v="7"/>
    <d v="2022-12-06T00:00:00"/>
    <s v="Mia Robinson"/>
    <d v="2022-12-24T00:00:00"/>
    <x v="135"/>
    <s v="promo"/>
    <x v="0"/>
    <b v="0"/>
    <b v="0"/>
    <b v="0"/>
    <b v="0"/>
    <b v="1"/>
    <b v="0"/>
  </r>
  <r>
    <n v="6110305"/>
    <s v="123-009-129-003"/>
    <s v="Supply Chain Manager"/>
    <x v="7"/>
    <d v="2023-01-08T00:00:00"/>
    <s v="Dorothy Nelson"/>
    <d v="2023-01-31T00:00:00"/>
    <x v="302"/>
    <m/>
    <x v="0"/>
    <b v="0"/>
    <b v="0"/>
    <b v="0"/>
    <b v="0"/>
    <b v="0"/>
    <b v="0"/>
  </r>
  <r>
    <n v="6110305"/>
    <s v="123-009-129-005"/>
    <s v="Supply Chain Manager"/>
    <x v="7"/>
    <d v="2023-01-18T00:00:00"/>
    <s v="Emily King"/>
    <d v="2023-02-10T00:00:00"/>
    <x v="303"/>
    <s v="new to org"/>
    <x v="0"/>
    <b v="0"/>
    <b v="0"/>
    <b v="0"/>
    <b v="0"/>
    <b v="0"/>
    <b v="1"/>
  </r>
  <r>
    <n v="1768029"/>
    <s v="123-003-129-003"/>
    <s v="Supply Chain Manager"/>
    <x v="8"/>
    <d v="2022-07-15T00:00:00"/>
    <s v="Sandra Evans"/>
    <d v="2022-08-07T00:00:00"/>
    <x v="304"/>
    <s v="promo"/>
    <x v="0"/>
    <b v="0"/>
    <b v="0"/>
    <b v="0"/>
    <b v="0"/>
    <b v="1"/>
    <b v="0"/>
  </r>
  <r>
    <n v="8558212"/>
    <s v="123-010-115-012"/>
    <s v="Graphic Designer"/>
    <x v="5"/>
    <d v="2022-07-01T00:00:00"/>
    <s v="Jackson Allen"/>
    <d v="2022-07-24T00:00:00"/>
    <x v="131"/>
    <m/>
    <x v="0"/>
    <b v="0"/>
    <b v="0"/>
    <b v="0"/>
    <b v="0"/>
    <b v="0"/>
    <b v="0"/>
  </r>
  <r>
    <n v="8558212"/>
    <s v="123-010-115-014"/>
    <s v="Graphic Designer"/>
    <x v="5"/>
    <d v="2023-01-29T00:00:00"/>
    <s v="Steven Cruz"/>
    <d v="2023-02-12T00:00:00"/>
    <x v="305"/>
    <s v="new to org"/>
    <x v="0"/>
    <b v="0"/>
    <b v="0"/>
    <b v="0"/>
    <b v="0"/>
    <b v="0"/>
    <b v="1"/>
  </r>
  <r>
    <n v="7675150"/>
    <s v="123-005-111-004"/>
    <s v="Product Manager"/>
    <x v="0"/>
    <d v="2023-06-09T00:00:00"/>
    <s v="Anthony Hill"/>
    <d v="2023-06-19T00:00:00"/>
    <x v="306"/>
    <s v="promo"/>
    <x v="0"/>
    <b v="0"/>
    <b v="0"/>
    <b v="0"/>
    <b v="0"/>
    <b v="1"/>
    <b v="0"/>
  </r>
  <r>
    <n v="7675150"/>
    <s v="123-005-111-005"/>
    <s v="Product Manager"/>
    <x v="0"/>
    <d v="2022-08-11T00:00:00"/>
    <s v="Dorothy Mitchell"/>
    <d v="2022-08-18T00:00:00"/>
    <x v="307"/>
    <s v="new to org"/>
    <x v="0"/>
    <b v="0"/>
    <b v="0"/>
    <b v="0"/>
    <b v="0"/>
    <b v="0"/>
    <b v="1"/>
  </r>
  <r>
    <n v="7675150"/>
    <s v="123-005-111-006"/>
    <s v="Product Manager"/>
    <x v="0"/>
    <d v="2022-05-16T00:00:00"/>
    <s v="Amanda Thompson"/>
    <d v="2022-06-08T00:00:00"/>
    <x v="308"/>
    <s v="new to org"/>
    <x v="0"/>
    <b v="0"/>
    <b v="0"/>
    <b v="0"/>
    <b v="0"/>
    <b v="0"/>
    <b v="1"/>
  </r>
  <r>
    <n v="7675150"/>
    <s v="123-005-111-007"/>
    <s v="Product Manager"/>
    <x v="0"/>
    <d v="2022-11-27T00:00:00"/>
    <s v="Steven Wright"/>
    <d v="2022-12-20T00:00:00"/>
    <x v="228"/>
    <s v="promo"/>
    <x v="0"/>
    <b v="0"/>
    <b v="0"/>
    <b v="0"/>
    <b v="0"/>
    <b v="1"/>
    <b v="0"/>
  </r>
  <r>
    <n v="6909569"/>
    <s v="123-008-118-001"/>
    <s v="Network Engineer"/>
    <x v="4"/>
    <d v="2022-10-20T00:00:00"/>
    <s v="Amanda Mitchell"/>
    <d v="2022-11-18T00:00:00"/>
    <x v="309"/>
    <m/>
    <x v="0"/>
    <b v="0"/>
    <b v="0"/>
    <b v="0"/>
    <b v="0"/>
    <b v="0"/>
    <b v="0"/>
  </r>
  <r>
    <n v="6909569"/>
    <s v="123-008-118-002"/>
    <s v="Network Engineer"/>
    <x v="4"/>
    <d v="2022-01-26T00:00:00"/>
    <s v="Kimberly Miller"/>
    <d v="2022-02-08T00:00:00"/>
    <x v="310"/>
    <s v="transfer"/>
    <x v="0"/>
    <b v="0"/>
    <b v="0"/>
    <b v="0"/>
    <b v="1"/>
    <b v="0"/>
    <b v="0"/>
  </r>
  <r>
    <n v="6909569"/>
    <s v="123-008-118-004"/>
    <s v="Network Engineer"/>
    <x v="4"/>
    <d v="2022-05-30T00:00:00"/>
    <s v="Amanda Taylor"/>
    <d v="2022-06-26T00:00:00"/>
    <x v="195"/>
    <s v="new to org"/>
    <x v="0"/>
    <b v="0"/>
    <b v="0"/>
    <b v="0"/>
    <b v="0"/>
    <b v="0"/>
    <b v="1"/>
  </r>
  <r>
    <n v="6909569"/>
    <s v="123-008-118-005"/>
    <s v="Network Engineer"/>
    <x v="4"/>
    <d v="2022-02-03T00:00:00"/>
    <s v="Susan Carter"/>
    <d v="2022-02-15T00:00:00"/>
    <x v="24"/>
    <s v="new to org"/>
    <x v="0"/>
    <b v="0"/>
    <b v="0"/>
    <b v="0"/>
    <b v="0"/>
    <b v="0"/>
    <b v="1"/>
  </r>
  <r>
    <n v="8593275"/>
    <s v="123-010-104-001"/>
    <s v="HR Specialist"/>
    <x v="5"/>
    <d v="2022-10-22T00:00:00"/>
    <s v="Jessica Allen"/>
    <d v="2022-11-14T00:00:00"/>
    <x v="311"/>
    <m/>
    <x v="0"/>
    <b v="0"/>
    <b v="0"/>
    <b v="0"/>
    <b v="0"/>
    <b v="0"/>
    <b v="0"/>
  </r>
  <r>
    <n v="8593275"/>
    <s v="123-010-104-003"/>
    <s v="HR Specialist"/>
    <x v="5"/>
    <d v="2022-01-14T00:00:00"/>
    <s v="Emily Brown"/>
    <d v="2022-02-07T00:00:00"/>
    <x v="312"/>
    <s v="new to org"/>
    <x v="0"/>
    <b v="0"/>
    <b v="0"/>
    <b v="0"/>
    <b v="0"/>
    <b v="0"/>
    <b v="1"/>
  </r>
  <r>
    <n v="4296204"/>
    <s v="123-004-125-008"/>
    <s v="Security Analyst"/>
    <x v="1"/>
    <d v="2023-06-11T00:00:00"/>
    <s v="Barbara Lopez"/>
    <d v="2023-06-15T00:00:00"/>
    <x v="313"/>
    <s v="transfer"/>
    <x v="0"/>
    <b v="0"/>
    <b v="0"/>
    <b v="0"/>
    <b v="1"/>
    <b v="0"/>
    <b v="0"/>
  </r>
  <r>
    <n v="6052539"/>
    <s v="123-010-116-005"/>
    <s v="Content Writer"/>
    <x v="5"/>
    <d v="2023-02-18T00:00:00"/>
    <s v="Paul Wright"/>
    <d v="2023-02-21T00:00:00"/>
    <x v="314"/>
    <m/>
    <x v="0"/>
    <b v="0"/>
    <b v="0"/>
    <b v="0"/>
    <b v="0"/>
    <b v="0"/>
    <b v="0"/>
  </r>
  <r>
    <n v="6052539"/>
    <s v="123-010-116-007"/>
    <s v="Content Writer"/>
    <x v="5"/>
    <d v="2023-06-28T00:00:00"/>
    <s v="Charlotte Carter"/>
    <d v="2023-07-14T00:00:00"/>
    <x v="315"/>
    <s v="promo"/>
    <x v="0"/>
    <b v="0"/>
    <b v="0"/>
    <b v="0"/>
    <b v="0"/>
    <b v="1"/>
    <b v="0"/>
  </r>
  <r>
    <n v="1147701"/>
    <s v="123-006-104-002"/>
    <s v="HR Specialist"/>
    <x v="2"/>
    <d v="2022-04-27T00:00:00"/>
    <s v="Matthew Collins"/>
    <d v="2022-05-10T00:00:00"/>
    <x v="82"/>
    <s v="new to org"/>
    <x v="0"/>
    <b v="0"/>
    <b v="0"/>
    <b v="0"/>
    <b v="0"/>
    <b v="0"/>
    <b v="1"/>
  </r>
  <r>
    <n v="1147701"/>
    <s v="123-006-104-003"/>
    <s v="HR Specialist"/>
    <x v="2"/>
    <d v="2023-06-14T00:00:00"/>
    <s v="Mary Collins"/>
    <d v="2023-07-11T00:00:00"/>
    <x v="316"/>
    <s v="new to org"/>
    <x v="0"/>
    <b v="0"/>
    <b v="0"/>
    <b v="0"/>
    <b v="0"/>
    <b v="0"/>
    <b v="1"/>
  </r>
  <r>
    <n v="1147701"/>
    <s v="123-006-104-004"/>
    <s v="HR Specialist"/>
    <x v="2"/>
    <d v="2022-10-31T00:00:00"/>
    <s v="Ashley Williams"/>
    <d v="2022-11-29T00:00:00"/>
    <x v="39"/>
    <m/>
    <x v="0"/>
    <b v="0"/>
    <b v="0"/>
    <b v="0"/>
    <b v="0"/>
    <b v="0"/>
    <b v="0"/>
  </r>
  <r>
    <n v="4229821"/>
    <s v="123-009-111-005"/>
    <s v="Product Manager"/>
    <x v="7"/>
    <d v="2022-01-08T00:00:00"/>
    <s v="Deborah Wright"/>
    <d v="2022-01-29T00:00:00"/>
    <x v="301"/>
    <s v="promo"/>
    <x v="0"/>
    <b v="0"/>
    <b v="0"/>
    <b v="0"/>
    <b v="0"/>
    <b v="1"/>
    <b v="0"/>
  </r>
  <r>
    <n v="4536326"/>
    <s v="123-004-122-005"/>
    <s v="DevOps Engineer"/>
    <x v="1"/>
    <d v="2023-03-22T00:00:00"/>
    <s v="Paul Turner"/>
    <d v="2023-04-12T00:00:00"/>
    <x v="168"/>
    <s v="promo"/>
    <x v="0"/>
    <b v="0"/>
    <b v="0"/>
    <b v="0"/>
    <b v="0"/>
    <b v="1"/>
    <b v="0"/>
  </r>
  <r>
    <n v="4536326"/>
    <s v="123-004-122-006"/>
    <s v="DevOps Engineer"/>
    <x v="1"/>
    <d v="2022-12-06T00:00:00"/>
    <s v="Mary Robinson"/>
    <d v="2022-12-08T00:00:00"/>
    <x v="75"/>
    <s v="promo"/>
    <x v="0"/>
    <b v="0"/>
    <b v="0"/>
    <b v="0"/>
    <b v="0"/>
    <b v="1"/>
    <b v="0"/>
  </r>
  <r>
    <n v="7510106"/>
    <s v="123-007-115-003"/>
    <s v="Graphic Designer"/>
    <x v="3"/>
    <d v="2022-02-16T00:00:00"/>
    <s v="Edward Mitchell"/>
    <d v="2022-03-11T00:00:00"/>
    <x v="317"/>
    <s v="transfer"/>
    <x v="0"/>
    <b v="0"/>
    <b v="0"/>
    <b v="0"/>
    <b v="1"/>
    <b v="0"/>
    <b v="0"/>
  </r>
  <r>
    <n v="2451316"/>
    <s v="123-008-110-007"/>
    <s v="Legal Advisor"/>
    <x v="4"/>
    <d v="2022-10-30T00:00:00"/>
    <s v="Melissa Sanchez"/>
    <d v="2022-11-20T00:00:00"/>
    <x v="108"/>
    <s v="promo"/>
    <x v="0"/>
    <b v="0"/>
    <b v="0"/>
    <b v="0"/>
    <b v="0"/>
    <b v="1"/>
    <b v="0"/>
  </r>
  <r>
    <n v="2451316"/>
    <s v="123-008-110-009"/>
    <s v="Legal Advisor"/>
    <x v="4"/>
    <d v="2022-01-06T00:00:00"/>
    <s v="Linda Williams"/>
    <d v="2022-01-25T00:00:00"/>
    <x v="318"/>
    <s v="promo"/>
    <x v="0"/>
    <b v="0"/>
    <b v="0"/>
    <b v="0"/>
    <b v="0"/>
    <b v="1"/>
    <b v="0"/>
  </r>
  <r>
    <n v="9173698"/>
    <s v="123-006-111-001"/>
    <s v="Product Manager"/>
    <x v="2"/>
    <d v="2022-03-13T00:00:00"/>
    <s v="Michael Jackson"/>
    <d v="2022-04-11T00:00:00"/>
    <x v="220"/>
    <s v="promo"/>
    <x v="0"/>
    <b v="0"/>
    <b v="0"/>
    <b v="0"/>
    <b v="0"/>
    <b v="1"/>
    <b v="0"/>
  </r>
  <r>
    <n v="9173698"/>
    <s v="123-006-111-002"/>
    <s v="Product Manager"/>
    <x v="2"/>
    <d v="2022-11-10T00:00:00"/>
    <s v="Nancy Flores"/>
    <d v="2022-12-03T00:00:00"/>
    <x v="39"/>
    <m/>
    <x v="0"/>
    <b v="0"/>
    <b v="0"/>
    <b v="0"/>
    <b v="0"/>
    <b v="0"/>
    <b v="0"/>
  </r>
  <r>
    <n v="3556763"/>
    <s v="123-010-119-004"/>
    <s v="Account Manager"/>
    <x v="5"/>
    <d v="2022-11-17T00:00:00"/>
    <s v="David Smith"/>
    <d v="2022-11-25T00:00:00"/>
    <x v="29"/>
    <m/>
    <x v="0"/>
    <b v="0"/>
    <b v="0"/>
    <b v="0"/>
    <b v="0"/>
    <b v="0"/>
    <b v="0"/>
  </r>
  <r>
    <n v="3556763"/>
    <s v="123-010-119-006"/>
    <s v="Account Manager"/>
    <x v="5"/>
    <d v="2022-12-06T00:00:00"/>
    <s v="Amanda Campbell"/>
    <d v="2023-01-04T00:00:00"/>
    <x v="238"/>
    <s v="promo"/>
    <x v="0"/>
    <b v="0"/>
    <b v="0"/>
    <b v="0"/>
    <b v="0"/>
    <b v="1"/>
    <b v="0"/>
  </r>
  <r>
    <n v="8765307"/>
    <s v="123-006-115-009"/>
    <s v="Graphic Designer"/>
    <x v="2"/>
    <d v="2022-03-25T00:00:00"/>
    <s v="Barbara Adams"/>
    <d v="2022-04-21T00:00:00"/>
    <x v="151"/>
    <s v="transfer"/>
    <x v="0"/>
    <b v="0"/>
    <b v="0"/>
    <b v="0"/>
    <b v="1"/>
    <b v="0"/>
    <b v="0"/>
  </r>
  <r>
    <n v="8765307"/>
    <s v="123-006-115-010"/>
    <s v="Graphic Designer"/>
    <x v="2"/>
    <d v="2022-07-21T00:00:00"/>
    <s v="Lucas Wright"/>
    <d v="2022-07-30T00:00:00"/>
    <x v="104"/>
    <s v="promo"/>
    <x v="0"/>
    <b v="0"/>
    <b v="0"/>
    <b v="0"/>
    <b v="0"/>
    <b v="1"/>
    <b v="0"/>
  </r>
  <r>
    <n v="8765307"/>
    <s v="123-006-115-011"/>
    <s v="Graphic Designer"/>
    <x v="2"/>
    <d v="2022-01-20T00:00:00"/>
    <s v="George Jones"/>
    <d v="2022-02-17T00:00:00"/>
    <x v="9"/>
    <s v="transfer"/>
    <x v="0"/>
    <b v="0"/>
    <b v="0"/>
    <b v="0"/>
    <b v="1"/>
    <b v="0"/>
    <b v="0"/>
  </r>
  <r>
    <n v="1523352"/>
    <s v="123-010-127-001"/>
    <s v="Training Coordinator"/>
    <x v="5"/>
    <d v="2022-09-24T00:00:00"/>
    <s v="Ava Williams"/>
    <d v="2022-10-12T00:00:00"/>
    <x v="264"/>
    <s v="promo"/>
    <x v="0"/>
    <b v="0"/>
    <b v="0"/>
    <b v="0"/>
    <b v="0"/>
    <b v="1"/>
    <b v="0"/>
  </r>
  <r>
    <n v="1523352"/>
    <s v="123-010-127-002"/>
    <s v="Training Coordinator"/>
    <x v="5"/>
    <d v="2022-06-02T00:00:00"/>
    <s v="Carol Roberts"/>
    <d v="2022-06-14T00:00:00"/>
    <x v="8"/>
    <m/>
    <x v="0"/>
    <b v="0"/>
    <b v="0"/>
    <b v="0"/>
    <b v="0"/>
    <b v="0"/>
    <b v="0"/>
  </r>
  <r>
    <n v="1523352"/>
    <s v="123-010-127-004"/>
    <s v="Training Coordinator"/>
    <x v="5"/>
    <d v="2023-05-30T00:00:00"/>
    <s v="Betty White"/>
    <d v="2023-05-31T00:00:00"/>
    <x v="319"/>
    <s v="transfer"/>
    <x v="0"/>
    <b v="0"/>
    <b v="0"/>
    <b v="0"/>
    <b v="1"/>
    <b v="0"/>
    <b v="0"/>
  </r>
  <r>
    <n v="9625782"/>
    <s v="123-008-105-002"/>
    <s v="Financial Analyst"/>
    <x v="4"/>
    <d v="2023-05-15T00:00:00"/>
    <s v="Robert Anderson"/>
    <d v="2023-05-23T00:00:00"/>
    <x v="320"/>
    <s v="new to org"/>
    <x v="0"/>
    <b v="0"/>
    <b v="0"/>
    <b v="0"/>
    <b v="0"/>
    <b v="0"/>
    <b v="1"/>
  </r>
  <r>
    <n v="5435176"/>
    <s v="123-004-112-005"/>
    <s v="Business Analyst"/>
    <x v="1"/>
    <d v="2023-04-11T00:00:00"/>
    <s v="Matthew Walker"/>
    <d v="2023-05-10T00:00:00"/>
    <x v="321"/>
    <s v="new to org"/>
    <x v="0"/>
    <b v="0"/>
    <b v="0"/>
    <b v="0"/>
    <b v="0"/>
    <b v="0"/>
    <b v="1"/>
  </r>
  <r>
    <n v="1669489"/>
    <s v="123-006-121-001"/>
    <s v="UX Designer"/>
    <x v="2"/>
    <d v="2022-09-27T00:00:00"/>
    <s v="Mason Mitchell"/>
    <d v="2022-10-16T00:00:00"/>
    <x v="322"/>
    <s v="new to org"/>
    <x v="0"/>
    <b v="0"/>
    <b v="0"/>
    <b v="0"/>
    <b v="0"/>
    <b v="0"/>
    <b v="1"/>
  </r>
  <r>
    <n v="3916715"/>
    <s v="123-007-113-007"/>
    <s v="Operations Supervisor"/>
    <x v="3"/>
    <d v="2023-01-21T00:00:00"/>
    <s v="Kimberly Taylor"/>
    <d v="2023-02-20T00:00:00"/>
    <x v="323"/>
    <s v="transfer"/>
    <x v="0"/>
    <b v="0"/>
    <b v="0"/>
    <b v="0"/>
    <b v="1"/>
    <b v="0"/>
    <b v="0"/>
  </r>
  <r>
    <n v="3916715"/>
    <s v="123-007-113-008"/>
    <s v="Operations Supervisor"/>
    <x v="3"/>
    <d v="2022-12-20T00:00:00"/>
    <s v="Isabella Parker"/>
    <d v="2023-01-05T00:00:00"/>
    <x v="324"/>
    <s v="new to org"/>
    <x v="0"/>
    <b v="0"/>
    <b v="0"/>
    <b v="0"/>
    <b v="0"/>
    <b v="0"/>
    <b v="1"/>
  </r>
  <r>
    <n v="3916715"/>
    <s v="123-007-113-009"/>
    <s v="Operations Supervisor"/>
    <x v="3"/>
    <d v="2022-05-23T00:00:00"/>
    <s v="Steven Cruz"/>
    <d v="2022-06-07T00:00:00"/>
    <x v="281"/>
    <s v="transfer"/>
    <x v="0"/>
    <b v="0"/>
    <b v="0"/>
    <b v="0"/>
    <b v="1"/>
    <b v="0"/>
    <b v="0"/>
  </r>
  <r>
    <n v="4858604"/>
    <s v="123-009-103-006"/>
    <s v="Project Manager"/>
    <x v="7"/>
    <d v="2023-03-01T00:00:00"/>
    <s v="Kevin Anderson"/>
    <d v="2023-03-27T00:00:00"/>
    <x v="15"/>
    <s v="transfer"/>
    <x v="0"/>
    <b v="0"/>
    <b v="0"/>
    <b v="0"/>
    <b v="1"/>
    <b v="0"/>
    <b v="0"/>
  </r>
  <r>
    <n v="4858604"/>
    <s v="123-009-103-007"/>
    <s v="Project Manager"/>
    <x v="7"/>
    <d v="2023-05-06T00:00:00"/>
    <s v="Amanda Walker"/>
    <d v="2023-05-13T00:00:00"/>
    <x v="286"/>
    <m/>
    <x v="0"/>
    <b v="0"/>
    <b v="0"/>
    <b v="0"/>
    <b v="0"/>
    <b v="0"/>
    <b v="0"/>
  </r>
  <r>
    <n v="4680314"/>
    <s v="123-007-127-002"/>
    <s v="Training Coordinator"/>
    <x v="3"/>
    <d v="2022-12-17T00:00:00"/>
    <s v="David Campbell"/>
    <d v="2023-01-16T00:00:00"/>
    <x v="325"/>
    <s v="new to org"/>
    <x v="0"/>
    <b v="0"/>
    <b v="0"/>
    <b v="0"/>
    <b v="0"/>
    <b v="0"/>
    <b v="1"/>
  </r>
  <r>
    <n v="4680314"/>
    <s v="123-007-127-003"/>
    <s v="Training Coordinator"/>
    <x v="3"/>
    <d v="2023-01-30T00:00:00"/>
    <s v="Joseph Harris"/>
    <d v="2023-02-04T00:00:00"/>
    <x v="174"/>
    <s v="transfer"/>
    <x v="0"/>
    <b v="0"/>
    <b v="0"/>
    <b v="0"/>
    <b v="1"/>
    <b v="0"/>
    <b v="0"/>
  </r>
  <r>
    <n v="4680314"/>
    <s v="123-007-127-005"/>
    <s v="Training Coordinator"/>
    <x v="3"/>
    <d v="2022-07-01T00:00:00"/>
    <s v="Joshua Miller"/>
    <d v="2022-07-17T00:00:00"/>
    <x v="16"/>
    <s v="promo"/>
    <x v="0"/>
    <b v="0"/>
    <b v="0"/>
    <b v="0"/>
    <b v="0"/>
    <b v="1"/>
    <b v="0"/>
  </r>
  <r>
    <n v="1654924"/>
    <s v="123-009-129-008"/>
    <s v="Supply Chain Manager"/>
    <x v="7"/>
    <d v="2022-05-14T00:00:00"/>
    <s v="Donald Nelson"/>
    <d v="2022-06-12T00:00:00"/>
    <x v="44"/>
    <s v="transfer"/>
    <x v="0"/>
    <b v="0"/>
    <b v="0"/>
    <b v="0"/>
    <b v="1"/>
    <b v="0"/>
    <b v="0"/>
  </r>
  <r>
    <n v="1654924"/>
    <s v="123-009-129-009"/>
    <s v="Supply Chain Manager"/>
    <x v="7"/>
    <d v="2023-03-18T00:00:00"/>
    <s v="Lucas Roberts"/>
    <d v="2023-04-04T00:00:00"/>
    <x v="52"/>
    <s v="transfer"/>
    <x v="0"/>
    <b v="0"/>
    <b v="0"/>
    <b v="0"/>
    <b v="1"/>
    <b v="0"/>
    <b v="0"/>
  </r>
  <r>
    <n v="1654924"/>
    <s v="123-009-129-010"/>
    <s v="Supply Chain Manager"/>
    <x v="7"/>
    <d v="2023-03-16T00:00:00"/>
    <s v="Brian King"/>
    <d v="2023-03-24T00:00:00"/>
    <x v="55"/>
    <s v="transfer"/>
    <x v="0"/>
    <b v="0"/>
    <b v="0"/>
    <b v="0"/>
    <b v="1"/>
    <b v="0"/>
    <b v="0"/>
  </r>
  <r>
    <n v="1654924"/>
    <s v="123-009-129-011"/>
    <s v="Supply Chain Manager"/>
    <x v="7"/>
    <d v="2022-04-11T00:00:00"/>
    <s v="Daniel Nguyen"/>
    <d v="2022-04-25T00:00:00"/>
    <x v="326"/>
    <m/>
    <x v="0"/>
    <b v="0"/>
    <b v="0"/>
    <b v="0"/>
    <b v="0"/>
    <b v="0"/>
    <b v="0"/>
  </r>
  <r>
    <n v="7855954"/>
    <s v="123-004-109-001"/>
    <s v="IT Technician"/>
    <x v="1"/>
    <d v="2022-05-01T00:00:00"/>
    <s v="Andrew King"/>
    <d v="2022-05-18T00:00:00"/>
    <x v="143"/>
    <s v="transfer"/>
    <x v="0"/>
    <b v="0"/>
    <b v="0"/>
    <b v="0"/>
    <b v="1"/>
    <b v="0"/>
    <b v="0"/>
  </r>
  <r>
    <n v="7291957"/>
    <s v="123-004-121-001"/>
    <s v="UX Designer"/>
    <x v="1"/>
    <d v="2022-09-17T00:00:00"/>
    <s v="Elizabeth Ramirez"/>
    <d v="2022-09-26T00:00:00"/>
    <x v="322"/>
    <s v="transfer"/>
    <x v="0"/>
    <b v="0"/>
    <b v="0"/>
    <b v="0"/>
    <b v="1"/>
    <b v="0"/>
    <b v="0"/>
  </r>
  <r>
    <n v="7291957"/>
    <s v="123-004-121-002"/>
    <s v="UX Designer"/>
    <x v="1"/>
    <d v="2023-02-11T00:00:00"/>
    <s v="Michelle Moore"/>
    <d v="2023-03-08T00:00:00"/>
    <x v="124"/>
    <s v="new to org"/>
    <x v="0"/>
    <b v="0"/>
    <b v="0"/>
    <b v="0"/>
    <b v="0"/>
    <b v="0"/>
    <b v="1"/>
  </r>
  <r>
    <n v="7291957"/>
    <s v="123-004-121-003"/>
    <s v="UX Designer"/>
    <x v="1"/>
    <d v="2023-05-11T00:00:00"/>
    <s v="Barbara White"/>
    <d v="2023-05-20T00:00:00"/>
    <x v="152"/>
    <m/>
    <x v="0"/>
    <b v="0"/>
    <b v="0"/>
    <b v="0"/>
    <b v="0"/>
    <b v="0"/>
    <b v="0"/>
  </r>
  <r>
    <n v="6777340"/>
    <s v="123-007-125-014"/>
    <s v="Security Analyst"/>
    <x v="3"/>
    <d v="2023-04-03T00:00:00"/>
    <s v="Melissa Anderson"/>
    <d v="2023-04-29T00:00:00"/>
    <x v="327"/>
    <s v="transfer"/>
    <x v="0"/>
    <b v="0"/>
    <b v="0"/>
    <b v="0"/>
    <b v="1"/>
    <b v="0"/>
    <b v="0"/>
  </r>
  <r>
    <n v="6777340"/>
    <s v="123-007-125-015"/>
    <s v="Security Analyst"/>
    <x v="3"/>
    <d v="2023-02-15T00:00:00"/>
    <s v="Susan Allen"/>
    <d v="2023-03-13T00:00:00"/>
    <x v="158"/>
    <s v="transfer"/>
    <x v="0"/>
    <b v="0"/>
    <b v="0"/>
    <b v="0"/>
    <b v="1"/>
    <b v="0"/>
    <b v="0"/>
  </r>
  <r>
    <n v="1873301"/>
    <s v="123-007-106-001"/>
    <s v="Marketing Coordinator"/>
    <x v="3"/>
    <d v="2023-03-22T00:00:00"/>
    <s v="Donald Hill"/>
    <d v="2023-03-25T00:00:00"/>
    <x v="66"/>
    <s v="promo"/>
    <x v="0"/>
    <b v="0"/>
    <b v="0"/>
    <b v="0"/>
    <b v="0"/>
    <b v="1"/>
    <b v="0"/>
  </r>
  <r>
    <n v="5413951"/>
    <s v="123-006-108-001"/>
    <s v="Customer Support Rep"/>
    <x v="2"/>
    <d v="2023-06-18T00:00:00"/>
    <s v="Jackson Sanchez"/>
    <d v="2023-06-28T00:00:00"/>
    <x v="328"/>
    <m/>
    <x v="0"/>
    <b v="0"/>
    <b v="0"/>
    <b v="0"/>
    <b v="0"/>
    <b v="0"/>
    <b v="0"/>
  </r>
  <r>
    <n v="1964069"/>
    <s v="123-003-125-004"/>
    <s v="Security Analyst"/>
    <x v="8"/>
    <d v="2023-06-15T00:00:00"/>
    <s v="Mia Nelson"/>
    <d v="2023-06-25T00:00:00"/>
    <x v="180"/>
    <s v="promo"/>
    <x v="0"/>
    <b v="0"/>
    <b v="0"/>
    <b v="0"/>
    <b v="0"/>
    <b v="1"/>
    <b v="0"/>
  </r>
  <r>
    <n v="7701385"/>
    <s v="123-007-112-014"/>
    <s v="Business Analyst"/>
    <x v="3"/>
    <d v="2022-03-12T00:00:00"/>
    <s v="Melissa Rivera"/>
    <d v="2022-04-11T00:00:00"/>
    <x v="249"/>
    <s v="transfer"/>
    <x v="0"/>
    <b v="0"/>
    <b v="0"/>
    <b v="0"/>
    <b v="1"/>
    <b v="0"/>
    <b v="0"/>
  </r>
  <r>
    <n v="7701385"/>
    <s v="123-007-112-015"/>
    <s v="Business Analyst"/>
    <x v="3"/>
    <d v="2022-10-11T00:00:00"/>
    <s v="Daniel Evans"/>
    <d v="2022-10-19T00:00:00"/>
    <x v="329"/>
    <s v="new to org"/>
    <x v="0"/>
    <b v="0"/>
    <b v="0"/>
    <b v="0"/>
    <b v="0"/>
    <b v="0"/>
    <b v="1"/>
  </r>
  <r>
    <n v="7701385"/>
    <s v="123-007-112-016"/>
    <s v="Business Analyst"/>
    <x v="3"/>
    <d v="2022-01-05T00:00:00"/>
    <s v="Jackson Sanchez"/>
    <d v="2022-01-14T00:00:00"/>
    <x v="330"/>
    <m/>
    <x v="0"/>
    <b v="0"/>
    <b v="0"/>
    <b v="0"/>
    <b v="0"/>
    <b v="0"/>
    <b v="0"/>
  </r>
  <r>
    <n v="7701385"/>
    <s v="123-007-112-017"/>
    <s v="Business Analyst"/>
    <x v="3"/>
    <d v="2023-05-31T00:00:00"/>
    <s v="Emily Jones"/>
    <d v="2023-06-10T00:00:00"/>
    <x v="331"/>
    <s v="transfer"/>
    <x v="0"/>
    <b v="0"/>
    <b v="0"/>
    <b v="0"/>
    <b v="1"/>
    <b v="0"/>
    <b v="0"/>
  </r>
  <r>
    <n v="2963085"/>
    <s v="123-009-126-001"/>
    <s v="Recruiter"/>
    <x v="7"/>
    <d v="2023-01-22T00:00:00"/>
    <s v="Brian Lewis"/>
    <d v="2023-02-10T00:00:00"/>
    <x v="332"/>
    <s v="new to org"/>
    <x v="0"/>
    <b v="0"/>
    <b v="0"/>
    <b v="0"/>
    <b v="0"/>
    <b v="0"/>
    <b v="1"/>
  </r>
  <r>
    <n v="2963085"/>
    <s v="123-009-126-002"/>
    <s v="Recruiter"/>
    <x v="7"/>
    <d v="2023-04-17T00:00:00"/>
    <s v="Deborah Robinson"/>
    <d v="2023-05-16T00:00:00"/>
    <x v="333"/>
    <s v="new to org"/>
    <x v="0"/>
    <b v="0"/>
    <b v="0"/>
    <b v="0"/>
    <b v="0"/>
    <b v="0"/>
    <b v="1"/>
  </r>
  <r>
    <n v="2963085"/>
    <s v="123-009-126-003"/>
    <s v="Recruiter"/>
    <x v="7"/>
    <d v="2022-03-11T00:00:00"/>
    <s v="Linda Taylor"/>
    <d v="2022-03-24T00:00:00"/>
    <x v="326"/>
    <m/>
    <x v="0"/>
    <b v="0"/>
    <b v="0"/>
    <b v="0"/>
    <b v="0"/>
    <b v="0"/>
    <b v="0"/>
  </r>
  <r>
    <n v="4697401"/>
    <s v="123-004-122-009"/>
    <s v="DevOps Engineer"/>
    <x v="1"/>
    <d v="2022-01-10T00:00:00"/>
    <s v="Kimberly Wright"/>
    <d v="2022-02-02T00:00:00"/>
    <x v="334"/>
    <s v="new to org"/>
    <x v="0"/>
    <b v="0"/>
    <b v="0"/>
    <b v="0"/>
    <b v="0"/>
    <b v="0"/>
    <b v="1"/>
  </r>
  <r>
    <n v="4697401"/>
    <s v="123-004-122-011"/>
    <s v="DevOps Engineer"/>
    <x v="1"/>
    <d v="2022-07-02T00:00:00"/>
    <s v="John Scott"/>
    <d v="2022-07-18T00:00:00"/>
    <x v="335"/>
    <s v="new to org"/>
    <x v="0"/>
    <b v="0"/>
    <b v="0"/>
    <b v="0"/>
    <b v="0"/>
    <b v="0"/>
    <b v="1"/>
  </r>
  <r>
    <n v="6931382"/>
    <s v="123-010-107-002"/>
    <s v="Sales Associate"/>
    <x v="5"/>
    <d v="2022-09-29T00:00:00"/>
    <s v="Melissa Thomas"/>
    <d v="2022-10-06T00:00:00"/>
    <x v="299"/>
    <s v="promo"/>
    <x v="0"/>
    <b v="0"/>
    <b v="0"/>
    <b v="0"/>
    <b v="0"/>
    <b v="1"/>
    <b v="0"/>
  </r>
  <r>
    <n v="2789949"/>
    <s v="123-002-104-001"/>
    <s v="HR Specialist"/>
    <x v="6"/>
    <d v="2023-01-16T00:00:00"/>
    <s v="Mia Walker"/>
    <d v="2023-02-05T00:00:00"/>
    <x v="336"/>
    <s v="transfer"/>
    <x v="0"/>
    <b v="0"/>
    <b v="0"/>
    <b v="0"/>
    <b v="1"/>
    <b v="0"/>
    <b v="0"/>
  </r>
  <r>
    <n v="2789949"/>
    <s v="123-002-104-002"/>
    <s v="HR Specialist"/>
    <x v="6"/>
    <d v="2023-06-08T00:00:00"/>
    <s v="Ashley Lopez"/>
    <d v="2023-06-17T00:00:00"/>
    <x v="319"/>
    <s v="new to org"/>
    <x v="0"/>
    <b v="0"/>
    <b v="0"/>
    <b v="0"/>
    <b v="0"/>
    <b v="0"/>
    <b v="1"/>
  </r>
  <r>
    <n v="2789949"/>
    <s v="123-002-104-004"/>
    <s v="HR Specialist"/>
    <x v="6"/>
    <d v="2022-02-03T00:00:00"/>
    <s v="Charlotte Wright"/>
    <d v="2022-02-20T00:00:00"/>
    <x v="337"/>
    <m/>
    <x v="0"/>
    <b v="0"/>
    <b v="0"/>
    <b v="0"/>
    <b v="0"/>
    <b v="0"/>
    <b v="0"/>
  </r>
  <r>
    <n v="7605473"/>
    <s v="123-003-128-001"/>
    <s v="Payroll Specialist"/>
    <x v="8"/>
    <d v="2022-01-09T00:00:00"/>
    <s v="Christopher Hall"/>
    <d v="2022-01-10T00:00:00"/>
    <x v="338"/>
    <m/>
    <x v="0"/>
    <b v="0"/>
    <b v="0"/>
    <b v="0"/>
    <b v="0"/>
    <b v="0"/>
    <b v="0"/>
  </r>
  <r>
    <n v="7605473"/>
    <s v="123-003-128-003"/>
    <s v="Payroll Specialist"/>
    <x v="8"/>
    <d v="2022-09-27T00:00:00"/>
    <s v="Barbara Scott"/>
    <d v="2022-10-05T00:00:00"/>
    <x v="339"/>
    <s v="new to org"/>
    <x v="0"/>
    <b v="0"/>
    <b v="0"/>
    <b v="0"/>
    <b v="0"/>
    <b v="0"/>
    <b v="1"/>
  </r>
  <r>
    <n v="7605473"/>
    <s v="123-003-128-004"/>
    <s v="Payroll Specialist"/>
    <x v="8"/>
    <d v="2023-05-26T00:00:00"/>
    <s v="Lisa Lopez"/>
    <d v="2023-06-09T00:00:00"/>
    <x v="333"/>
    <s v="new to org"/>
    <x v="0"/>
    <b v="0"/>
    <b v="0"/>
    <b v="0"/>
    <b v="0"/>
    <b v="0"/>
    <b v="1"/>
  </r>
  <r>
    <n v="8031212"/>
    <s v="123-006-123-001"/>
    <s v="Data Engineer"/>
    <x v="2"/>
    <d v="2022-05-15T00:00:00"/>
    <s v="Mark Lopez"/>
    <d v="2022-06-03T00:00:00"/>
    <x v="340"/>
    <s v="new to org"/>
    <x v="0"/>
    <b v="0"/>
    <b v="0"/>
    <b v="0"/>
    <b v="0"/>
    <b v="0"/>
    <b v="1"/>
  </r>
  <r>
    <n v="3446851"/>
    <s v="123-003-126-004"/>
    <s v="Recruiter"/>
    <x v="8"/>
    <d v="2022-05-18T00:00:00"/>
    <s v="Anthony Young"/>
    <d v="2022-06-16T00:00:00"/>
    <x v="341"/>
    <s v="promo"/>
    <x v="0"/>
    <b v="0"/>
    <b v="0"/>
    <b v="0"/>
    <b v="0"/>
    <b v="1"/>
    <b v="0"/>
  </r>
  <r>
    <n v="3446851"/>
    <s v="123-003-126-005"/>
    <s v="Recruiter"/>
    <x v="8"/>
    <d v="2022-11-04T00:00:00"/>
    <s v="Sophia Young"/>
    <d v="2022-11-13T00:00:00"/>
    <x v="342"/>
    <s v="new to org"/>
    <x v="0"/>
    <b v="0"/>
    <b v="0"/>
    <b v="0"/>
    <b v="0"/>
    <b v="0"/>
    <b v="1"/>
  </r>
  <r>
    <n v="3446851"/>
    <s v="123-003-126-006"/>
    <s v="Recruiter"/>
    <x v="8"/>
    <d v="2022-06-17T00:00:00"/>
    <s v="Betty Miller"/>
    <d v="2022-06-19T00:00:00"/>
    <x v="343"/>
    <s v="transfer"/>
    <x v="0"/>
    <b v="0"/>
    <b v="0"/>
    <b v="0"/>
    <b v="1"/>
    <b v="0"/>
    <b v="0"/>
  </r>
  <r>
    <n v="3446851"/>
    <s v="123-003-126-007"/>
    <s v="Recruiter"/>
    <x v="8"/>
    <d v="2022-04-09T00:00:00"/>
    <s v="Mason Green"/>
    <d v="2022-04-24T00:00:00"/>
    <x v="146"/>
    <m/>
    <x v="0"/>
    <b v="0"/>
    <b v="0"/>
    <b v="0"/>
    <b v="0"/>
    <b v="0"/>
    <b v="0"/>
  </r>
  <r>
    <n v="6614605"/>
    <s v="123-006-109-001"/>
    <s v="IT Technician"/>
    <x v="2"/>
    <d v="2023-02-26T00:00:00"/>
    <s v="Daniel Johnson"/>
    <d v="2023-03-02T00:00:00"/>
    <x v="344"/>
    <s v="new to org"/>
    <x v="0"/>
    <b v="0"/>
    <b v="0"/>
    <b v="0"/>
    <b v="0"/>
    <b v="0"/>
    <b v="1"/>
  </r>
  <r>
    <n v="6614605"/>
    <s v="123-006-109-002"/>
    <s v="IT Technician"/>
    <x v="2"/>
    <d v="2022-06-28T00:00:00"/>
    <s v="Andrew Torres"/>
    <d v="2022-07-23T00:00:00"/>
    <x v="345"/>
    <s v="promo"/>
    <x v="0"/>
    <b v="0"/>
    <b v="0"/>
    <b v="0"/>
    <b v="0"/>
    <b v="1"/>
    <b v="0"/>
  </r>
  <r>
    <n v="6614605"/>
    <s v="123-006-109-003"/>
    <s v="IT Technician"/>
    <x v="2"/>
    <d v="2023-04-03T00:00:00"/>
    <s v="Deborah Mitchell"/>
    <d v="2023-05-02T00:00:00"/>
    <x v="102"/>
    <m/>
    <x v="0"/>
    <b v="0"/>
    <b v="0"/>
    <b v="0"/>
    <b v="0"/>
    <b v="0"/>
    <b v="0"/>
  </r>
  <r>
    <n v="7393310"/>
    <s v="123-005-120-004"/>
    <s v="Executive Assistant"/>
    <x v="0"/>
    <d v="2022-12-12T00:00:00"/>
    <s v="Logan Hernandez"/>
    <d v="2022-12-26T00:00:00"/>
    <x v="154"/>
    <s v="promo"/>
    <x v="0"/>
    <b v="0"/>
    <b v="0"/>
    <b v="0"/>
    <b v="0"/>
    <b v="1"/>
    <b v="0"/>
  </r>
  <r>
    <n v="7393310"/>
    <s v="123-005-120-005"/>
    <s v="Executive Assistant"/>
    <x v="0"/>
    <d v="2022-03-15T00:00:00"/>
    <s v="Mia Collins"/>
    <d v="2022-03-18T00:00:00"/>
    <x v="198"/>
    <m/>
    <x v="0"/>
    <b v="0"/>
    <b v="0"/>
    <b v="0"/>
    <b v="0"/>
    <b v="0"/>
    <b v="0"/>
  </r>
  <r>
    <n v="7393310"/>
    <s v="123-005-120-006"/>
    <s v="Executive Assistant"/>
    <x v="0"/>
    <d v="2022-10-26T00:00:00"/>
    <s v="Christopher Adams"/>
    <d v="2022-11-18T00:00:00"/>
    <x v="346"/>
    <s v="new to org"/>
    <x v="0"/>
    <b v="0"/>
    <b v="0"/>
    <b v="0"/>
    <b v="0"/>
    <b v="0"/>
    <b v="1"/>
  </r>
  <r>
    <n v="7393310"/>
    <s v="123-005-120-007"/>
    <s v="Executive Assistant"/>
    <x v="0"/>
    <d v="2023-04-01T00:00:00"/>
    <s v="Sarah Cruz"/>
    <d v="2023-04-26T00:00:00"/>
    <x v="164"/>
    <m/>
    <x v="0"/>
    <b v="0"/>
    <b v="0"/>
    <b v="0"/>
    <b v="0"/>
    <b v="0"/>
    <b v="0"/>
  </r>
  <r>
    <n v="7092894"/>
    <s v="123-010-124-003"/>
    <s v="Compliance Officer"/>
    <x v="5"/>
    <d v="2022-01-24T00:00:00"/>
    <s v="David Lopez"/>
    <d v="2022-01-29T00:00:00"/>
    <x v="210"/>
    <m/>
    <x v="0"/>
    <b v="0"/>
    <b v="0"/>
    <b v="0"/>
    <b v="0"/>
    <b v="0"/>
    <b v="0"/>
  </r>
  <r>
    <n v="7092894"/>
    <s v="123-010-124-006"/>
    <s v="Compliance Officer"/>
    <x v="5"/>
    <d v="2023-02-11T00:00:00"/>
    <s v="Mary Roberts"/>
    <d v="2023-02-28T00:00:00"/>
    <x v="15"/>
    <s v="transfer"/>
    <x v="0"/>
    <b v="0"/>
    <b v="0"/>
    <b v="0"/>
    <b v="1"/>
    <b v="0"/>
    <b v="0"/>
  </r>
  <r>
    <n v="7092894"/>
    <s v="123-010-124-007"/>
    <s v="Compliance Officer"/>
    <x v="5"/>
    <d v="2022-06-09T00:00:00"/>
    <s v="Thomas Flores"/>
    <d v="2022-06-12T00:00:00"/>
    <x v="247"/>
    <s v="transfer"/>
    <x v="0"/>
    <b v="0"/>
    <b v="0"/>
    <b v="0"/>
    <b v="1"/>
    <b v="0"/>
    <b v="0"/>
  </r>
  <r>
    <n v="7540534"/>
    <s v="123-004-110-001"/>
    <s v="Legal Advisor"/>
    <x v="1"/>
    <d v="2022-05-15T00:00:00"/>
    <s v="Kenneth Rodriguez"/>
    <d v="2022-06-01T00:00:00"/>
    <x v="347"/>
    <m/>
    <x v="0"/>
    <b v="0"/>
    <b v="0"/>
    <b v="0"/>
    <b v="0"/>
    <b v="0"/>
    <b v="0"/>
  </r>
  <r>
    <n v="6455972"/>
    <s v="123-008-128-001"/>
    <s v="Payroll Specialist"/>
    <x v="4"/>
    <d v="2022-05-19T00:00:00"/>
    <s v="Emily Lewis"/>
    <d v="2022-06-11T00:00:00"/>
    <x v="100"/>
    <s v="new to org"/>
    <x v="0"/>
    <b v="0"/>
    <b v="0"/>
    <b v="0"/>
    <b v="0"/>
    <b v="0"/>
    <b v="1"/>
  </r>
  <r>
    <n v="6455972"/>
    <s v="123-008-128-003"/>
    <s v="Payroll Specialist"/>
    <x v="4"/>
    <d v="2023-05-09T00:00:00"/>
    <s v="Ava Thompson"/>
    <d v="2023-05-27T00:00:00"/>
    <x v="248"/>
    <s v="new to org"/>
    <x v="0"/>
    <b v="0"/>
    <b v="0"/>
    <b v="0"/>
    <b v="0"/>
    <b v="0"/>
    <b v="1"/>
  </r>
  <r>
    <n v="6455972"/>
    <s v="123-008-128-004"/>
    <s v="Payroll Specialist"/>
    <x v="4"/>
    <d v="2023-02-27T00:00:00"/>
    <s v="Karen White"/>
    <d v="2023-03-08T00:00:00"/>
    <x v="348"/>
    <m/>
    <x v="0"/>
    <b v="0"/>
    <b v="0"/>
    <b v="0"/>
    <b v="0"/>
    <b v="0"/>
    <b v="0"/>
  </r>
  <r>
    <n v="6093108"/>
    <s v="123-001-101-008"/>
    <s v="Software Engineer"/>
    <x v="9"/>
    <d v="2023-04-26T00:00:00"/>
    <s v="Daniel Jackson"/>
    <d v="2023-05-14T00:00:00"/>
    <x v="55"/>
    <s v="promo"/>
    <x v="0"/>
    <b v="0"/>
    <b v="0"/>
    <b v="0"/>
    <b v="0"/>
    <b v="1"/>
    <b v="0"/>
  </r>
  <r>
    <n v="6093108"/>
    <s v="123-001-101-009"/>
    <s v="Software Engineer"/>
    <x v="9"/>
    <d v="2023-05-04T00:00:00"/>
    <s v="Charlotte Carter"/>
    <d v="2023-05-14T00:00:00"/>
    <x v="55"/>
    <m/>
    <x v="0"/>
    <b v="0"/>
    <b v="0"/>
    <b v="0"/>
    <b v="0"/>
    <b v="0"/>
    <b v="0"/>
  </r>
  <r>
    <n v="6093108"/>
    <s v="123-001-101-010"/>
    <s v="Software Engineer"/>
    <x v="9"/>
    <d v="2022-01-08T00:00:00"/>
    <s v="Joshua Anderson"/>
    <d v="2022-01-26T00:00:00"/>
    <x v="349"/>
    <s v="new to org"/>
    <x v="0"/>
    <b v="0"/>
    <b v="0"/>
    <b v="0"/>
    <b v="0"/>
    <b v="0"/>
    <b v="1"/>
  </r>
  <r>
    <n v="7347794"/>
    <s v="123-005-108-003"/>
    <s v="Customer Support Rep"/>
    <x v="0"/>
    <d v="2022-10-06T00:00:00"/>
    <s v="Kimberly Carter"/>
    <d v="2022-10-16T00:00:00"/>
    <x v="329"/>
    <s v="promo"/>
    <x v="0"/>
    <b v="0"/>
    <b v="0"/>
    <b v="0"/>
    <b v="0"/>
    <b v="1"/>
    <b v="0"/>
  </r>
  <r>
    <n v="9924543"/>
    <s v="123-005-126-003"/>
    <s v="Recruiter"/>
    <x v="0"/>
    <d v="2022-01-20T00:00:00"/>
    <s v="Richard Lee"/>
    <d v="2022-01-25T00:00:00"/>
    <x v="350"/>
    <m/>
    <x v="0"/>
    <b v="0"/>
    <b v="0"/>
    <b v="0"/>
    <b v="0"/>
    <b v="0"/>
    <b v="0"/>
  </r>
  <r>
    <n v="9924543"/>
    <s v="123-005-126-004"/>
    <s v="Recruiter"/>
    <x v="0"/>
    <d v="2022-10-16T00:00:00"/>
    <s v="Barbara Miller"/>
    <d v="2022-10-25T00:00:00"/>
    <x v="172"/>
    <s v="transfer"/>
    <x v="0"/>
    <b v="0"/>
    <b v="0"/>
    <b v="0"/>
    <b v="1"/>
    <b v="0"/>
    <b v="0"/>
  </r>
  <r>
    <n v="4643811"/>
    <s v="123-007-111-001"/>
    <s v="Product Manager"/>
    <x v="3"/>
    <d v="2022-02-02T00:00:00"/>
    <s v="Lisa Robinson"/>
    <d v="2022-02-13T00:00:00"/>
    <x v="349"/>
    <m/>
    <x v="0"/>
    <b v="0"/>
    <b v="0"/>
    <b v="0"/>
    <b v="0"/>
    <b v="0"/>
    <b v="0"/>
  </r>
  <r>
    <n v="4643811"/>
    <s v="123-007-111-002"/>
    <s v="Product Manager"/>
    <x v="3"/>
    <d v="2023-02-06T00:00:00"/>
    <s v="Patricia Moore"/>
    <d v="2023-02-09T00:00:00"/>
    <x v="314"/>
    <s v="promo"/>
    <x v="0"/>
    <b v="0"/>
    <b v="0"/>
    <b v="0"/>
    <b v="0"/>
    <b v="1"/>
    <b v="0"/>
  </r>
  <r>
    <n v="4643811"/>
    <s v="123-007-111-003"/>
    <s v="Product Manager"/>
    <x v="3"/>
    <d v="2022-09-14T00:00:00"/>
    <s v="Lucas Turner"/>
    <d v="2022-10-11T00:00:00"/>
    <x v="256"/>
    <s v="promo"/>
    <x v="0"/>
    <b v="0"/>
    <b v="0"/>
    <b v="0"/>
    <b v="0"/>
    <b v="1"/>
    <b v="0"/>
  </r>
  <r>
    <n v="1211652"/>
    <s v="123-004-104-007"/>
    <s v="HR Specialist"/>
    <x v="1"/>
    <d v="2022-02-04T00:00:00"/>
    <s v="Jessica Mitchell"/>
    <d v="2022-02-11T00:00:00"/>
    <x v="351"/>
    <m/>
    <x v="0"/>
    <b v="0"/>
    <b v="0"/>
    <b v="0"/>
    <b v="0"/>
    <b v="0"/>
    <b v="0"/>
  </r>
  <r>
    <n v="1211652"/>
    <s v="123-004-104-008"/>
    <s v="HR Specialist"/>
    <x v="1"/>
    <d v="2022-08-02T00:00:00"/>
    <s v="Kimberly Nelson"/>
    <d v="2022-08-18T00:00:00"/>
    <x v="269"/>
    <s v="transfer"/>
    <x v="0"/>
    <b v="0"/>
    <b v="0"/>
    <b v="0"/>
    <b v="1"/>
    <b v="0"/>
    <b v="0"/>
  </r>
  <r>
    <n v="1211652"/>
    <s v="123-004-104-009"/>
    <s v="HR Specialist"/>
    <x v="1"/>
    <d v="2022-06-12T00:00:00"/>
    <s v="Jackson Lee"/>
    <d v="2022-07-03T00:00:00"/>
    <x v="352"/>
    <s v="new to org"/>
    <x v="0"/>
    <b v="0"/>
    <b v="0"/>
    <b v="0"/>
    <b v="0"/>
    <b v="0"/>
    <b v="1"/>
  </r>
  <r>
    <n v="5632190"/>
    <s v="123-002-119-001"/>
    <s v="Account Manager"/>
    <x v="6"/>
    <d v="2023-05-02T00:00:00"/>
    <s v="Robert Nguyen"/>
    <d v="2023-05-25T00:00:00"/>
    <x v="353"/>
    <s v="transfer"/>
    <x v="0"/>
    <b v="0"/>
    <b v="0"/>
    <b v="0"/>
    <b v="1"/>
    <b v="0"/>
    <b v="0"/>
  </r>
  <r>
    <n v="5632190"/>
    <s v="123-002-119-003"/>
    <s v="Account Manager"/>
    <x v="6"/>
    <d v="2022-03-03T00:00:00"/>
    <s v="Jackson Carter"/>
    <d v="2022-03-05T00:00:00"/>
    <x v="334"/>
    <s v="new to org"/>
    <x v="0"/>
    <b v="0"/>
    <b v="0"/>
    <b v="0"/>
    <b v="0"/>
    <b v="0"/>
    <b v="1"/>
  </r>
  <r>
    <n v="5632190"/>
    <s v="123-002-119-004"/>
    <s v="Account Manager"/>
    <x v="6"/>
    <d v="2022-08-27T00:00:00"/>
    <s v="William Young"/>
    <d v="2022-09-07T00:00:00"/>
    <x v="354"/>
    <s v="transfer"/>
    <x v="0"/>
    <b v="0"/>
    <b v="0"/>
    <b v="0"/>
    <b v="1"/>
    <b v="0"/>
    <b v="0"/>
  </r>
  <r>
    <n v="1662507"/>
    <s v="123-008-116-003"/>
    <s v="Content Writer"/>
    <x v="4"/>
    <d v="2022-06-08T00:00:00"/>
    <s v="John King"/>
    <d v="2022-06-23T00:00:00"/>
    <x v="355"/>
    <s v="promo"/>
    <x v="0"/>
    <b v="0"/>
    <b v="0"/>
    <b v="0"/>
    <b v="0"/>
    <b v="1"/>
    <b v="0"/>
  </r>
  <r>
    <n v="1662507"/>
    <s v="123-008-116-004"/>
    <s v="Content Writer"/>
    <x v="4"/>
    <d v="2023-06-03T00:00:00"/>
    <s v="Sandra Smith"/>
    <d v="2023-06-16T00:00:00"/>
    <x v="356"/>
    <s v="new to org"/>
    <x v="0"/>
    <b v="0"/>
    <b v="0"/>
    <b v="0"/>
    <b v="0"/>
    <b v="0"/>
    <b v="1"/>
  </r>
  <r>
    <n v="5006173"/>
    <s v="123-002-111-001"/>
    <s v="Product Manager"/>
    <x v="6"/>
    <d v="2023-05-25T00:00:00"/>
    <s v="Kimberly Baker"/>
    <d v="2023-06-19T00:00:00"/>
    <x v="283"/>
    <s v="promo"/>
    <x v="0"/>
    <b v="0"/>
    <b v="0"/>
    <b v="0"/>
    <b v="0"/>
    <b v="1"/>
    <b v="0"/>
  </r>
  <r>
    <n v="5006173"/>
    <s v="123-002-111-003"/>
    <s v="Product Manager"/>
    <x v="6"/>
    <d v="2022-03-10T00:00:00"/>
    <s v="Kimberly Nelson"/>
    <d v="2022-03-12T00:00:00"/>
    <x v="317"/>
    <s v="transfer"/>
    <x v="0"/>
    <b v="0"/>
    <b v="0"/>
    <b v="0"/>
    <b v="1"/>
    <b v="0"/>
    <b v="0"/>
  </r>
  <r>
    <n v="5006173"/>
    <s v="123-002-111-004"/>
    <s v="Product Manager"/>
    <x v="6"/>
    <d v="2022-07-26T00:00:00"/>
    <s v="Logan Williams"/>
    <d v="2022-07-30T00:00:00"/>
    <x v="131"/>
    <s v="promo"/>
    <x v="0"/>
    <b v="0"/>
    <b v="0"/>
    <b v="0"/>
    <b v="0"/>
    <b v="1"/>
    <b v="0"/>
  </r>
  <r>
    <n v="9219319"/>
    <s v="123-010-117-007"/>
    <s v="Quality Assurance"/>
    <x v="5"/>
    <d v="2022-03-23T00:00:00"/>
    <s v="Carol Young"/>
    <d v="2022-04-07T00:00:00"/>
    <x v="357"/>
    <s v="promo"/>
    <x v="0"/>
    <b v="0"/>
    <b v="0"/>
    <b v="0"/>
    <b v="0"/>
    <b v="1"/>
    <b v="0"/>
  </r>
  <r>
    <n v="9219319"/>
    <s v="123-010-117-008"/>
    <s v="Quality Assurance"/>
    <x v="5"/>
    <d v="2023-03-02T00:00:00"/>
    <s v="Emily Mitchell"/>
    <d v="2023-03-29T00:00:00"/>
    <x v="271"/>
    <s v="new to org"/>
    <x v="0"/>
    <b v="0"/>
    <b v="0"/>
    <b v="0"/>
    <b v="0"/>
    <b v="0"/>
    <b v="1"/>
  </r>
  <r>
    <n v="9219319"/>
    <s v="123-010-117-009"/>
    <s v="Quality Assurance"/>
    <x v="5"/>
    <d v="2022-09-30T00:00:00"/>
    <s v="Isabella Flores"/>
    <d v="2022-10-17T00:00:00"/>
    <x v="358"/>
    <s v="transfer"/>
    <x v="0"/>
    <b v="0"/>
    <b v="0"/>
    <b v="0"/>
    <b v="1"/>
    <b v="0"/>
    <b v="0"/>
  </r>
  <r>
    <n v="9219319"/>
    <s v="123-010-117-010"/>
    <s v="Quality Assurance"/>
    <x v="5"/>
    <d v="2023-06-16T00:00:00"/>
    <s v="John Wilson"/>
    <d v="2023-06-20T00:00:00"/>
    <x v="259"/>
    <s v="new to org"/>
    <x v="0"/>
    <b v="0"/>
    <b v="0"/>
    <b v="0"/>
    <b v="0"/>
    <b v="0"/>
    <b v="1"/>
  </r>
  <r>
    <n v="4875838"/>
    <s v="123-007-118-002"/>
    <s v="Network Engineer"/>
    <x v="3"/>
    <d v="2023-01-02T00:00:00"/>
    <s v="Melissa Miller"/>
    <d v="2023-01-24T00:00:00"/>
    <x v="250"/>
    <m/>
    <x v="0"/>
    <b v="0"/>
    <b v="0"/>
    <b v="0"/>
    <b v="0"/>
    <b v="0"/>
    <b v="0"/>
  </r>
  <r>
    <n v="8165129"/>
    <s v="123-002-129-001"/>
    <s v="Supply Chain Manager"/>
    <x v="6"/>
    <d v="2022-06-11T00:00:00"/>
    <s v="Steven Perez"/>
    <d v="2022-06-29T00:00:00"/>
    <x v="255"/>
    <m/>
    <x v="0"/>
    <b v="0"/>
    <b v="0"/>
    <b v="0"/>
    <b v="0"/>
    <b v="0"/>
    <b v="0"/>
  </r>
  <r>
    <n v="8165129"/>
    <s v="123-002-129-002"/>
    <s v="Supply Chain Manager"/>
    <x v="6"/>
    <d v="2022-11-29T00:00:00"/>
    <s v="Lucas Lee"/>
    <d v="2022-12-27T00:00:00"/>
    <x v="114"/>
    <s v="new to org"/>
    <x v="0"/>
    <b v="0"/>
    <b v="0"/>
    <b v="0"/>
    <b v="0"/>
    <b v="0"/>
    <b v="1"/>
  </r>
  <r>
    <n v="7917972"/>
    <s v="123-007-125-016"/>
    <s v="Security Analyst"/>
    <x v="3"/>
    <d v="2022-09-18T00:00:00"/>
    <s v="Matthew Roberts"/>
    <d v="2022-09-30T00:00:00"/>
    <x v="359"/>
    <s v="promo"/>
    <x v="0"/>
    <b v="0"/>
    <b v="0"/>
    <b v="0"/>
    <b v="0"/>
    <b v="1"/>
    <b v="0"/>
  </r>
  <r>
    <n v="7917972"/>
    <s v="123-007-125-017"/>
    <s v="Security Analyst"/>
    <x v="3"/>
    <d v="2022-02-05T00:00:00"/>
    <s v="James Campbell"/>
    <d v="2022-02-15T00:00:00"/>
    <x v="360"/>
    <m/>
    <x v="0"/>
    <b v="0"/>
    <b v="0"/>
    <b v="0"/>
    <b v="0"/>
    <b v="0"/>
    <b v="0"/>
  </r>
  <r>
    <n v="6038767"/>
    <s v="123-004-108-003"/>
    <s v="Customer Support Rep"/>
    <x v="1"/>
    <d v="2023-06-08T00:00:00"/>
    <s v="Ava Scott"/>
    <d v="2023-06-26T00:00:00"/>
    <x v="356"/>
    <s v="new to org"/>
    <x v="0"/>
    <b v="0"/>
    <b v="0"/>
    <b v="0"/>
    <b v="0"/>
    <b v="0"/>
    <b v="1"/>
  </r>
  <r>
    <n v="6038767"/>
    <s v="123-004-108-004"/>
    <s v="Customer Support Rep"/>
    <x v="1"/>
    <d v="2023-04-17T00:00:00"/>
    <s v="Michael Williams"/>
    <d v="2023-04-29T00:00:00"/>
    <x v="68"/>
    <s v="promo"/>
    <x v="0"/>
    <b v="0"/>
    <b v="0"/>
    <b v="0"/>
    <b v="0"/>
    <b v="1"/>
    <b v="0"/>
  </r>
  <r>
    <n v="2599943"/>
    <s v="123-005-120-008"/>
    <s v="Executive Assistant"/>
    <x v="0"/>
    <d v="2022-02-27T00:00:00"/>
    <s v="Jennifer Roberts"/>
    <d v="2022-03-29T00:00:00"/>
    <x v="361"/>
    <m/>
    <x v="0"/>
    <b v="0"/>
    <b v="0"/>
    <b v="0"/>
    <b v="0"/>
    <b v="0"/>
    <b v="0"/>
  </r>
  <r>
    <n v="6610127"/>
    <s v="123-007-112-018"/>
    <s v="Business Analyst"/>
    <x v="3"/>
    <d v="2022-08-21T00:00:00"/>
    <s v="Logan Roberts"/>
    <d v="2022-09-14T00:00:00"/>
    <x v="268"/>
    <s v="transfer"/>
    <x v="0"/>
    <b v="0"/>
    <b v="0"/>
    <b v="0"/>
    <b v="1"/>
    <b v="0"/>
    <b v="0"/>
  </r>
  <r>
    <n v="6610127"/>
    <s v="123-007-112-019"/>
    <s v="Business Analyst"/>
    <x v="3"/>
    <d v="2023-01-27T00:00:00"/>
    <s v="Kenneth Roberts"/>
    <d v="2023-01-29T00:00:00"/>
    <x v="362"/>
    <s v="transfer"/>
    <x v="0"/>
    <b v="0"/>
    <b v="0"/>
    <b v="0"/>
    <b v="1"/>
    <b v="0"/>
    <b v="0"/>
  </r>
  <r>
    <n v="6610127"/>
    <s v="123-007-112-020"/>
    <s v="Business Analyst"/>
    <x v="3"/>
    <d v="2022-06-03T00:00:00"/>
    <s v="Paul Torres"/>
    <d v="2022-06-14T00:00:00"/>
    <x v="340"/>
    <s v="new to org"/>
    <x v="0"/>
    <b v="0"/>
    <b v="0"/>
    <b v="0"/>
    <b v="0"/>
    <b v="0"/>
    <b v="1"/>
  </r>
  <r>
    <n v="6610127"/>
    <s v="123-007-112-021"/>
    <s v="Business Analyst"/>
    <x v="3"/>
    <d v="2023-02-07T00:00:00"/>
    <s v="Patricia Baker"/>
    <d v="2023-02-22T00:00:00"/>
    <x v="363"/>
    <s v="promo"/>
    <x v="0"/>
    <b v="0"/>
    <b v="0"/>
    <b v="0"/>
    <b v="0"/>
    <b v="1"/>
    <b v="0"/>
  </r>
  <r>
    <n v="9467953"/>
    <s v="123-004-103-004"/>
    <s v="Project Manager"/>
    <x v="1"/>
    <d v="2022-09-26T00:00:00"/>
    <s v="Emily Sanchez"/>
    <d v="2022-09-29T00:00:00"/>
    <x v="364"/>
    <s v="transfer"/>
    <x v="0"/>
    <b v="0"/>
    <b v="0"/>
    <b v="0"/>
    <b v="1"/>
    <b v="0"/>
    <b v="0"/>
  </r>
  <r>
    <n v="9467953"/>
    <s v="123-004-103-005"/>
    <s v="Project Manager"/>
    <x v="1"/>
    <d v="2023-05-08T00:00:00"/>
    <s v="Edward Rodriguez"/>
    <d v="2023-05-26T00:00:00"/>
    <x v="251"/>
    <s v="promo"/>
    <x v="0"/>
    <b v="0"/>
    <b v="0"/>
    <b v="0"/>
    <b v="0"/>
    <b v="1"/>
    <b v="0"/>
  </r>
  <r>
    <n v="7271672"/>
    <s v="123-002-105-005"/>
    <s v="Financial Analyst"/>
    <x v="6"/>
    <d v="2022-06-01T00:00:00"/>
    <s v="Charlotte Flores"/>
    <d v="2022-06-29T00:00:00"/>
    <x v="365"/>
    <s v="promo"/>
    <x v="0"/>
    <b v="0"/>
    <b v="0"/>
    <b v="0"/>
    <b v="0"/>
    <b v="1"/>
    <b v="0"/>
  </r>
  <r>
    <n v="4554677"/>
    <s v="123-009-107-007"/>
    <s v="Sales Associate"/>
    <x v="7"/>
    <d v="2022-05-25T00:00:00"/>
    <s v="Michelle Campbell"/>
    <d v="2022-06-17T00:00:00"/>
    <x v="263"/>
    <m/>
    <x v="0"/>
    <b v="0"/>
    <b v="0"/>
    <b v="0"/>
    <b v="0"/>
    <b v="0"/>
    <b v="0"/>
  </r>
  <r>
    <n v="4554677"/>
    <s v="123-009-107-008"/>
    <s v="Sales Associate"/>
    <x v="7"/>
    <d v="2023-06-24T00:00:00"/>
    <s v="Donna Edwards"/>
    <d v="2023-06-26T00:00:00"/>
    <x v="319"/>
    <m/>
    <x v="0"/>
    <b v="0"/>
    <b v="0"/>
    <b v="0"/>
    <b v="0"/>
    <b v="0"/>
    <b v="0"/>
  </r>
  <r>
    <n v="4554677"/>
    <s v="123-009-107-010"/>
    <s v="Sales Associate"/>
    <x v="7"/>
    <d v="2022-10-05T00:00:00"/>
    <s v="John Harris"/>
    <d v="2022-10-27T00:00:00"/>
    <x v="193"/>
    <s v="transfer"/>
    <x v="0"/>
    <b v="0"/>
    <b v="0"/>
    <b v="0"/>
    <b v="1"/>
    <b v="0"/>
    <b v="0"/>
  </r>
  <r>
    <n v="4554677"/>
    <s v="123-009-107-011"/>
    <s v="Sales Associate"/>
    <x v="7"/>
    <d v="2022-01-20T00:00:00"/>
    <s v="Logan Miller"/>
    <d v="2022-01-30T00:00:00"/>
    <x v="366"/>
    <s v="new to org"/>
    <x v="0"/>
    <b v="0"/>
    <b v="0"/>
    <b v="0"/>
    <b v="0"/>
    <b v="0"/>
    <b v="1"/>
  </r>
  <r>
    <n v="7484783"/>
    <s v="123-007-108-003"/>
    <s v="Customer Support Rep"/>
    <x v="3"/>
    <d v="2023-05-12T00:00:00"/>
    <s v="Lucas Lee"/>
    <d v="2023-06-09T00:00:00"/>
    <x v="367"/>
    <s v="transfer"/>
    <x v="0"/>
    <b v="0"/>
    <b v="0"/>
    <b v="0"/>
    <b v="1"/>
    <b v="0"/>
    <b v="0"/>
  </r>
  <r>
    <n v="7484783"/>
    <s v="123-007-108-004"/>
    <s v="Customer Support Rep"/>
    <x v="3"/>
    <d v="2023-04-14T00:00:00"/>
    <s v="Richard Allen"/>
    <d v="2023-05-02T00:00:00"/>
    <x v="368"/>
    <s v="promo"/>
    <x v="0"/>
    <b v="0"/>
    <b v="0"/>
    <b v="0"/>
    <b v="0"/>
    <b v="1"/>
    <b v="0"/>
  </r>
  <r>
    <n v="7484783"/>
    <s v="123-007-108-005"/>
    <s v="Customer Support Rep"/>
    <x v="3"/>
    <d v="2022-11-09T00:00:00"/>
    <s v="Jessica King"/>
    <d v="2022-11-20T00:00:00"/>
    <x v="237"/>
    <s v="transfer"/>
    <x v="0"/>
    <b v="0"/>
    <b v="0"/>
    <b v="0"/>
    <b v="1"/>
    <b v="0"/>
    <b v="0"/>
  </r>
  <r>
    <n v="7484783"/>
    <s v="123-007-108-006"/>
    <s v="Customer Support Rep"/>
    <x v="3"/>
    <d v="2022-12-27T00:00:00"/>
    <s v="Mary Thompson"/>
    <d v="2023-01-08T00:00:00"/>
    <x v="362"/>
    <s v="promo"/>
    <x v="0"/>
    <b v="0"/>
    <b v="0"/>
    <b v="0"/>
    <b v="0"/>
    <b v="1"/>
    <b v="0"/>
  </r>
  <r>
    <n v="7484783"/>
    <s v="123-007-108-007"/>
    <s v="Customer Support Rep"/>
    <x v="3"/>
    <d v="2022-09-21T00:00:00"/>
    <s v="Ethan Brown"/>
    <d v="2022-10-20T00:00:00"/>
    <x v="101"/>
    <s v="new to org"/>
    <x v="0"/>
    <b v="0"/>
    <b v="0"/>
    <b v="0"/>
    <b v="0"/>
    <b v="0"/>
    <b v="1"/>
  </r>
  <r>
    <n v="1494355"/>
    <s v="123-005-118-002"/>
    <s v="Network Engineer"/>
    <x v="0"/>
    <d v="2022-06-06T00:00:00"/>
    <s v="Anthony Thomas"/>
    <d v="2022-06-20T00:00:00"/>
    <x v="8"/>
    <s v="promo"/>
    <x v="0"/>
    <b v="0"/>
    <b v="0"/>
    <b v="0"/>
    <b v="0"/>
    <b v="1"/>
    <b v="0"/>
  </r>
  <r>
    <n v="3269160"/>
    <s v="123-003-114-001"/>
    <s v="Research Analyst"/>
    <x v="8"/>
    <d v="2023-06-30T00:00:00"/>
    <s v="John Scott"/>
    <d v="2023-07-24T00:00:00"/>
    <x v="369"/>
    <s v="new to org"/>
    <x v="0"/>
    <b v="0"/>
    <b v="0"/>
    <b v="0"/>
    <b v="0"/>
    <b v="0"/>
    <b v="1"/>
  </r>
  <r>
    <n v="3269160"/>
    <s v="123-003-114-004"/>
    <s v="Research Analyst"/>
    <x v="8"/>
    <d v="2022-07-12T00:00:00"/>
    <s v="Elizabeth Roberts"/>
    <d v="2022-07-16T00:00:00"/>
    <x v="347"/>
    <s v="new to org"/>
    <x v="0"/>
    <b v="0"/>
    <b v="0"/>
    <b v="0"/>
    <b v="0"/>
    <b v="0"/>
    <b v="1"/>
  </r>
  <r>
    <n v="4874049"/>
    <s v="123-004-120-001"/>
    <s v="Executive Assistant"/>
    <x v="1"/>
    <d v="2023-05-04T00:00:00"/>
    <s v="Jennifer Hall"/>
    <d v="2023-05-09T00:00:00"/>
    <x v="248"/>
    <s v="new to org"/>
    <x v="0"/>
    <b v="0"/>
    <b v="0"/>
    <b v="0"/>
    <b v="0"/>
    <b v="0"/>
    <b v="1"/>
  </r>
  <r>
    <n v="4874049"/>
    <s v="123-004-120-002"/>
    <s v="Executive Assistant"/>
    <x v="1"/>
    <d v="2023-01-18T00:00:00"/>
    <s v="Dorothy Adams"/>
    <d v="2023-01-24T00:00:00"/>
    <x v="88"/>
    <m/>
    <x v="0"/>
    <b v="0"/>
    <b v="0"/>
    <b v="0"/>
    <b v="0"/>
    <b v="0"/>
    <b v="0"/>
  </r>
  <r>
    <n v="7500504"/>
    <s v="123-008-116-007"/>
    <s v="Content Writer"/>
    <x v="4"/>
    <d v="2022-08-16T00:00:00"/>
    <s v="Charlotte Clark"/>
    <d v="2022-09-09T00:00:00"/>
    <x v="0"/>
    <s v="new to org"/>
    <x v="0"/>
    <b v="0"/>
    <b v="0"/>
    <b v="0"/>
    <b v="0"/>
    <b v="0"/>
    <b v="1"/>
  </r>
  <r>
    <n v="6450844"/>
    <s v="123-008-128-005"/>
    <s v="Payroll Specialist"/>
    <x v="4"/>
    <d v="2023-01-25T00:00:00"/>
    <s v="Joshua Mitchell"/>
    <d v="2023-02-18T00:00:00"/>
    <x v="89"/>
    <s v="transfer"/>
    <x v="0"/>
    <b v="0"/>
    <b v="0"/>
    <b v="0"/>
    <b v="1"/>
    <b v="0"/>
    <b v="0"/>
  </r>
  <r>
    <n v="6450844"/>
    <s v="123-008-128-006"/>
    <s v="Payroll Specialist"/>
    <x v="4"/>
    <d v="2023-04-08T00:00:00"/>
    <s v="Kimberly Miller"/>
    <d v="2023-04-23T00:00:00"/>
    <x v="370"/>
    <s v="transfer"/>
    <x v="0"/>
    <b v="0"/>
    <b v="0"/>
    <b v="0"/>
    <b v="1"/>
    <b v="0"/>
    <b v="0"/>
  </r>
  <r>
    <n v="1711620"/>
    <s v="123-004-129-004"/>
    <s v="Supply Chain Manager"/>
    <x v="1"/>
    <d v="2023-06-13T00:00:00"/>
    <s v="Emily Harris"/>
    <d v="2023-07-08T00:00:00"/>
    <x v="371"/>
    <s v="transfer"/>
    <x v="0"/>
    <b v="0"/>
    <b v="0"/>
    <b v="0"/>
    <b v="1"/>
    <b v="0"/>
    <b v="0"/>
  </r>
  <r>
    <n v="1711620"/>
    <s v="123-004-129-005"/>
    <s v="Supply Chain Manager"/>
    <x v="1"/>
    <d v="2023-02-12T00:00:00"/>
    <s v="Charles Lewis"/>
    <d v="2023-03-13T00:00:00"/>
    <x v="372"/>
    <s v="promo"/>
    <x v="0"/>
    <b v="0"/>
    <b v="0"/>
    <b v="0"/>
    <b v="0"/>
    <b v="1"/>
    <b v="0"/>
  </r>
  <r>
    <n v="1711620"/>
    <s v="123-004-129-006"/>
    <s v="Supply Chain Manager"/>
    <x v="1"/>
    <d v="2023-03-09T00:00:00"/>
    <s v="Sandra Hernandez"/>
    <d v="2023-03-19T00:00:00"/>
    <x v="211"/>
    <s v="new to org"/>
    <x v="0"/>
    <b v="0"/>
    <b v="0"/>
    <b v="0"/>
    <b v="0"/>
    <b v="0"/>
    <b v="1"/>
  </r>
  <r>
    <n v="1711620"/>
    <s v="123-004-129-007"/>
    <s v="Supply Chain Manager"/>
    <x v="1"/>
    <d v="2023-04-08T00:00:00"/>
    <s v="Sandra Turner"/>
    <d v="2023-04-11T00:00:00"/>
    <x v="320"/>
    <s v="promo"/>
    <x v="0"/>
    <b v="0"/>
    <b v="0"/>
    <b v="0"/>
    <b v="0"/>
    <b v="1"/>
    <b v="0"/>
  </r>
  <r>
    <n v="1711620"/>
    <s v="123-004-129-008"/>
    <s v="Supply Chain Manager"/>
    <x v="1"/>
    <d v="2022-05-19T00:00:00"/>
    <s v="Deborah Nguyen"/>
    <d v="2022-06-01T00:00:00"/>
    <x v="373"/>
    <s v="promo"/>
    <x v="0"/>
    <b v="0"/>
    <b v="0"/>
    <b v="0"/>
    <b v="0"/>
    <b v="1"/>
    <b v="0"/>
  </r>
  <r>
    <n v="6426773"/>
    <s v="123-001-115-001"/>
    <s v="Graphic Designer"/>
    <x v="9"/>
    <d v="2022-04-03T00:00:00"/>
    <s v="Olivia Robinson"/>
    <d v="2022-04-12T00:00:00"/>
    <x v="25"/>
    <s v="promo"/>
    <x v="0"/>
    <b v="0"/>
    <b v="0"/>
    <b v="0"/>
    <b v="0"/>
    <b v="1"/>
    <b v="0"/>
  </r>
  <r>
    <n v="6426773"/>
    <s v="123-001-115-002"/>
    <s v="Graphic Designer"/>
    <x v="9"/>
    <d v="2022-05-07T00:00:00"/>
    <s v="Dorothy Campbell"/>
    <d v="2022-05-10T00:00:00"/>
    <x v="361"/>
    <s v="promo"/>
    <x v="0"/>
    <b v="0"/>
    <b v="0"/>
    <b v="0"/>
    <b v="0"/>
    <b v="1"/>
    <b v="0"/>
  </r>
  <r>
    <n v="8539654"/>
    <s v="123-006-121-002"/>
    <s v="UX Designer"/>
    <x v="2"/>
    <d v="2023-06-08T00:00:00"/>
    <s v="George Gomez"/>
    <d v="2023-06-28T00:00:00"/>
    <x v="173"/>
    <m/>
    <x v="0"/>
    <b v="0"/>
    <b v="0"/>
    <b v="0"/>
    <b v="0"/>
    <b v="0"/>
    <b v="0"/>
  </r>
  <r>
    <n v="7353173"/>
    <s v="123-007-118-003"/>
    <s v="Network Engineer"/>
    <x v="3"/>
    <d v="2022-06-03T00:00:00"/>
    <s v="Andrew Parker"/>
    <d v="2022-06-09T00:00:00"/>
    <x v="77"/>
    <s v="new to org"/>
    <x v="0"/>
    <b v="0"/>
    <b v="0"/>
    <b v="0"/>
    <b v="0"/>
    <b v="0"/>
    <b v="1"/>
  </r>
  <r>
    <n v="3426109"/>
    <s v="123-001-106-002"/>
    <s v="Marketing Coordinator"/>
    <x v="9"/>
    <d v="2022-07-27T00:00:00"/>
    <s v="Lucas Rodriguez"/>
    <d v="2022-07-28T00:00:00"/>
    <x v="374"/>
    <s v="transfer"/>
    <x v="0"/>
    <b v="0"/>
    <b v="0"/>
    <b v="0"/>
    <b v="1"/>
    <b v="0"/>
    <b v="0"/>
  </r>
  <r>
    <n v="3426109"/>
    <s v="123-001-106-003"/>
    <s v="Marketing Coordinator"/>
    <x v="9"/>
    <d v="2023-05-26T00:00:00"/>
    <s v="Sandra Young"/>
    <d v="2023-06-13T00:00:00"/>
    <x v="252"/>
    <s v="transfer"/>
    <x v="0"/>
    <b v="0"/>
    <b v="0"/>
    <b v="0"/>
    <b v="1"/>
    <b v="0"/>
    <b v="0"/>
  </r>
  <r>
    <n v="8981122"/>
    <s v="123-007-115-006"/>
    <s v="Graphic Designer"/>
    <x v="3"/>
    <d v="2022-10-12T00:00:00"/>
    <s v="Olivia Scott"/>
    <d v="2022-11-01T00:00:00"/>
    <x v="30"/>
    <s v="promo"/>
    <x v="0"/>
    <b v="0"/>
    <b v="0"/>
    <b v="0"/>
    <b v="0"/>
    <b v="1"/>
    <b v="0"/>
  </r>
  <r>
    <n v="8981122"/>
    <s v="123-007-115-007"/>
    <s v="Graphic Designer"/>
    <x v="3"/>
    <d v="2022-06-01T00:00:00"/>
    <s v="Patricia Lopez"/>
    <d v="2022-06-03T00:00:00"/>
    <x v="274"/>
    <s v="promo"/>
    <x v="0"/>
    <b v="0"/>
    <b v="0"/>
    <b v="0"/>
    <b v="0"/>
    <b v="1"/>
    <b v="0"/>
  </r>
  <r>
    <n v="8981122"/>
    <s v="123-007-115-008"/>
    <s v="Graphic Designer"/>
    <x v="3"/>
    <d v="2022-11-02T00:00:00"/>
    <s v="Mia Williams"/>
    <d v="2022-11-13T00:00:00"/>
    <x v="181"/>
    <s v="promo"/>
    <x v="0"/>
    <b v="0"/>
    <b v="0"/>
    <b v="0"/>
    <b v="0"/>
    <b v="1"/>
    <b v="0"/>
  </r>
  <r>
    <n v="3990511"/>
    <s v="123-005-106-006"/>
    <s v="Marketing Coordinator"/>
    <x v="0"/>
    <d v="2023-01-04T00:00:00"/>
    <s v="Sandra Mitchell"/>
    <d v="2023-02-03T00:00:00"/>
    <x v="64"/>
    <s v="promo"/>
    <x v="0"/>
    <b v="0"/>
    <b v="0"/>
    <b v="0"/>
    <b v="0"/>
    <b v="1"/>
    <b v="0"/>
  </r>
  <r>
    <n v="3990511"/>
    <s v="123-005-106-008"/>
    <s v="Marketing Coordinator"/>
    <x v="0"/>
    <d v="2022-03-08T00:00:00"/>
    <s v="Edward Ramirez"/>
    <d v="2022-03-18T00:00:00"/>
    <x v="178"/>
    <s v="transfer"/>
    <x v="0"/>
    <b v="0"/>
    <b v="0"/>
    <b v="0"/>
    <b v="1"/>
    <b v="0"/>
    <b v="0"/>
  </r>
  <r>
    <n v="3990511"/>
    <s v="123-005-106-010"/>
    <s v="Marketing Coordinator"/>
    <x v="0"/>
    <d v="2022-03-01T00:00:00"/>
    <s v="Brian Wilson"/>
    <d v="2022-03-05T00:00:00"/>
    <x v="375"/>
    <s v="promo"/>
    <x v="0"/>
    <b v="0"/>
    <b v="0"/>
    <b v="0"/>
    <b v="0"/>
    <b v="1"/>
    <b v="0"/>
  </r>
  <r>
    <n v="9874251"/>
    <s v="123-008-103-006"/>
    <s v="Project Manager"/>
    <x v="4"/>
    <d v="2022-11-21T00:00:00"/>
    <s v="Margaret Hill"/>
    <d v="2022-11-30T00:00:00"/>
    <x v="79"/>
    <s v="new to org"/>
    <x v="0"/>
    <b v="0"/>
    <b v="0"/>
    <b v="0"/>
    <b v="0"/>
    <b v="0"/>
    <b v="1"/>
  </r>
  <r>
    <n v="9874251"/>
    <s v="123-008-103-007"/>
    <s v="Project Manager"/>
    <x v="4"/>
    <d v="2023-05-24T00:00:00"/>
    <s v="Jackson Rodriguez"/>
    <d v="2023-06-10T00:00:00"/>
    <x v="202"/>
    <s v="new to org"/>
    <x v="0"/>
    <b v="0"/>
    <b v="0"/>
    <b v="0"/>
    <b v="0"/>
    <b v="0"/>
    <b v="1"/>
  </r>
  <r>
    <n v="9874251"/>
    <s v="123-008-103-008"/>
    <s v="Project Manager"/>
    <x v="4"/>
    <d v="2022-08-27T00:00:00"/>
    <s v="Ethan Lopez"/>
    <d v="2022-09-19T00:00:00"/>
    <x v="38"/>
    <m/>
    <x v="0"/>
    <b v="0"/>
    <b v="0"/>
    <b v="0"/>
    <b v="0"/>
    <b v="0"/>
    <b v="0"/>
  </r>
  <r>
    <n v="9874251"/>
    <s v="123-008-103-009"/>
    <s v="Project Manager"/>
    <x v="4"/>
    <d v="2023-04-22T00:00:00"/>
    <s v="Linda Johnson"/>
    <d v="2023-05-13T00:00:00"/>
    <x v="353"/>
    <s v="transfer"/>
    <x v="0"/>
    <b v="0"/>
    <b v="0"/>
    <b v="0"/>
    <b v="1"/>
    <b v="0"/>
    <b v="0"/>
  </r>
  <r>
    <n v="1763232"/>
    <s v="123-006-111-003"/>
    <s v="Product Manager"/>
    <x v="2"/>
    <d v="2022-07-26T00:00:00"/>
    <s v="James Green"/>
    <d v="2022-08-18T00:00:00"/>
    <x v="374"/>
    <s v="promo"/>
    <x v="0"/>
    <b v="0"/>
    <b v="0"/>
    <b v="0"/>
    <b v="0"/>
    <b v="1"/>
    <b v="0"/>
  </r>
  <r>
    <n v="1763232"/>
    <s v="123-006-111-005"/>
    <s v="Product Manager"/>
    <x v="2"/>
    <d v="2022-12-08T00:00:00"/>
    <s v="Linda Baker"/>
    <d v="2022-12-19T00:00:00"/>
    <x v="376"/>
    <s v="transfer"/>
    <x v="0"/>
    <b v="0"/>
    <b v="0"/>
    <b v="0"/>
    <b v="1"/>
    <b v="0"/>
    <b v="0"/>
  </r>
  <r>
    <n v="1763232"/>
    <s v="123-006-111-006"/>
    <s v="Product Manager"/>
    <x v="2"/>
    <d v="2022-07-18T00:00:00"/>
    <s v="Mason Lopez"/>
    <d v="2022-07-29T00:00:00"/>
    <x v="377"/>
    <s v="transfer"/>
    <x v="0"/>
    <b v="0"/>
    <b v="0"/>
    <b v="0"/>
    <b v="1"/>
    <b v="0"/>
    <b v="0"/>
  </r>
  <r>
    <n v="1763232"/>
    <s v="123-006-111-007"/>
    <s v="Product Manager"/>
    <x v="2"/>
    <d v="2022-02-06T00:00:00"/>
    <s v="Ava Walker"/>
    <d v="2022-02-27T00:00:00"/>
    <x v="378"/>
    <m/>
    <x v="0"/>
    <b v="0"/>
    <b v="0"/>
    <b v="0"/>
    <b v="0"/>
    <b v="0"/>
    <b v="0"/>
  </r>
  <r>
    <n v="9078154"/>
    <s v="123-008-105-003"/>
    <s v="Financial Analyst"/>
    <x v="4"/>
    <d v="2023-02-28T00:00:00"/>
    <s v="Sophia Evans"/>
    <d v="2023-03-30T00:00:00"/>
    <x v="188"/>
    <m/>
    <x v="0"/>
    <b v="0"/>
    <b v="0"/>
    <b v="0"/>
    <b v="0"/>
    <b v="0"/>
    <b v="0"/>
  </r>
  <r>
    <n v="9078154"/>
    <s v="123-008-105-005"/>
    <s v="Financial Analyst"/>
    <x v="4"/>
    <d v="2022-12-06T00:00:00"/>
    <s v="Andrew Baker"/>
    <d v="2023-01-01T00:00:00"/>
    <x v="302"/>
    <s v="promo"/>
    <x v="0"/>
    <b v="0"/>
    <b v="0"/>
    <b v="0"/>
    <b v="0"/>
    <b v="1"/>
    <b v="0"/>
  </r>
  <r>
    <n v="9078154"/>
    <s v="123-008-105-006"/>
    <s v="Financial Analyst"/>
    <x v="4"/>
    <d v="2022-10-15T00:00:00"/>
    <s v="John Martinez"/>
    <d v="2022-11-11T00:00:00"/>
    <x v="223"/>
    <s v="new to org"/>
    <x v="0"/>
    <b v="0"/>
    <b v="0"/>
    <b v="0"/>
    <b v="0"/>
    <b v="0"/>
    <b v="1"/>
  </r>
  <r>
    <n v="9078154"/>
    <s v="123-008-105-007"/>
    <s v="Financial Analyst"/>
    <x v="4"/>
    <d v="2022-06-19T00:00:00"/>
    <s v="Kenneth Wright"/>
    <d v="2022-07-08T00:00:00"/>
    <x v="379"/>
    <m/>
    <x v="0"/>
    <b v="0"/>
    <b v="0"/>
    <b v="0"/>
    <b v="0"/>
    <b v="0"/>
    <b v="0"/>
  </r>
  <r>
    <n v="7535837"/>
    <s v="123-010-106-005"/>
    <s v="Marketing Coordinator"/>
    <x v="5"/>
    <d v="2022-11-19T00:00:00"/>
    <s v="Dorothy Diaz"/>
    <d v="2022-12-12T00:00:00"/>
    <x v="37"/>
    <s v="new to org"/>
    <x v="0"/>
    <b v="0"/>
    <b v="0"/>
    <b v="0"/>
    <b v="0"/>
    <b v="0"/>
    <b v="1"/>
  </r>
  <r>
    <n v="5554970"/>
    <s v="123-002-114-002"/>
    <s v="Research Analyst"/>
    <x v="6"/>
    <d v="2022-11-06T00:00:00"/>
    <s v="Mark Turner"/>
    <d v="2022-11-13T00:00:00"/>
    <x v="380"/>
    <s v="new to org"/>
    <x v="0"/>
    <b v="0"/>
    <b v="0"/>
    <b v="0"/>
    <b v="0"/>
    <b v="0"/>
    <b v="1"/>
  </r>
  <r>
    <n v="5554970"/>
    <s v="123-002-114-003"/>
    <s v="Research Analyst"/>
    <x v="6"/>
    <d v="2022-02-08T00:00:00"/>
    <s v="Lisa Gomez"/>
    <d v="2022-03-05T00:00:00"/>
    <x v="59"/>
    <s v="transfer"/>
    <x v="0"/>
    <b v="0"/>
    <b v="0"/>
    <b v="0"/>
    <b v="1"/>
    <b v="0"/>
    <b v="0"/>
  </r>
  <r>
    <n v="5554970"/>
    <s v="123-002-114-004"/>
    <s v="Research Analyst"/>
    <x v="6"/>
    <d v="2023-05-10T00:00:00"/>
    <s v="Steven Johnson"/>
    <d v="2023-06-08T00:00:00"/>
    <x v="118"/>
    <m/>
    <x v="0"/>
    <b v="0"/>
    <b v="0"/>
    <b v="0"/>
    <b v="0"/>
    <b v="0"/>
    <b v="0"/>
  </r>
  <r>
    <n v="6491819"/>
    <s v="123-002-105-006"/>
    <s v="Financial Analyst"/>
    <x v="6"/>
    <d v="2022-02-07T00:00:00"/>
    <s v="Susan Campbell"/>
    <d v="2022-02-22T00:00:00"/>
    <x v="381"/>
    <s v="promo"/>
    <x v="0"/>
    <b v="0"/>
    <b v="0"/>
    <b v="0"/>
    <b v="0"/>
    <b v="1"/>
    <b v="0"/>
  </r>
  <r>
    <n v="6491819"/>
    <s v="123-002-105-007"/>
    <s v="Financial Analyst"/>
    <x v="6"/>
    <d v="2022-02-15T00:00:00"/>
    <s v="James Martin"/>
    <d v="2022-03-09T00:00:00"/>
    <x v="25"/>
    <s v="transfer"/>
    <x v="0"/>
    <b v="0"/>
    <b v="0"/>
    <b v="0"/>
    <b v="1"/>
    <b v="0"/>
    <b v="0"/>
  </r>
  <r>
    <n v="6491819"/>
    <s v="123-002-105-008"/>
    <s v="Financial Analyst"/>
    <x v="6"/>
    <d v="2022-02-17T00:00:00"/>
    <s v="Nancy Robinson"/>
    <d v="2022-02-21T00:00:00"/>
    <x v="366"/>
    <s v="transfer"/>
    <x v="0"/>
    <b v="0"/>
    <b v="0"/>
    <b v="0"/>
    <b v="1"/>
    <b v="0"/>
    <b v="0"/>
  </r>
  <r>
    <n v="6491819"/>
    <s v="123-002-105-009"/>
    <s v="Financial Analyst"/>
    <x v="6"/>
    <d v="2022-11-16T00:00:00"/>
    <s v="Mary Torres"/>
    <d v="2022-12-07T00:00:00"/>
    <x v="382"/>
    <s v="new to org"/>
    <x v="0"/>
    <b v="0"/>
    <b v="0"/>
    <b v="0"/>
    <b v="0"/>
    <b v="0"/>
    <b v="1"/>
  </r>
  <r>
    <n v="9624506"/>
    <s v="123-004-104-012"/>
    <s v="HR Specialist"/>
    <x v="1"/>
    <d v="2022-11-15T00:00:00"/>
    <s v="David Jones"/>
    <d v="2022-12-05T00:00:00"/>
    <x v="383"/>
    <s v="promo"/>
    <x v="0"/>
    <b v="0"/>
    <b v="0"/>
    <b v="0"/>
    <b v="0"/>
    <b v="1"/>
    <b v="0"/>
  </r>
  <r>
    <n v="9624506"/>
    <s v="123-004-104-013"/>
    <s v="HR Specialist"/>
    <x v="1"/>
    <d v="2022-01-30T00:00:00"/>
    <s v="Patricia Rodriguez"/>
    <d v="2022-02-15T00:00:00"/>
    <x v="384"/>
    <m/>
    <x v="0"/>
    <b v="0"/>
    <b v="0"/>
    <b v="0"/>
    <b v="0"/>
    <b v="0"/>
    <b v="0"/>
  </r>
  <r>
    <n v="9624506"/>
    <s v="123-004-104-014"/>
    <s v="HR Specialist"/>
    <x v="1"/>
    <d v="2022-03-30T00:00:00"/>
    <s v="Matthew Brown"/>
    <d v="2022-04-13T00:00:00"/>
    <x v="151"/>
    <s v="transfer"/>
    <x v="0"/>
    <b v="0"/>
    <b v="0"/>
    <b v="0"/>
    <b v="1"/>
    <b v="0"/>
    <b v="0"/>
  </r>
  <r>
    <n v="6966385"/>
    <s v="123-006-110-006"/>
    <s v="Legal Advisor"/>
    <x v="2"/>
    <d v="2023-04-22T00:00:00"/>
    <s v="Jackson Carter"/>
    <d v="2023-05-11T00:00:00"/>
    <x v="385"/>
    <s v="transfer"/>
    <x v="0"/>
    <b v="0"/>
    <b v="0"/>
    <b v="0"/>
    <b v="1"/>
    <b v="0"/>
    <b v="0"/>
  </r>
  <r>
    <n v="8643434"/>
    <s v="123-008-110-012"/>
    <s v="Legal Advisor"/>
    <x v="4"/>
    <d v="2022-01-31T00:00:00"/>
    <s v="Sandra Young"/>
    <d v="2022-02-03T00:00:00"/>
    <x v="112"/>
    <s v="new to org"/>
    <x v="0"/>
    <b v="0"/>
    <b v="0"/>
    <b v="0"/>
    <b v="0"/>
    <b v="0"/>
    <b v="1"/>
  </r>
  <r>
    <n v="6848796"/>
    <s v="123-010-120-006"/>
    <s v="Executive Assistant"/>
    <x v="5"/>
    <d v="2022-04-20T00:00:00"/>
    <s v="Isabella Rivera"/>
    <d v="2022-05-01T00:00:00"/>
    <x v="243"/>
    <m/>
    <x v="0"/>
    <b v="0"/>
    <b v="0"/>
    <b v="0"/>
    <b v="0"/>
    <b v="0"/>
    <b v="0"/>
  </r>
  <r>
    <n v="6848796"/>
    <s v="123-010-120-007"/>
    <s v="Executive Assistant"/>
    <x v="5"/>
    <d v="2023-02-15T00:00:00"/>
    <s v="Paul Robinson"/>
    <d v="2023-03-06T00:00:00"/>
    <x v="372"/>
    <s v="new to org"/>
    <x v="0"/>
    <b v="0"/>
    <b v="0"/>
    <b v="0"/>
    <b v="0"/>
    <b v="0"/>
    <b v="1"/>
  </r>
  <r>
    <n v="5002629"/>
    <s v="123-004-120-005"/>
    <s v="Executive Assistant"/>
    <x v="1"/>
    <d v="2022-08-30T00:00:00"/>
    <s v="Paul Hall"/>
    <d v="2022-09-05T00:00:00"/>
    <x v="73"/>
    <s v="new to org"/>
    <x v="0"/>
    <b v="0"/>
    <b v="0"/>
    <b v="0"/>
    <b v="0"/>
    <b v="0"/>
    <b v="1"/>
  </r>
  <r>
    <n v="5002629"/>
    <s v="123-004-120-006"/>
    <s v="Executive Assistant"/>
    <x v="1"/>
    <d v="2023-04-20T00:00:00"/>
    <s v="Linda Nguyen"/>
    <d v="2023-05-01T00:00:00"/>
    <x v="386"/>
    <m/>
    <x v="0"/>
    <b v="0"/>
    <b v="0"/>
    <b v="0"/>
    <b v="0"/>
    <b v="0"/>
    <b v="0"/>
  </r>
  <r>
    <n v="2167822"/>
    <s v="123-002-120-005"/>
    <s v="Executive Assistant"/>
    <x v="6"/>
    <d v="2022-03-04T00:00:00"/>
    <s v="Christopher Young"/>
    <d v="2022-03-07T00:00:00"/>
    <x v="153"/>
    <m/>
    <x v="0"/>
    <b v="0"/>
    <b v="0"/>
    <b v="0"/>
    <b v="0"/>
    <b v="0"/>
    <b v="0"/>
  </r>
  <r>
    <n v="2167822"/>
    <s v="123-002-120-006"/>
    <s v="Executive Assistant"/>
    <x v="6"/>
    <d v="2022-06-02T00:00:00"/>
    <s v="Edward Martinez"/>
    <d v="2022-06-17T00:00:00"/>
    <x v="142"/>
    <s v="transfer"/>
    <x v="0"/>
    <b v="0"/>
    <b v="0"/>
    <b v="0"/>
    <b v="1"/>
    <b v="0"/>
    <b v="0"/>
  </r>
  <r>
    <n v="2167822"/>
    <s v="123-002-120-009"/>
    <s v="Executive Assistant"/>
    <x v="6"/>
    <d v="2022-12-19T00:00:00"/>
    <s v="Ava Ramirez"/>
    <d v="2022-12-22T00:00:00"/>
    <x v="139"/>
    <s v="new to org"/>
    <x v="0"/>
    <b v="0"/>
    <b v="0"/>
    <b v="0"/>
    <b v="0"/>
    <b v="0"/>
    <b v="1"/>
  </r>
  <r>
    <n v="1136218"/>
    <s v="123-009-120-001"/>
    <s v="Executive Assistant"/>
    <x v="7"/>
    <d v="2022-02-24T00:00:00"/>
    <s v="Patricia White"/>
    <d v="2022-02-25T00:00:00"/>
    <x v="98"/>
    <s v="new to org"/>
    <x v="0"/>
    <b v="0"/>
    <b v="0"/>
    <b v="0"/>
    <b v="0"/>
    <b v="0"/>
    <b v="1"/>
  </r>
  <r>
    <n v="1136218"/>
    <s v="123-009-120-002"/>
    <s v="Executive Assistant"/>
    <x v="7"/>
    <d v="2022-10-16T00:00:00"/>
    <s v="Linda Parker"/>
    <d v="2022-11-13T00:00:00"/>
    <x v="163"/>
    <s v="new to org"/>
    <x v="0"/>
    <b v="0"/>
    <b v="0"/>
    <b v="0"/>
    <b v="0"/>
    <b v="0"/>
    <b v="1"/>
  </r>
  <r>
    <n v="1136218"/>
    <s v="123-009-120-004"/>
    <s v="Executive Assistant"/>
    <x v="7"/>
    <d v="2023-03-22T00:00:00"/>
    <s v="Betty Harris"/>
    <d v="2023-04-09T00:00:00"/>
    <x v="51"/>
    <m/>
    <x v="0"/>
    <b v="0"/>
    <b v="0"/>
    <b v="0"/>
    <b v="0"/>
    <b v="0"/>
    <b v="0"/>
  </r>
  <r>
    <n v="3909338"/>
    <s v="123-003-116-001"/>
    <s v="Content Writer"/>
    <x v="8"/>
    <d v="2022-06-07T00:00:00"/>
    <s v="Mason Clark"/>
    <d v="2022-06-17T00:00:00"/>
    <x v="69"/>
    <s v="new to org"/>
    <x v="0"/>
    <b v="0"/>
    <b v="0"/>
    <b v="0"/>
    <b v="0"/>
    <b v="0"/>
    <b v="1"/>
  </r>
  <r>
    <n v="3909338"/>
    <s v="123-003-116-002"/>
    <s v="Content Writer"/>
    <x v="8"/>
    <d v="2022-01-17T00:00:00"/>
    <s v="James Jones"/>
    <d v="2022-01-22T00:00:00"/>
    <x v="387"/>
    <s v="promo"/>
    <x v="0"/>
    <b v="0"/>
    <b v="0"/>
    <b v="0"/>
    <b v="0"/>
    <b v="1"/>
    <b v="0"/>
  </r>
  <r>
    <n v="9165493"/>
    <s v="123-007-122-002"/>
    <s v="DevOps Engineer"/>
    <x v="3"/>
    <d v="2023-03-12T00:00:00"/>
    <s v="Logan Robinson"/>
    <d v="2023-04-01T00:00:00"/>
    <x v="213"/>
    <m/>
    <x v="0"/>
    <b v="0"/>
    <b v="0"/>
    <b v="0"/>
    <b v="0"/>
    <b v="0"/>
    <b v="0"/>
  </r>
  <r>
    <n v="8550515"/>
    <s v="123-006-113-002"/>
    <s v="Operations Supervisor"/>
    <x v="2"/>
    <d v="2023-01-11T00:00:00"/>
    <s v="Anthony Wright"/>
    <d v="2023-01-13T00:00:00"/>
    <x v="388"/>
    <s v="new to org"/>
    <x v="0"/>
    <b v="0"/>
    <b v="0"/>
    <b v="0"/>
    <b v="0"/>
    <b v="0"/>
    <b v="1"/>
  </r>
  <r>
    <n v="9107893"/>
    <s v="123-006-123-004"/>
    <s v="Data Engineer"/>
    <x v="2"/>
    <d v="2023-06-24T00:00:00"/>
    <s v="Elizabeth Campbell"/>
    <d v="2023-07-22T00:00:00"/>
    <x v="389"/>
    <s v="transfer"/>
    <x v="0"/>
    <b v="0"/>
    <b v="0"/>
    <b v="0"/>
    <b v="1"/>
    <b v="0"/>
    <b v="0"/>
  </r>
  <r>
    <n v="5687895"/>
    <s v="123-009-115-003"/>
    <s v="Graphic Designer"/>
    <x v="7"/>
    <d v="2022-03-21T00:00:00"/>
    <s v="Jessica Walker"/>
    <d v="2022-04-12T00:00:00"/>
    <x v="149"/>
    <s v="transfer"/>
    <x v="0"/>
    <b v="0"/>
    <b v="0"/>
    <b v="0"/>
    <b v="1"/>
    <b v="0"/>
    <b v="0"/>
  </r>
  <r>
    <n v="6242875"/>
    <s v="123-001-120-005"/>
    <s v="Executive Assistant"/>
    <x v="9"/>
    <d v="2023-06-09T00:00:00"/>
    <s v="Donald Robinson"/>
    <d v="2023-07-08T00:00:00"/>
    <x v="113"/>
    <s v="transfer"/>
    <x v="0"/>
    <b v="0"/>
    <b v="0"/>
    <b v="0"/>
    <b v="1"/>
    <b v="0"/>
    <b v="0"/>
  </r>
  <r>
    <n v="6242875"/>
    <s v="123-001-120-006"/>
    <s v="Executive Assistant"/>
    <x v="9"/>
    <d v="2022-10-29T00:00:00"/>
    <s v="Anthony Thompson"/>
    <d v="2022-11-08T00:00:00"/>
    <x v="390"/>
    <s v="new to org"/>
    <x v="0"/>
    <b v="0"/>
    <b v="0"/>
    <b v="0"/>
    <b v="0"/>
    <b v="0"/>
    <b v="1"/>
  </r>
  <r>
    <n v="5369510"/>
    <s v="123-008-102-002"/>
    <s v="Data Scientist"/>
    <x v="4"/>
    <d v="2022-03-26T00:00:00"/>
    <s v="Charles Young"/>
    <d v="2022-03-31T00:00:00"/>
    <x v="25"/>
    <s v="transfer"/>
    <x v="0"/>
    <b v="0"/>
    <b v="0"/>
    <b v="0"/>
    <b v="1"/>
    <b v="0"/>
    <b v="0"/>
  </r>
  <r>
    <n v="5369510"/>
    <s v="123-008-102-004"/>
    <s v="Data Scientist"/>
    <x v="4"/>
    <d v="2022-01-15T00:00:00"/>
    <s v="Mia Taylor"/>
    <d v="2022-02-08T00:00:00"/>
    <x v="391"/>
    <s v="new to org"/>
    <x v="0"/>
    <b v="0"/>
    <b v="0"/>
    <b v="0"/>
    <b v="0"/>
    <b v="0"/>
    <b v="1"/>
  </r>
  <r>
    <n v="5369510"/>
    <s v="123-008-102-005"/>
    <s v="Data Scientist"/>
    <x v="4"/>
    <d v="2023-01-14T00:00:00"/>
    <s v="Kevin Lewis"/>
    <d v="2023-02-09T00:00:00"/>
    <x v="128"/>
    <s v="promo"/>
    <x v="0"/>
    <b v="0"/>
    <b v="0"/>
    <b v="0"/>
    <b v="0"/>
    <b v="1"/>
    <b v="0"/>
  </r>
  <r>
    <n v="5383091"/>
    <s v="123-004-126-010"/>
    <s v="Recruiter"/>
    <x v="1"/>
    <d v="2022-06-07T00:00:00"/>
    <s v="Joshua Evans"/>
    <d v="2022-07-04T00:00:00"/>
    <x v="261"/>
    <s v="promo"/>
    <x v="0"/>
    <b v="0"/>
    <b v="0"/>
    <b v="0"/>
    <b v="0"/>
    <b v="1"/>
    <b v="0"/>
  </r>
  <r>
    <n v="5383091"/>
    <s v="123-004-126-011"/>
    <s v="Recruiter"/>
    <x v="1"/>
    <d v="2022-09-01T00:00:00"/>
    <s v="Deborah Harris"/>
    <d v="2022-09-23T00:00:00"/>
    <x v="0"/>
    <m/>
    <x v="0"/>
    <b v="0"/>
    <b v="0"/>
    <b v="0"/>
    <b v="0"/>
    <b v="0"/>
    <b v="0"/>
  </r>
  <r>
    <n v="5383091"/>
    <s v="123-004-126-012"/>
    <s v="Recruiter"/>
    <x v="1"/>
    <d v="2022-12-20T00:00:00"/>
    <s v="Susan Torres"/>
    <d v="2022-12-22T00:00:00"/>
    <x v="298"/>
    <s v="promo"/>
    <x v="0"/>
    <b v="0"/>
    <b v="0"/>
    <b v="0"/>
    <b v="0"/>
    <b v="1"/>
    <b v="0"/>
  </r>
  <r>
    <n v="9934217"/>
    <s v="123-007-108-008"/>
    <s v="Customer Support Rep"/>
    <x v="3"/>
    <d v="2023-03-22T00:00:00"/>
    <s v="Kimberly Parker"/>
    <d v="2023-03-23T00:00:00"/>
    <x v="227"/>
    <s v="promo"/>
    <x v="0"/>
    <b v="0"/>
    <b v="0"/>
    <b v="0"/>
    <b v="0"/>
    <b v="1"/>
    <b v="0"/>
  </r>
  <r>
    <n v="9934217"/>
    <s v="123-007-108-009"/>
    <s v="Customer Support Rep"/>
    <x v="3"/>
    <d v="2022-11-20T00:00:00"/>
    <s v="Matthew Baker"/>
    <d v="2022-12-07T00:00:00"/>
    <x v="114"/>
    <m/>
    <x v="0"/>
    <b v="0"/>
    <b v="0"/>
    <b v="0"/>
    <b v="0"/>
    <b v="0"/>
    <b v="0"/>
  </r>
  <r>
    <n v="9934217"/>
    <s v="123-007-108-010"/>
    <s v="Customer Support Rep"/>
    <x v="3"/>
    <d v="2022-12-29T00:00:00"/>
    <s v="Ava Wright"/>
    <d v="2023-01-26T00:00:00"/>
    <x v="250"/>
    <s v="transfer"/>
    <x v="0"/>
    <b v="0"/>
    <b v="0"/>
    <b v="0"/>
    <b v="1"/>
    <b v="0"/>
    <b v="0"/>
  </r>
  <r>
    <n v="9934217"/>
    <s v="123-007-108-011"/>
    <s v="Customer Support Rep"/>
    <x v="3"/>
    <d v="2022-10-01T00:00:00"/>
    <s v="Nancy Moore"/>
    <d v="2022-10-27T00:00:00"/>
    <x v="172"/>
    <s v="new to org"/>
    <x v="0"/>
    <b v="0"/>
    <b v="0"/>
    <b v="0"/>
    <b v="0"/>
    <b v="0"/>
    <b v="1"/>
  </r>
  <r>
    <n v="5283960"/>
    <s v="123-010-121-007"/>
    <s v="UX Designer"/>
    <x v="5"/>
    <d v="2022-07-19T00:00:00"/>
    <s v="George Baker"/>
    <d v="2022-08-05T00:00:00"/>
    <x v="392"/>
    <s v="promo"/>
    <x v="0"/>
    <b v="0"/>
    <b v="0"/>
    <b v="0"/>
    <b v="0"/>
    <b v="1"/>
    <b v="0"/>
  </r>
  <r>
    <n v="5283960"/>
    <s v="123-010-121-008"/>
    <s v="UX Designer"/>
    <x v="5"/>
    <d v="2022-01-11T00:00:00"/>
    <s v="Christopher Scott"/>
    <d v="2022-02-02T00:00:00"/>
    <x v="301"/>
    <s v="promo"/>
    <x v="0"/>
    <b v="0"/>
    <b v="0"/>
    <b v="0"/>
    <b v="0"/>
    <b v="1"/>
    <b v="0"/>
  </r>
  <r>
    <n v="5283960"/>
    <s v="123-010-121-009"/>
    <s v="UX Designer"/>
    <x v="5"/>
    <d v="2023-06-22T00:00:00"/>
    <s v="Anthony Miller"/>
    <d v="2023-06-26T00:00:00"/>
    <x v="393"/>
    <s v="transfer"/>
    <x v="0"/>
    <b v="0"/>
    <b v="0"/>
    <b v="0"/>
    <b v="1"/>
    <b v="0"/>
    <b v="0"/>
  </r>
  <r>
    <n v="5283960"/>
    <s v="123-010-121-010"/>
    <s v="UX Designer"/>
    <x v="5"/>
    <d v="2022-09-15T00:00:00"/>
    <s v="George Jackson"/>
    <d v="2022-09-22T00:00:00"/>
    <x v="46"/>
    <s v="promo"/>
    <x v="0"/>
    <b v="0"/>
    <b v="0"/>
    <b v="0"/>
    <b v="0"/>
    <b v="1"/>
    <b v="0"/>
  </r>
  <r>
    <n v="1397627"/>
    <s v="123-002-120-010"/>
    <s v="Executive Assistant"/>
    <x v="6"/>
    <d v="2022-05-05T00:00:00"/>
    <s v="Charlotte Hill"/>
    <d v="2022-05-28T00:00:00"/>
    <x v="394"/>
    <s v="promo"/>
    <x v="0"/>
    <b v="0"/>
    <b v="0"/>
    <b v="0"/>
    <b v="0"/>
    <b v="1"/>
    <b v="0"/>
  </r>
  <r>
    <n v="2270273"/>
    <s v="123-008-121-006"/>
    <s v="UX Designer"/>
    <x v="4"/>
    <d v="2022-03-17T00:00:00"/>
    <s v="Thomas Hernandez"/>
    <d v="2022-03-26T00:00:00"/>
    <x v="395"/>
    <s v="new to org"/>
    <x v="0"/>
    <b v="0"/>
    <b v="0"/>
    <b v="0"/>
    <b v="0"/>
    <b v="0"/>
    <b v="1"/>
  </r>
  <r>
    <n v="2270273"/>
    <s v="123-008-121-008"/>
    <s v="UX Designer"/>
    <x v="4"/>
    <d v="2022-03-13T00:00:00"/>
    <s v="Barbara Lewis"/>
    <d v="2022-03-29T00:00:00"/>
    <x v="396"/>
    <s v="new to org"/>
    <x v="0"/>
    <b v="0"/>
    <b v="0"/>
    <b v="0"/>
    <b v="0"/>
    <b v="0"/>
    <b v="1"/>
  </r>
  <r>
    <n v="4366669"/>
    <s v="123-007-120-001"/>
    <s v="Executive Assistant"/>
    <x v="3"/>
    <d v="2023-03-18T00:00:00"/>
    <s v="Elizabeth Wright"/>
    <d v="2023-03-25T00:00:00"/>
    <x v="270"/>
    <s v="transfer"/>
    <x v="0"/>
    <b v="0"/>
    <b v="0"/>
    <b v="0"/>
    <b v="1"/>
    <b v="0"/>
    <b v="0"/>
  </r>
  <r>
    <n v="4366669"/>
    <s v="123-007-120-002"/>
    <s v="Executive Assistant"/>
    <x v="3"/>
    <d v="2022-04-16T00:00:00"/>
    <s v="Dorothy Taylor"/>
    <d v="2022-04-18T00:00:00"/>
    <x v="192"/>
    <m/>
    <x v="0"/>
    <b v="0"/>
    <b v="0"/>
    <b v="0"/>
    <b v="0"/>
    <b v="0"/>
    <b v="0"/>
  </r>
  <r>
    <n v="2181322"/>
    <s v="123-005-119-006"/>
    <s v="Account Manager"/>
    <x v="0"/>
    <d v="2023-02-04T00:00:00"/>
    <s v="Jackson Williams"/>
    <d v="2023-02-13T00:00:00"/>
    <x v="250"/>
    <s v="transfer"/>
    <x v="0"/>
    <b v="0"/>
    <b v="0"/>
    <b v="0"/>
    <b v="1"/>
    <b v="0"/>
    <b v="0"/>
  </r>
  <r>
    <n v="2181322"/>
    <s v="123-005-119-007"/>
    <s v="Account Manager"/>
    <x v="0"/>
    <d v="2023-06-12T00:00:00"/>
    <s v="Andrew Smith"/>
    <d v="2023-07-05T00:00:00"/>
    <x v="397"/>
    <m/>
    <x v="0"/>
    <b v="0"/>
    <b v="0"/>
    <b v="0"/>
    <b v="0"/>
    <b v="0"/>
    <b v="0"/>
  </r>
  <r>
    <n v="2181322"/>
    <s v="123-005-119-008"/>
    <s v="Account Manager"/>
    <x v="0"/>
    <d v="2022-03-13T00:00:00"/>
    <s v="Betty Diaz"/>
    <d v="2022-03-31T00:00:00"/>
    <x v="160"/>
    <m/>
    <x v="0"/>
    <b v="0"/>
    <b v="0"/>
    <b v="0"/>
    <b v="0"/>
    <b v="0"/>
    <b v="0"/>
  </r>
  <r>
    <n v="9980912"/>
    <s v="123-006-130-001"/>
    <s v="Biomedical Engineer"/>
    <x v="2"/>
    <d v="2022-04-03T00:00:00"/>
    <s v="Patricia Green"/>
    <d v="2022-04-15T00:00:00"/>
    <x v="221"/>
    <m/>
    <x v="0"/>
    <b v="0"/>
    <b v="0"/>
    <b v="0"/>
    <b v="0"/>
    <b v="0"/>
    <b v="0"/>
  </r>
  <r>
    <n v="9980912"/>
    <s v="123-006-130-002"/>
    <s v="Biomedical Engineer"/>
    <x v="2"/>
    <d v="2023-04-16T00:00:00"/>
    <s v="Jennifer Turner"/>
    <d v="2023-05-11T00:00:00"/>
    <x v="186"/>
    <s v="new to org"/>
    <x v="0"/>
    <b v="0"/>
    <b v="0"/>
    <b v="0"/>
    <b v="0"/>
    <b v="0"/>
    <b v="1"/>
  </r>
  <r>
    <n v="4204501"/>
    <s v="123-007-110-006"/>
    <s v="Legal Advisor"/>
    <x v="3"/>
    <d v="2023-03-25T00:00:00"/>
    <s v="Ashley Garcia"/>
    <d v="2023-04-18T00:00:00"/>
    <x v="52"/>
    <s v="new to org"/>
    <x v="0"/>
    <b v="0"/>
    <b v="0"/>
    <b v="0"/>
    <b v="0"/>
    <b v="0"/>
    <b v="1"/>
  </r>
  <r>
    <n v="3347853"/>
    <s v="123-004-102-001"/>
    <s v="Data Scientist"/>
    <x v="1"/>
    <d v="2022-03-06T00:00:00"/>
    <s v="Ashley Harris"/>
    <d v="2022-04-01T00:00:00"/>
    <x v="398"/>
    <s v="promo"/>
    <x v="0"/>
    <b v="0"/>
    <b v="0"/>
    <b v="0"/>
    <b v="0"/>
    <b v="1"/>
    <b v="0"/>
  </r>
  <r>
    <n v="6162867"/>
    <s v="123-009-116-005"/>
    <s v="Content Writer"/>
    <x v="7"/>
    <d v="2022-02-27T00:00:00"/>
    <s v="Robert Perez"/>
    <d v="2022-03-10T00:00:00"/>
    <x v="18"/>
    <s v="transfer"/>
    <x v="0"/>
    <b v="0"/>
    <b v="0"/>
    <b v="0"/>
    <b v="1"/>
    <b v="0"/>
    <b v="0"/>
  </r>
  <r>
    <n v="6162867"/>
    <s v="123-009-116-006"/>
    <s v="Content Writer"/>
    <x v="7"/>
    <d v="2023-06-20T00:00:00"/>
    <s v="Linda Wilson"/>
    <d v="2023-07-05T00:00:00"/>
    <x v="371"/>
    <m/>
    <x v="0"/>
    <b v="0"/>
    <b v="0"/>
    <b v="0"/>
    <b v="0"/>
    <b v="0"/>
    <b v="0"/>
  </r>
  <r>
    <n v="6162867"/>
    <s v="123-009-116-007"/>
    <s v="Content Writer"/>
    <x v="7"/>
    <d v="2022-08-27T00:00:00"/>
    <s v="Melissa Nguyen"/>
    <d v="2022-09-26T00:00:00"/>
    <x v="399"/>
    <s v="promo"/>
    <x v="0"/>
    <b v="0"/>
    <b v="0"/>
    <b v="0"/>
    <b v="0"/>
    <b v="1"/>
    <b v="0"/>
  </r>
  <r>
    <n v="2632292"/>
    <s v="123-010-115-015"/>
    <s v="Graphic Designer"/>
    <x v="5"/>
    <d v="2022-04-19T00:00:00"/>
    <s v="Isabella Evans"/>
    <d v="2022-04-23T00:00:00"/>
    <x v="126"/>
    <s v="transfer"/>
    <x v="0"/>
    <b v="0"/>
    <b v="0"/>
    <b v="0"/>
    <b v="1"/>
    <b v="0"/>
    <b v="0"/>
  </r>
  <r>
    <n v="2632292"/>
    <s v="123-010-115-016"/>
    <s v="Graphic Designer"/>
    <x v="5"/>
    <d v="2022-07-27T00:00:00"/>
    <s v="John Phillips"/>
    <d v="2022-08-10T00:00:00"/>
    <x v="307"/>
    <s v="promo"/>
    <x v="0"/>
    <b v="0"/>
    <b v="0"/>
    <b v="0"/>
    <b v="0"/>
    <b v="1"/>
    <b v="0"/>
  </r>
  <r>
    <n v="7744585"/>
    <s v="123-002-111-006"/>
    <s v="Product Manager"/>
    <x v="6"/>
    <d v="2022-08-07T00:00:00"/>
    <s v="Mason Gomez"/>
    <d v="2022-09-01T00:00:00"/>
    <x v="17"/>
    <s v="new to org"/>
    <x v="0"/>
    <b v="0"/>
    <b v="0"/>
    <b v="0"/>
    <b v="0"/>
    <b v="0"/>
    <b v="1"/>
  </r>
  <r>
    <n v="7744585"/>
    <s v="123-002-111-007"/>
    <s v="Product Manager"/>
    <x v="6"/>
    <d v="2022-10-08T00:00:00"/>
    <s v="John Davis"/>
    <d v="2022-10-13T00:00:00"/>
    <x v="273"/>
    <s v="new to org"/>
    <x v="0"/>
    <b v="0"/>
    <b v="0"/>
    <b v="0"/>
    <b v="0"/>
    <b v="0"/>
    <b v="1"/>
  </r>
  <r>
    <n v="7744585"/>
    <s v="123-002-111-008"/>
    <s v="Product Manager"/>
    <x v="6"/>
    <d v="2023-03-26T00:00:00"/>
    <s v="Emily Hernandez"/>
    <d v="2023-04-03T00:00:00"/>
    <x v="54"/>
    <s v="new to org"/>
    <x v="0"/>
    <b v="0"/>
    <b v="0"/>
    <b v="0"/>
    <b v="0"/>
    <b v="0"/>
    <b v="1"/>
  </r>
  <r>
    <n v="7744585"/>
    <s v="123-002-111-009"/>
    <s v="Product Manager"/>
    <x v="6"/>
    <d v="2023-01-21T00:00:00"/>
    <s v="Michael Gomez"/>
    <d v="2023-02-15T00:00:00"/>
    <x v="336"/>
    <s v="promo"/>
    <x v="0"/>
    <b v="0"/>
    <b v="0"/>
    <b v="0"/>
    <b v="0"/>
    <b v="1"/>
    <b v="0"/>
  </r>
  <r>
    <n v="4010048"/>
    <s v="123-002-130-012"/>
    <s v="Biomedical Engineer"/>
    <x v="6"/>
    <d v="2023-05-03T00:00:00"/>
    <s v="Brian Phillips"/>
    <d v="2023-05-26T00:00:00"/>
    <x v="168"/>
    <m/>
    <x v="0"/>
    <b v="0"/>
    <b v="0"/>
    <b v="0"/>
    <b v="0"/>
    <b v="0"/>
    <b v="0"/>
  </r>
  <r>
    <n v="4010048"/>
    <s v="123-002-130-014"/>
    <s v="Biomedical Engineer"/>
    <x v="6"/>
    <d v="2022-02-08T00:00:00"/>
    <s v="Michelle Hall"/>
    <d v="2022-02-28T00:00:00"/>
    <x v="400"/>
    <s v="promo"/>
    <x v="0"/>
    <b v="0"/>
    <b v="0"/>
    <b v="0"/>
    <b v="0"/>
    <b v="1"/>
    <b v="0"/>
  </r>
  <r>
    <n v="4010048"/>
    <s v="123-002-130-015"/>
    <s v="Biomedical Engineer"/>
    <x v="6"/>
    <d v="2022-11-05T00:00:00"/>
    <s v="Kenneth Evans"/>
    <d v="2022-11-17T00:00:00"/>
    <x v="75"/>
    <s v="transfer"/>
    <x v="0"/>
    <b v="0"/>
    <b v="0"/>
    <b v="0"/>
    <b v="1"/>
    <b v="0"/>
    <b v="0"/>
  </r>
  <r>
    <n v="2605308"/>
    <s v="123-006-120-001"/>
    <s v="Executive Assistant"/>
    <x v="2"/>
    <d v="2022-08-02T00:00:00"/>
    <s v="Deborah Green"/>
    <d v="2022-08-11T00:00:00"/>
    <x v="401"/>
    <m/>
    <x v="0"/>
    <b v="0"/>
    <b v="0"/>
    <b v="0"/>
    <b v="0"/>
    <b v="0"/>
    <b v="0"/>
  </r>
  <r>
    <n v="2605308"/>
    <s v="123-006-120-004"/>
    <s v="Executive Assistant"/>
    <x v="2"/>
    <d v="2022-12-09T00:00:00"/>
    <s v="Margaret Taylor"/>
    <d v="2022-12-29T00:00:00"/>
    <x v="402"/>
    <s v="promo"/>
    <x v="0"/>
    <b v="0"/>
    <b v="0"/>
    <b v="0"/>
    <b v="0"/>
    <b v="1"/>
    <b v="0"/>
  </r>
  <r>
    <n v="2605308"/>
    <s v="123-006-120-005"/>
    <s v="Executive Assistant"/>
    <x v="2"/>
    <d v="2022-02-23T00:00:00"/>
    <s v="Robert Miller"/>
    <d v="2022-03-25T00:00:00"/>
    <x v="6"/>
    <m/>
    <x v="0"/>
    <b v="0"/>
    <b v="0"/>
    <b v="0"/>
    <b v="0"/>
    <b v="0"/>
    <b v="0"/>
  </r>
  <r>
    <n v="3950904"/>
    <s v="123-001-106-005"/>
    <s v="Marketing Coordinator"/>
    <x v="9"/>
    <d v="2023-04-01T00:00:00"/>
    <s v="Lucas Thomas"/>
    <d v="2023-04-20T00:00:00"/>
    <x v="320"/>
    <s v="transfer"/>
    <x v="0"/>
    <b v="0"/>
    <b v="0"/>
    <b v="0"/>
    <b v="1"/>
    <b v="0"/>
    <b v="0"/>
  </r>
  <r>
    <n v="3950904"/>
    <s v="123-001-106-006"/>
    <s v="Marketing Coordinator"/>
    <x v="9"/>
    <d v="2022-11-30T00:00:00"/>
    <s v="Melissa Baker"/>
    <d v="2022-12-08T00:00:00"/>
    <x v="403"/>
    <s v="promo"/>
    <x v="0"/>
    <b v="0"/>
    <b v="0"/>
    <b v="0"/>
    <b v="0"/>
    <b v="1"/>
    <b v="0"/>
  </r>
  <r>
    <n v="3950904"/>
    <s v="123-001-106-008"/>
    <s v="Marketing Coordinator"/>
    <x v="9"/>
    <d v="2022-08-14T00:00:00"/>
    <s v="Matthew Edwards"/>
    <d v="2022-08-17T00:00:00"/>
    <x v="156"/>
    <s v="promo"/>
    <x v="0"/>
    <b v="0"/>
    <b v="0"/>
    <b v="0"/>
    <b v="0"/>
    <b v="1"/>
    <b v="0"/>
  </r>
  <r>
    <n v="3630468"/>
    <s v="123-010-126-001"/>
    <s v="Recruiter"/>
    <x v="5"/>
    <d v="2023-06-19T00:00:00"/>
    <s v="Jennifer Clark"/>
    <d v="2023-07-05T00:00:00"/>
    <x v="316"/>
    <s v="promo"/>
    <x v="0"/>
    <b v="0"/>
    <b v="0"/>
    <b v="0"/>
    <b v="0"/>
    <b v="1"/>
    <b v="0"/>
  </r>
  <r>
    <n v="3630468"/>
    <s v="123-010-126-002"/>
    <s v="Recruiter"/>
    <x v="5"/>
    <d v="2022-10-13T00:00:00"/>
    <s v="Mason Robinson"/>
    <d v="2022-10-14T00:00:00"/>
    <x v="108"/>
    <m/>
    <x v="0"/>
    <b v="0"/>
    <b v="0"/>
    <b v="0"/>
    <b v="0"/>
    <b v="0"/>
    <b v="0"/>
  </r>
  <r>
    <n v="8182500"/>
    <s v="123-004-124-002"/>
    <s v="Compliance Officer"/>
    <x v="1"/>
    <d v="2022-02-11T00:00:00"/>
    <s v="Anthony Williams"/>
    <d v="2022-02-27T00:00:00"/>
    <x v="160"/>
    <s v="transfer"/>
    <x v="0"/>
    <b v="0"/>
    <b v="0"/>
    <b v="0"/>
    <b v="1"/>
    <b v="0"/>
    <b v="0"/>
  </r>
  <r>
    <n v="9459346"/>
    <s v="123-007-102-004"/>
    <s v="Data Scientist"/>
    <x v="3"/>
    <d v="2022-01-13T00:00:00"/>
    <s v="Emily Carter"/>
    <d v="2022-02-05T00:00:00"/>
    <x v="137"/>
    <s v="transfer"/>
    <x v="0"/>
    <b v="0"/>
    <b v="0"/>
    <b v="0"/>
    <b v="1"/>
    <b v="0"/>
    <b v="0"/>
  </r>
  <r>
    <n v="9459346"/>
    <s v="123-007-102-005"/>
    <s v="Data Scientist"/>
    <x v="3"/>
    <d v="2022-10-30T00:00:00"/>
    <s v="William Thompson"/>
    <d v="2022-11-07T00:00:00"/>
    <x v="342"/>
    <s v="promo"/>
    <x v="0"/>
    <b v="0"/>
    <b v="0"/>
    <b v="0"/>
    <b v="0"/>
    <b v="1"/>
    <b v="0"/>
  </r>
  <r>
    <n v="9459346"/>
    <s v="123-007-102-006"/>
    <s v="Data Scientist"/>
    <x v="3"/>
    <d v="2022-11-09T00:00:00"/>
    <s v="Donald Nelson"/>
    <d v="2022-11-15T00:00:00"/>
    <x v="138"/>
    <s v="transfer"/>
    <x v="0"/>
    <b v="0"/>
    <b v="0"/>
    <b v="0"/>
    <b v="1"/>
    <b v="0"/>
    <b v="0"/>
  </r>
  <r>
    <n v="9459346"/>
    <s v="123-007-102-007"/>
    <s v="Data Scientist"/>
    <x v="3"/>
    <d v="2022-05-22T00:00:00"/>
    <s v="Sandra Robinson"/>
    <d v="2022-06-19T00:00:00"/>
    <x v="77"/>
    <s v="transfer"/>
    <x v="0"/>
    <b v="0"/>
    <b v="0"/>
    <b v="0"/>
    <b v="1"/>
    <b v="0"/>
    <b v="0"/>
  </r>
  <r>
    <n v="7800818"/>
    <s v="123-006-106-006"/>
    <s v="Marketing Coordinator"/>
    <x v="2"/>
    <d v="2022-03-14T00:00:00"/>
    <s v="Logan Green"/>
    <d v="2022-03-27T00:00:00"/>
    <x v="404"/>
    <s v="transfer"/>
    <x v="0"/>
    <b v="0"/>
    <b v="0"/>
    <b v="0"/>
    <b v="1"/>
    <b v="0"/>
    <b v="0"/>
  </r>
  <r>
    <n v="7800818"/>
    <s v="123-006-106-007"/>
    <s v="Marketing Coordinator"/>
    <x v="2"/>
    <d v="2022-10-04T00:00:00"/>
    <s v="Charles Ramirez"/>
    <d v="2022-10-27T00:00:00"/>
    <x v="346"/>
    <s v="transfer"/>
    <x v="0"/>
    <b v="0"/>
    <b v="0"/>
    <b v="0"/>
    <b v="1"/>
    <b v="0"/>
    <b v="0"/>
  </r>
  <r>
    <n v="7800818"/>
    <s v="123-006-106-008"/>
    <s v="Marketing Coordinator"/>
    <x v="2"/>
    <d v="2022-03-24T00:00:00"/>
    <s v="Sophia Baker"/>
    <d v="2022-04-13T00:00:00"/>
    <x v="293"/>
    <s v="promo"/>
    <x v="0"/>
    <b v="0"/>
    <b v="0"/>
    <b v="0"/>
    <b v="0"/>
    <b v="1"/>
    <b v="0"/>
  </r>
  <r>
    <n v="7800818"/>
    <s v="123-006-106-009"/>
    <s v="Marketing Coordinator"/>
    <x v="2"/>
    <d v="2023-01-08T00:00:00"/>
    <s v="Steven Collins"/>
    <d v="2023-02-06T00:00:00"/>
    <x v="94"/>
    <s v="transfer"/>
    <x v="0"/>
    <b v="0"/>
    <b v="0"/>
    <b v="0"/>
    <b v="1"/>
    <b v="0"/>
    <b v="0"/>
  </r>
  <r>
    <n v="2861709"/>
    <s v="123-006-113-003"/>
    <s v="Operations Supervisor"/>
    <x v="2"/>
    <d v="2022-03-10T00:00:00"/>
    <s v="Lisa Lopez"/>
    <d v="2022-03-28T00:00:00"/>
    <x v="405"/>
    <s v="new to org"/>
    <x v="0"/>
    <b v="0"/>
    <b v="0"/>
    <b v="0"/>
    <b v="0"/>
    <b v="0"/>
    <b v="1"/>
  </r>
  <r>
    <n v="2861709"/>
    <s v="123-006-113-004"/>
    <s v="Operations Supervisor"/>
    <x v="2"/>
    <d v="2022-04-27T00:00:00"/>
    <s v="Nancy Thomas"/>
    <d v="2022-05-18T00:00:00"/>
    <x v="281"/>
    <s v="promo"/>
    <x v="0"/>
    <b v="0"/>
    <b v="0"/>
    <b v="0"/>
    <b v="0"/>
    <b v="1"/>
    <b v="0"/>
  </r>
  <r>
    <n v="2861709"/>
    <s v="123-006-113-005"/>
    <s v="Operations Supervisor"/>
    <x v="2"/>
    <d v="2022-08-19T00:00:00"/>
    <s v="Edward Mitchell"/>
    <d v="2022-08-30T00:00:00"/>
    <x v="406"/>
    <s v="promo"/>
    <x v="0"/>
    <b v="0"/>
    <b v="0"/>
    <b v="0"/>
    <b v="0"/>
    <b v="1"/>
    <b v="0"/>
  </r>
  <r>
    <n v="2861709"/>
    <s v="123-006-113-006"/>
    <s v="Operations Supervisor"/>
    <x v="2"/>
    <d v="2022-03-06T00:00:00"/>
    <s v="Sarah Brown"/>
    <d v="2022-03-18T00:00:00"/>
    <x v="216"/>
    <m/>
    <x v="0"/>
    <b v="0"/>
    <b v="0"/>
    <b v="0"/>
    <b v="0"/>
    <b v="0"/>
    <b v="0"/>
  </r>
  <r>
    <n v="8590191"/>
    <s v="123-009-116-009"/>
    <s v="Content Writer"/>
    <x v="7"/>
    <d v="2023-06-30T00:00:00"/>
    <s v="Dorothy Wright"/>
    <d v="2023-07-29T00:00:00"/>
    <x v="96"/>
    <m/>
    <x v="0"/>
    <b v="0"/>
    <b v="0"/>
    <b v="0"/>
    <b v="0"/>
    <b v="0"/>
    <b v="0"/>
  </r>
  <r>
    <n v="8590191"/>
    <s v="123-009-116-010"/>
    <s v="Content Writer"/>
    <x v="7"/>
    <d v="2022-03-09T00:00:00"/>
    <s v="Ethan Baker"/>
    <d v="2022-03-16T00:00:00"/>
    <x v="405"/>
    <s v="new to org"/>
    <x v="0"/>
    <b v="0"/>
    <b v="0"/>
    <b v="0"/>
    <b v="0"/>
    <b v="0"/>
    <b v="1"/>
  </r>
  <r>
    <n v="8590191"/>
    <s v="123-009-116-011"/>
    <s v="Content Writer"/>
    <x v="7"/>
    <d v="2022-07-03T00:00:00"/>
    <s v="Jennifer Sanchez"/>
    <d v="2022-07-13T00:00:00"/>
    <x v="134"/>
    <s v="transfer"/>
    <x v="0"/>
    <b v="0"/>
    <b v="0"/>
    <b v="0"/>
    <b v="1"/>
    <b v="0"/>
    <b v="0"/>
  </r>
  <r>
    <n v="7988325"/>
    <s v="123-009-122-001"/>
    <s v="DevOps Engineer"/>
    <x v="7"/>
    <d v="2022-01-22T00:00:00"/>
    <s v="Mark Mitchell"/>
    <d v="2022-02-01T00:00:00"/>
    <x v="266"/>
    <m/>
    <x v="0"/>
    <b v="0"/>
    <b v="0"/>
    <b v="0"/>
    <b v="0"/>
    <b v="0"/>
    <b v="0"/>
  </r>
  <r>
    <n v="9717785"/>
    <s v="123-006-121-003"/>
    <s v="UX Designer"/>
    <x v="2"/>
    <d v="2023-06-27T00:00:00"/>
    <s v="Ashley Nguyen"/>
    <d v="2023-07-24T00:00:00"/>
    <x v="407"/>
    <s v="new to org"/>
    <x v="0"/>
    <b v="0"/>
    <b v="0"/>
    <b v="0"/>
    <b v="0"/>
    <b v="0"/>
    <b v="1"/>
  </r>
  <r>
    <n v="9717785"/>
    <s v="123-006-121-004"/>
    <s v="UX Designer"/>
    <x v="2"/>
    <d v="2022-11-10T00:00:00"/>
    <s v="Andrew Rodriguez"/>
    <d v="2022-11-16T00:00:00"/>
    <x v="408"/>
    <s v="new to org"/>
    <x v="0"/>
    <b v="0"/>
    <b v="0"/>
    <b v="0"/>
    <b v="0"/>
    <b v="0"/>
    <b v="1"/>
  </r>
  <r>
    <n v="9717785"/>
    <s v="123-006-121-006"/>
    <s v="UX Designer"/>
    <x v="2"/>
    <d v="2023-04-12T00:00:00"/>
    <s v="Daniel Jackson"/>
    <d v="2023-04-18T00:00:00"/>
    <x v="320"/>
    <s v="promo"/>
    <x v="0"/>
    <b v="0"/>
    <b v="0"/>
    <b v="0"/>
    <b v="0"/>
    <b v="1"/>
    <b v="0"/>
  </r>
  <r>
    <n v="6317433"/>
    <s v="123-003-112-005"/>
    <s v="Business Analyst"/>
    <x v="8"/>
    <d v="2022-05-05T00:00:00"/>
    <s v="Paul Martin"/>
    <d v="2022-06-04T00:00:00"/>
    <x v="243"/>
    <s v="promo"/>
    <x v="0"/>
    <b v="0"/>
    <b v="0"/>
    <b v="0"/>
    <b v="0"/>
    <b v="1"/>
    <b v="0"/>
  </r>
  <r>
    <n v="6317433"/>
    <s v="123-003-112-006"/>
    <s v="Business Analyst"/>
    <x v="8"/>
    <d v="2023-04-15T00:00:00"/>
    <s v="Deborah Martinez"/>
    <d v="2023-05-15T00:00:00"/>
    <x v="224"/>
    <m/>
    <x v="0"/>
    <b v="0"/>
    <b v="0"/>
    <b v="0"/>
    <b v="0"/>
    <b v="0"/>
    <b v="0"/>
  </r>
  <r>
    <n v="5958621"/>
    <s v="123-005-116-005"/>
    <s v="Content Writer"/>
    <x v="0"/>
    <d v="2022-04-26T00:00:00"/>
    <s v="Nancy Hall"/>
    <d v="2022-05-20T00:00:00"/>
    <x v="194"/>
    <m/>
    <x v="0"/>
    <b v="0"/>
    <b v="0"/>
    <b v="0"/>
    <b v="0"/>
    <b v="0"/>
    <b v="0"/>
  </r>
  <r>
    <n v="5958621"/>
    <s v="123-005-116-006"/>
    <s v="Content Writer"/>
    <x v="0"/>
    <d v="2022-04-30T00:00:00"/>
    <s v="Amanda Scott"/>
    <d v="2022-05-10T00:00:00"/>
    <x v="409"/>
    <s v="promo"/>
    <x v="0"/>
    <b v="0"/>
    <b v="0"/>
    <b v="0"/>
    <b v="0"/>
    <b v="1"/>
    <b v="0"/>
  </r>
  <r>
    <n v="5958621"/>
    <s v="123-005-116-007"/>
    <s v="Content Writer"/>
    <x v="0"/>
    <d v="2022-04-05T00:00:00"/>
    <s v="Mark Thompson"/>
    <d v="2022-04-16T00:00:00"/>
    <x v="410"/>
    <s v="promo"/>
    <x v="0"/>
    <b v="0"/>
    <b v="0"/>
    <b v="0"/>
    <b v="0"/>
    <b v="1"/>
    <b v="0"/>
  </r>
  <r>
    <n v="5958621"/>
    <s v="123-005-116-008"/>
    <s v="Content Writer"/>
    <x v="0"/>
    <d v="2022-08-16T00:00:00"/>
    <s v="Donna King"/>
    <d v="2022-09-11T00:00:00"/>
    <x v="411"/>
    <s v="promo"/>
    <x v="0"/>
    <b v="0"/>
    <b v="0"/>
    <b v="0"/>
    <b v="0"/>
    <b v="1"/>
    <b v="0"/>
  </r>
  <r>
    <n v="5958621"/>
    <s v="123-005-116-009"/>
    <s v="Content Writer"/>
    <x v="0"/>
    <d v="2023-04-02T00:00:00"/>
    <s v="Mary Garcia"/>
    <d v="2023-04-24T00:00:00"/>
    <x v="386"/>
    <s v="promo"/>
    <x v="0"/>
    <b v="0"/>
    <b v="0"/>
    <b v="0"/>
    <b v="0"/>
    <b v="1"/>
    <b v="0"/>
  </r>
  <r>
    <n v="2465941"/>
    <s v="123-007-117-001"/>
    <s v="Quality Assurance"/>
    <x v="3"/>
    <d v="2023-01-05T00:00:00"/>
    <s v="Ava Nelson"/>
    <d v="2023-01-18T00:00:00"/>
    <x v="42"/>
    <s v="transfer"/>
    <x v="0"/>
    <b v="0"/>
    <b v="0"/>
    <b v="0"/>
    <b v="1"/>
    <b v="0"/>
    <b v="0"/>
  </r>
  <r>
    <n v="2465941"/>
    <s v="123-007-117-002"/>
    <s v="Quality Assurance"/>
    <x v="3"/>
    <d v="2023-01-17T00:00:00"/>
    <s v="Lisa Harris"/>
    <d v="2023-01-18T00:00:00"/>
    <x v="64"/>
    <m/>
    <x v="0"/>
    <b v="0"/>
    <b v="0"/>
    <b v="0"/>
    <b v="0"/>
    <b v="0"/>
    <b v="0"/>
  </r>
  <r>
    <n v="6786800"/>
    <s v="123-005-112-001"/>
    <s v="Business Analyst"/>
    <x v="0"/>
    <d v="2023-03-31T00:00:00"/>
    <s v="Susan Campbell"/>
    <d v="2023-04-24T00:00:00"/>
    <x v="412"/>
    <s v="transfer"/>
    <x v="0"/>
    <b v="0"/>
    <b v="0"/>
    <b v="0"/>
    <b v="1"/>
    <b v="0"/>
    <b v="0"/>
  </r>
  <r>
    <n v="6786800"/>
    <s v="123-005-112-002"/>
    <s v="Business Analyst"/>
    <x v="0"/>
    <d v="2023-03-11T00:00:00"/>
    <s v="David Phillips"/>
    <d v="2023-04-04T00:00:00"/>
    <x v="140"/>
    <s v="new to org"/>
    <x v="0"/>
    <b v="0"/>
    <b v="0"/>
    <b v="0"/>
    <b v="0"/>
    <b v="0"/>
    <b v="1"/>
  </r>
  <r>
    <n v="6786800"/>
    <s v="123-005-112-003"/>
    <s v="Business Analyst"/>
    <x v="0"/>
    <d v="2022-11-07T00:00:00"/>
    <s v="Elizabeth Wilson"/>
    <d v="2022-11-23T00:00:00"/>
    <x v="295"/>
    <s v="transfer"/>
    <x v="0"/>
    <b v="0"/>
    <b v="0"/>
    <b v="0"/>
    <b v="1"/>
    <b v="0"/>
    <b v="0"/>
  </r>
  <r>
    <n v="6786800"/>
    <s v="123-005-112-004"/>
    <s v="Business Analyst"/>
    <x v="0"/>
    <d v="2023-01-20T00:00:00"/>
    <s v="John Nguyen"/>
    <d v="2023-01-23T00:00:00"/>
    <x v="413"/>
    <s v="new to org"/>
    <x v="0"/>
    <b v="0"/>
    <b v="0"/>
    <b v="0"/>
    <b v="0"/>
    <b v="0"/>
    <b v="1"/>
  </r>
  <r>
    <n v="7869609"/>
    <s v="123-005-121-003"/>
    <s v="UX Designer"/>
    <x v="0"/>
    <d v="2022-11-08T00:00:00"/>
    <s v="Mason Nguyen"/>
    <d v="2022-11-24T00:00:00"/>
    <x v="145"/>
    <s v="new to org"/>
    <x v="0"/>
    <b v="0"/>
    <b v="0"/>
    <b v="0"/>
    <b v="0"/>
    <b v="0"/>
    <b v="1"/>
  </r>
  <r>
    <n v="7869609"/>
    <s v="123-005-121-004"/>
    <s v="UX Designer"/>
    <x v="0"/>
    <d v="2022-01-03T00:00:00"/>
    <s v="Mary Gomez"/>
    <d v="2022-01-08T00:00:00"/>
    <x v="414"/>
    <s v="promo"/>
    <x v="0"/>
    <b v="0"/>
    <b v="0"/>
    <b v="0"/>
    <b v="0"/>
    <b v="1"/>
    <b v="0"/>
  </r>
  <r>
    <n v="6036006"/>
    <s v="123-008-121-009"/>
    <s v="UX Designer"/>
    <x v="4"/>
    <d v="2023-05-19T00:00:00"/>
    <s v="Anthony Lopez"/>
    <d v="2023-06-18T00:00:00"/>
    <x v="356"/>
    <s v="new to org"/>
    <x v="0"/>
    <b v="0"/>
    <b v="0"/>
    <b v="0"/>
    <b v="0"/>
    <b v="0"/>
    <b v="1"/>
  </r>
  <r>
    <n v="5106228"/>
    <s v="123-002-101-001"/>
    <s v="Software Engineer"/>
    <x v="6"/>
    <d v="2023-01-06T00:00:00"/>
    <s v="Joshua Mitchell"/>
    <d v="2023-01-25T00:00:00"/>
    <x v="324"/>
    <s v="transfer"/>
    <x v="0"/>
    <b v="0"/>
    <b v="0"/>
    <b v="0"/>
    <b v="1"/>
    <b v="0"/>
    <b v="0"/>
  </r>
  <r>
    <n v="5106228"/>
    <s v="123-002-101-002"/>
    <s v="Software Engineer"/>
    <x v="6"/>
    <d v="2023-05-03T00:00:00"/>
    <s v="Kenneth Baker"/>
    <d v="2023-05-26T00:00:00"/>
    <x v="367"/>
    <s v="new to org"/>
    <x v="0"/>
    <b v="0"/>
    <b v="0"/>
    <b v="0"/>
    <b v="0"/>
    <b v="0"/>
    <b v="1"/>
  </r>
  <r>
    <n v="3739867"/>
    <s v="123-005-102-001"/>
    <s v="Data Scientist"/>
    <x v="0"/>
    <d v="2022-10-26T00:00:00"/>
    <s v="Patricia Jackson"/>
    <d v="2022-11-12T00:00:00"/>
    <x v="415"/>
    <s v="new to org"/>
    <x v="0"/>
    <b v="0"/>
    <b v="0"/>
    <b v="0"/>
    <b v="0"/>
    <b v="0"/>
    <b v="1"/>
  </r>
  <r>
    <n v="3739867"/>
    <s v="123-005-102-002"/>
    <s v="Data Scientist"/>
    <x v="0"/>
    <d v="2022-07-07T00:00:00"/>
    <s v="Deborah Green"/>
    <d v="2022-08-01T00:00:00"/>
    <x v="335"/>
    <s v="promo"/>
    <x v="0"/>
    <b v="0"/>
    <b v="0"/>
    <b v="0"/>
    <b v="0"/>
    <b v="1"/>
    <b v="0"/>
  </r>
  <r>
    <n v="3739867"/>
    <s v="123-005-102-003"/>
    <s v="Data Scientist"/>
    <x v="0"/>
    <d v="2022-11-20T00:00:00"/>
    <s v="Paul Lee"/>
    <d v="2022-12-17T00:00:00"/>
    <x v="94"/>
    <s v="promo"/>
    <x v="0"/>
    <b v="0"/>
    <b v="0"/>
    <b v="0"/>
    <b v="0"/>
    <b v="1"/>
    <b v="0"/>
  </r>
  <r>
    <n v="6051155"/>
    <s v="123-006-109-004"/>
    <s v="IT Technician"/>
    <x v="2"/>
    <d v="2022-01-14T00:00:00"/>
    <s v="Isabella Martinez"/>
    <d v="2022-01-19T00:00:00"/>
    <x v="416"/>
    <s v="new to org"/>
    <x v="0"/>
    <b v="0"/>
    <b v="0"/>
    <b v="0"/>
    <b v="0"/>
    <b v="0"/>
    <b v="1"/>
  </r>
  <r>
    <n v="5721406"/>
    <s v="123-008-112-003"/>
    <s v="Business Analyst"/>
    <x v="4"/>
    <d v="2022-03-20T00:00:00"/>
    <s v="Anthony Robinson"/>
    <d v="2022-03-24T00:00:00"/>
    <x v="289"/>
    <s v="transfer"/>
    <x v="0"/>
    <b v="0"/>
    <b v="0"/>
    <b v="0"/>
    <b v="1"/>
    <b v="0"/>
    <b v="0"/>
  </r>
  <r>
    <n v="7082891"/>
    <s v="123-008-105-008"/>
    <s v="Financial Analyst"/>
    <x v="4"/>
    <d v="2022-11-08T00:00:00"/>
    <s v="Barbara Rivera"/>
    <d v="2022-11-09T00:00:00"/>
    <x v="311"/>
    <s v="new to org"/>
    <x v="0"/>
    <b v="0"/>
    <b v="0"/>
    <b v="0"/>
    <b v="0"/>
    <b v="0"/>
    <b v="1"/>
  </r>
  <r>
    <n v="7082891"/>
    <s v="123-008-105-009"/>
    <s v="Financial Analyst"/>
    <x v="4"/>
    <d v="2022-05-26T00:00:00"/>
    <s v="William Diaz"/>
    <d v="2022-06-18T00:00:00"/>
    <x v="343"/>
    <s v="promo"/>
    <x v="0"/>
    <b v="0"/>
    <b v="0"/>
    <b v="0"/>
    <b v="0"/>
    <b v="1"/>
    <b v="0"/>
  </r>
  <r>
    <n v="7082891"/>
    <s v="123-008-105-010"/>
    <s v="Financial Analyst"/>
    <x v="4"/>
    <d v="2023-03-12T00:00:00"/>
    <s v="William Garcia"/>
    <d v="2023-04-04T00:00:00"/>
    <x v="189"/>
    <s v="promo"/>
    <x v="0"/>
    <b v="0"/>
    <b v="0"/>
    <b v="0"/>
    <b v="0"/>
    <b v="1"/>
    <b v="0"/>
  </r>
  <r>
    <n v="7082891"/>
    <s v="123-008-105-011"/>
    <s v="Financial Analyst"/>
    <x v="4"/>
    <d v="2023-05-11T00:00:00"/>
    <s v="Mary Roberts"/>
    <d v="2023-06-05T00:00:00"/>
    <x v="353"/>
    <s v="transfer"/>
    <x v="0"/>
    <b v="0"/>
    <b v="0"/>
    <b v="0"/>
    <b v="1"/>
    <b v="0"/>
    <b v="0"/>
  </r>
  <r>
    <n v="6897756"/>
    <s v="123-002-101-004"/>
    <s v="Software Engineer"/>
    <x v="6"/>
    <d v="2022-12-23T00:00:00"/>
    <s v="Charlotte Nguyen"/>
    <d v="2023-01-04T00:00:00"/>
    <x v="29"/>
    <s v="new to org"/>
    <x v="0"/>
    <b v="0"/>
    <b v="0"/>
    <b v="0"/>
    <b v="0"/>
    <b v="0"/>
    <b v="1"/>
  </r>
  <r>
    <n v="6897756"/>
    <s v="123-002-101-005"/>
    <s v="Software Engineer"/>
    <x v="6"/>
    <d v="2022-03-11T00:00:00"/>
    <s v="Steven Torres"/>
    <d v="2022-03-15T00:00:00"/>
    <x v="417"/>
    <s v="promo"/>
    <x v="0"/>
    <b v="0"/>
    <b v="0"/>
    <b v="0"/>
    <b v="0"/>
    <b v="1"/>
    <b v="0"/>
  </r>
  <r>
    <n v="1234617"/>
    <s v="123-004-117-002"/>
    <s v="Quality Assurance"/>
    <x v="1"/>
    <d v="2022-01-05T00:00:00"/>
    <s v="Lucas Carter"/>
    <d v="2022-01-29T00:00:00"/>
    <x v="418"/>
    <s v="promo"/>
    <x v="0"/>
    <b v="0"/>
    <b v="0"/>
    <b v="0"/>
    <b v="0"/>
    <b v="1"/>
    <b v="0"/>
  </r>
  <r>
    <n v="1234617"/>
    <s v="123-004-117-003"/>
    <s v="Quality Assurance"/>
    <x v="1"/>
    <d v="2022-07-09T00:00:00"/>
    <s v="Lisa Hall"/>
    <d v="2022-07-24T00:00:00"/>
    <x v="374"/>
    <m/>
    <x v="0"/>
    <b v="0"/>
    <b v="0"/>
    <b v="0"/>
    <b v="0"/>
    <b v="0"/>
    <b v="0"/>
  </r>
  <r>
    <n v="2800606"/>
    <s v="123-006-106-010"/>
    <s v="Marketing Coordinator"/>
    <x v="2"/>
    <d v="2022-11-18T00:00:00"/>
    <s v="Anthony Davis"/>
    <d v="2022-11-22T00:00:00"/>
    <x v="237"/>
    <s v="promo"/>
    <x v="0"/>
    <b v="0"/>
    <b v="0"/>
    <b v="0"/>
    <b v="0"/>
    <b v="1"/>
    <b v="0"/>
  </r>
  <r>
    <n v="2800606"/>
    <s v="123-006-106-013"/>
    <s v="Marketing Coordinator"/>
    <x v="2"/>
    <d v="2022-11-16T00:00:00"/>
    <s v="Charles Robinson"/>
    <d v="2022-12-08T00:00:00"/>
    <x v="419"/>
    <m/>
    <x v="0"/>
    <b v="0"/>
    <b v="0"/>
    <b v="0"/>
    <b v="0"/>
    <b v="0"/>
    <b v="0"/>
  </r>
  <r>
    <n v="8448343"/>
    <s v="123-009-108-003"/>
    <s v="Customer Support Rep"/>
    <x v="7"/>
    <d v="2023-01-12T00:00:00"/>
    <s v="Charlotte Baker"/>
    <d v="2023-01-18T00:00:00"/>
    <x v="260"/>
    <m/>
    <x v="0"/>
    <b v="0"/>
    <b v="0"/>
    <b v="0"/>
    <b v="0"/>
    <b v="0"/>
    <b v="0"/>
  </r>
  <r>
    <n v="8448343"/>
    <s v="123-009-108-004"/>
    <s v="Customer Support Rep"/>
    <x v="7"/>
    <d v="2023-02-10T00:00:00"/>
    <s v="Amanda Miller"/>
    <d v="2023-02-25T00:00:00"/>
    <x v="420"/>
    <m/>
    <x v="0"/>
    <b v="0"/>
    <b v="0"/>
    <b v="0"/>
    <b v="0"/>
    <b v="0"/>
    <b v="0"/>
  </r>
  <r>
    <n v="3405308"/>
    <s v="123-007-113-010"/>
    <s v="Operations Supervisor"/>
    <x v="3"/>
    <d v="2022-07-23T00:00:00"/>
    <s v="John White"/>
    <d v="2022-08-03T00:00:00"/>
    <x v="379"/>
    <s v="promo"/>
    <x v="0"/>
    <b v="0"/>
    <b v="0"/>
    <b v="0"/>
    <b v="0"/>
    <b v="1"/>
    <b v="0"/>
  </r>
  <r>
    <n v="3405308"/>
    <s v="123-007-113-011"/>
    <s v="Operations Supervisor"/>
    <x v="3"/>
    <d v="2023-03-11T00:00:00"/>
    <s v="Linda Anderson"/>
    <d v="2023-04-04T00:00:00"/>
    <x v="421"/>
    <m/>
    <x v="0"/>
    <b v="0"/>
    <b v="0"/>
    <b v="0"/>
    <b v="0"/>
    <b v="0"/>
    <b v="0"/>
  </r>
  <r>
    <n v="3405308"/>
    <s v="123-007-113-013"/>
    <s v="Operations Supervisor"/>
    <x v="3"/>
    <d v="2023-02-19T00:00:00"/>
    <s v="Daniel Walker"/>
    <d v="2023-03-07T00:00:00"/>
    <x v="219"/>
    <m/>
    <x v="0"/>
    <b v="0"/>
    <b v="0"/>
    <b v="0"/>
    <b v="0"/>
    <b v="0"/>
    <b v="0"/>
  </r>
  <r>
    <n v="5205877"/>
    <s v="123-008-116-008"/>
    <s v="Content Writer"/>
    <x v="4"/>
    <d v="2022-02-24T00:00:00"/>
    <s v="Mary Miller"/>
    <d v="2022-03-23T00:00:00"/>
    <x v="334"/>
    <s v="promo"/>
    <x v="0"/>
    <b v="0"/>
    <b v="0"/>
    <b v="0"/>
    <b v="0"/>
    <b v="1"/>
    <b v="0"/>
  </r>
  <r>
    <n v="5205877"/>
    <s v="123-008-116-009"/>
    <s v="Content Writer"/>
    <x v="4"/>
    <d v="2022-12-01T00:00:00"/>
    <s v="Barbara Harris"/>
    <d v="2022-12-06T00:00:00"/>
    <x v="422"/>
    <s v="transfer"/>
    <x v="0"/>
    <b v="0"/>
    <b v="0"/>
    <b v="0"/>
    <b v="1"/>
    <b v="0"/>
    <b v="0"/>
  </r>
  <r>
    <n v="2616210"/>
    <s v="123-002-125-007"/>
    <s v="Security Analyst"/>
    <x v="6"/>
    <d v="2023-05-25T00:00:00"/>
    <s v="Richard Jackson"/>
    <d v="2023-06-10T00:00:00"/>
    <x v="319"/>
    <m/>
    <x v="0"/>
    <b v="0"/>
    <b v="0"/>
    <b v="0"/>
    <b v="0"/>
    <b v="0"/>
    <b v="0"/>
  </r>
  <r>
    <n v="2616210"/>
    <s v="123-002-125-010"/>
    <s v="Security Analyst"/>
    <x v="6"/>
    <d v="2022-02-06T00:00:00"/>
    <s v="Mark Robinson"/>
    <d v="2022-02-08T00:00:00"/>
    <x v="423"/>
    <m/>
    <x v="0"/>
    <b v="0"/>
    <b v="0"/>
    <b v="0"/>
    <b v="0"/>
    <b v="0"/>
    <b v="0"/>
  </r>
  <r>
    <n v="2616210"/>
    <s v="123-002-125-011"/>
    <s v="Security Analyst"/>
    <x v="6"/>
    <d v="2022-06-18T00:00:00"/>
    <s v="Olivia Rivera"/>
    <d v="2022-07-04T00:00:00"/>
    <x v="263"/>
    <s v="new to org"/>
    <x v="0"/>
    <b v="0"/>
    <b v="0"/>
    <b v="0"/>
    <b v="0"/>
    <b v="0"/>
    <b v="1"/>
  </r>
  <r>
    <n v="3256338"/>
    <s v="123-007-110-007"/>
    <s v="Legal Advisor"/>
    <x v="3"/>
    <d v="2023-04-27T00:00:00"/>
    <s v="Kevin Scott"/>
    <d v="2023-05-13T00:00:00"/>
    <x v="424"/>
    <m/>
    <x v="0"/>
    <b v="0"/>
    <b v="0"/>
    <b v="0"/>
    <b v="0"/>
    <b v="0"/>
    <b v="0"/>
  </r>
  <r>
    <n v="3256338"/>
    <s v="123-007-110-008"/>
    <s v="Legal Advisor"/>
    <x v="3"/>
    <d v="2023-05-22T00:00:00"/>
    <s v="Betty Taylor"/>
    <d v="2023-06-10T00:00:00"/>
    <x v="167"/>
    <s v="transfer"/>
    <x v="0"/>
    <b v="0"/>
    <b v="0"/>
    <b v="0"/>
    <b v="1"/>
    <b v="0"/>
    <b v="0"/>
  </r>
  <r>
    <n v="3256338"/>
    <s v="123-007-110-009"/>
    <s v="Legal Advisor"/>
    <x v="3"/>
    <d v="2022-11-25T00:00:00"/>
    <s v="Deborah Jackson"/>
    <d v="2022-11-27T00:00:00"/>
    <x v="425"/>
    <s v="new to org"/>
    <x v="0"/>
    <b v="0"/>
    <b v="0"/>
    <b v="0"/>
    <b v="0"/>
    <b v="0"/>
    <b v="1"/>
  </r>
  <r>
    <n v="3256338"/>
    <s v="123-007-110-010"/>
    <s v="Legal Advisor"/>
    <x v="3"/>
    <d v="2022-12-24T00:00:00"/>
    <s v="Mason White"/>
    <d v="2023-01-19T00:00:00"/>
    <x v="426"/>
    <s v="promo"/>
    <x v="0"/>
    <b v="0"/>
    <b v="0"/>
    <b v="0"/>
    <b v="0"/>
    <b v="1"/>
    <b v="0"/>
  </r>
  <r>
    <n v="1451304"/>
    <s v="123-006-125-003"/>
    <s v="Security Analyst"/>
    <x v="2"/>
    <d v="2022-11-16T00:00:00"/>
    <s v="Jessica Adams"/>
    <d v="2022-12-05T00:00:00"/>
    <x v="218"/>
    <s v="promo"/>
    <x v="0"/>
    <b v="0"/>
    <b v="0"/>
    <b v="0"/>
    <b v="0"/>
    <b v="1"/>
    <b v="0"/>
  </r>
  <r>
    <n v="1451304"/>
    <s v="123-006-125-004"/>
    <s v="Security Analyst"/>
    <x v="2"/>
    <d v="2022-04-28T00:00:00"/>
    <s v="Logan Martin"/>
    <d v="2022-05-09T00:00:00"/>
    <x v="221"/>
    <s v="transfer"/>
    <x v="0"/>
    <b v="0"/>
    <b v="0"/>
    <b v="0"/>
    <b v="1"/>
    <b v="0"/>
    <b v="0"/>
  </r>
  <r>
    <n v="8732776"/>
    <s v="123-007-122-003"/>
    <s v="DevOps Engineer"/>
    <x v="3"/>
    <d v="2023-04-26T00:00:00"/>
    <s v="Sarah Johnson"/>
    <d v="2023-05-15T00:00:00"/>
    <x v="188"/>
    <m/>
    <x v="0"/>
    <b v="0"/>
    <b v="0"/>
    <b v="0"/>
    <b v="0"/>
    <b v="0"/>
    <b v="0"/>
  </r>
  <r>
    <n v="8732776"/>
    <s v="123-007-122-004"/>
    <s v="DevOps Engineer"/>
    <x v="3"/>
    <d v="2022-11-27T00:00:00"/>
    <s v="Andrew Harris"/>
    <d v="2022-12-16T00:00:00"/>
    <x v="415"/>
    <m/>
    <x v="0"/>
    <b v="0"/>
    <b v="0"/>
    <b v="0"/>
    <b v="0"/>
    <b v="0"/>
    <b v="0"/>
  </r>
  <r>
    <n v="8732776"/>
    <s v="123-007-122-005"/>
    <s v="DevOps Engineer"/>
    <x v="3"/>
    <d v="2022-07-30T00:00:00"/>
    <s v="Brian Baker"/>
    <d v="2022-08-10T00:00:00"/>
    <x v="33"/>
    <s v="transfer"/>
    <x v="0"/>
    <b v="0"/>
    <b v="0"/>
    <b v="0"/>
    <b v="1"/>
    <b v="0"/>
    <b v="0"/>
  </r>
  <r>
    <n v="8732776"/>
    <s v="123-007-122-006"/>
    <s v="DevOps Engineer"/>
    <x v="3"/>
    <d v="2022-11-03T00:00:00"/>
    <s v="David Flores"/>
    <d v="2022-11-15T00:00:00"/>
    <x v="253"/>
    <s v="new to org"/>
    <x v="0"/>
    <b v="0"/>
    <b v="0"/>
    <b v="0"/>
    <b v="0"/>
    <b v="0"/>
    <b v="1"/>
  </r>
  <r>
    <n v="9989803"/>
    <s v="123-005-107-002"/>
    <s v="Sales Associate"/>
    <x v="0"/>
    <d v="2022-04-05T00:00:00"/>
    <s v="Ethan Anderson"/>
    <d v="2022-04-28T00:00:00"/>
    <x v="427"/>
    <m/>
    <x v="0"/>
    <b v="0"/>
    <b v="0"/>
    <b v="0"/>
    <b v="0"/>
    <b v="0"/>
    <b v="0"/>
  </r>
  <r>
    <n v="9989803"/>
    <s v="123-005-107-003"/>
    <s v="Sales Associate"/>
    <x v="0"/>
    <d v="2023-06-28T00:00:00"/>
    <s v="Sarah Jones"/>
    <d v="2023-07-14T00:00:00"/>
    <x v="428"/>
    <s v="new to org"/>
    <x v="0"/>
    <b v="0"/>
    <b v="0"/>
    <b v="0"/>
    <b v="0"/>
    <b v="0"/>
    <b v="1"/>
  </r>
  <r>
    <n v="6064152"/>
    <s v="123-005-117-001"/>
    <s v="Quality Assurance"/>
    <x v="0"/>
    <d v="2023-02-16T00:00:00"/>
    <s v="Richard Clark"/>
    <d v="2023-02-25T00:00:00"/>
    <x v="162"/>
    <s v="new to org"/>
    <x v="0"/>
    <b v="0"/>
    <b v="0"/>
    <b v="0"/>
    <b v="0"/>
    <b v="0"/>
    <b v="1"/>
  </r>
  <r>
    <n v="6064152"/>
    <s v="123-005-117-002"/>
    <s v="Quality Assurance"/>
    <x v="0"/>
    <d v="2023-06-13T00:00:00"/>
    <s v="Olivia Johnson"/>
    <d v="2023-07-11T00:00:00"/>
    <x v="429"/>
    <s v="promo"/>
    <x v="0"/>
    <b v="0"/>
    <b v="0"/>
    <b v="0"/>
    <b v="0"/>
    <b v="1"/>
    <b v="0"/>
  </r>
  <r>
    <n v="6064152"/>
    <s v="123-005-117-003"/>
    <s v="Quality Assurance"/>
    <x v="0"/>
    <d v="2023-04-24T00:00:00"/>
    <s v="Kevin Evans"/>
    <d v="2023-05-03T00:00:00"/>
    <x v="331"/>
    <s v="promo"/>
    <x v="0"/>
    <b v="0"/>
    <b v="0"/>
    <b v="0"/>
    <b v="0"/>
    <b v="1"/>
    <b v="0"/>
  </r>
  <r>
    <n v="6064152"/>
    <s v="123-005-117-004"/>
    <s v="Quality Assurance"/>
    <x v="0"/>
    <d v="2022-03-03T00:00:00"/>
    <s v="Jackson Torres"/>
    <d v="2022-03-20T00:00:00"/>
    <x v="430"/>
    <m/>
    <x v="0"/>
    <b v="0"/>
    <b v="0"/>
    <b v="0"/>
    <b v="0"/>
    <b v="0"/>
    <b v="0"/>
  </r>
  <r>
    <n v="7111514"/>
    <s v="123-003-115-002"/>
    <s v="Graphic Designer"/>
    <x v="8"/>
    <d v="2022-03-07T00:00:00"/>
    <s v="Logan Turner"/>
    <d v="2022-03-28T00:00:00"/>
    <x v="375"/>
    <s v="new to org"/>
    <x v="0"/>
    <b v="0"/>
    <b v="0"/>
    <b v="0"/>
    <b v="0"/>
    <b v="0"/>
    <b v="1"/>
  </r>
  <r>
    <n v="6210006"/>
    <s v="123-008-115-004"/>
    <s v="Graphic Designer"/>
    <x v="4"/>
    <d v="2022-02-07T00:00:00"/>
    <s v="Carol Edwards"/>
    <d v="2022-02-14T00:00:00"/>
    <x v="431"/>
    <m/>
    <x v="0"/>
    <b v="0"/>
    <b v="0"/>
    <b v="0"/>
    <b v="0"/>
    <b v="0"/>
    <b v="0"/>
  </r>
  <r>
    <n v="6210006"/>
    <s v="123-008-115-006"/>
    <s v="Graphic Designer"/>
    <x v="4"/>
    <d v="2022-01-21T00:00:00"/>
    <s v="George Young"/>
    <d v="2022-01-23T00:00:00"/>
    <x v="20"/>
    <s v="transfer"/>
    <x v="0"/>
    <b v="0"/>
    <b v="0"/>
    <b v="0"/>
    <b v="1"/>
    <b v="0"/>
    <b v="0"/>
  </r>
  <r>
    <n v="6210006"/>
    <s v="123-008-115-007"/>
    <s v="Graphic Designer"/>
    <x v="4"/>
    <d v="2022-03-07T00:00:00"/>
    <s v="Joshua Martin"/>
    <d v="2022-04-05T00:00:00"/>
    <x v="432"/>
    <s v="new to org"/>
    <x v="0"/>
    <b v="0"/>
    <b v="0"/>
    <b v="0"/>
    <b v="0"/>
    <b v="0"/>
    <b v="1"/>
  </r>
  <r>
    <n v="6210006"/>
    <s v="123-008-115-008"/>
    <s v="Graphic Designer"/>
    <x v="4"/>
    <d v="2022-05-24T00:00:00"/>
    <s v="Betty Turner"/>
    <d v="2022-06-01T00:00:00"/>
    <x v="293"/>
    <s v="transfer"/>
    <x v="0"/>
    <b v="0"/>
    <b v="0"/>
    <b v="0"/>
    <b v="1"/>
    <b v="0"/>
    <b v="0"/>
  </r>
  <r>
    <n v="9392777"/>
    <s v="123-002-130-017"/>
    <s v="Biomedical Engineer"/>
    <x v="6"/>
    <d v="2022-04-03T00:00:00"/>
    <s v="Ashley Cruz"/>
    <d v="2022-04-11T00:00:00"/>
    <x v="221"/>
    <s v="new to org"/>
    <x v="0"/>
    <b v="0"/>
    <b v="0"/>
    <b v="0"/>
    <b v="0"/>
    <b v="0"/>
    <b v="1"/>
  </r>
  <r>
    <n v="9392777"/>
    <s v="123-002-130-019"/>
    <s v="Biomedical Engineer"/>
    <x v="6"/>
    <d v="2022-08-30T00:00:00"/>
    <s v="Ethan Mitchell"/>
    <d v="2022-09-29T00:00:00"/>
    <x v="2"/>
    <m/>
    <x v="0"/>
    <b v="0"/>
    <b v="0"/>
    <b v="0"/>
    <b v="0"/>
    <b v="0"/>
    <b v="0"/>
  </r>
  <r>
    <n v="9392777"/>
    <s v="123-002-130-021"/>
    <s v="Biomedical Engineer"/>
    <x v="6"/>
    <d v="2022-02-27T00:00:00"/>
    <s v="Logan Nguyen"/>
    <d v="2022-03-15T00:00:00"/>
    <x v="292"/>
    <s v="new to org"/>
    <x v="0"/>
    <b v="0"/>
    <b v="0"/>
    <b v="0"/>
    <b v="0"/>
    <b v="0"/>
    <b v="1"/>
  </r>
  <r>
    <n v="7286506"/>
    <s v="123-002-123-001"/>
    <s v="Data Engineer"/>
    <x v="6"/>
    <d v="2022-10-12T00:00:00"/>
    <s v="Amanda Thomas"/>
    <d v="2022-11-10T00:00:00"/>
    <x v="138"/>
    <m/>
    <x v="0"/>
    <b v="0"/>
    <b v="0"/>
    <b v="0"/>
    <b v="0"/>
    <b v="0"/>
    <b v="0"/>
  </r>
  <r>
    <n v="7286506"/>
    <s v="123-002-123-002"/>
    <s v="Data Engineer"/>
    <x v="6"/>
    <d v="2023-01-12T00:00:00"/>
    <s v="Donald Rivera"/>
    <d v="2023-02-08T00:00:00"/>
    <x v="130"/>
    <s v="new to org"/>
    <x v="0"/>
    <b v="0"/>
    <b v="0"/>
    <b v="0"/>
    <b v="0"/>
    <b v="0"/>
    <b v="1"/>
  </r>
  <r>
    <n v="1917249"/>
    <s v="123-004-123-001"/>
    <s v="Data Engineer"/>
    <x v="1"/>
    <d v="2023-01-07T00:00:00"/>
    <s v="Kenneth Hall"/>
    <d v="2023-02-05T00:00:00"/>
    <x v="144"/>
    <s v="new to org"/>
    <x v="0"/>
    <b v="0"/>
    <b v="0"/>
    <b v="0"/>
    <b v="0"/>
    <b v="0"/>
    <b v="1"/>
  </r>
  <r>
    <n v="1917249"/>
    <s v="123-004-123-002"/>
    <s v="Data Engineer"/>
    <x v="1"/>
    <d v="2023-02-02T00:00:00"/>
    <s v="Mia Lewis"/>
    <d v="2023-02-03T00:00:00"/>
    <x v="5"/>
    <s v="promo"/>
    <x v="0"/>
    <b v="0"/>
    <b v="0"/>
    <b v="0"/>
    <b v="0"/>
    <b v="1"/>
    <b v="0"/>
  </r>
  <r>
    <n v="1917249"/>
    <s v="123-004-123-003"/>
    <s v="Data Engineer"/>
    <x v="1"/>
    <d v="2022-08-30T00:00:00"/>
    <s v="Karen Garcia"/>
    <d v="2022-09-09T00:00:00"/>
    <x v="433"/>
    <s v="new to org"/>
    <x v="0"/>
    <b v="0"/>
    <b v="0"/>
    <b v="0"/>
    <b v="0"/>
    <b v="0"/>
    <b v="1"/>
  </r>
  <r>
    <n v="3688166"/>
    <s v="123-008-130-004"/>
    <s v="Biomedical Engineer"/>
    <x v="4"/>
    <d v="2022-10-08T00:00:00"/>
    <s v="Sophia Williams"/>
    <d v="2022-11-05T00:00:00"/>
    <x v="23"/>
    <m/>
    <x v="0"/>
    <b v="0"/>
    <b v="0"/>
    <b v="0"/>
    <b v="0"/>
    <b v="0"/>
    <b v="0"/>
  </r>
  <r>
    <n v="3688166"/>
    <s v="123-008-130-005"/>
    <s v="Biomedical Engineer"/>
    <x v="4"/>
    <d v="2023-02-27T00:00:00"/>
    <s v="Donald Mitchell"/>
    <d v="2023-03-29T00:00:00"/>
    <x v="86"/>
    <m/>
    <x v="0"/>
    <b v="0"/>
    <b v="0"/>
    <b v="0"/>
    <b v="0"/>
    <b v="0"/>
    <b v="0"/>
  </r>
  <r>
    <n v="3688166"/>
    <s v="123-008-130-006"/>
    <s v="Biomedical Engineer"/>
    <x v="4"/>
    <d v="2022-04-13T00:00:00"/>
    <s v="Olivia Collins"/>
    <d v="2022-05-10T00:00:00"/>
    <x v="28"/>
    <m/>
    <x v="0"/>
    <b v="0"/>
    <b v="0"/>
    <b v="0"/>
    <b v="0"/>
    <b v="0"/>
    <b v="0"/>
  </r>
  <r>
    <n v="5378351"/>
    <s v="123-002-117-005"/>
    <s v="Quality Assurance"/>
    <x v="6"/>
    <d v="2022-01-29T00:00:00"/>
    <s v="Sandra Hall"/>
    <d v="2022-02-23T00:00:00"/>
    <x v="434"/>
    <s v="new to org"/>
    <x v="0"/>
    <b v="0"/>
    <b v="0"/>
    <b v="0"/>
    <b v="0"/>
    <b v="0"/>
    <b v="1"/>
  </r>
  <r>
    <n v="5378351"/>
    <s v="123-002-117-006"/>
    <s v="Quality Assurance"/>
    <x v="6"/>
    <d v="2022-05-20T00:00:00"/>
    <s v="Kenneth Lewis"/>
    <d v="2022-05-21T00:00:00"/>
    <x v="435"/>
    <s v="promo"/>
    <x v="0"/>
    <b v="0"/>
    <b v="0"/>
    <b v="0"/>
    <b v="0"/>
    <b v="1"/>
    <b v="0"/>
  </r>
  <r>
    <n v="3647821"/>
    <s v="123-009-108-005"/>
    <s v="Customer Support Rep"/>
    <x v="7"/>
    <d v="2023-04-08T00:00:00"/>
    <s v="Sophia Lee"/>
    <d v="2023-04-24T00:00:00"/>
    <x v="436"/>
    <m/>
    <x v="0"/>
    <b v="0"/>
    <b v="0"/>
    <b v="0"/>
    <b v="0"/>
    <b v="0"/>
    <b v="0"/>
  </r>
  <r>
    <n v="3647821"/>
    <s v="123-009-108-006"/>
    <s v="Customer Support Rep"/>
    <x v="7"/>
    <d v="2022-12-02T00:00:00"/>
    <s v="Barbara Baker"/>
    <d v="2022-12-28T00:00:00"/>
    <x v="388"/>
    <s v="new to org"/>
    <x v="0"/>
    <b v="0"/>
    <b v="0"/>
    <b v="0"/>
    <b v="0"/>
    <b v="0"/>
    <b v="1"/>
  </r>
  <r>
    <n v="4333024"/>
    <s v="123-007-103-006"/>
    <s v="Project Manager"/>
    <x v="3"/>
    <d v="2023-04-19T00:00:00"/>
    <s v="Ava Garcia"/>
    <d v="2023-04-26T00:00:00"/>
    <x v="321"/>
    <s v="promo"/>
    <x v="0"/>
    <b v="0"/>
    <b v="0"/>
    <b v="0"/>
    <b v="0"/>
    <b v="1"/>
    <b v="0"/>
  </r>
  <r>
    <n v="4333024"/>
    <s v="123-007-103-007"/>
    <s v="Project Manager"/>
    <x v="3"/>
    <d v="2023-03-16T00:00:00"/>
    <s v="Patricia Sanchez"/>
    <d v="2023-04-05T00:00:00"/>
    <x v="271"/>
    <s v="promo"/>
    <x v="0"/>
    <b v="0"/>
    <b v="0"/>
    <b v="0"/>
    <b v="0"/>
    <b v="1"/>
    <b v="0"/>
  </r>
  <r>
    <n v="3504019"/>
    <s v="123-006-103-001"/>
    <s v="Project Manager"/>
    <x v="2"/>
    <d v="2023-06-23T00:00:00"/>
    <s v="James Rivera"/>
    <d v="2023-07-07T00:00:00"/>
    <x v="278"/>
    <s v="transfer"/>
    <x v="0"/>
    <b v="0"/>
    <b v="0"/>
    <b v="0"/>
    <b v="1"/>
    <b v="0"/>
    <b v="0"/>
  </r>
  <r>
    <n v="3504019"/>
    <s v="123-006-103-002"/>
    <s v="Project Manager"/>
    <x v="2"/>
    <d v="2023-05-22T00:00:00"/>
    <s v="Isabella Baker"/>
    <d v="2023-05-26T00:00:00"/>
    <x v="212"/>
    <m/>
    <x v="0"/>
    <b v="0"/>
    <b v="0"/>
    <b v="0"/>
    <b v="0"/>
    <b v="0"/>
    <b v="0"/>
  </r>
  <r>
    <n v="4408213"/>
    <s v="123-005-107-004"/>
    <s v="Sales Associate"/>
    <x v="0"/>
    <d v="2022-07-31T00:00:00"/>
    <s v="William Ramirez"/>
    <d v="2022-08-20T00:00:00"/>
    <x v="437"/>
    <m/>
    <x v="0"/>
    <b v="0"/>
    <b v="0"/>
    <b v="0"/>
    <b v="0"/>
    <b v="0"/>
    <b v="0"/>
  </r>
  <r>
    <n v="4408213"/>
    <s v="123-005-107-005"/>
    <s v="Sales Associate"/>
    <x v="0"/>
    <d v="2022-07-13T00:00:00"/>
    <s v="George Baker"/>
    <d v="2022-07-27T00:00:00"/>
    <x v="335"/>
    <s v="new to org"/>
    <x v="0"/>
    <b v="0"/>
    <b v="0"/>
    <b v="0"/>
    <b v="0"/>
    <b v="0"/>
    <b v="1"/>
  </r>
  <r>
    <n v="4408213"/>
    <s v="123-005-107-006"/>
    <s v="Sales Associate"/>
    <x v="0"/>
    <d v="2022-09-26T00:00:00"/>
    <s v="Mary Jackson"/>
    <d v="2022-10-04T00:00:00"/>
    <x v="223"/>
    <s v="promo"/>
    <x v="0"/>
    <b v="0"/>
    <b v="0"/>
    <b v="0"/>
    <b v="0"/>
    <b v="1"/>
    <b v="0"/>
  </r>
  <r>
    <n v="8566133"/>
    <s v="123-004-130-006"/>
    <s v="Biomedical Engineer"/>
    <x v="1"/>
    <d v="2023-04-26T00:00:00"/>
    <s v="Jennifer Smith"/>
    <d v="2023-05-01T00:00:00"/>
    <x v="438"/>
    <m/>
    <x v="0"/>
    <b v="0"/>
    <b v="0"/>
    <b v="0"/>
    <b v="0"/>
    <b v="0"/>
    <b v="0"/>
  </r>
  <r>
    <n v="8566133"/>
    <s v="123-004-130-007"/>
    <s v="Biomedical Engineer"/>
    <x v="1"/>
    <d v="2023-01-28T00:00:00"/>
    <s v="Amanda Wilson"/>
    <d v="2023-02-20T00:00:00"/>
    <x v="88"/>
    <m/>
    <x v="0"/>
    <b v="0"/>
    <b v="0"/>
    <b v="0"/>
    <b v="0"/>
    <b v="0"/>
    <b v="0"/>
  </r>
  <r>
    <n v="8566133"/>
    <s v="123-004-130-008"/>
    <s v="Biomedical Engineer"/>
    <x v="1"/>
    <d v="2022-03-02T00:00:00"/>
    <s v="John Miller"/>
    <d v="2022-03-04T00:00:00"/>
    <x v="360"/>
    <s v="new to org"/>
    <x v="0"/>
    <b v="0"/>
    <b v="0"/>
    <b v="0"/>
    <b v="0"/>
    <b v="0"/>
    <b v="1"/>
  </r>
  <r>
    <n v="4939985"/>
    <s v="123-006-116-001"/>
    <s v="Content Writer"/>
    <x v="2"/>
    <d v="2023-06-01T00:00:00"/>
    <s v="James Taylor"/>
    <d v="2023-06-21T00:00:00"/>
    <x v="439"/>
    <s v="transfer"/>
    <x v="0"/>
    <b v="0"/>
    <b v="0"/>
    <b v="0"/>
    <b v="1"/>
    <b v="0"/>
    <b v="0"/>
  </r>
  <r>
    <n v="4939985"/>
    <s v="123-006-116-002"/>
    <s v="Content Writer"/>
    <x v="2"/>
    <d v="2022-05-16T00:00:00"/>
    <s v="Kevin White"/>
    <d v="2022-06-14T00:00:00"/>
    <x v="308"/>
    <m/>
    <x v="0"/>
    <b v="0"/>
    <b v="0"/>
    <b v="0"/>
    <b v="0"/>
    <b v="0"/>
    <b v="0"/>
  </r>
  <r>
    <n v="4939985"/>
    <s v="123-006-116-004"/>
    <s v="Content Writer"/>
    <x v="2"/>
    <d v="2022-05-16T00:00:00"/>
    <s v="Olivia Robinson"/>
    <d v="2022-05-19T00:00:00"/>
    <x v="293"/>
    <s v="new to org"/>
    <x v="0"/>
    <b v="0"/>
    <b v="0"/>
    <b v="0"/>
    <b v="0"/>
    <b v="0"/>
    <b v="1"/>
  </r>
  <r>
    <n v="4939985"/>
    <s v="123-006-116-005"/>
    <s v="Content Writer"/>
    <x v="2"/>
    <d v="2022-04-30T00:00:00"/>
    <s v="Elizabeth Taylor"/>
    <d v="2022-05-11T00:00:00"/>
    <x v="159"/>
    <m/>
    <x v="0"/>
    <b v="0"/>
    <b v="0"/>
    <b v="0"/>
    <b v="0"/>
    <b v="0"/>
    <b v="0"/>
  </r>
  <r>
    <n v="3145327"/>
    <s v="123-005-116-010"/>
    <s v="Content Writer"/>
    <x v="0"/>
    <d v="2022-09-27T00:00:00"/>
    <s v="Lucas Cruz"/>
    <d v="2022-10-17T00:00:00"/>
    <x v="27"/>
    <s v="new to org"/>
    <x v="0"/>
    <b v="0"/>
    <b v="0"/>
    <b v="0"/>
    <b v="0"/>
    <b v="0"/>
    <b v="1"/>
  </r>
  <r>
    <n v="3145327"/>
    <s v="123-005-116-011"/>
    <s v="Content Writer"/>
    <x v="0"/>
    <d v="2023-03-23T00:00:00"/>
    <s v="Kimberly Lee"/>
    <d v="2023-04-21T00:00:00"/>
    <x v="103"/>
    <s v="new to org"/>
    <x v="0"/>
    <b v="0"/>
    <b v="0"/>
    <b v="0"/>
    <b v="0"/>
    <b v="0"/>
    <b v="1"/>
  </r>
  <r>
    <n v="3145327"/>
    <s v="123-005-116-012"/>
    <s v="Content Writer"/>
    <x v="0"/>
    <d v="2023-03-27T00:00:00"/>
    <s v="Edward Martinez"/>
    <d v="2023-03-29T00:00:00"/>
    <x v="227"/>
    <m/>
    <x v="0"/>
    <b v="0"/>
    <b v="0"/>
    <b v="0"/>
    <b v="0"/>
    <b v="0"/>
    <b v="0"/>
  </r>
  <r>
    <n v="9303225"/>
    <s v="123-008-102-006"/>
    <s v="Data Scientist"/>
    <x v="4"/>
    <d v="2022-04-26T00:00:00"/>
    <s v="Sandra Young"/>
    <d v="2022-05-24T00:00:00"/>
    <x v="8"/>
    <m/>
    <x v="0"/>
    <b v="0"/>
    <b v="0"/>
    <b v="0"/>
    <b v="0"/>
    <b v="0"/>
    <b v="0"/>
  </r>
  <r>
    <n v="9303225"/>
    <s v="123-008-102-007"/>
    <s v="Data Scientist"/>
    <x v="4"/>
    <d v="2022-07-28T00:00:00"/>
    <s v="Daniel Garcia"/>
    <d v="2022-08-25T00:00:00"/>
    <x v="16"/>
    <s v="transfer"/>
    <x v="0"/>
    <b v="0"/>
    <b v="0"/>
    <b v="0"/>
    <b v="1"/>
    <b v="0"/>
    <b v="0"/>
  </r>
  <r>
    <n v="5576682"/>
    <s v="123-010-119-007"/>
    <s v="Account Manager"/>
    <x v="5"/>
    <d v="2022-07-04T00:00:00"/>
    <s v="Kimberly Roberts"/>
    <d v="2022-07-18T00:00:00"/>
    <x v="104"/>
    <s v="transfer"/>
    <x v="0"/>
    <b v="0"/>
    <b v="0"/>
    <b v="0"/>
    <b v="1"/>
    <b v="0"/>
    <b v="0"/>
  </r>
  <r>
    <n v="1484433"/>
    <s v="123-008-103-011"/>
    <s v="Project Manager"/>
    <x v="4"/>
    <d v="2022-01-06T00:00:00"/>
    <s v="Joshua Nelson"/>
    <d v="2022-01-17T00:00:00"/>
    <x v="440"/>
    <s v="new to org"/>
    <x v="0"/>
    <b v="0"/>
    <b v="0"/>
    <b v="0"/>
    <b v="0"/>
    <b v="0"/>
    <b v="1"/>
  </r>
  <r>
    <n v="1484433"/>
    <s v="123-008-103-012"/>
    <s v="Project Manager"/>
    <x v="4"/>
    <d v="2022-05-13T00:00:00"/>
    <s v="Christopher Campbell"/>
    <d v="2022-05-20T00:00:00"/>
    <x v="274"/>
    <m/>
    <x v="0"/>
    <b v="0"/>
    <b v="0"/>
    <b v="0"/>
    <b v="0"/>
    <b v="0"/>
    <b v="0"/>
  </r>
  <r>
    <n v="7691735"/>
    <s v="123-003-109-001"/>
    <s v="IT Technician"/>
    <x v="8"/>
    <d v="2022-08-02T00:00:00"/>
    <s v="Jennifer Johnson"/>
    <d v="2022-08-08T00:00:00"/>
    <x v="60"/>
    <m/>
    <x v="0"/>
    <b v="0"/>
    <b v="0"/>
    <b v="0"/>
    <b v="0"/>
    <b v="0"/>
    <b v="0"/>
  </r>
  <r>
    <n v="7691735"/>
    <s v="123-003-109-002"/>
    <s v="IT Technician"/>
    <x v="8"/>
    <d v="2022-06-07T00:00:00"/>
    <s v="Carol Carter"/>
    <d v="2022-06-11T00:00:00"/>
    <x v="254"/>
    <s v="new to org"/>
    <x v="0"/>
    <b v="0"/>
    <b v="0"/>
    <b v="0"/>
    <b v="0"/>
    <b v="0"/>
    <b v="1"/>
  </r>
  <r>
    <n v="9235014"/>
    <s v="123-007-126-003"/>
    <s v="Recruiter"/>
    <x v="3"/>
    <d v="2022-04-09T00:00:00"/>
    <s v="Daniel Nelson"/>
    <d v="2022-05-06T00:00:00"/>
    <x v="441"/>
    <s v="promo"/>
    <x v="0"/>
    <b v="0"/>
    <b v="0"/>
    <b v="0"/>
    <b v="0"/>
    <b v="1"/>
    <b v="0"/>
  </r>
  <r>
    <n v="9235014"/>
    <s v="123-007-126-004"/>
    <s v="Recruiter"/>
    <x v="3"/>
    <d v="2023-02-02T00:00:00"/>
    <s v="Mark Cruz"/>
    <d v="2023-02-18T00:00:00"/>
    <x v="426"/>
    <m/>
    <x v="0"/>
    <b v="0"/>
    <b v="0"/>
    <b v="0"/>
    <b v="0"/>
    <b v="0"/>
    <b v="0"/>
  </r>
  <r>
    <n v="9235014"/>
    <s v="123-007-126-005"/>
    <s v="Recruiter"/>
    <x v="3"/>
    <d v="2023-03-09T00:00:00"/>
    <s v="Jennifer Carter"/>
    <d v="2023-04-04T00:00:00"/>
    <x v="211"/>
    <m/>
    <x v="0"/>
    <b v="0"/>
    <b v="0"/>
    <b v="0"/>
    <b v="0"/>
    <b v="0"/>
    <b v="0"/>
  </r>
  <r>
    <n v="6733527"/>
    <s v="123-004-115-001"/>
    <s v="Graphic Designer"/>
    <x v="1"/>
    <d v="2023-03-24T00:00:00"/>
    <s v="Charles Robinson"/>
    <d v="2023-03-27T00:00:00"/>
    <x v="12"/>
    <s v="transfer"/>
    <x v="0"/>
    <b v="0"/>
    <b v="0"/>
    <b v="0"/>
    <b v="1"/>
    <b v="0"/>
    <b v="0"/>
  </r>
  <r>
    <n v="6733527"/>
    <s v="123-004-115-002"/>
    <s v="Graphic Designer"/>
    <x v="1"/>
    <d v="2022-11-04T00:00:00"/>
    <s v="Elizabeth Rodriguez"/>
    <d v="2022-12-01T00:00:00"/>
    <x v="380"/>
    <s v="new to org"/>
    <x v="0"/>
    <b v="0"/>
    <b v="0"/>
    <b v="0"/>
    <b v="0"/>
    <b v="0"/>
    <b v="1"/>
  </r>
  <r>
    <n v="9776028"/>
    <s v="123-005-114-005"/>
    <s v="Research Analyst"/>
    <x v="0"/>
    <d v="2022-03-25T00:00:00"/>
    <s v="Daniel Taylor"/>
    <d v="2022-04-19T00:00:00"/>
    <x v="99"/>
    <s v="new to org"/>
    <x v="0"/>
    <b v="0"/>
    <b v="0"/>
    <b v="0"/>
    <b v="0"/>
    <b v="0"/>
    <b v="1"/>
  </r>
  <r>
    <n v="8633602"/>
    <s v="123-008-125-006"/>
    <s v="Security Analyst"/>
    <x v="4"/>
    <d v="2022-07-11T00:00:00"/>
    <s v="Ava Parker"/>
    <d v="2022-07-18T00:00:00"/>
    <x v="442"/>
    <s v="new to org"/>
    <x v="0"/>
    <b v="0"/>
    <b v="0"/>
    <b v="0"/>
    <b v="0"/>
    <b v="0"/>
    <b v="1"/>
  </r>
  <r>
    <n v="8633602"/>
    <s v="123-008-125-008"/>
    <s v="Security Analyst"/>
    <x v="4"/>
    <d v="2022-01-14T00:00:00"/>
    <s v="Betty Davis"/>
    <d v="2022-01-20T00:00:00"/>
    <x v="443"/>
    <s v="transfer"/>
    <x v="0"/>
    <b v="0"/>
    <b v="0"/>
    <b v="0"/>
    <b v="1"/>
    <b v="0"/>
    <b v="0"/>
  </r>
  <r>
    <n v="8633602"/>
    <s v="123-008-125-009"/>
    <s v="Security Analyst"/>
    <x v="4"/>
    <d v="2023-05-14T00:00:00"/>
    <s v="Logan Nelson"/>
    <d v="2023-05-24T00:00:00"/>
    <x v="353"/>
    <m/>
    <x v="0"/>
    <b v="0"/>
    <b v="0"/>
    <b v="0"/>
    <b v="0"/>
    <b v="0"/>
    <b v="0"/>
  </r>
  <r>
    <n v="8633602"/>
    <s v="123-008-125-010"/>
    <s v="Security Analyst"/>
    <x v="4"/>
    <d v="2023-02-09T00:00:00"/>
    <s v="Brian Baker"/>
    <d v="2023-03-07T00:00:00"/>
    <x v="444"/>
    <s v="new to org"/>
    <x v="0"/>
    <b v="0"/>
    <b v="0"/>
    <b v="0"/>
    <b v="0"/>
    <b v="0"/>
    <b v="1"/>
  </r>
  <r>
    <n v="1449886"/>
    <s v="123-008-107-003"/>
    <s v="Sales Associate"/>
    <x v="4"/>
    <d v="2022-07-15T00:00:00"/>
    <s v="Mason Green"/>
    <d v="2022-07-18T00:00:00"/>
    <x v="255"/>
    <m/>
    <x v="0"/>
    <b v="0"/>
    <b v="0"/>
    <b v="0"/>
    <b v="0"/>
    <b v="0"/>
    <b v="0"/>
  </r>
  <r>
    <n v="1449886"/>
    <s v="123-008-107-004"/>
    <s v="Sales Associate"/>
    <x v="4"/>
    <d v="2022-01-23T00:00:00"/>
    <s v="Donald Ramirez"/>
    <d v="2022-01-27T00:00:00"/>
    <x v="445"/>
    <s v="promo"/>
    <x v="0"/>
    <b v="0"/>
    <b v="0"/>
    <b v="0"/>
    <b v="0"/>
    <b v="1"/>
    <b v="0"/>
  </r>
  <r>
    <n v="3557220"/>
    <s v="123-008-124-006"/>
    <s v="Compliance Officer"/>
    <x v="4"/>
    <d v="2022-07-26T00:00:00"/>
    <s v="Donna Thomas"/>
    <d v="2022-08-05T00:00:00"/>
    <x v="33"/>
    <m/>
    <x v="0"/>
    <b v="0"/>
    <b v="0"/>
    <b v="0"/>
    <b v="0"/>
    <b v="0"/>
    <b v="0"/>
  </r>
  <r>
    <n v="3557220"/>
    <s v="123-008-124-007"/>
    <s v="Compliance Officer"/>
    <x v="4"/>
    <d v="2022-01-09T00:00:00"/>
    <s v="Patricia Perez"/>
    <d v="2022-01-13T00:00:00"/>
    <x v="338"/>
    <m/>
    <x v="0"/>
    <b v="0"/>
    <b v="0"/>
    <b v="0"/>
    <b v="0"/>
    <b v="0"/>
    <b v="0"/>
  </r>
  <r>
    <n v="3557220"/>
    <s v="123-008-124-008"/>
    <s v="Compliance Officer"/>
    <x v="4"/>
    <d v="2023-05-23T00:00:00"/>
    <s v="Anthony Diaz"/>
    <d v="2023-06-16T00:00:00"/>
    <x v="446"/>
    <m/>
    <x v="0"/>
    <b v="0"/>
    <b v="0"/>
    <b v="0"/>
    <b v="0"/>
    <b v="0"/>
    <b v="0"/>
  </r>
  <r>
    <n v="3557220"/>
    <s v="123-008-124-009"/>
    <s v="Compliance Officer"/>
    <x v="4"/>
    <d v="2023-02-14T00:00:00"/>
    <s v="Robert Young"/>
    <d v="2023-03-02T00:00:00"/>
    <x v="158"/>
    <s v="new to org"/>
    <x v="0"/>
    <b v="0"/>
    <b v="0"/>
    <b v="0"/>
    <b v="0"/>
    <b v="0"/>
    <b v="1"/>
  </r>
  <r>
    <n v="9185628"/>
    <s v="123-001-108-002"/>
    <s v="Customer Support Rep"/>
    <x v="9"/>
    <d v="2023-03-04T00:00:00"/>
    <s v="Sarah Edwards"/>
    <d v="2023-04-02T00:00:00"/>
    <x v="200"/>
    <s v="transfer"/>
    <x v="0"/>
    <b v="0"/>
    <b v="0"/>
    <b v="0"/>
    <b v="1"/>
    <b v="0"/>
    <b v="0"/>
  </r>
  <r>
    <n v="9185628"/>
    <s v="123-001-108-004"/>
    <s v="Customer Support Rep"/>
    <x v="9"/>
    <d v="2022-07-16T00:00:00"/>
    <s v="David Jackson"/>
    <d v="2022-08-01T00:00:00"/>
    <x v="230"/>
    <s v="transfer"/>
    <x v="0"/>
    <b v="0"/>
    <b v="0"/>
    <b v="0"/>
    <b v="1"/>
    <b v="0"/>
    <b v="0"/>
  </r>
  <r>
    <n v="9185628"/>
    <s v="123-001-108-005"/>
    <s v="Customer Support Rep"/>
    <x v="9"/>
    <d v="2022-12-14T00:00:00"/>
    <s v="Donna Collins"/>
    <d v="2023-01-13T00:00:00"/>
    <x v="128"/>
    <s v="promo"/>
    <x v="0"/>
    <b v="0"/>
    <b v="0"/>
    <b v="0"/>
    <b v="0"/>
    <b v="1"/>
    <b v="0"/>
  </r>
  <r>
    <n v="5922335"/>
    <s v="123-007-124-001"/>
    <s v="Compliance Officer"/>
    <x v="3"/>
    <d v="2022-06-15T00:00:00"/>
    <s v="Sophia Walker"/>
    <d v="2022-07-05T00:00:00"/>
    <x v="257"/>
    <s v="new to org"/>
    <x v="0"/>
    <b v="0"/>
    <b v="0"/>
    <b v="0"/>
    <b v="0"/>
    <b v="0"/>
    <b v="1"/>
  </r>
  <r>
    <n v="5922335"/>
    <s v="123-007-124-004"/>
    <s v="Compliance Officer"/>
    <x v="3"/>
    <d v="2022-08-03T00:00:00"/>
    <s v="Karen Thomas"/>
    <d v="2022-08-21T00:00:00"/>
    <x v="447"/>
    <m/>
    <x v="0"/>
    <b v="0"/>
    <b v="0"/>
    <b v="0"/>
    <b v="0"/>
    <b v="0"/>
    <b v="0"/>
  </r>
  <r>
    <n v="1304180"/>
    <s v="123-005-112-005"/>
    <s v="Business Analyst"/>
    <x v="0"/>
    <d v="2023-05-31T00:00:00"/>
    <s v="Isabella Parker"/>
    <d v="2023-06-02T00:00:00"/>
    <x v="446"/>
    <s v="promo"/>
    <x v="0"/>
    <b v="0"/>
    <b v="0"/>
    <b v="0"/>
    <b v="0"/>
    <b v="1"/>
    <b v="0"/>
  </r>
  <r>
    <n v="1304180"/>
    <s v="123-005-112-007"/>
    <s v="Business Analyst"/>
    <x v="0"/>
    <d v="2022-12-30T00:00:00"/>
    <s v="Thomas Perez"/>
    <d v="2023-01-24T00:00:00"/>
    <x v="403"/>
    <m/>
    <x v="0"/>
    <b v="0"/>
    <b v="0"/>
    <b v="0"/>
    <b v="0"/>
    <b v="0"/>
    <b v="0"/>
  </r>
  <r>
    <n v="5487758"/>
    <s v="123-003-129-005"/>
    <s v="Supply Chain Manager"/>
    <x v="8"/>
    <d v="2023-03-25T00:00:00"/>
    <s v="Dorothy Brown"/>
    <d v="2023-04-20T00:00:00"/>
    <x v="385"/>
    <s v="transfer"/>
    <x v="0"/>
    <b v="0"/>
    <b v="0"/>
    <b v="0"/>
    <b v="1"/>
    <b v="0"/>
    <b v="0"/>
  </r>
  <r>
    <n v="5487758"/>
    <s v="123-003-129-006"/>
    <s v="Supply Chain Manager"/>
    <x v="8"/>
    <d v="2022-04-15T00:00:00"/>
    <s v="Michael Gomez"/>
    <d v="2022-05-12T00:00:00"/>
    <x v="448"/>
    <s v="transfer"/>
    <x v="0"/>
    <b v="0"/>
    <b v="0"/>
    <b v="0"/>
    <b v="1"/>
    <b v="0"/>
    <b v="0"/>
  </r>
  <r>
    <n v="5487758"/>
    <s v="123-003-129-009"/>
    <s v="Supply Chain Manager"/>
    <x v="8"/>
    <d v="2022-04-12T00:00:00"/>
    <s v="George Parker"/>
    <d v="2022-04-17T00:00:00"/>
    <x v="357"/>
    <m/>
    <x v="0"/>
    <b v="0"/>
    <b v="0"/>
    <b v="0"/>
    <b v="0"/>
    <b v="0"/>
    <b v="0"/>
  </r>
  <r>
    <n v="7102492"/>
    <s v="123-003-111-005"/>
    <s v="Product Manager"/>
    <x v="8"/>
    <d v="2022-01-07T00:00:00"/>
    <s v="Anthony Roberts"/>
    <d v="2022-01-15T00:00:00"/>
    <x v="387"/>
    <m/>
    <x v="0"/>
    <b v="0"/>
    <b v="0"/>
    <b v="0"/>
    <b v="0"/>
    <b v="0"/>
    <b v="0"/>
  </r>
  <r>
    <n v="8946752"/>
    <s v="123-005-111-009"/>
    <s v="Product Manager"/>
    <x v="0"/>
    <d v="2023-06-27T00:00:00"/>
    <s v="Elizabeth Carter"/>
    <d v="2023-07-11T00:00:00"/>
    <x v="226"/>
    <s v="promo"/>
    <x v="0"/>
    <b v="0"/>
    <b v="0"/>
    <b v="0"/>
    <b v="0"/>
    <b v="1"/>
    <b v="0"/>
  </r>
  <r>
    <n v="8946752"/>
    <s v="123-005-111-011"/>
    <s v="Product Manager"/>
    <x v="0"/>
    <d v="2023-06-13T00:00:00"/>
    <s v="Charlotte Diaz"/>
    <d v="2023-07-09T00:00:00"/>
    <x v="449"/>
    <m/>
    <x v="0"/>
    <b v="0"/>
    <b v="0"/>
    <b v="0"/>
    <b v="0"/>
    <b v="0"/>
    <b v="0"/>
  </r>
  <r>
    <n v="8946752"/>
    <s v="123-005-111-012"/>
    <s v="Product Manager"/>
    <x v="0"/>
    <d v="2022-01-11T00:00:00"/>
    <s v="Mark Martinez"/>
    <d v="2022-02-03T00:00:00"/>
    <x v="366"/>
    <s v="transfer"/>
    <x v="0"/>
    <b v="0"/>
    <b v="0"/>
    <b v="0"/>
    <b v="1"/>
    <b v="0"/>
    <b v="0"/>
  </r>
  <r>
    <n v="9679670"/>
    <s v="123-002-103-006"/>
    <s v="Project Manager"/>
    <x v="6"/>
    <d v="2022-11-08T00:00:00"/>
    <s v="Anthony Sanchez"/>
    <d v="2022-12-02T00:00:00"/>
    <x v="260"/>
    <s v="new to org"/>
    <x v="0"/>
    <b v="0"/>
    <b v="0"/>
    <b v="0"/>
    <b v="0"/>
    <b v="0"/>
    <b v="1"/>
  </r>
  <r>
    <n v="6262932"/>
    <s v="123-006-130-004"/>
    <s v="Biomedical Engineer"/>
    <x v="2"/>
    <d v="2023-04-02T00:00:00"/>
    <s v="Brian Sanchez"/>
    <d v="2023-04-23T00:00:00"/>
    <x v="7"/>
    <s v="promo"/>
    <x v="0"/>
    <b v="0"/>
    <b v="0"/>
    <b v="0"/>
    <b v="0"/>
    <b v="1"/>
    <b v="0"/>
  </r>
  <r>
    <n v="8417942"/>
    <s v="123-006-123-005"/>
    <s v="Data Engineer"/>
    <x v="2"/>
    <d v="2022-12-09T00:00:00"/>
    <s v="Jennifer Williams"/>
    <d v="2022-12-22T00:00:00"/>
    <x v="450"/>
    <s v="new to org"/>
    <x v="0"/>
    <b v="0"/>
    <b v="0"/>
    <b v="0"/>
    <b v="0"/>
    <b v="0"/>
    <b v="1"/>
  </r>
  <r>
    <n v="8417942"/>
    <s v="123-006-123-006"/>
    <s v="Data Engineer"/>
    <x v="2"/>
    <d v="2022-10-18T00:00:00"/>
    <s v="Kimberly Wright"/>
    <d v="2022-10-25T00:00:00"/>
    <x v="222"/>
    <s v="promo"/>
    <x v="0"/>
    <b v="0"/>
    <b v="0"/>
    <b v="0"/>
    <b v="0"/>
    <b v="1"/>
    <b v="0"/>
  </r>
  <r>
    <n v="8417942"/>
    <s v="123-006-123-007"/>
    <s v="Data Engineer"/>
    <x v="2"/>
    <d v="2022-06-13T00:00:00"/>
    <s v="Kimberly Perez"/>
    <d v="2022-06-14T00:00:00"/>
    <x v="435"/>
    <s v="new to org"/>
    <x v="0"/>
    <b v="0"/>
    <b v="0"/>
    <b v="0"/>
    <b v="0"/>
    <b v="0"/>
    <b v="1"/>
  </r>
  <r>
    <n v="8417942"/>
    <s v="123-006-123-008"/>
    <s v="Data Engineer"/>
    <x v="2"/>
    <d v="2022-11-08T00:00:00"/>
    <s v="Jessica Turner"/>
    <d v="2022-12-02T00:00:00"/>
    <x v="145"/>
    <s v="new to org"/>
    <x v="0"/>
    <b v="0"/>
    <b v="0"/>
    <b v="0"/>
    <b v="0"/>
    <b v="0"/>
    <b v="1"/>
  </r>
  <r>
    <n v="9477100"/>
    <s v="123-001-104-002"/>
    <s v="HR Specialist"/>
    <x v="9"/>
    <d v="2022-01-06T00:00:00"/>
    <s v="Mark Martin"/>
    <d v="2022-01-21T00:00:00"/>
    <x v="148"/>
    <s v="transfer"/>
    <x v="0"/>
    <b v="0"/>
    <b v="0"/>
    <b v="0"/>
    <b v="1"/>
    <b v="0"/>
    <b v="0"/>
  </r>
  <r>
    <n v="9477100"/>
    <s v="123-001-104-003"/>
    <s v="HR Specialist"/>
    <x v="9"/>
    <d v="2022-10-19T00:00:00"/>
    <s v="Daniel Martin"/>
    <d v="2022-11-10T00:00:00"/>
    <x v="138"/>
    <s v="promo"/>
    <x v="0"/>
    <b v="0"/>
    <b v="0"/>
    <b v="0"/>
    <b v="0"/>
    <b v="1"/>
    <b v="0"/>
  </r>
  <r>
    <n v="3348331"/>
    <s v="123-007-123-001"/>
    <s v="Data Engineer"/>
    <x v="3"/>
    <d v="2022-07-17T00:00:00"/>
    <s v="Christopher King"/>
    <d v="2022-08-13T00:00:00"/>
    <x v="451"/>
    <s v="transfer"/>
    <x v="0"/>
    <b v="0"/>
    <b v="0"/>
    <b v="0"/>
    <b v="1"/>
    <b v="0"/>
    <b v="0"/>
  </r>
  <r>
    <n v="3348331"/>
    <s v="123-007-123-002"/>
    <s v="Data Engineer"/>
    <x v="3"/>
    <d v="2023-03-12T00:00:00"/>
    <s v="Elizabeth Rivera"/>
    <d v="2023-04-08T00:00:00"/>
    <x v="183"/>
    <s v="transfer"/>
    <x v="0"/>
    <b v="0"/>
    <b v="0"/>
    <b v="0"/>
    <b v="1"/>
    <b v="0"/>
    <b v="0"/>
  </r>
  <r>
    <n v="3348331"/>
    <s v="123-007-123-005"/>
    <s v="Data Engineer"/>
    <x v="3"/>
    <d v="2023-05-26T00:00:00"/>
    <s v="Logan Taylor"/>
    <d v="2023-06-16T00:00:00"/>
    <x v="207"/>
    <m/>
    <x v="0"/>
    <b v="0"/>
    <b v="0"/>
    <b v="0"/>
    <b v="0"/>
    <b v="0"/>
    <b v="0"/>
  </r>
  <r>
    <n v="8383316"/>
    <s v="123-008-123-006"/>
    <s v="Data Engineer"/>
    <x v="4"/>
    <d v="2023-05-12T00:00:00"/>
    <s v="Steven Rodriguez"/>
    <d v="2023-06-04T00:00:00"/>
    <x v="452"/>
    <s v="promo"/>
    <x v="0"/>
    <b v="0"/>
    <b v="0"/>
    <b v="0"/>
    <b v="0"/>
    <b v="1"/>
    <b v="0"/>
  </r>
  <r>
    <n v="8383316"/>
    <s v="123-008-123-008"/>
    <s v="Data Engineer"/>
    <x v="4"/>
    <d v="2022-06-10T00:00:00"/>
    <s v="Donald Williams"/>
    <d v="2022-06-28T00:00:00"/>
    <x v="142"/>
    <m/>
    <x v="0"/>
    <b v="0"/>
    <b v="0"/>
    <b v="0"/>
    <b v="0"/>
    <b v="0"/>
    <b v="0"/>
  </r>
  <r>
    <n v="8383316"/>
    <s v="123-008-123-009"/>
    <s v="Data Engineer"/>
    <x v="4"/>
    <d v="2023-02-23T00:00:00"/>
    <s v="Joshua Diaz"/>
    <d v="2023-02-27T00:00:00"/>
    <x v="323"/>
    <s v="transfer"/>
    <x v="0"/>
    <b v="0"/>
    <b v="0"/>
    <b v="0"/>
    <b v="1"/>
    <b v="0"/>
    <b v="0"/>
  </r>
  <r>
    <n v="7200623"/>
    <s v="123-005-119-009"/>
    <s v="Account Manager"/>
    <x v="0"/>
    <d v="2023-01-19T00:00:00"/>
    <s v="Lisa Martin"/>
    <d v="2023-01-29T00:00:00"/>
    <x v="303"/>
    <s v="transfer"/>
    <x v="0"/>
    <b v="0"/>
    <b v="0"/>
    <b v="0"/>
    <b v="1"/>
    <b v="0"/>
    <b v="0"/>
  </r>
  <r>
    <n v="9152477"/>
    <s v="123-003-101-001"/>
    <s v="Software Engineer"/>
    <x v="8"/>
    <d v="2022-11-09T00:00:00"/>
    <s v="Patricia Edwards"/>
    <d v="2022-12-08T00:00:00"/>
    <x v="311"/>
    <m/>
    <x v="0"/>
    <b v="0"/>
    <b v="0"/>
    <b v="0"/>
    <b v="0"/>
    <b v="0"/>
    <b v="0"/>
  </r>
  <r>
    <n v="3052321"/>
    <s v="123-006-118-002"/>
    <s v="Network Engineer"/>
    <x v="2"/>
    <d v="2022-11-14T00:00:00"/>
    <s v="Donald Torres"/>
    <d v="2022-12-03T00:00:00"/>
    <x v="190"/>
    <m/>
    <x v="0"/>
    <b v="0"/>
    <b v="0"/>
    <b v="0"/>
    <b v="0"/>
    <b v="0"/>
    <b v="0"/>
  </r>
  <r>
    <n v="6667733"/>
    <s v="123-007-126-006"/>
    <s v="Recruiter"/>
    <x v="3"/>
    <d v="2023-06-01T00:00:00"/>
    <s v="Edward Rodriguez"/>
    <d v="2023-06-22T00:00:00"/>
    <x v="179"/>
    <s v="promo"/>
    <x v="0"/>
    <b v="0"/>
    <b v="0"/>
    <b v="0"/>
    <b v="0"/>
    <b v="1"/>
    <b v="0"/>
  </r>
  <r>
    <n v="6667733"/>
    <s v="123-007-126-007"/>
    <s v="Recruiter"/>
    <x v="3"/>
    <d v="2022-11-30T00:00:00"/>
    <s v="Elizabeth Parker"/>
    <d v="2022-12-03T00:00:00"/>
    <x v="413"/>
    <m/>
    <x v="0"/>
    <b v="0"/>
    <b v="0"/>
    <b v="0"/>
    <b v="0"/>
    <b v="0"/>
    <b v="0"/>
  </r>
  <r>
    <n v="6667733"/>
    <s v="123-007-126-008"/>
    <s v="Recruiter"/>
    <x v="3"/>
    <d v="2023-02-09T00:00:00"/>
    <s v="Matthew Anderson"/>
    <d v="2023-02-20T00:00:00"/>
    <x v="444"/>
    <m/>
    <x v="0"/>
    <b v="0"/>
    <b v="0"/>
    <b v="0"/>
    <b v="0"/>
    <b v="0"/>
    <b v="0"/>
  </r>
  <r>
    <n v="5653581"/>
    <s v="123-002-121-003"/>
    <s v="UX Designer"/>
    <x v="6"/>
    <d v="2022-05-07T00:00:00"/>
    <s v="Emily Adams"/>
    <d v="2022-05-28T00:00:00"/>
    <x v="343"/>
    <s v="new to org"/>
    <x v="0"/>
    <b v="0"/>
    <b v="0"/>
    <b v="0"/>
    <b v="0"/>
    <b v="0"/>
    <b v="1"/>
  </r>
  <r>
    <n v="9753576"/>
    <s v="123-008-107-005"/>
    <s v="Sales Associate"/>
    <x v="4"/>
    <d v="2022-07-04T00:00:00"/>
    <s v="Kevin Wright"/>
    <d v="2022-07-05T00:00:00"/>
    <x v="201"/>
    <s v="transfer"/>
    <x v="0"/>
    <b v="0"/>
    <b v="0"/>
    <b v="0"/>
    <b v="1"/>
    <b v="0"/>
    <b v="0"/>
  </r>
  <r>
    <n v="9753576"/>
    <s v="123-008-107-006"/>
    <s v="Sales Associate"/>
    <x v="4"/>
    <d v="2023-03-31T00:00:00"/>
    <s v="Mason Rivera"/>
    <d v="2023-04-03T00:00:00"/>
    <x v="12"/>
    <s v="promo"/>
    <x v="0"/>
    <b v="0"/>
    <b v="0"/>
    <b v="0"/>
    <b v="0"/>
    <b v="1"/>
    <b v="0"/>
  </r>
  <r>
    <n v="9753576"/>
    <s v="123-008-107-007"/>
    <s v="Sales Associate"/>
    <x v="4"/>
    <d v="2022-02-16T00:00:00"/>
    <s v="Betty Nguyen"/>
    <d v="2022-03-04T00:00:00"/>
    <x v="6"/>
    <s v="new to org"/>
    <x v="0"/>
    <b v="0"/>
    <b v="0"/>
    <b v="0"/>
    <b v="0"/>
    <b v="0"/>
    <b v="1"/>
  </r>
  <r>
    <n v="9753576"/>
    <s v="123-008-107-008"/>
    <s v="Sales Associate"/>
    <x v="4"/>
    <d v="2023-03-01T00:00:00"/>
    <s v="Margaret Lopez"/>
    <d v="2023-03-02T00:00:00"/>
    <x v="234"/>
    <s v="new to org"/>
    <x v="0"/>
    <b v="0"/>
    <b v="0"/>
    <b v="0"/>
    <b v="0"/>
    <b v="0"/>
    <b v="1"/>
  </r>
  <r>
    <n v="9753576"/>
    <s v="123-008-107-009"/>
    <s v="Sales Associate"/>
    <x v="4"/>
    <d v="2022-04-28T00:00:00"/>
    <s v="Thomas Garcia"/>
    <d v="2022-05-02T00:00:00"/>
    <x v="243"/>
    <m/>
    <x v="0"/>
    <b v="0"/>
    <b v="0"/>
    <b v="0"/>
    <b v="0"/>
    <b v="0"/>
    <b v="0"/>
  </r>
  <r>
    <n v="3821189"/>
    <s v="123-003-110-002"/>
    <s v="Legal Advisor"/>
    <x v="8"/>
    <d v="2022-07-05T00:00:00"/>
    <s v="Michelle Lee"/>
    <d v="2022-07-06T00:00:00"/>
    <x v="87"/>
    <s v="transfer"/>
    <x v="0"/>
    <b v="0"/>
    <b v="0"/>
    <b v="0"/>
    <b v="1"/>
    <b v="0"/>
    <b v="0"/>
  </r>
  <r>
    <n v="9533248"/>
    <s v="123-009-125-009"/>
    <s v="Security Analyst"/>
    <x v="7"/>
    <d v="2023-04-21T00:00:00"/>
    <s v="Patricia Lee"/>
    <d v="2023-05-09T00:00:00"/>
    <x v="224"/>
    <s v="new to org"/>
    <x v="0"/>
    <b v="0"/>
    <b v="0"/>
    <b v="0"/>
    <b v="0"/>
    <b v="0"/>
    <b v="1"/>
  </r>
  <r>
    <n v="9533248"/>
    <s v="123-009-125-011"/>
    <s v="Security Analyst"/>
    <x v="7"/>
    <d v="2022-04-14T00:00:00"/>
    <s v="Emily Nguyen"/>
    <d v="2022-04-22T00:00:00"/>
    <x v="214"/>
    <s v="new to org"/>
    <x v="0"/>
    <b v="0"/>
    <b v="0"/>
    <b v="0"/>
    <b v="0"/>
    <b v="0"/>
    <b v="1"/>
  </r>
  <r>
    <n v="9533248"/>
    <s v="123-009-125-012"/>
    <s v="Security Analyst"/>
    <x v="7"/>
    <d v="2023-02-21T00:00:00"/>
    <s v="Karen Torres"/>
    <d v="2023-03-08T00:00:00"/>
    <x v="453"/>
    <s v="promo"/>
    <x v="0"/>
    <b v="0"/>
    <b v="0"/>
    <b v="0"/>
    <b v="0"/>
    <b v="1"/>
    <b v="0"/>
  </r>
  <r>
    <n v="9395862"/>
    <s v="123-003-107-010"/>
    <s v="Sales Associate"/>
    <x v="8"/>
    <d v="2023-03-10T00:00:00"/>
    <s v="Sophia Thomas"/>
    <d v="2023-04-09T00:00:00"/>
    <x v="55"/>
    <s v="promo"/>
    <x v="0"/>
    <b v="0"/>
    <b v="0"/>
    <b v="0"/>
    <b v="0"/>
    <b v="1"/>
    <b v="0"/>
  </r>
  <r>
    <n v="9395862"/>
    <s v="123-003-107-011"/>
    <s v="Sales Associate"/>
    <x v="8"/>
    <d v="2022-10-24T00:00:00"/>
    <s v="Isabella Robinson"/>
    <d v="2022-11-14T00:00:00"/>
    <x v="169"/>
    <s v="transfer"/>
    <x v="0"/>
    <b v="0"/>
    <b v="0"/>
    <b v="0"/>
    <b v="1"/>
    <b v="0"/>
    <b v="0"/>
  </r>
  <r>
    <n v="5209218"/>
    <s v="123-007-127-006"/>
    <s v="Training Coordinator"/>
    <x v="3"/>
    <d v="2023-06-07T00:00:00"/>
    <s v="Donna Turner"/>
    <d v="2023-06-17T00:00:00"/>
    <x v="286"/>
    <s v="promo"/>
    <x v="0"/>
    <b v="0"/>
    <b v="0"/>
    <b v="0"/>
    <b v="0"/>
    <b v="1"/>
    <b v="0"/>
  </r>
  <r>
    <n v="5688532"/>
    <s v="123-007-129-004"/>
    <s v="Supply Chain Manager"/>
    <x v="3"/>
    <d v="2022-12-17T00:00:00"/>
    <s v="Olivia Baker"/>
    <d v="2023-01-07T00:00:00"/>
    <x v="413"/>
    <s v="new to org"/>
    <x v="0"/>
    <b v="0"/>
    <b v="0"/>
    <b v="0"/>
    <b v="0"/>
    <b v="0"/>
    <b v="1"/>
  </r>
  <r>
    <n v="5688532"/>
    <s v="123-007-129-005"/>
    <s v="Supply Chain Manager"/>
    <x v="3"/>
    <d v="2022-11-26T00:00:00"/>
    <s v="Sarah Thomas"/>
    <d v="2022-12-07T00:00:00"/>
    <x v="193"/>
    <m/>
    <x v="0"/>
    <b v="0"/>
    <b v="0"/>
    <b v="0"/>
    <b v="0"/>
    <b v="0"/>
    <b v="0"/>
  </r>
  <r>
    <n v="8714152"/>
    <s v="123-006-120-006"/>
    <s v="Executive Assistant"/>
    <x v="2"/>
    <d v="2023-05-03T00:00:00"/>
    <s v="Carol Smith"/>
    <d v="2023-05-04T00:00:00"/>
    <x v="368"/>
    <s v="promo"/>
    <x v="0"/>
    <b v="0"/>
    <b v="0"/>
    <b v="0"/>
    <b v="0"/>
    <b v="1"/>
    <b v="0"/>
  </r>
  <r>
    <n v="1160702"/>
    <s v="123-003-122-010"/>
    <s v="DevOps Engineer"/>
    <x v="8"/>
    <d v="2022-03-25T00:00:00"/>
    <s v="Edward Sanchez"/>
    <d v="2022-04-20T00:00:00"/>
    <x v="435"/>
    <m/>
    <x v="0"/>
    <b v="0"/>
    <b v="0"/>
    <b v="0"/>
    <b v="0"/>
    <b v="0"/>
    <b v="0"/>
  </r>
  <r>
    <n v="1160702"/>
    <s v="123-003-122-011"/>
    <s v="DevOps Engineer"/>
    <x v="8"/>
    <d v="2023-04-01T00:00:00"/>
    <s v="Paul Johnson"/>
    <d v="2023-04-23T00:00:00"/>
    <x v="52"/>
    <s v="transfer"/>
    <x v="0"/>
    <b v="0"/>
    <b v="0"/>
    <b v="0"/>
    <b v="1"/>
    <b v="0"/>
    <b v="0"/>
  </r>
  <r>
    <n v="1160702"/>
    <s v="123-003-122-012"/>
    <s v="DevOps Engineer"/>
    <x v="8"/>
    <d v="2023-01-02T00:00:00"/>
    <s v="Isabella Hill"/>
    <d v="2023-01-15T00:00:00"/>
    <x v="403"/>
    <m/>
    <x v="0"/>
    <b v="0"/>
    <b v="0"/>
    <b v="0"/>
    <b v="0"/>
    <b v="0"/>
    <b v="0"/>
  </r>
  <r>
    <n v="1160702"/>
    <s v="123-003-122-013"/>
    <s v="DevOps Engineer"/>
    <x v="8"/>
    <d v="2023-01-15T00:00:00"/>
    <s v="Linda Robinson"/>
    <d v="2023-02-14T00:00:00"/>
    <x v="225"/>
    <s v="transfer"/>
    <x v="0"/>
    <b v="0"/>
    <b v="0"/>
    <b v="0"/>
    <b v="1"/>
    <b v="0"/>
    <b v="0"/>
  </r>
  <r>
    <n v="8458775"/>
    <s v="123-004-101-001"/>
    <s v="Software Engineer"/>
    <x v="1"/>
    <d v="2022-11-07T00:00:00"/>
    <s v="Richard Garcia"/>
    <d v="2022-12-03T00:00:00"/>
    <x v="295"/>
    <s v="new to org"/>
    <x v="0"/>
    <b v="0"/>
    <b v="0"/>
    <b v="0"/>
    <b v="0"/>
    <b v="0"/>
    <b v="1"/>
  </r>
  <r>
    <n v="4710242"/>
    <s v="123-008-108-006"/>
    <s v="Customer Support Rep"/>
    <x v="4"/>
    <d v="2023-02-10T00:00:00"/>
    <s v="James Gonzalez"/>
    <d v="2023-02-14T00:00:00"/>
    <x v="227"/>
    <s v="promo"/>
    <x v="0"/>
    <b v="0"/>
    <b v="0"/>
    <b v="0"/>
    <b v="0"/>
    <b v="1"/>
    <b v="0"/>
  </r>
  <r>
    <n v="3151617"/>
    <s v="123-002-124-002"/>
    <s v="Compliance Officer"/>
    <x v="6"/>
    <d v="2022-01-24T00:00:00"/>
    <s v="Richard Diaz"/>
    <d v="2022-02-16T00:00:00"/>
    <x v="454"/>
    <s v="new to org"/>
    <x v="0"/>
    <b v="0"/>
    <b v="0"/>
    <b v="0"/>
    <b v="0"/>
    <b v="0"/>
    <b v="1"/>
  </r>
  <r>
    <n v="9941274"/>
    <s v="123-005-120-009"/>
    <s v="Executive Assistant"/>
    <x v="0"/>
    <d v="2022-02-23T00:00:00"/>
    <s v="Charlotte Ramirez"/>
    <d v="2022-03-23T00:00:00"/>
    <x v="455"/>
    <s v="transfer"/>
    <x v="0"/>
    <b v="0"/>
    <b v="0"/>
    <b v="0"/>
    <b v="1"/>
    <b v="0"/>
    <b v="0"/>
  </r>
  <r>
    <n v="9941274"/>
    <s v="123-005-120-010"/>
    <s v="Executive Assistant"/>
    <x v="0"/>
    <d v="2023-06-15T00:00:00"/>
    <s v="Sarah Davis"/>
    <d v="2023-06-30T00:00:00"/>
    <x v="369"/>
    <m/>
    <x v="0"/>
    <b v="0"/>
    <b v="0"/>
    <b v="0"/>
    <b v="0"/>
    <b v="0"/>
    <b v="0"/>
  </r>
  <r>
    <n v="9941274"/>
    <s v="123-005-120-011"/>
    <s v="Executive Assistant"/>
    <x v="0"/>
    <d v="2022-08-18T00:00:00"/>
    <s v="Olivia Campbell"/>
    <d v="2022-08-20T00:00:00"/>
    <x v="111"/>
    <s v="transfer"/>
    <x v="0"/>
    <b v="0"/>
    <b v="0"/>
    <b v="0"/>
    <b v="1"/>
    <b v="0"/>
    <b v="0"/>
  </r>
  <r>
    <n v="9941274"/>
    <s v="123-005-120-012"/>
    <s v="Executive Assistant"/>
    <x v="0"/>
    <d v="2023-02-06T00:00:00"/>
    <s v="Christopher Smith"/>
    <d v="2023-02-13T00:00:00"/>
    <x v="323"/>
    <m/>
    <x v="0"/>
    <b v="0"/>
    <b v="0"/>
    <b v="0"/>
    <b v="0"/>
    <b v="0"/>
    <b v="0"/>
  </r>
  <r>
    <n v="4785409"/>
    <s v="123-007-123-006"/>
    <s v="Data Engineer"/>
    <x v="3"/>
    <d v="2022-11-15T00:00:00"/>
    <s v="David Perez"/>
    <d v="2022-11-18T00:00:00"/>
    <x v="456"/>
    <s v="promo"/>
    <x v="0"/>
    <b v="0"/>
    <b v="0"/>
    <b v="0"/>
    <b v="0"/>
    <b v="1"/>
    <b v="0"/>
  </r>
  <r>
    <n v="2622794"/>
    <s v="123-008-101-001"/>
    <s v="Software Engineer"/>
    <x v="4"/>
    <d v="2022-09-11T00:00:00"/>
    <s v="Mason Taylor"/>
    <d v="2022-09-15T00:00:00"/>
    <x v="457"/>
    <s v="new to org"/>
    <x v="0"/>
    <b v="0"/>
    <b v="0"/>
    <b v="0"/>
    <b v="0"/>
    <b v="0"/>
    <b v="1"/>
  </r>
  <r>
    <n v="2622794"/>
    <s v="123-008-101-003"/>
    <s v="Software Engineer"/>
    <x v="4"/>
    <d v="2023-03-26T00:00:00"/>
    <s v="Charlotte Jones"/>
    <d v="2023-04-20T00:00:00"/>
    <x v="234"/>
    <s v="promo"/>
    <x v="0"/>
    <b v="0"/>
    <b v="0"/>
    <b v="0"/>
    <b v="0"/>
    <b v="1"/>
    <b v="0"/>
  </r>
  <r>
    <n v="2622794"/>
    <s v="123-008-101-004"/>
    <s v="Software Engineer"/>
    <x v="4"/>
    <d v="2022-02-04T00:00:00"/>
    <s v="Jennifer Brown"/>
    <d v="2022-02-17T00:00:00"/>
    <x v="387"/>
    <s v="transfer"/>
    <x v="0"/>
    <b v="0"/>
    <b v="0"/>
    <b v="0"/>
    <b v="1"/>
    <b v="0"/>
    <b v="0"/>
  </r>
  <r>
    <n v="2090992"/>
    <s v="123-003-126-008"/>
    <s v="Recruiter"/>
    <x v="8"/>
    <d v="2023-03-19T00:00:00"/>
    <s v="Patricia Martin"/>
    <d v="2023-03-22T00:00:00"/>
    <x v="144"/>
    <m/>
    <x v="0"/>
    <b v="0"/>
    <b v="0"/>
    <b v="0"/>
    <b v="0"/>
    <b v="0"/>
    <b v="0"/>
  </r>
  <r>
    <n v="1936000"/>
    <s v="123-001-118-004"/>
    <s v="Network Engineer"/>
    <x v="9"/>
    <d v="2023-02-25T00:00:00"/>
    <s v="Michael Flores"/>
    <d v="2023-03-05T00:00:00"/>
    <x v="34"/>
    <m/>
    <x v="0"/>
    <b v="0"/>
    <b v="0"/>
    <b v="0"/>
    <b v="0"/>
    <b v="0"/>
    <b v="0"/>
  </r>
  <r>
    <n v="1936000"/>
    <s v="123-001-118-005"/>
    <s v="Network Engineer"/>
    <x v="9"/>
    <d v="2023-04-21T00:00:00"/>
    <s v="Sandra Harris"/>
    <d v="2023-05-17T00:00:00"/>
    <x v="155"/>
    <s v="transfer"/>
    <x v="0"/>
    <b v="0"/>
    <b v="0"/>
    <b v="0"/>
    <b v="1"/>
    <b v="0"/>
    <b v="0"/>
  </r>
  <r>
    <n v="1936000"/>
    <s v="123-001-118-006"/>
    <s v="Network Engineer"/>
    <x v="9"/>
    <d v="2022-01-27T00:00:00"/>
    <s v="Nancy Adams"/>
    <d v="2022-02-11T00:00:00"/>
    <x v="210"/>
    <s v="transfer"/>
    <x v="0"/>
    <b v="0"/>
    <b v="0"/>
    <b v="0"/>
    <b v="1"/>
    <b v="0"/>
    <b v="0"/>
  </r>
  <r>
    <n v="4248312"/>
    <s v="123-010-129-001"/>
    <s v="Supply Chain Manager"/>
    <x v="5"/>
    <d v="2023-05-08T00:00:00"/>
    <s v="Daniel Clark"/>
    <d v="2023-06-01T00:00:00"/>
    <x v="118"/>
    <s v="new to org"/>
    <x v="0"/>
    <b v="0"/>
    <b v="0"/>
    <b v="0"/>
    <b v="0"/>
    <b v="0"/>
    <b v="1"/>
  </r>
  <r>
    <n v="4248312"/>
    <s v="123-010-129-002"/>
    <s v="Supply Chain Manager"/>
    <x v="5"/>
    <d v="2022-02-15T00:00:00"/>
    <s v="William Phillips"/>
    <d v="2022-02-17T00:00:00"/>
    <x v="458"/>
    <s v="promo"/>
    <x v="0"/>
    <b v="0"/>
    <b v="0"/>
    <b v="0"/>
    <b v="0"/>
    <b v="1"/>
    <b v="0"/>
  </r>
  <r>
    <n v="6228902"/>
    <s v="123-007-119-001"/>
    <s v="Account Manager"/>
    <x v="3"/>
    <d v="2022-05-30T00:00:00"/>
    <s v="Karen Nguyen"/>
    <d v="2022-06-04T00:00:00"/>
    <x v="277"/>
    <s v="new to org"/>
    <x v="0"/>
    <b v="0"/>
    <b v="0"/>
    <b v="0"/>
    <b v="0"/>
    <b v="0"/>
    <b v="1"/>
  </r>
  <r>
    <n v="6228902"/>
    <s v="123-007-119-002"/>
    <s v="Account Manager"/>
    <x v="3"/>
    <d v="2022-01-09T00:00:00"/>
    <s v="Charles White"/>
    <d v="2022-01-26T00:00:00"/>
    <x v="318"/>
    <s v="new to org"/>
    <x v="0"/>
    <b v="0"/>
    <b v="0"/>
    <b v="0"/>
    <b v="0"/>
    <b v="0"/>
    <b v="1"/>
  </r>
  <r>
    <n v="6228902"/>
    <s v="123-007-119-003"/>
    <s v="Account Manager"/>
    <x v="3"/>
    <d v="2023-06-04T00:00:00"/>
    <s v="Patricia Thomas"/>
    <d v="2023-07-01T00:00:00"/>
    <x v="397"/>
    <s v="promo"/>
    <x v="0"/>
    <b v="0"/>
    <b v="0"/>
    <b v="0"/>
    <b v="0"/>
    <b v="1"/>
    <b v="0"/>
  </r>
  <r>
    <n v="6228902"/>
    <s v="123-007-119-004"/>
    <s v="Account Manager"/>
    <x v="3"/>
    <d v="2022-07-20T00:00:00"/>
    <s v="Margaret Thompson"/>
    <d v="2022-07-27T00:00:00"/>
    <x v="374"/>
    <s v="transfer"/>
    <x v="0"/>
    <b v="0"/>
    <b v="0"/>
    <b v="0"/>
    <b v="1"/>
    <b v="0"/>
    <b v="0"/>
  </r>
  <r>
    <n v="6228902"/>
    <s v="123-007-119-005"/>
    <s v="Account Manager"/>
    <x v="3"/>
    <d v="2023-05-03T00:00:00"/>
    <s v="Nancy Gonzalez"/>
    <d v="2023-05-26T00:00:00"/>
    <x v="313"/>
    <s v="transfer"/>
    <x v="0"/>
    <b v="0"/>
    <b v="0"/>
    <b v="0"/>
    <b v="1"/>
    <b v="0"/>
    <b v="0"/>
  </r>
  <r>
    <n v="8841710"/>
    <s v="123-006-120-007"/>
    <s v="Executive Assistant"/>
    <x v="2"/>
    <d v="2023-03-05T00:00:00"/>
    <s v="Michelle Martin"/>
    <d v="2023-03-16T00:00:00"/>
    <x v="444"/>
    <s v="new to org"/>
    <x v="0"/>
    <b v="0"/>
    <b v="0"/>
    <b v="0"/>
    <b v="0"/>
    <b v="0"/>
    <b v="1"/>
  </r>
  <r>
    <n v="8841710"/>
    <s v="123-006-120-011"/>
    <s v="Executive Assistant"/>
    <x v="2"/>
    <d v="2023-01-20T00:00:00"/>
    <s v="Ethan Mitchell"/>
    <d v="2023-01-27T00:00:00"/>
    <x v="459"/>
    <s v="new to org"/>
    <x v="0"/>
    <b v="0"/>
    <b v="0"/>
    <b v="0"/>
    <b v="0"/>
    <b v="0"/>
    <b v="1"/>
  </r>
  <r>
    <n v="4091109"/>
    <s v="123-001-127-003"/>
    <s v="Training Coordinator"/>
    <x v="9"/>
    <d v="2022-07-23T00:00:00"/>
    <s v="Robert Johnson"/>
    <d v="2022-07-30T00:00:00"/>
    <x v="80"/>
    <s v="new to org"/>
    <x v="0"/>
    <b v="0"/>
    <b v="0"/>
    <b v="0"/>
    <b v="0"/>
    <b v="0"/>
    <b v="1"/>
  </r>
  <r>
    <n v="2861751"/>
    <s v="123-004-111-006"/>
    <s v="Product Manager"/>
    <x v="1"/>
    <d v="2022-06-25T00:00:00"/>
    <s v="Ethan White"/>
    <d v="2022-07-12T00:00:00"/>
    <x v="60"/>
    <s v="new to org"/>
    <x v="0"/>
    <b v="0"/>
    <b v="0"/>
    <b v="0"/>
    <b v="0"/>
    <b v="0"/>
    <b v="1"/>
  </r>
  <r>
    <n v="2861751"/>
    <s v="123-004-111-007"/>
    <s v="Product Manager"/>
    <x v="1"/>
    <d v="2022-03-08T00:00:00"/>
    <s v="Olivia Rivera"/>
    <d v="2022-03-12T00:00:00"/>
    <x v="9"/>
    <m/>
    <x v="0"/>
    <b v="0"/>
    <b v="0"/>
    <b v="0"/>
    <b v="0"/>
    <b v="0"/>
    <b v="0"/>
  </r>
  <r>
    <n v="2861751"/>
    <s v="123-004-111-008"/>
    <s v="Product Manager"/>
    <x v="1"/>
    <d v="2022-07-16T00:00:00"/>
    <s v="Sophia Gonzalez"/>
    <d v="2022-08-03T00:00:00"/>
    <x v="460"/>
    <s v="promo"/>
    <x v="0"/>
    <b v="0"/>
    <b v="0"/>
    <b v="0"/>
    <b v="0"/>
    <b v="1"/>
    <b v="0"/>
  </r>
  <r>
    <n v="7278962"/>
    <s v="123-010-111-006"/>
    <s v="Product Manager"/>
    <x v="5"/>
    <d v="2022-07-13T00:00:00"/>
    <s v="Ava Williams"/>
    <d v="2022-08-10T00:00:00"/>
    <x v="53"/>
    <s v="promo"/>
    <x v="0"/>
    <b v="0"/>
    <b v="0"/>
    <b v="0"/>
    <b v="0"/>
    <b v="1"/>
    <b v="0"/>
  </r>
  <r>
    <n v="7278962"/>
    <s v="123-010-111-008"/>
    <s v="Product Manager"/>
    <x v="5"/>
    <d v="2023-06-05T00:00:00"/>
    <s v="Logan Rodriguez"/>
    <d v="2023-06-24T00:00:00"/>
    <x v="461"/>
    <s v="new to org"/>
    <x v="0"/>
    <b v="0"/>
    <b v="0"/>
    <b v="0"/>
    <b v="0"/>
    <b v="0"/>
    <b v="1"/>
  </r>
  <r>
    <n v="7278962"/>
    <s v="123-010-111-009"/>
    <s v="Product Manager"/>
    <x v="5"/>
    <d v="2022-03-08T00:00:00"/>
    <s v="Sophia Walker"/>
    <d v="2022-03-14T00:00:00"/>
    <x v="276"/>
    <s v="transfer"/>
    <x v="0"/>
    <b v="0"/>
    <b v="0"/>
    <b v="0"/>
    <b v="1"/>
    <b v="0"/>
    <b v="0"/>
  </r>
  <r>
    <n v="7511503"/>
    <s v="123-009-125-013"/>
    <s v="Security Analyst"/>
    <x v="7"/>
    <d v="2023-01-18T00:00:00"/>
    <s v="Barbara Lee"/>
    <d v="2023-02-04T00:00:00"/>
    <x v="165"/>
    <m/>
    <x v="0"/>
    <b v="0"/>
    <b v="0"/>
    <b v="0"/>
    <b v="0"/>
    <b v="0"/>
    <b v="0"/>
  </r>
  <r>
    <n v="7511503"/>
    <s v="123-009-125-014"/>
    <s v="Security Analyst"/>
    <x v="7"/>
    <d v="2023-02-15T00:00:00"/>
    <s v="Donald Moore"/>
    <d v="2023-03-08T00:00:00"/>
    <x v="421"/>
    <m/>
    <x v="0"/>
    <b v="0"/>
    <b v="0"/>
    <b v="0"/>
    <b v="0"/>
    <b v="0"/>
    <b v="0"/>
  </r>
  <r>
    <n v="7511503"/>
    <s v="123-009-125-015"/>
    <s v="Security Analyst"/>
    <x v="7"/>
    <d v="2022-07-27T00:00:00"/>
    <s v="Susan Anderson"/>
    <d v="2022-08-11T00:00:00"/>
    <x v="229"/>
    <s v="transfer"/>
    <x v="0"/>
    <b v="0"/>
    <b v="0"/>
    <b v="0"/>
    <b v="1"/>
    <b v="0"/>
    <b v="0"/>
  </r>
  <r>
    <n v="4932320"/>
    <s v="123-004-113-001"/>
    <s v="Operations Supervisor"/>
    <x v="1"/>
    <d v="2023-01-19T00:00:00"/>
    <s v="Andrew Hernandez"/>
    <d v="2023-01-28T00:00:00"/>
    <x v="122"/>
    <m/>
    <x v="0"/>
    <b v="0"/>
    <b v="0"/>
    <b v="0"/>
    <b v="0"/>
    <b v="0"/>
    <b v="0"/>
  </r>
  <r>
    <n v="4932320"/>
    <s v="123-004-113-003"/>
    <s v="Operations Supervisor"/>
    <x v="1"/>
    <d v="2023-04-22T00:00:00"/>
    <s v="Donna Williams"/>
    <d v="2023-05-09T00:00:00"/>
    <x v="424"/>
    <s v="promo"/>
    <x v="0"/>
    <b v="0"/>
    <b v="0"/>
    <b v="0"/>
    <b v="0"/>
    <b v="1"/>
    <b v="0"/>
  </r>
  <r>
    <n v="6643418"/>
    <s v="123-008-114-004"/>
    <s v="Research Analyst"/>
    <x v="4"/>
    <d v="2022-11-21T00:00:00"/>
    <s v="Ethan Young"/>
    <d v="2022-11-30T00:00:00"/>
    <x v="84"/>
    <s v="new to org"/>
    <x v="0"/>
    <b v="0"/>
    <b v="0"/>
    <b v="0"/>
    <b v="0"/>
    <b v="0"/>
    <b v="1"/>
  </r>
  <r>
    <n v="6643418"/>
    <s v="123-008-114-007"/>
    <s v="Research Analyst"/>
    <x v="4"/>
    <d v="2022-08-22T00:00:00"/>
    <s v="Sophia Moore"/>
    <d v="2022-08-26T00:00:00"/>
    <x v="437"/>
    <s v="transfer"/>
    <x v="0"/>
    <b v="0"/>
    <b v="0"/>
    <b v="0"/>
    <b v="1"/>
    <b v="0"/>
    <b v="0"/>
  </r>
  <r>
    <n v="2197032"/>
    <s v="123-001-112-007"/>
    <s v="Business Analyst"/>
    <x v="9"/>
    <d v="2022-09-25T00:00:00"/>
    <s v="Mia Carter"/>
    <d v="2022-09-26T00:00:00"/>
    <x v="163"/>
    <s v="promo"/>
    <x v="0"/>
    <b v="0"/>
    <b v="0"/>
    <b v="0"/>
    <b v="0"/>
    <b v="1"/>
    <b v="0"/>
  </r>
  <r>
    <n v="2197032"/>
    <s v="123-001-112-009"/>
    <s v="Business Analyst"/>
    <x v="9"/>
    <d v="2023-06-09T00:00:00"/>
    <s v="Donald Adams"/>
    <d v="2023-07-04T00:00:00"/>
    <x v="207"/>
    <s v="transfer"/>
    <x v="0"/>
    <b v="0"/>
    <b v="0"/>
    <b v="0"/>
    <b v="1"/>
    <b v="0"/>
    <b v="0"/>
  </r>
  <r>
    <n v="7669032"/>
    <s v="123-004-108-006"/>
    <s v="Customer Support Rep"/>
    <x v="1"/>
    <d v="2023-04-18T00:00:00"/>
    <s v="George Evans"/>
    <d v="2023-04-29T00:00:00"/>
    <x v="436"/>
    <m/>
    <x v="0"/>
    <b v="0"/>
    <b v="0"/>
    <b v="0"/>
    <b v="0"/>
    <b v="0"/>
    <b v="0"/>
  </r>
  <r>
    <n v="8007639"/>
    <s v="123-008-107-010"/>
    <s v="Sales Associate"/>
    <x v="4"/>
    <d v="2022-05-12T00:00:00"/>
    <s v="Lisa Rodriguez"/>
    <d v="2022-05-22T00:00:00"/>
    <x v="132"/>
    <s v="transfer"/>
    <x v="0"/>
    <b v="0"/>
    <b v="0"/>
    <b v="0"/>
    <b v="1"/>
    <b v="0"/>
    <b v="0"/>
  </r>
  <r>
    <n v="8007639"/>
    <s v="123-008-107-013"/>
    <s v="Sales Associate"/>
    <x v="4"/>
    <d v="2022-01-24T00:00:00"/>
    <s v="Christopher Nguyen"/>
    <d v="2022-02-12T00:00:00"/>
    <x v="462"/>
    <s v="new to org"/>
    <x v="0"/>
    <b v="0"/>
    <b v="0"/>
    <b v="0"/>
    <b v="0"/>
    <b v="0"/>
    <b v="1"/>
  </r>
  <r>
    <n v="1540377"/>
    <s v="123-003-130-001"/>
    <s v="Biomedical Engineer"/>
    <x v="8"/>
    <d v="2023-02-05T00:00:00"/>
    <s v="Andrew Green"/>
    <d v="2023-02-18T00:00:00"/>
    <x v="463"/>
    <s v="new to org"/>
    <x v="0"/>
    <b v="0"/>
    <b v="0"/>
    <b v="0"/>
    <b v="0"/>
    <b v="0"/>
    <b v="1"/>
  </r>
  <r>
    <n v="1540377"/>
    <s v="123-003-130-002"/>
    <s v="Biomedical Engineer"/>
    <x v="8"/>
    <d v="2022-07-12T00:00:00"/>
    <s v="Paul Harris"/>
    <d v="2022-07-28T00:00:00"/>
    <x v="77"/>
    <s v="transfer"/>
    <x v="0"/>
    <b v="0"/>
    <b v="0"/>
    <b v="0"/>
    <b v="1"/>
    <b v="0"/>
    <b v="0"/>
  </r>
  <r>
    <n v="6517042"/>
    <s v="123-008-119-003"/>
    <s v="Account Manager"/>
    <x v="4"/>
    <d v="2022-07-23T00:00:00"/>
    <s v="Mary Lopez"/>
    <d v="2022-07-26T00:00:00"/>
    <x v="433"/>
    <m/>
    <x v="0"/>
    <b v="0"/>
    <b v="0"/>
    <b v="0"/>
    <b v="0"/>
    <b v="0"/>
    <b v="0"/>
  </r>
  <r>
    <n v="5883940"/>
    <s v="123-009-122-003"/>
    <s v="DevOps Engineer"/>
    <x v="7"/>
    <d v="2022-06-25T00:00:00"/>
    <s v="Kimberly Smith"/>
    <d v="2022-07-06T00:00:00"/>
    <x v="131"/>
    <s v="new to org"/>
    <x v="0"/>
    <b v="0"/>
    <b v="0"/>
    <b v="0"/>
    <b v="0"/>
    <b v="0"/>
    <b v="1"/>
  </r>
  <r>
    <n v="4464154"/>
    <s v="123-004-105-002"/>
    <s v="Financial Analyst"/>
    <x v="1"/>
    <d v="2022-11-14T00:00:00"/>
    <s v="David Hill"/>
    <d v="2022-12-03T00:00:00"/>
    <x v="464"/>
    <m/>
    <x v="0"/>
    <b v="0"/>
    <b v="0"/>
    <b v="0"/>
    <b v="0"/>
    <b v="0"/>
    <b v="0"/>
  </r>
  <r>
    <n v="4464154"/>
    <s v="123-004-105-003"/>
    <s v="Financial Analyst"/>
    <x v="1"/>
    <d v="2022-01-08T00:00:00"/>
    <s v="Sarah Gonzalez"/>
    <d v="2022-01-13T00:00:00"/>
    <x v="465"/>
    <m/>
    <x v="0"/>
    <b v="0"/>
    <b v="0"/>
    <b v="0"/>
    <b v="0"/>
    <b v="0"/>
    <b v="0"/>
  </r>
  <r>
    <n v="6517883"/>
    <s v="123-010-130-003"/>
    <s v="Biomedical Engineer"/>
    <x v="5"/>
    <d v="2022-10-22T00:00:00"/>
    <s v="Melissa Garcia"/>
    <d v="2022-11-12T00:00:00"/>
    <x v="56"/>
    <s v="transfer"/>
    <x v="0"/>
    <b v="0"/>
    <b v="0"/>
    <b v="0"/>
    <b v="1"/>
    <b v="0"/>
    <b v="0"/>
  </r>
  <r>
    <n v="6517883"/>
    <s v="123-010-130-004"/>
    <s v="Biomedical Engineer"/>
    <x v="5"/>
    <d v="2022-11-01T00:00:00"/>
    <s v="Brian Turner"/>
    <d v="2022-11-14T00:00:00"/>
    <x v="106"/>
    <s v="new to org"/>
    <x v="0"/>
    <b v="0"/>
    <b v="0"/>
    <b v="0"/>
    <b v="0"/>
    <b v="0"/>
    <b v="1"/>
  </r>
  <r>
    <n v="6517883"/>
    <s v="123-010-130-005"/>
    <s v="Biomedical Engineer"/>
    <x v="5"/>
    <d v="2022-07-03T00:00:00"/>
    <s v="Anthony Thomas"/>
    <d v="2022-08-01T00:00:00"/>
    <x v="105"/>
    <s v="promo"/>
    <x v="0"/>
    <b v="0"/>
    <b v="0"/>
    <b v="0"/>
    <b v="0"/>
    <b v="1"/>
    <b v="0"/>
  </r>
  <r>
    <n v="6517883"/>
    <s v="123-010-130-006"/>
    <s v="Biomedical Engineer"/>
    <x v="5"/>
    <d v="2022-07-07T00:00:00"/>
    <s v="Matthew Collins"/>
    <d v="2022-07-30T00:00:00"/>
    <x v="466"/>
    <m/>
    <x v="0"/>
    <b v="0"/>
    <b v="0"/>
    <b v="0"/>
    <b v="0"/>
    <b v="0"/>
    <b v="0"/>
  </r>
  <r>
    <n v="2602797"/>
    <s v="123-001-113-001"/>
    <s v="Operations Supervisor"/>
    <x v="9"/>
    <d v="2022-10-26T00:00:00"/>
    <s v="Sarah Cruz"/>
    <d v="2022-11-17T00:00:00"/>
    <x v="29"/>
    <s v="promo"/>
    <x v="0"/>
    <b v="0"/>
    <b v="0"/>
    <b v="0"/>
    <b v="0"/>
    <b v="1"/>
    <b v="0"/>
  </r>
  <r>
    <n v="9279347"/>
    <s v="123-009-114-005"/>
    <s v="Research Analyst"/>
    <x v="7"/>
    <d v="2023-06-01T00:00:00"/>
    <s v="Edward Miller"/>
    <d v="2023-06-26T00:00:00"/>
    <x v="467"/>
    <s v="transfer"/>
    <x v="0"/>
    <b v="0"/>
    <b v="0"/>
    <b v="0"/>
    <b v="1"/>
    <b v="0"/>
    <b v="0"/>
  </r>
  <r>
    <n v="8749462"/>
    <s v="123-006-113-007"/>
    <s v="Operations Supervisor"/>
    <x v="2"/>
    <d v="2022-09-14T00:00:00"/>
    <s v="Robert Smith"/>
    <d v="2022-09-18T00:00:00"/>
    <x v="172"/>
    <m/>
    <x v="0"/>
    <b v="0"/>
    <b v="0"/>
    <b v="0"/>
    <b v="0"/>
    <b v="0"/>
    <b v="0"/>
  </r>
  <r>
    <n v="8749462"/>
    <s v="123-006-113-008"/>
    <s v="Operations Supervisor"/>
    <x v="2"/>
    <d v="2023-04-21T00:00:00"/>
    <s v="Kevin Mitchell"/>
    <d v="2023-05-07T00:00:00"/>
    <x v="386"/>
    <s v="new to org"/>
    <x v="0"/>
    <b v="0"/>
    <b v="0"/>
    <b v="0"/>
    <b v="0"/>
    <b v="0"/>
    <b v="1"/>
  </r>
  <r>
    <n v="8749462"/>
    <s v="123-006-113-010"/>
    <s v="Operations Supervisor"/>
    <x v="2"/>
    <d v="2022-10-13T00:00:00"/>
    <s v="Donald Evans"/>
    <d v="2022-11-09T00:00:00"/>
    <x v="322"/>
    <s v="promo"/>
    <x v="0"/>
    <b v="0"/>
    <b v="0"/>
    <b v="0"/>
    <b v="0"/>
    <b v="1"/>
    <b v="0"/>
  </r>
  <r>
    <n v="3862010"/>
    <s v="123-001-127-006"/>
    <s v="Training Coordinator"/>
    <x v="9"/>
    <d v="2023-01-02T00:00:00"/>
    <s v="Elizabeth Lewis"/>
    <d v="2023-01-08T00:00:00"/>
    <x v="50"/>
    <s v="new to org"/>
    <x v="0"/>
    <b v="0"/>
    <b v="0"/>
    <b v="0"/>
    <b v="0"/>
    <b v="0"/>
    <b v="1"/>
  </r>
  <r>
    <n v="3862010"/>
    <s v="123-001-127-007"/>
    <s v="Training Coordinator"/>
    <x v="9"/>
    <d v="2022-02-18T00:00:00"/>
    <s v="Mark Hall"/>
    <d v="2022-03-17T00:00:00"/>
    <x v="116"/>
    <s v="promo"/>
    <x v="0"/>
    <b v="0"/>
    <b v="0"/>
    <b v="0"/>
    <b v="0"/>
    <b v="1"/>
    <b v="0"/>
  </r>
  <r>
    <n v="3862010"/>
    <s v="123-001-127-008"/>
    <s v="Training Coordinator"/>
    <x v="9"/>
    <d v="2022-11-12T00:00:00"/>
    <s v="Matthew Hall"/>
    <d v="2022-11-27T00:00:00"/>
    <x v="273"/>
    <s v="transfer"/>
    <x v="0"/>
    <b v="0"/>
    <b v="0"/>
    <b v="0"/>
    <b v="1"/>
    <b v="0"/>
    <b v="0"/>
  </r>
  <r>
    <n v="7331646"/>
    <s v="123-004-125-013"/>
    <s v="Security Analyst"/>
    <x v="1"/>
    <d v="2022-07-16T00:00:00"/>
    <s v="Nancy Evans"/>
    <d v="2022-08-07T00:00:00"/>
    <x v="76"/>
    <s v="transfer"/>
    <x v="0"/>
    <b v="0"/>
    <b v="0"/>
    <b v="0"/>
    <b v="1"/>
    <b v="0"/>
    <b v="0"/>
  </r>
  <r>
    <n v="2059841"/>
    <s v="123-002-108-006"/>
    <s v="Customer Support Rep"/>
    <x v="6"/>
    <d v="2022-04-21T00:00:00"/>
    <s v="Anthony Allen"/>
    <d v="2022-05-18T00:00:00"/>
    <x v="468"/>
    <s v="transfer"/>
    <x v="0"/>
    <b v="0"/>
    <b v="0"/>
    <b v="0"/>
    <b v="1"/>
    <b v="0"/>
    <b v="0"/>
  </r>
  <r>
    <n v="2059841"/>
    <s v="123-002-108-007"/>
    <s v="Customer Support Rep"/>
    <x v="6"/>
    <d v="2023-02-09T00:00:00"/>
    <s v="Michelle Wilson"/>
    <d v="2023-02-23T00:00:00"/>
    <x v="35"/>
    <s v="promo"/>
    <x v="0"/>
    <b v="0"/>
    <b v="0"/>
    <b v="0"/>
    <b v="0"/>
    <b v="1"/>
    <b v="0"/>
  </r>
  <r>
    <n v="4899161"/>
    <s v="123-002-107-003"/>
    <s v="Sales Associate"/>
    <x v="6"/>
    <d v="2022-08-12T00:00:00"/>
    <s v="Robert Jones"/>
    <d v="2022-08-26T00:00:00"/>
    <x v="104"/>
    <s v="new to org"/>
    <x v="0"/>
    <b v="0"/>
    <b v="0"/>
    <b v="0"/>
    <b v="0"/>
    <b v="0"/>
    <b v="1"/>
  </r>
  <r>
    <n v="9381494"/>
    <s v="123-009-104-006"/>
    <s v="HR Specialist"/>
    <x v="7"/>
    <d v="2022-11-22T00:00:00"/>
    <s v="Nancy Lopez"/>
    <d v="2022-12-20T00:00:00"/>
    <x v="383"/>
    <s v="promo"/>
    <x v="0"/>
    <b v="0"/>
    <b v="0"/>
    <b v="0"/>
    <b v="0"/>
    <b v="1"/>
    <b v="0"/>
  </r>
  <r>
    <n v="9381494"/>
    <s v="123-009-104-007"/>
    <s v="HR Specialist"/>
    <x v="7"/>
    <d v="2023-04-05T00:00:00"/>
    <s v="Mary Hill"/>
    <d v="2023-04-18T00:00:00"/>
    <x v="412"/>
    <s v="new to org"/>
    <x v="0"/>
    <b v="0"/>
    <b v="0"/>
    <b v="0"/>
    <b v="0"/>
    <b v="0"/>
    <b v="1"/>
  </r>
  <r>
    <n v="9381494"/>
    <s v="123-009-104-008"/>
    <s v="HR Specialist"/>
    <x v="7"/>
    <d v="2022-01-14T00:00:00"/>
    <s v="Steven Nguyen"/>
    <d v="2022-01-22T00:00:00"/>
    <x v="469"/>
    <s v="promo"/>
    <x v="0"/>
    <b v="0"/>
    <b v="0"/>
    <b v="0"/>
    <b v="0"/>
    <b v="1"/>
    <b v="0"/>
  </r>
  <r>
    <n v="9381494"/>
    <s v="123-009-104-009"/>
    <s v="HR Specialist"/>
    <x v="7"/>
    <d v="2023-03-15T00:00:00"/>
    <s v="Karen Thomas"/>
    <d v="2023-04-09T00:00:00"/>
    <x v="240"/>
    <s v="transfer"/>
    <x v="0"/>
    <b v="0"/>
    <b v="0"/>
    <b v="0"/>
    <b v="1"/>
    <b v="0"/>
    <b v="0"/>
  </r>
  <r>
    <n v="2331937"/>
    <s v="123-003-102-001"/>
    <s v="Data Scientist"/>
    <x v="8"/>
    <d v="2022-07-29T00:00:00"/>
    <s v="Elizabeth Harris"/>
    <d v="2022-08-19T00:00:00"/>
    <x v="365"/>
    <s v="promo"/>
    <x v="0"/>
    <b v="0"/>
    <b v="0"/>
    <b v="0"/>
    <b v="0"/>
    <b v="1"/>
    <b v="0"/>
  </r>
  <r>
    <n v="2331937"/>
    <s v="123-003-102-003"/>
    <s v="Data Scientist"/>
    <x v="8"/>
    <d v="2022-02-10T00:00:00"/>
    <s v="Sarah Lee"/>
    <d v="2022-02-27T00:00:00"/>
    <x v="292"/>
    <s v="promo"/>
    <x v="0"/>
    <b v="0"/>
    <b v="0"/>
    <b v="0"/>
    <b v="0"/>
    <b v="1"/>
    <b v="0"/>
  </r>
  <r>
    <n v="4453043"/>
    <s v="123-001-118-007"/>
    <s v="Network Engineer"/>
    <x v="9"/>
    <d v="2023-01-26T00:00:00"/>
    <s v="Joshua Parker"/>
    <d v="2023-02-12T00:00:00"/>
    <x v="122"/>
    <s v="promo"/>
    <x v="0"/>
    <b v="0"/>
    <b v="0"/>
    <b v="0"/>
    <b v="0"/>
    <b v="1"/>
    <b v="0"/>
  </r>
  <r>
    <n v="9248388"/>
    <s v="123-004-103-006"/>
    <s v="Project Manager"/>
    <x v="1"/>
    <d v="2022-05-09T00:00:00"/>
    <s v="Charlotte Wilson"/>
    <d v="2022-05-12T00:00:00"/>
    <x v="404"/>
    <s v="promo"/>
    <x v="0"/>
    <b v="0"/>
    <b v="0"/>
    <b v="0"/>
    <b v="0"/>
    <b v="1"/>
    <b v="0"/>
  </r>
  <r>
    <n v="4428815"/>
    <s v="123-009-108-007"/>
    <s v="Customer Support Rep"/>
    <x v="7"/>
    <d v="2022-07-22T00:00:00"/>
    <s v="Karen Hernandez"/>
    <d v="2022-07-30T00:00:00"/>
    <x v="392"/>
    <m/>
    <x v="0"/>
    <b v="0"/>
    <b v="0"/>
    <b v="0"/>
    <b v="0"/>
    <b v="0"/>
    <b v="0"/>
  </r>
  <r>
    <n v="3960096"/>
    <s v="123-004-120-009"/>
    <s v="Executive Assistant"/>
    <x v="1"/>
    <d v="2023-02-12T00:00:00"/>
    <s v="Jennifer White"/>
    <d v="2023-02-25T00:00:00"/>
    <x v="426"/>
    <m/>
    <x v="0"/>
    <b v="0"/>
    <b v="0"/>
    <b v="0"/>
    <b v="0"/>
    <b v="0"/>
    <b v="0"/>
  </r>
  <r>
    <n v="3960096"/>
    <s v="123-004-120-010"/>
    <s v="Executive Assistant"/>
    <x v="1"/>
    <d v="2023-03-20T00:00:00"/>
    <s v="Steven Flores"/>
    <d v="2023-04-14T00:00:00"/>
    <x v="470"/>
    <m/>
    <x v="0"/>
    <b v="0"/>
    <b v="0"/>
    <b v="0"/>
    <b v="0"/>
    <b v="0"/>
    <b v="0"/>
  </r>
  <r>
    <n v="9086630"/>
    <s v="123-007-101-006"/>
    <s v="Software Engineer"/>
    <x v="3"/>
    <d v="2022-06-06T00:00:00"/>
    <s v="Joshua Wright"/>
    <d v="2022-06-24T00:00:00"/>
    <x v="341"/>
    <s v="new to org"/>
    <x v="0"/>
    <b v="0"/>
    <b v="0"/>
    <b v="0"/>
    <b v="0"/>
    <b v="0"/>
    <b v="1"/>
  </r>
  <r>
    <n v="9086630"/>
    <s v="123-007-101-009"/>
    <s v="Software Engineer"/>
    <x v="3"/>
    <d v="2022-07-14T00:00:00"/>
    <s v="Richard Martinez"/>
    <d v="2022-07-15T00:00:00"/>
    <x v="100"/>
    <m/>
    <x v="0"/>
    <b v="0"/>
    <b v="0"/>
    <b v="0"/>
    <b v="0"/>
    <b v="0"/>
    <b v="0"/>
  </r>
  <r>
    <n v="9400348"/>
    <s v="123-006-124-001"/>
    <s v="Compliance Officer"/>
    <x v="2"/>
    <d v="2023-01-18T00:00:00"/>
    <s v="Charlotte Sanchez"/>
    <d v="2023-01-31T00:00:00"/>
    <x v="463"/>
    <m/>
    <x v="0"/>
    <b v="0"/>
    <b v="0"/>
    <b v="0"/>
    <b v="0"/>
    <b v="0"/>
    <b v="0"/>
  </r>
  <r>
    <n v="9400348"/>
    <s v="123-006-124-002"/>
    <s v="Compliance Officer"/>
    <x v="2"/>
    <d v="2022-02-09T00:00:00"/>
    <s v="Anthony Cruz"/>
    <d v="2022-03-11T00:00:00"/>
    <x v="381"/>
    <s v="transfer"/>
    <x v="0"/>
    <b v="0"/>
    <b v="0"/>
    <b v="0"/>
    <b v="1"/>
    <b v="0"/>
    <b v="0"/>
  </r>
  <r>
    <n v="9400348"/>
    <s v="123-006-124-003"/>
    <s v="Compliance Officer"/>
    <x v="2"/>
    <d v="2023-03-23T00:00:00"/>
    <s v="Richard Carter"/>
    <d v="2023-04-01T00:00:00"/>
    <x v="412"/>
    <s v="promo"/>
    <x v="0"/>
    <b v="0"/>
    <b v="0"/>
    <b v="0"/>
    <b v="0"/>
    <b v="1"/>
    <b v="0"/>
  </r>
  <r>
    <n v="9400348"/>
    <s v="123-006-124-004"/>
    <s v="Compliance Officer"/>
    <x v="2"/>
    <d v="2023-05-16T00:00:00"/>
    <s v="Steven Rivera"/>
    <d v="2023-06-06T00:00:00"/>
    <x v="150"/>
    <s v="new to org"/>
    <x v="0"/>
    <b v="0"/>
    <b v="0"/>
    <b v="0"/>
    <b v="0"/>
    <b v="0"/>
    <b v="1"/>
  </r>
  <r>
    <n v="7177044"/>
    <s v="123-001-123-001"/>
    <s v="Data Engineer"/>
    <x v="9"/>
    <d v="2022-02-05T00:00:00"/>
    <s v="Jessica Walker"/>
    <d v="2022-03-07T00:00:00"/>
    <x v="6"/>
    <s v="promo"/>
    <x v="0"/>
    <b v="0"/>
    <b v="0"/>
    <b v="0"/>
    <b v="0"/>
    <b v="1"/>
    <b v="0"/>
  </r>
  <r>
    <n v="7177044"/>
    <s v="123-001-123-002"/>
    <s v="Data Engineer"/>
    <x v="9"/>
    <d v="2022-06-01T00:00:00"/>
    <s v="Brian Nelson"/>
    <d v="2022-06-10T00:00:00"/>
    <x v="257"/>
    <s v="transfer"/>
    <x v="0"/>
    <b v="0"/>
    <b v="0"/>
    <b v="0"/>
    <b v="1"/>
    <b v="0"/>
    <b v="0"/>
  </r>
  <r>
    <n v="7177044"/>
    <s v="123-001-123-003"/>
    <s v="Data Engineer"/>
    <x v="9"/>
    <d v="2022-06-15T00:00:00"/>
    <s v="Thomas Thomas"/>
    <d v="2022-06-16T00:00:00"/>
    <x v="31"/>
    <s v="promo"/>
    <x v="0"/>
    <b v="0"/>
    <b v="0"/>
    <b v="0"/>
    <b v="0"/>
    <b v="1"/>
    <b v="0"/>
  </r>
  <r>
    <n v="7177044"/>
    <s v="123-001-123-004"/>
    <s v="Data Engineer"/>
    <x v="9"/>
    <d v="2022-03-24T00:00:00"/>
    <s v="Betty Rivera"/>
    <d v="2022-04-10T00:00:00"/>
    <x v="468"/>
    <m/>
    <x v="0"/>
    <b v="0"/>
    <b v="0"/>
    <b v="0"/>
    <b v="0"/>
    <b v="0"/>
    <b v="0"/>
  </r>
  <r>
    <n v="4167928"/>
    <s v="123-007-129-006"/>
    <s v="Supply Chain Manager"/>
    <x v="3"/>
    <d v="2023-05-28T00:00:00"/>
    <s v="Brian Martin"/>
    <d v="2023-06-15T00:00:00"/>
    <x v="62"/>
    <s v="new to org"/>
    <x v="0"/>
    <b v="0"/>
    <b v="0"/>
    <b v="0"/>
    <b v="0"/>
    <b v="0"/>
    <b v="1"/>
  </r>
  <r>
    <n v="4167928"/>
    <s v="123-007-129-007"/>
    <s v="Supply Chain Manager"/>
    <x v="3"/>
    <d v="2022-04-02T00:00:00"/>
    <s v="George Clark"/>
    <d v="2022-04-06T00:00:00"/>
    <x v="471"/>
    <s v="new to org"/>
    <x v="0"/>
    <b v="0"/>
    <b v="0"/>
    <b v="0"/>
    <b v="0"/>
    <b v="0"/>
    <b v="1"/>
  </r>
  <r>
    <n v="6777952"/>
    <s v="123-003-127-001"/>
    <s v="Training Coordinator"/>
    <x v="8"/>
    <d v="2022-01-07T00:00:00"/>
    <s v="Brian Martin"/>
    <d v="2022-01-13T00:00:00"/>
    <x v="472"/>
    <m/>
    <x v="0"/>
    <b v="0"/>
    <b v="0"/>
    <b v="0"/>
    <b v="0"/>
    <b v="0"/>
    <b v="0"/>
  </r>
  <r>
    <n v="6777952"/>
    <s v="123-003-127-002"/>
    <s v="Training Coordinator"/>
    <x v="8"/>
    <d v="2023-03-04T00:00:00"/>
    <s v="John Roberts"/>
    <d v="2023-03-21T00:00:00"/>
    <x v="473"/>
    <s v="transfer"/>
    <x v="0"/>
    <b v="0"/>
    <b v="0"/>
    <b v="0"/>
    <b v="1"/>
    <b v="0"/>
    <b v="0"/>
  </r>
  <r>
    <n v="6777952"/>
    <s v="123-003-127-003"/>
    <s v="Training Coordinator"/>
    <x v="8"/>
    <d v="2023-01-19T00:00:00"/>
    <s v="David Lopez"/>
    <d v="2023-01-25T00:00:00"/>
    <x v="185"/>
    <m/>
    <x v="0"/>
    <b v="0"/>
    <b v="0"/>
    <b v="0"/>
    <b v="0"/>
    <b v="0"/>
    <b v="0"/>
  </r>
  <r>
    <n v="3253718"/>
    <s v="123-008-107-014"/>
    <s v="Sales Associate"/>
    <x v="4"/>
    <d v="2022-08-06T00:00:00"/>
    <s v="Mark Torres"/>
    <d v="2022-08-12T00:00:00"/>
    <x v="447"/>
    <s v="transfer"/>
    <x v="0"/>
    <b v="0"/>
    <b v="0"/>
    <b v="0"/>
    <b v="1"/>
    <b v="0"/>
    <b v="0"/>
  </r>
  <r>
    <n v="7858398"/>
    <s v="123-010-115-017"/>
    <s v="Graphic Designer"/>
    <x v="5"/>
    <d v="2022-03-29T00:00:00"/>
    <s v="Jennifer Jackson"/>
    <d v="2022-04-11T00:00:00"/>
    <x v="292"/>
    <s v="promo"/>
    <x v="0"/>
    <b v="0"/>
    <b v="0"/>
    <b v="0"/>
    <b v="0"/>
    <b v="1"/>
    <b v="0"/>
  </r>
  <r>
    <n v="5643299"/>
    <s v="123-006-103-003"/>
    <s v="Project Manager"/>
    <x v="2"/>
    <d v="2022-04-14T00:00:00"/>
    <s v="Ashley Baker"/>
    <d v="2022-04-15T00:00:00"/>
    <x v="292"/>
    <m/>
    <x v="0"/>
    <b v="0"/>
    <b v="0"/>
    <b v="0"/>
    <b v="0"/>
    <b v="0"/>
    <b v="0"/>
  </r>
  <r>
    <n v="5464094"/>
    <s v="123-001-125-002"/>
    <s v="Security Analyst"/>
    <x v="9"/>
    <d v="2023-06-19T00:00:00"/>
    <s v="Michael Wilson"/>
    <d v="2023-07-15T00:00:00"/>
    <x v="439"/>
    <s v="transfer"/>
    <x v="0"/>
    <b v="0"/>
    <b v="0"/>
    <b v="0"/>
    <b v="1"/>
    <b v="0"/>
    <b v="0"/>
  </r>
  <r>
    <n v="5464094"/>
    <s v="123-001-125-003"/>
    <s v="Security Analyst"/>
    <x v="9"/>
    <d v="2023-04-30T00:00:00"/>
    <s v="Jackson Young"/>
    <d v="2023-05-25T00:00:00"/>
    <x v="47"/>
    <s v="new to org"/>
    <x v="0"/>
    <b v="0"/>
    <b v="0"/>
    <b v="0"/>
    <b v="0"/>
    <b v="0"/>
    <b v="1"/>
  </r>
  <r>
    <n v="5464094"/>
    <s v="123-001-125-004"/>
    <s v="Security Analyst"/>
    <x v="9"/>
    <d v="2022-12-18T00:00:00"/>
    <s v="Lisa Baker"/>
    <d v="2022-12-29T00:00:00"/>
    <x v="95"/>
    <s v="new to org"/>
    <x v="0"/>
    <b v="0"/>
    <b v="0"/>
    <b v="0"/>
    <b v="0"/>
    <b v="0"/>
    <b v="1"/>
  </r>
  <r>
    <n v="5464094"/>
    <s v="123-001-125-006"/>
    <s v="Security Analyst"/>
    <x v="9"/>
    <d v="2022-04-13T00:00:00"/>
    <s v="Logan Perez"/>
    <d v="2022-04-14T00:00:00"/>
    <x v="159"/>
    <s v="new to org"/>
    <x v="0"/>
    <b v="0"/>
    <b v="0"/>
    <b v="0"/>
    <b v="0"/>
    <b v="0"/>
    <b v="1"/>
  </r>
  <r>
    <n v="7741225"/>
    <s v="123-003-124-001"/>
    <s v="Compliance Officer"/>
    <x v="8"/>
    <d v="2022-09-12T00:00:00"/>
    <s v="Charlotte Hall"/>
    <d v="2022-09-24T00:00:00"/>
    <x v="339"/>
    <s v="new to org"/>
    <x v="0"/>
    <b v="0"/>
    <b v="0"/>
    <b v="0"/>
    <b v="0"/>
    <b v="0"/>
    <b v="1"/>
  </r>
  <r>
    <n v="8972523"/>
    <s v="123-007-117-004"/>
    <s v="Quality Assurance"/>
    <x v="3"/>
    <d v="2023-01-04T00:00:00"/>
    <s v="Mary Green"/>
    <d v="2023-02-01T00:00:00"/>
    <x v="238"/>
    <s v="new to org"/>
    <x v="0"/>
    <b v="0"/>
    <b v="0"/>
    <b v="0"/>
    <b v="0"/>
    <b v="0"/>
    <b v="1"/>
  </r>
  <r>
    <n v="8454220"/>
    <s v="123-010-108-001"/>
    <s v="Customer Support Rep"/>
    <x v="5"/>
    <d v="2023-05-03T00:00:00"/>
    <s v="Daniel Ramirez"/>
    <d v="2023-05-25T00:00:00"/>
    <x v="474"/>
    <s v="transfer"/>
    <x v="0"/>
    <b v="0"/>
    <b v="0"/>
    <b v="0"/>
    <b v="1"/>
    <b v="0"/>
    <b v="0"/>
  </r>
  <r>
    <n v="8454220"/>
    <s v="123-010-108-002"/>
    <s v="Customer Support Rep"/>
    <x v="5"/>
    <d v="2022-10-28T00:00:00"/>
    <s v="George Harris"/>
    <d v="2022-11-17T00:00:00"/>
    <x v="108"/>
    <s v="transfer"/>
    <x v="0"/>
    <b v="0"/>
    <b v="0"/>
    <b v="0"/>
    <b v="1"/>
    <b v="0"/>
    <b v="0"/>
  </r>
  <r>
    <n v="8454220"/>
    <s v="123-010-108-003"/>
    <s v="Customer Support Rep"/>
    <x v="5"/>
    <d v="2022-03-31T00:00:00"/>
    <s v="William Young"/>
    <d v="2022-04-10T00:00:00"/>
    <x v="236"/>
    <s v="transfer"/>
    <x v="0"/>
    <b v="0"/>
    <b v="0"/>
    <b v="0"/>
    <b v="1"/>
    <b v="0"/>
    <b v="0"/>
  </r>
  <r>
    <n v="8454220"/>
    <s v="123-010-108-004"/>
    <s v="Customer Support Rep"/>
    <x v="5"/>
    <d v="2023-04-02T00:00:00"/>
    <s v="David Edwards"/>
    <d v="2023-04-06T00:00:00"/>
    <x v="7"/>
    <m/>
    <x v="0"/>
    <b v="0"/>
    <b v="0"/>
    <b v="0"/>
    <b v="0"/>
    <b v="0"/>
    <b v="0"/>
  </r>
  <r>
    <n v="5041658"/>
    <s v="123-004-108-008"/>
    <s v="Customer Support Rep"/>
    <x v="1"/>
    <d v="2022-01-30T00:00:00"/>
    <s v="Michael Ramirez"/>
    <d v="2022-02-05T00:00:00"/>
    <x v="184"/>
    <s v="transfer"/>
    <x v="0"/>
    <b v="0"/>
    <b v="0"/>
    <b v="0"/>
    <b v="1"/>
    <b v="0"/>
    <b v="0"/>
  </r>
  <r>
    <n v="5041658"/>
    <s v="123-004-108-009"/>
    <s v="Customer Support Rep"/>
    <x v="1"/>
    <d v="2022-08-14T00:00:00"/>
    <s v="Deborah Moore"/>
    <d v="2022-09-07T00:00:00"/>
    <x v="280"/>
    <m/>
    <x v="0"/>
    <b v="0"/>
    <b v="0"/>
    <b v="0"/>
    <b v="0"/>
    <b v="0"/>
    <b v="0"/>
  </r>
  <r>
    <n v="8991026"/>
    <s v="123-002-129-003"/>
    <s v="Supply Chain Manager"/>
    <x v="6"/>
    <d v="2022-12-07T00:00:00"/>
    <s v="Jennifer Gomez"/>
    <d v="2023-01-04T00:00:00"/>
    <x v="260"/>
    <m/>
    <x v="0"/>
    <b v="0"/>
    <b v="0"/>
    <b v="0"/>
    <b v="0"/>
    <b v="0"/>
    <b v="0"/>
  </r>
  <r>
    <n v="8991026"/>
    <s v="123-002-129-004"/>
    <s v="Supply Chain Manager"/>
    <x v="6"/>
    <d v="2023-01-22T00:00:00"/>
    <s v="Carol Perez"/>
    <d v="2023-02-21T00:00:00"/>
    <x v="208"/>
    <s v="transfer"/>
    <x v="0"/>
    <b v="0"/>
    <b v="0"/>
    <b v="0"/>
    <b v="1"/>
    <b v="0"/>
    <b v="0"/>
  </r>
  <r>
    <n v="7403032"/>
    <s v="123-009-121-011"/>
    <s v="UX Designer"/>
    <x v="7"/>
    <d v="2022-10-25T00:00:00"/>
    <s v="Thomas Davis"/>
    <d v="2022-10-28T00:00:00"/>
    <x v="256"/>
    <s v="promo"/>
    <x v="0"/>
    <b v="0"/>
    <b v="0"/>
    <b v="0"/>
    <b v="0"/>
    <b v="1"/>
    <b v="0"/>
  </r>
  <r>
    <n v="7403032"/>
    <s v="123-009-121-013"/>
    <s v="UX Designer"/>
    <x v="7"/>
    <d v="2022-11-17T00:00:00"/>
    <s v="William Diaz"/>
    <d v="2022-11-30T00:00:00"/>
    <x v="408"/>
    <s v="new to org"/>
    <x v="0"/>
    <b v="0"/>
    <b v="0"/>
    <b v="0"/>
    <b v="0"/>
    <b v="0"/>
    <b v="1"/>
  </r>
  <r>
    <n v="7403032"/>
    <s v="123-009-121-014"/>
    <s v="UX Designer"/>
    <x v="7"/>
    <d v="2022-07-14T00:00:00"/>
    <s v="Patricia Nguyen"/>
    <d v="2022-08-11T00:00:00"/>
    <x v="466"/>
    <s v="new to org"/>
    <x v="0"/>
    <b v="0"/>
    <b v="0"/>
    <b v="0"/>
    <b v="0"/>
    <b v="0"/>
    <b v="1"/>
  </r>
  <r>
    <n v="8108481"/>
    <s v="123-006-111-008"/>
    <s v="Product Manager"/>
    <x v="2"/>
    <d v="2022-01-10T00:00:00"/>
    <s v="Michael Sanchez"/>
    <d v="2022-01-28T00:00:00"/>
    <x v="137"/>
    <s v="promo"/>
    <x v="0"/>
    <b v="0"/>
    <b v="0"/>
    <b v="0"/>
    <b v="0"/>
    <b v="1"/>
    <b v="0"/>
  </r>
  <r>
    <n v="8108481"/>
    <s v="123-006-111-009"/>
    <s v="Product Manager"/>
    <x v="2"/>
    <d v="2022-08-13T00:00:00"/>
    <s v="Isabella Jackson"/>
    <d v="2022-08-29T00:00:00"/>
    <x v="475"/>
    <s v="promo"/>
    <x v="0"/>
    <b v="0"/>
    <b v="0"/>
    <b v="0"/>
    <b v="0"/>
    <b v="1"/>
    <b v="0"/>
  </r>
  <r>
    <n v="8646795"/>
    <s v="123-010-105-003"/>
    <s v="Financial Analyst"/>
    <x v="5"/>
    <d v="2022-08-09T00:00:00"/>
    <s v="Kenneth Turner"/>
    <d v="2022-08-25T00:00:00"/>
    <x v="16"/>
    <m/>
    <x v="0"/>
    <b v="0"/>
    <b v="0"/>
    <b v="0"/>
    <b v="0"/>
    <b v="0"/>
    <b v="0"/>
  </r>
  <r>
    <n v="7320122"/>
    <s v="123-006-102-006"/>
    <s v="Data Scientist"/>
    <x v="2"/>
    <d v="2022-08-19T00:00:00"/>
    <s v="Mia Campbell"/>
    <d v="2022-09-11T00:00:00"/>
    <x v="359"/>
    <s v="promo"/>
    <x v="0"/>
    <b v="0"/>
    <b v="0"/>
    <b v="0"/>
    <b v="0"/>
    <b v="1"/>
    <b v="0"/>
  </r>
  <r>
    <n v="9178970"/>
    <s v="123-007-124-005"/>
    <s v="Compliance Officer"/>
    <x v="3"/>
    <d v="2023-02-06T00:00:00"/>
    <s v="Mary Scott"/>
    <d v="2023-02-17T00:00:00"/>
    <x v="476"/>
    <s v="promo"/>
    <x v="0"/>
    <b v="0"/>
    <b v="0"/>
    <b v="0"/>
    <b v="0"/>
    <b v="1"/>
    <b v="0"/>
  </r>
  <r>
    <n v="9178970"/>
    <s v="123-007-124-006"/>
    <s v="Compliance Officer"/>
    <x v="3"/>
    <d v="2023-02-05T00:00:00"/>
    <s v="Edward Sanchez"/>
    <d v="2023-02-08T00:00:00"/>
    <x v="453"/>
    <s v="new to org"/>
    <x v="0"/>
    <b v="0"/>
    <b v="0"/>
    <b v="0"/>
    <b v="0"/>
    <b v="0"/>
    <b v="1"/>
  </r>
  <r>
    <n v="9178970"/>
    <s v="123-007-124-007"/>
    <s v="Compliance Officer"/>
    <x v="3"/>
    <d v="2023-02-08T00:00:00"/>
    <s v="Brian Gonzalez"/>
    <d v="2023-02-12T00:00:00"/>
    <x v="128"/>
    <s v="new to org"/>
    <x v="0"/>
    <b v="0"/>
    <b v="0"/>
    <b v="0"/>
    <b v="0"/>
    <b v="0"/>
    <b v="1"/>
  </r>
  <r>
    <n v="6426063"/>
    <s v="123-010-125-001"/>
    <s v="Security Analyst"/>
    <x v="5"/>
    <d v="2022-06-17T00:00:00"/>
    <s v="Sandra Adams"/>
    <d v="2022-07-06T00:00:00"/>
    <x v="274"/>
    <s v="new to org"/>
    <x v="0"/>
    <b v="0"/>
    <b v="0"/>
    <b v="0"/>
    <b v="0"/>
    <b v="0"/>
    <b v="1"/>
  </r>
  <r>
    <n v="8413578"/>
    <s v="123-008-123-010"/>
    <s v="Data Engineer"/>
    <x v="4"/>
    <d v="2022-07-20T00:00:00"/>
    <s v="Susan Phillips"/>
    <d v="2022-08-13T00:00:00"/>
    <x v="280"/>
    <s v="promo"/>
    <x v="0"/>
    <b v="0"/>
    <b v="0"/>
    <b v="0"/>
    <b v="0"/>
    <b v="1"/>
    <b v="0"/>
  </r>
  <r>
    <n v="8413578"/>
    <s v="123-008-123-012"/>
    <s v="Data Engineer"/>
    <x v="4"/>
    <d v="2022-06-22T00:00:00"/>
    <s v="Matthew Ramirez"/>
    <d v="2022-07-22T00:00:00"/>
    <x v="291"/>
    <s v="promo"/>
    <x v="0"/>
    <b v="0"/>
    <b v="0"/>
    <b v="0"/>
    <b v="0"/>
    <b v="1"/>
    <b v="0"/>
  </r>
  <r>
    <n v="2611413"/>
    <s v="123-008-112-005"/>
    <s v="Business Analyst"/>
    <x v="4"/>
    <d v="2022-12-13T00:00:00"/>
    <s v="Steven Adams"/>
    <d v="2023-01-01T00:00:00"/>
    <x v="139"/>
    <s v="transfer"/>
    <x v="0"/>
    <b v="0"/>
    <b v="0"/>
    <b v="0"/>
    <b v="1"/>
    <b v="0"/>
    <b v="0"/>
  </r>
  <r>
    <n v="2611413"/>
    <s v="123-008-112-006"/>
    <s v="Business Analyst"/>
    <x v="4"/>
    <d v="2022-05-02T00:00:00"/>
    <s v="Jessica Williams"/>
    <d v="2022-05-10T00:00:00"/>
    <x v="394"/>
    <m/>
    <x v="0"/>
    <b v="0"/>
    <b v="0"/>
    <b v="0"/>
    <b v="0"/>
    <b v="0"/>
    <b v="0"/>
  </r>
  <r>
    <n v="9197782"/>
    <s v="123-010-110-001"/>
    <s v="Legal Advisor"/>
    <x v="5"/>
    <d v="2022-04-02T00:00:00"/>
    <s v="Deborah Hall"/>
    <d v="2022-04-27T00:00:00"/>
    <x v="82"/>
    <m/>
    <x v="0"/>
    <b v="0"/>
    <b v="0"/>
    <b v="0"/>
    <b v="0"/>
    <b v="0"/>
    <b v="0"/>
  </r>
  <r>
    <n v="9197782"/>
    <s v="123-010-110-002"/>
    <s v="Legal Advisor"/>
    <x v="5"/>
    <d v="2023-04-01T00:00:00"/>
    <s v="Sarah Green"/>
    <d v="2023-04-13T00:00:00"/>
    <x v="477"/>
    <m/>
    <x v="0"/>
    <b v="0"/>
    <b v="0"/>
    <b v="0"/>
    <b v="0"/>
    <b v="0"/>
    <b v="0"/>
  </r>
  <r>
    <n v="3013272"/>
    <s v="123-002-104-005"/>
    <s v="HR Specialist"/>
    <x v="6"/>
    <d v="2023-05-07T00:00:00"/>
    <s v="Mary Nguyen"/>
    <d v="2023-05-16T00:00:00"/>
    <x v="186"/>
    <s v="promo"/>
    <x v="0"/>
    <b v="0"/>
    <b v="0"/>
    <b v="0"/>
    <b v="0"/>
    <b v="1"/>
    <b v="0"/>
  </r>
  <r>
    <n v="2586340"/>
    <s v="123-010-126-004"/>
    <s v="Recruiter"/>
    <x v="5"/>
    <d v="2022-07-09T00:00:00"/>
    <s v="Christopher Jones"/>
    <d v="2022-07-22T00:00:00"/>
    <x v="16"/>
    <s v="transfer"/>
    <x v="0"/>
    <b v="0"/>
    <b v="0"/>
    <b v="0"/>
    <b v="1"/>
    <b v="0"/>
    <b v="0"/>
  </r>
  <r>
    <n v="1331289"/>
    <s v="123-009-113-001"/>
    <s v="Operations Supervisor"/>
    <x v="7"/>
    <d v="2022-05-08T00:00:00"/>
    <s v="John King"/>
    <d v="2022-06-02T00:00:00"/>
    <x v="44"/>
    <m/>
    <x v="0"/>
    <b v="0"/>
    <b v="0"/>
    <b v="0"/>
    <b v="0"/>
    <b v="0"/>
    <b v="0"/>
  </r>
  <r>
    <n v="1331289"/>
    <s v="123-009-113-003"/>
    <s v="Operations Supervisor"/>
    <x v="7"/>
    <d v="2023-04-03T00:00:00"/>
    <s v="James Scott"/>
    <d v="2023-04-29T00:00:00"/>
    <x v="385"/>
    <s v="promo"/>
    <x v="0"/>
    <b v="0"/>
    <b v="0"/>
    <b v="0"/>
    <b v="0"/>
    <b v="1"/>
    <b v="0"/>
  </r>
  <r>
    <n v="3092406"/>
    <s v="123-005-117-005"/>
    <s v="Quality Assurance"/>
    <x v="0"/>
    <d v="2022-01-01T00:00:00"/>
    <s v="Margaret Nelson"/>
    <d v="2022-01-09T00:00:00"/>
    <x v="350"/>
    <s v="promo"/>
    <x v="0"/>
    <b v="0"/>
    <b v="0"/>
    <b v="0"/>
    <b v="0"/>
    <b v="1"/>
    <b v="0"/>
  </r>
  <r>
    <n v="3092406"/>
    <s v="123-005-117-007"/>
    <s v="Quality Assurance"/>
    <x v="0"/>
    <d v="2022-11-17T00:00:00"/>
    <s v="Andrew Young"/>
    <d v="2022-12-04T00:00:00"/>
    <x v="383"/>
    <s v="promo"/>
    <x v="0"/>
    <b v="0"/>
    <b v="0"/>
    <b v="0"/>
    <b v="0"/>
    <b v="1"/>
    <b v="0"/>
  </r>
  <r>
    <n v="6907545"/>
    <s v="123-009-120-008"/>
    <s v="Executive Assistant"/>
    <x v="7"/>
    <d v="2022-10-12T00:00:00"/>
    <s v="Donna Thompson"/>
    <d v="2022-10-17T00:00:00"/>
    <x v="136"/>
    <s v="promo"/>
    <x v="0"/>
    <b v="0"/>
    <b v="0"/>
    <b v="0"/>
    <b v="0"/>
    <b v="1"/>
    <b v="0"/>
  </r>
  <r>
    <n v="6907545"/>
    <s v="123-009-120-009"/>
    <s v="Executive Assistant"/>
    <x v="7"/>
    <d v="2022-09-24T00:00:00"/>
    <s v="Emily Taylor"/>
    <d v="2022-10-07T00:00:00"/>
    <x v="49"/>
    <s v="transfer"/>
    <x v="0"/>
    <b v="0"/>
    <b v="0"/>
    <b v="0"/>
    <b v="1"/>
    <b v="0"/>
    <b v="0"/>
  </r>
  <r>
    <n v="2396771"/>
    <s v="123-007-109-001"/>
    <s v="IT Technician"/>
    <x v="3"/>
    <d v="2022-10-03T00:00:00"/>
    <s v="Kenneth Campbell"/>
    <d v="2022-10-24T00:00:00"/>
    <x v="478"/>
    <s v="transfer"/>
    <x v="0"/>
    <b v="0"/>
    <b v="0"/>
    <b v="0"/>
    <b v="1"/>
    <b v="0"/>
    <b v="0"/>
  </r>
  <r>
    <n v="2396771"/>
    <s v="123-007-109-002"/>
    <s v="IT Technician"/>
    <x v="3"/>
    <d v="2023-06-08T00:00:00"/>
    <s v="Andrew Nelson"/>
    <d v="2023-06-28T00:00:00"/>
    <x v="173"/>
    <s v="new to org"/>
    <x v="0"/>
    <b v="0"/>
    <b v="0"/>
    <b v="0"/>
    <b v="0"/>
    <b v="0"/>
    <b v="1"/>
  </r>
  <r>
    <n v="8041170"/>
    <s v="123-003-127-004"/>
    <s v="Training Coordinator"/>
    <x v="8"/>
    <d v="2022-09-11T00:00:00"/>
    <s v="Matthew Johnson"/>
    <d v="2022-09-14T00:00:00"/>
    <x v="451"/>
    <m/>
    <x v="0"/>
    <b v="0"/>
    <b v="0"/>
    <b v="0"/>
    <b v="0"/>
    <b v="0"/>
    <b v="0"/>
  </r>
  <r>
    <n v="8041170"/>
    <s v="123-003-127-006"/>
    <s v="Training Coordinator"/>
    <x v="8"/>
    <d v="2022-12-08T00:00:00"/>
    <s v="Lisa Collins"/>
    <d v="2023-01-02T00:00:00"/>
    <x v="114"/>
    <s v="transfer"/>
    <x v="0"/>
    <b v="0"/>
    <b v="0"/>
    <b v="0"/>
    <b v="1"/>
    <b v="0"/>
    <b v="0"/>
  </r>
  <r>
    <n v="3455003"/>
    <s v="123-004-128-003"/>
    <s v="Payroll Specialist"/>
    <x v="1"/>
    <d v="2022-11-10T00:00:00"/>
    <s v="Kimberly Campbell"/>
    <d v="2022-11-29T00:00:00"/>
    <x v="32"/>
    <s v="promo"/>
    <x v="0"/>
    <b v="0"/>
    <b v="0"/>
    <b v="0"/>
    <b v="0"/>
    <b v="1"/>
    <b v="0"/>
  </r>
  <r>
    <n v="6853574"/>
    <s v="123-010-123-001"/>
    <s v="Data Engineer"/>
    <x v="5"/>
    <d v="2022-06-24T00:00:00"/>
    <s v="Lucas Brown"/>
    <d v="2022-07-05T00:00:00"/>
    <x v="479"/>
    <s v="transfer"/>
    <x v="0"/>
    <b v="0"/>
    <b v="0"/>
    <b v="0"/>
    <b v="1"/>
    <b v="0"/>
    <b v="0"/>
  </r>
  <r>
    <n v="6853574"/>
    <s v="123-010-123-002"/>
    <s v="Data Engineer"/>
    <x v="5"/>
    <d v="2023-06-29T00:00:00"/>
    <s v="Ethan Mitchell"/>
    <d v="2023-07-17T00:00:00"/>
    <x v="480"/>
    <s v="new to org"/>
    <x v="0"/>
    <b v="0"/>
    <b v="0"/>
    <b v="0"/>
    <b v="0"/>
    <b v="0"/>
    <b v="1"/>
  </r>
  <r>
    <n v="6853574"/>
    <s v="123-010-123-003"/>
    <s v="Data Engineer"/>
    <x v="5"/>
    <d v="2022-05-11T00:00:00"/>
    <s v="Donald Nguyen"/>
    <d v="2022-05-20T00:00:00"/>
    <x v="28"/>
    <m/>
    <x v="0"/>
    <b v="0"/>
    <b v="0"/>
    <b v="0"/>
    <b v="0"/>
    <b v="0"/>
    <b v="0"/>
  </r>
  <r>
    <n v="9616197"/>
    <s v="123-003-123-004"/>
    <s v="Data Engineer"/>
    <x v="8"/>
    <d v="2022-09-13T00:00:00"/>
    <s v="Dorothy Roberts"/>
    <d v="2022-10-05T00:00:00"/>
    <x v="223"/>
    <s v="new to org"/>
    <x v="0"/>
    <b v="0"/>
    <b v="0"/>
    <b v="0"/>
    <b v="0"/>
    <b v="0"/>
    <b v="1"/>
  </r>
  <r>
    <n v="8016965"/>
    <s v="123-008-123-013"/>
    <s v="Data Engineer"/>
    <x v="4"/>
    <d v="2023-05-30T00:00:00"/>
    <s v="Ethan Robinson"/>
    <d v="2023-06-09T00:00:00"/>
    <x v="259"/>
    <s v="new to org"/>
    <x v="0"/>
    <b v="0"/>
    <b v="0"/>
    <b v="0"/>
    <b v="0"/>
    <b v="0"/>
    <b v="1"/>
  </r>
  <r>
    <n v="8016965"/>
    <s v="123-008-123-014"/>
    <s v="Data Engineer"/>
    <x v="4"/>
    <d v="2022-03-31T00:00:00"/>
    <s v="Karen Green"/>
    <d v="2022-04-10T00:00:00"/>
    <x v="417"/>
    <s v="promo"/>
    <x v="0"/>
    <b v="0"/>
    <b v="0"/>
    <b v="0"/>
    <b v="0"/>
    <b v="1"/>
    <b v="0"/>
  </r>
  <r>
    <n v="5027148"/>
    <s v="123-003-103-007"/>
    <s v="Project Manager"/>
    <x v="8"/>
    <d v="2022-01-11T00:00:00"/>
    <s v="Ethan Parker"/>
    <d v="2022-01-25T00:00:00"/>
    <x v="387"/>
    <m/>
    <x v="0"/>
    <b v="0"/>
    <b v="0"/>
    <b v="0"/>
    <b v="0"/>
    <b v="0"/>
    <b v="0"/>
  </r>
  <r>
    <n v="5027148"/>
    <s v="123-003-103-008"/>
    <s v="Project Manager"/>
    <x v="8"/>
    <d v="2023-06-12T00:00:00"/>
    <s v="Donald Young"/>
    <d v="2023-07-04T00:00:00"/>
    <x v="96"/>
    <s v="promo"/>
    <x v="0"/>
    <b v="0"/>
    <b v="0"/>
    <b v="0"/>
    <b v="0"/>
    <b v="1"/>
    <b v="0"/>
  </r>
  <r>
    <n v="5027148"/>
    <s v="123-003-103-009"/>
    <s v="Project Manager"/>
    <x v="8"/>
    <d v="2022-07-14T00:00:00"/>
    <s v="Betty Smith"/>
    <d v="2022-08-13T00:00:00"/>
    <x v="229"/>
    <s v="transfer"/>
    <x v="0"/>
    <b v="0"/>
    <b v="0"/>
    <b v="0"/>
    <b v="1"/>
    <b v="0"/>
    <b v="0"/>
  </r>
  <r>
    <n v="5027148"/>
    <s v="123-003-103-010"/>
    <s v="Project Manager"/>
    <x v="8"/>
    <d v="2022-12-20T00:00:00"/>
    <s v="Brian Wright"/>
    <d v="2022-12-28T00:00:00"/>
    <x v="204"/>
    <m/>
    <x v="0"/>
    <b v="0"/>
    <b v="0"/>
    <b v="0"/>
    <b v="0"/>
    <b v="0"/>
    <b v="0"/>
  </r>
  <r>
    <n v="1710615"/>
    <s v="123-008-120-001"/>
    <s v="Executive Assistant"/>
    <x v="4"/>
    <d v="2023-01-11T00:00:00"/>
    <s v="Barbara Jones"/>
    <d v="2023-02-07T00:00:00"/>
    <x v="481"/>
    <s v="promo"/>
    <x v="0"/>
    <b v="0"/>
    <b v="0"/>
    <b v="0"/>
    <b v="0"/>
    <b v="1"/>
    <b v="0"/>
  </r>
  <r>
    <n v="1710615"/>
    <s v="123-008-120-002"/>
    <s v="Executive Assistant"/>
    <x v="4"/>
    <d v="2023-01-24T00:00:00"/>
    <s v="Margaret Young"/>
    <d v="2023-01-30T00:00:00"/>
    <x v="250"/>
    <s v="transfer"/>
    <x v="0"/>
    <b v="0"/>
    <b v="0"/>
    <b v="0"/>
    <b v="1"/>
    <b v="0"/>
    <b v="0"/>
  </r>
  <r>
    <n v="2899743"/>
    <s v="123-004-111-009"/>
    <s v="Product Manager"/>
    <x v="1"/>
    <d v="2023-05-10T00:00:00"/>
    <s v="Charles Martin"/>
    <d v="2023-05-20T00:00:00"/>
    <x v="386"/>
    <s v="transfer"/>
    <x v="0"/>
    <b v="0"/>
    <b v="0"/>
    <b v="0"/>
    <b v="1"/>
    <b v="0"/>
    <b v="0"/>
  </r>
  <r>
    <n v="2899743"/>
    <s v="123-004-111-011"/>
    <s v="Product Manager"/>
    <x v="1"/>
    <d v="2023-05-15T00:00:00"/>
    <s v="Jackson Robinson"/>
    <d v="2023-05-17T00:00:00"/>
    <x v="152"/>
    <s v="transfer"/>
    <x v="0"/>
    <b v="0"/>
    <b v="0"/>
    <b v="0"/>
    <b v="1"/>
    <b v="0"/>
    <b v="0"/>
  </r>
  <r>
    <n v="6948065"/>
    <s v="123-002-101-006"/>
    <s v="Software Engineer"/>
    <x v="6"/>
    <d v="2022-06-07T00:00:00"/>
    <s v="Kimberly Allen"/>
    <d v="2022-06-21T00:00:00"/>
    <x v="267"/>
    <s v="transfer"/>
    <x v="0"/>
    <b v="0"/>
    <b v="0"/>
    <b v="0"/>
    <b v="1"/>
    <b v="0"/>
    <b v="0"/>
  </r>
  <r>
    <n v="6948065"/>
    <s v="123-002-101-007"/>
    <s v="Software Engineer"/>
    <x v="6"/>
    <d v="2022-09-14T00:00:00"/>
    <s v="Elizabeth Roberts"/>
    <d v="2022-09-22T00:00:00"/>
    <x v="339"/>
    <s v="transfer"/>
    <x v="0"/>
    <b v="0"/>
    <b v="0"/>
    <b v="0"/>
    <b v="1"/>
    <b v="0"/>
    <b v="0"/>
  </r>
  <r>
    <n v="6948065"/>
    <s v="123-002-101-008"/>
    <s v="Software Engineer"/>
    <x v="6"/>
    <d v="2022-07-06T00:00:00"/>
    <s v="Lisa Ramirez"/>
    <d v="2022-07-24T00:00:00"/>
    <x v="53"/>
    <s v="new to org"/>
    <x v="0"/>
    <b v="0"/>
    <b v="0"/>
    <b v="0"/>
    <b v="0"/>
    <b v="0"/>
    <b v="1"/>
  </r>
  <r>
    <n v="4180407"/>
    <s v="123-001-110-008"/>
    <s v="Legal Advisor"/>
    <x v="9"/>
    <d v="2022-05-02T00:00:00"/>
    <s v="Kevin Moore"/>
    <d v="2022-05-16T00:00:00"/>
    <x v="448"/>
    <m/>
    <x v="0"/>
    <b v="0"/>
    <b v="0"/>
    <b v="0"/>
    <b v="0"/>
    <b v="0"/>
    <b v="0"/>
  </r>
  <r>
    <n v="9314244"/>
    <s v="123-003-126-009"/>
    <s v="Recruiter"/>
    <x v="8"/>
    <d v="2023-02-03T00:00:00"/>
    <s v="Steven Campbell"/>
    <d v="2023-02-08T00:00:00"/>
    <x v="481"/>
    <m/>
    <x v="0"/>
    <b v="0"/>
    <b v="0"/>
    <b v="0"/>
    <b v="0"/>
    <b v="0"/>
    <b v="0"/>
  </r>
  <r>
    <n v="9314244"/>
    <s v="123-003-126-010"/>
    <s v="Recruiter"/>
    <x v="8"/>
    <d v="2022-12-19T00:00:00"/>
    <s v="William Martinez"/>
    <d v="2023-01-05T00:00:00"/>
    <x v="408"/>
    <s v="transfer"/>
    <x v="0"/>
    <b v="0"/>
    <b v="0"/>
    <b v="0"/>
    <b v="1"/>
    <b v="0"/>
    <b v="0"/>
  </r>
  <r>
    <n v="9314244"/>
    <s v="123-003-126-011"/>
    <s v="Recruiter"/>
    <x v="8"/>
    <d v="2022-12-17T00:00:00"/>
    <s v="Patricia Baker"/>
    <d v="2022-12-31T00:00:00"/>
    <x v="209"/>
    <s v="promo"/>
    <x v="0"/>
    <b v="0"/>
    <b v="0"/>
    <b v="0"/>
    <b v="0"/>
    <b v="1"/>
    <b v="0"/>
  </r>
  <r>
    <n v="1134702"/>
    <s v="123-008-114-011"/>
    <s v="Research Analyst"/>
    <x v="4"/>
    <d v="2022-04-28T00:00:00"/>
    <s v="Jessica Moore"/>
    <d v="2022-05-26T00:00:00"/>
    <x v="482"/>
    <s v="promo"/>
    <x v="0"/>
    <b v="0"/>
    <b v="0"/>
    <b v="0"/>
    <b v="0"/>
    <b v="1"/>
    <b v="0"/>
  </r>
  <r>
    <n v="1134702"/>
    <s v="123-008-114-012"/>
    <s v="Research Analyst"/>
    <x v="4"/>
    <d v="2023-03-16T00:00:00"/>
    <s v="Kevin Evans"/>
    <d v="2023-03-23T00:00:00"/>
    <x v="51"/>
    <s v="promo"/>
    <x v="0"/>
    <b v="0"/>
    <b v="0"/>
    <b v="0"/>
    <b v="0"/>
    <b v="1"/>
    <b v="0"/>
  </r>
  <r>
    <n v="2729141"/>
    <s v="123-009-123-006"/>
    <s v="Data Engineer"/>
    <x v="7"/>
    <d v="2022-07-24T00:00:00"/>
    <s v="Mary Flores"/>
    <d v="2022-07-27T00:00:00"/>
    <x v="377"/>
    <m/>
    <x v="0"/>
    <b v="0"/>
    <b v="0"/>
    <b v="0"/>
    <b v="0"/>
    <b v="0"/>
    <b v="0"/>
  </r>
  <r>
    <n v="2729141"/>
    <s v="123-009-123-008"/>
    <s v="Data Engineer"/>
    <x v="7"/>
    <d v="2023-03-13T00:00:00"/>
    <s v="Joseph Perez"/>
    <d v="2023-03-29T00:00:00"/>
    <x v="372"/>
    <s v="promo"/>
    <x v="0"/>
    <b v="0"/>
    <b v="0"/>
    <b v="0"/>
    <b v="0"/>
    <b v="1"/>
    <b v="0"/>
  </r>
  <r>
    <n v="9554093"/>
    <s v="123-001-114-002"/>
    <s v="Research Analyst"/>
    <x v="9"/>
    <d v="2022-07-06T00:00:00"/>
    <s v="Lucas Brown"/>
    <d v="2022-07-08T00:00:00"/>
    <x v="132"/>
    <s v="new to org"/>
    <x v="0"/>
    <b v="0"/>
    <b v="0"/>
    <b v="0"/>
    <b v="0"/>
    <b v="0"/>
    <b v="1"/>
  </r>
  <r>
    <n v="8919821"/>
    <s v="123-010-109-002"/>
    <s v="IT Technician"/>
    <x v="5"/>
    <d v="2023-01-08T00:00:00"/>
    <s v="Charlotte Young"/>
    <d v="2023-01-19T00:00:00"/>
    <x v="209"/>
    <s v="new to org"/>
    <x v="0"/>
    <b v="0"/>
    <b v="0"/>
    <b v="0"/>
    <b v="0"/>
    <b v="0"/>
    <b v="1"/>
  </r>
  <r>
    <n v="2871139"/>
    <s v="123-001-104-004"/>
    <s v="HR Specialist"/>
    <x v="9"/>
    <d v="2023-01-06T00:00:00"/>
    <s v="Nancy White"/>
    <d v="2023-01-30T00:00:00"/>
    <x v="165"/>
    <s v="promo"/>
    <x v="0"/>
    <b v="0"/>
    <b v="0"/>
    <b v="0"/>
    <b v="0"/>
    <b v="1"/>
    <b v="0"/>
  </r>
  <r>
    <n v="2871139"/>
    <s v="123-001-104-005"/>
    <s v="HR Specialist"/>
    <x v="9"/>
    <d v="2022-10-10T00:00:00"/>
    <s v="Jessica Adams"/>
    <d v="2022-10-17T00:00:00"/>
    <x v="97"/>
    <s v="new to org"/>
    <x v="0"/>
    <b v="0"/>
    <b v="0"/>
    <b v="0"/>
    <b v="0"/>
    <b v="0"/>
    <b v="1"/>
  </r>
  <r>
    <n v="2871139"/>
    <s v="123-001-104-006"/>
    <s v="HR Specialist"/>
    <x v="9"/>
    <d v="2022-05-04T00:00:00"/>
    <s v="William Green"/>
    <d v="2022-05-06T00:00:00"/>
    <x v="483"/>
    <s v="transfer"/>
    <x v="0"/>
    <b v="0"/>
    <b v="0"/>
    <b v="0"/>
    <b v="1"/>
    <b v="0"/>
    <b v="0"/>
  </r>
  <r>
    <n v="2871139"/>
    <s v="123-001-104-007"/>
    <s v="HR Specialist"/>
    <x v="9"/>
    <d v="2023-04-02T00:00:00"/>
    <s v="Richard Rivera"/>
    <d v="2023-05-02T00:00:00"/>
    <x v="68"/>
    <s v="promo"/>
    <x v="0"/>
    <b v="0"/>
    <b v="0"/>
    <b v="0"/>
    <b v="0"/>
    <b v="1"/>
    <b v="0"/>
  </r>
  <r>
    <n v="8955730"/>
    <s v="123-004-125-014"/>
    <s v="Security Analyst"/>
    <x v="1"/>
    <d v="2023-03-05T00:00:00"/>
    <s v="William Gonzalez"/>
    <d v="2023-03-23T00:00:00"/>
    <x v="102"/>
    <s v="transfer"/>
    <x v="0"/>
    <b v="0"/>
    <b v="0"/>
    <b v="0"/>
    <b v="1"/>
    <b v="0"/>
    <b v="0"/>
  </r>
  <r>
    <n v="8955730"/>
    <s v="123-004-125-016"/>
    <s v="Security Analyst"/>
    <x v="1"/>
    <d v="2022-03-11T00:00:00"/>
    <s v="Ava Ramirez"/>
    <d v="2022-03-27T00:00:00"/>
    <x v="192"/>
    <s v="transfer"/>
    <x v="0"/>
    <b v="0"/>
    <b v="0"/>
    <b v="0"/>
    <b v="1"/>
    <b v="0"/>
    <b v="0"/>
  </r>
  <r>
    <n v="8955730"/>
    <s v="123-004-125-017"/>
    <s v="Security Analyst"/>
    <x v="1"/>
    <d v="2022-10-08T00:00:00"/>
    <s v="David Hill"/>
    <d v="2022-10-31T00:00:00"/>
    <x v="13"/>
    <s v="transfer"/>
    <x v="0"/>
    <b v="0"/>
    <b v="0"/>
    <b v="0"/>
    <b v="1"/>
    <b v="0"/>
    <b v="0"/>
  </r>
  <r>
    <n v="7668839"/>
    <s v="123-009-116-014"/>
    <s v="Content Writer"/>
    <x v="7"/>
    <d v="2023-06-06T00:00:00"/>
    <s v="Mark Carter"/>
    <d v="2023-06-19T00:00:00"/>
    <x v="283"/>
    <s v="promo"/>
    <x v="0"/>
    <b v="0"/>
    <b v="0"/>
    <b v="0"/>
    <b v="0"/>
    <b v="1"/>
    <b v="0"/>
  </r>
  <r>
    <n v="7668839"/>
    <s v="123-009-116-015"/>
    <s v="Content Writer"/>
    <x v="7"/>
    <d v="2022-07-31T00:00:00"/>
    <s v="Joshua Moore"/>
    <d v="2022-08-06T00:00:00"/>
    <x v="255"/>
    <m/>
    <x v="0"/>
    <b v="0"/>
    <b v="0"/>
    <b v="0"/>
    <b v="0"/>
    <b v="0"/>
    <b v="0"/>
  </r>
  <r>
    <n v="7668839"/>
    <s v="123-009-116-017"/>
    <s v="Content Writer"/>
    <x v="7"/>
    <d v="2023-06-22T00:00:00"/>
    <s v="Steven Rivera"/>
    <d v="2023-07-01T00:00:00"/>
    <x v="150"/>
    <m/>
    <x v="0"/>
    <b v="0"/>
    <b v="0"/>
    <b v="0"/>
    <b v="0"/>
    <b v="0"/>
    <b v="0"/>
  </r>
  <r>
    <n v="7668839"/>
    <s v="123-009-116-018"/>
    <s v="Content Writer"/>
    <x v="7"/>
    <d v="2022-05-02T00:00:00"/>
    <s v="Dorothy Moore"/>
    <d v="2022-05-08T00:00:00"/>
    <x v="149"/>
    <s v="new to org"/>
    <x v="0"/>
    <b v="0"/>
    <b v="0"/>
    <b v="0"/>
    <b v="0"/>
    <b v="0"/>
    <b v="1"/>
  </r>
  <r>
    <n v="1765250"/>
    <s v="123-004-118-009"/>
    <s v="Network Engineer"/>
    <x v="1"/>
    <d v="2022-08-04T00:00:00"/>
    <s v="Carol Thomas"/>
    <d v="2022-08-22T00:00:00"/>
    <x v="484"/>
    <s v="transfer"/>
    <x v="0"/>
    <b v="0"/>
    <b v="0"/>
    <b v="0"/>
    <b v="1"/>
    <b v="0"/>
    <b v="0"/>
  </r>
  <r>
    <n v="7192640"/>
    <s v="123-002-111-012"/>
    <s v="Product Manager"/>
    <x v="6"/>
    <d v="2022-08-13T00:00:00"/>
    <s v="Isabella Thompson"/>
    <d v="2022-09-06T00:00:00"/>
    <x v="280"/>
    <s v="transfer"/>
    <x v="0"/>
    <b v="0"/>
    <b v="0"/>
    <b v="0"/>
    <b v="1"/>
    <b v="0"/>
    <b v="0"/>
  </r>
  <r>
    <n v="7192640"/>
    <s v="123-002-111-014"/>
    <s v="Product Manager"/>
    <x v="6"/>
    <d v="2022-09-21T00:00:00"/>
    <s v="Charlotte Adams"/>
    <d v="2022-10-19T00:00:00"/>
    <x v="425"/>
    <m/>
    <x v="0"/>
    <b v="0"/>
    <b v="0"/>
    <b v="0"/>
    <b v="0"/>
    <b v="0"/>
    <b v="0"/>
  </r>
  <r>
    <n v="7192640"/>
    <s v="123-002-111-015"/>
    <s v="Product Manager"/>
    <x v="6"/>
    <d v="2022-08-14T00:00:00"/>
    <s v="Isabella Lewis"/>
    <d v="2022-08-25T00:00:00"/>
    <x v="269"/>
    <s v="promo"/>
    <x v="0"/>
    <b v="0"/>
    <b v="0"/>
    <b v="0"/>
    <b v="0"/>
    <b v="1"/>
    <b v="0"/>
  </r>
  <r>
    <n v="4421186"/>
    <s v="123-007-119-006"/>
    <s v="Account Manager"/>
    <x v="3"/>
    <d v="2023-05-06T00:00:00"/>
    <s v="Lisa Martinez"/>
    <d v="2023-05-09T00:00:00"/>
    <x v="212"/>
    <m/>
    <x v="0"/>
    <b v="0"/>
    <b v="0"/>
    <b v="0"/>
    <b v="0"/>
    <b v="0"/>
    <b v="0"/>
  </r>
  <r>
    <n v="9229532"/>
    <s v="123-003-124-004"/>
    <s v="Compliance Officer"/>
    <x v="8"/>
    <d v="2023-03-13T00:00:00"/>
    <s v="Elizabeth Jones"/>
    <d v="2023-03-21T00:00:00"/>
    <x v="71"/>
    <s v="transfer"/>
    <x v="0"/>
    <b v="0"/>
    <b v="0"/>
    <b v="0"/>
    <b v="1"/>
    <b v="0"/>
    <b v="0"/>
  </r>
  <r>
    <n v="9837877"/>
    <s v="123-001-105-004"/>
    <s v="Financial Analyst"/>
    <x v="9"/>
    <d v="2022-03-27T00:00:00"/>
    <s v="William Thomas"/>
    <d v="2022-04-05T00:00:00"/>
    <x v="160"/>
    <s v="transfer"/>
    <x v="0"/>
    <b v="0"/>
    <b v="0"/>
    <b v="0"/>
    <b v="1"/>
    <b v="0"/>
    <b v="0"/>
  </r>
  <r>
    <n v="9837877"/>
    <s v="123-001-105-005"/>
    <s v="Financial Analyst"/>
    <x v="9"/>
    <d v="2022-04-19T00:00:00"/>
    <s v="Sophia Smith"/>
    <d v="2022-05-07T00:00:00"/>
    <x v="31"/>
    <s v="transfer"/>
    <x v="0"/>
    <b v="0"/>
    <b v="0"/>
    <b v="0"/>
    <b v="1"/>
    <b v="0"/>
    <b v="0"/>
  </r>
  <r>
    <n v="9837877"/>
    <s v="123-001-105-006"/>
    <s v="Financial Analyst"/>
    <x v="9"/>
    <d v="2023-05-07T00:00:00"/>
    <s v="Richard Rodriguez"/>
    <d v="2023-06-01T00:00:00"/>
    <x v="180"/>
    <s v="transfer"/>
    <x v="0"/>
    <b v="0"/>
    <b v="0"/>
    <b v="0"/>
    <b v="1"/>
    <b v="0"/>
    <b v="0"/>
  </r>
  <r>
    <n v="6565947"/>
    <s v="123-003-116-004"/>
    <s v="Content Writer"/>
    <x v="8"/>
    <d v="2022-02-15T00:00:00"/>
    <s v="Mary Evans"/>
    <d v="2022-02-19T00:00:00"/>
    <x v="360"/>
    <s v="transfer"/>
    <x v="0"/>
    <b v="0"/>
    <b v="0"/>
    <b v="0"/>
    <b v="1"/>
    <b v="0"/>
    <b v="0"/>
  </r>
  <r>
    <n v="7967320"/>
    <s v="123-001-105-008"/>
    <s v="Financial Analyst"/>
    <x v="9"/>
    <d v="2022-10-21T00:00:00"/>
    <s v="Daniel Adams"/>
    <d v="2022-10-29T00:00:00"/>
    <x v="311"/>
    <s v="promo"/>
    <x v="0"/>
    <b v="0"/>
    <b v="0"/>
    <b v="0"/>
    <b v="0"/>
    <b v="1"/>
    <b v="0"/>
  </r>
  <r>
    <n v="6598972"/>
    <s v="123-006-104-005"/>
    <s v="HR Specialist"/>
    <x v="2"/>
    <d v="2023-06-28T00:00:00"/>
    <s v="Barbara Ramirez"/>
    <d v="2023-07-09T00:00:00"/>
    <x v="96"/>
    <s v="promo"/>
    <x v="0"/>
    <b v="0"/>
    <b v="0"/>
    <b v="0"/>
    <b v="0"/>
    <b v="1"/>
    <b v="0"/>
  </r>
  <r>
    <n v="4042807"/>
    <s v="123-007-122-008"/>
    <s v="DevOps Engineer"/>
    <x v="3"/>
    <d v="2022-10-21T00:00:00"/>
    <s v="Michelle Evans"/>
    <d v="2022-11-02T00:00:00"/>
    <x v="456"/>
    <s v="new to org"/>
    <x v="0"/>
    <b v="0"/>
    <b v="0"/>
    <b v="0"/>
    <b v="0"/>
    <b v="0"/>
    <b v="1"/>
  </r>
  <r>
    <n v="5452689"/>
    <s v="123-002-126-001"/>
    <s v="Recruiter"/>
    <x v="6"/>
    <d v="2022-05-31T00:00:00"/>
    <s v="Deborah Adams"/>
    <d v="2022-06-11T00:00:00"/>
    <x v="129"/>
    <s v="promo"/>
    <x v="0"/>
    <b v="0"/>
    <b v="0"/>
    <b v="0"/>
    <b v="0"/>
    <b v="1"/>
    <b v="0"/>
  </r>
  <r>
    <n v="2517449"/>
    <s v="123-003-111-006"/>
    <s v="Product Manager"/>
    <x v="8"/>
    <d v="2023-03-11T00:00:00"/>
    <s v="Christopher Young"/>
    <d v="2023-03-27T00:00:00"/>
    <x v="115"/>
    <s v="new to org"/>
    <x v="0"/>
    <b v="0"/>
    <b v="0"/>
    <b v="0"/>
    <b v="0"/>
    <b v="0"/>
    <b v="1"/>
  </r>
  <r>
    <n v="2517449"/>
    <s v="123-003-111-007"/>
    <s v="Product Manager"/>
    <x v="8"/>
    <d v="2022-09-09T00:00:00"/>
    <s v="William Phillips"/>
    <d v="2022-09-22T00:00:00"/>
    <x v="196"/>
    <s v="new to org"/>
    <x v="0"/>
    <b v="0"/>
    <b v="0"/>
    <b v="0"/>
    <b v="0"/>
    <b v="0"/>
    <b v="1"/>
  </r>
  <r>
    <n v="9339992"/>
    <s v="123-009-118-006"/>
    <s v="Network Engineer"/>
    <x v="7"/>
    <d v="2023-03-08T00:00:00"/>
    <s v="Matthew Garcia"/>
    <d v="2023-03-25T00:00:00"/>
    <x v="52"/>
    <s v="promo"/>
    <x v="0"/>
    <b v="0"/>
    <b v="0"/>
    <b v="0"/>
    <b v="0"/>
    <b v="1"/>
    <b v="0"/>
  </r>
  <r>
    <n v="9339992"/>
    <s v="123-009-118-007"/>
    <s v="Network Engineer"/>
    <x v="7"/>
    <d v="2022-08-29T00:00:00"/>
    <s v="Brian Garcia"/>
    <d v="2022-09-10T00:00:00"/>
    <x v="33"/>
    <s v="promo"/>
    <x v="0"/>
    <b v="0"/>
    <b v="0"/>
    <b v="0"/>
    <b v="0"/>
    <b v="1"/>
    <b v="0"/>
  </r>
  <r>
    <n v="9339992"/>
    <s v="123-009-118-009"/>
    <s v="Network Engineer"/>
    <x v="7"/>
    <d v="2022-03-03T00:00:00"/>
    <s v="Ava Davis"/>
    <d v="2022-04-02T00:00:00"/>
    <x v="485"/>
    <s v="promo"/>
    <x v="0"/>
    <b v="0"/>
    <b v="0"/>
    <b v="0"/>
    <b v="0"/>
    <b v="1"/>
    <b v="0"/>
  </r>
  <r>
    <n v="7054201"/>
    <s v="123-003-128-005"/>
    <s v="Payroll Specialist"/>
    <x v="8"/>
    <d v="2022-08-18T00:00:00"/>
    <s v="Jessica Wilson"/>
    <d v="2022-08-20T00:00:00"/>
    <x v="486"/>
    <m/>
    <x v="0"/>
    <b v="0"/>
    <b v="0"/>
    <b v="0"/>
    <b v="0"/>
    <b v="0"/>
    <b v="0"/>
  </r>
  <r>
    <n v="7054201"/>
    <s v="123-003-128-007"/>
    <s v="Payroll Specialist"/>
    <x v="8"/>
    <d v="2022-04-19T00:00:00"/>
    <s v="Lisa Brown"/>
    <d v="2022-05-11T00:00:00"/>
    <x v="281"/>
    <m/>
    <x v="0"/>
    <b v="0"/>
    <b v="0"/>
    <b v="0"/>
    <b v="0"/>
    <b v="0"/>
    <b v="0"/>
  </r>
  <r>
    <n v="7987624"/>
    <s v="123-003-105-003"/>
    <s v="Financial Analyst"/>
    <x v="8"/>
    <d v="2022-12-12T00:00:00"/>
    <s v="Donald Clark"/>
    <d v="2022-12-27T00:00:00"/>
    <x v="481"/>
    <s v="new to org"/>
    <x v="0"/>
    <b v="0"/>
    <b v="0"/>
    <b v="0"/>
    <b v="0"/>
    <b v="0"/>
    <b v="1"/>
  </r>
  <r>
    <n v="7987624"/>
    <s v="123-003-105-004"/>
    <s v="Financial Analyst"/>
    <x v="8"/>
    <d v="2022-06-09T00:00:00"/>
    <s v="Charles Davis"/>
    <d v="2022-06-11T00:00:00"/>
    <x v="255"/>
    <s v="transfer"/>
    <x v="0"/>
    <b v="0"/>
    <b v="0"/>
    <b v="0"/>
    <b v="1"/>
    <b v="0"/>
    <b v="0"/>
  </r>
  <r>
    <n v="7987624"/>
    <s v="123-003-105-005"/>
    <s v="Financial Analyst"/>
    <x v="8"/>
    <d v="2022-01-12T00:00:00"/>
    <s v="Steven Hernandez"/>
    <d v="2022-01-25T00:00:00"/>
    <x v="20"/>
    <s v="promo"/>
    <x v="0"/>
    <b v="0"/>
    <b v="0"/>
    <b v="0"/>
    <b v="0"/>
    <b v="1"/>
    <b v="0"/>
  </r>
  <r>
    <n v="7987624"/>
    <s v="123-003-105-006"/>
    <s v="Financial Analyst"/>
    <x v="8"/>
    <d v="2022-09-22T00:00:00"/>
    <s v="Emily Rivera"/>
    <d v="2022-10-22T00:00:00"/>
    <x v="487"/>
    <m/>
    <x v="0"/>
    <b v="0"/>
    <b v="0"/>
    <b v="0"/>
    <b v="0"/>
    <b v="0"/>
    <b v="0"/>
  </r>
  <r>
    <n v="9420022"/>
    <s v="123-004-110-003"/>
    <s v="Legal Advisor"/>
    <x v="1"/>
    <d v="2023-01-22T00:00:00"/>
    <s v="Jennifer King"/>
    <d v="2023-01-27T00:00:00"/>
    <x v="314"/>
    <s v="new to org"/>
    <x v="0"/>
    <b v="0"/>
    <b v="0"/>
    <b v="0"/>
    <b v="0"/>
    <b v="0"/>
    <b v="1"/>
  </r>
  <r>
    <n v="9420022"/>
    <s v="123-004-110-006"/>
    <s v="Legal Advisor"/>
    <x v="1"/>
    <d v="2023-02-19T00:00:00"/>
    <s v="Christopher Adams"/>
    <d v="2023-03-18T00:00:00"/>
    <x v="363"/>
    <m/>
    <x v="0"/>
    <b v="0"/>
    <b v="0"/>
    <b v="0"/>
    <b v="0"/>
    <b v="0"/>
    <b v="0"/>
  </r>
  <r>
    <n v="3765293"/>
    <s v="123-006-102-009"/>
    <s v="Data Scientist"/>
    <x v="2"/>
    <d v="2022-10-16T00:00:00"/>
    <s v="Mary Thomas"/>
    <d v="2022-10-22T00:00:00"/>
    <x v="488"/>
    <s v="new to org"/>
    <x v="0"/>
    <b v="0"/>
    <b v="0"/>
    <b v="0"/>
    <b v="0"/>
    <b v="0"/>
    <b v="1"/>
  </r>
  <r>
    <n v="3765293"/>
    <s v="123-006-102-011"/>
    <s v="Data Scientist"/>
    <x v="2"/>
    <d v="2022-02-03T00:00:00"/>
    <s v="Emily Gonzalez"/>
    <d v="2022-02-11T00:00:00"/>
    <x v="123"/>
    <s v="promo"/>
    <x v="0"/>
    <b v="0"/>
    <b v="0"/>
    <b v="0"/>
    <b v="0"/>
    <b v="1"/>
    <b v="0"/>
  </r>
  <r>
    <n v="2426723"/>
    <s v="123-010-119-009"/>
    <s v="Account Manager"/>
    <x v="5"/>
    <d v="2022-11-19T00:00:00"/>
    <s v="Robert Brown"/>
    <d v="2022-11-22T00:00:00"/>
    <x v="30"/>
    <m/>
    <x v="0"/>
    <b v="0"/>
    <b v="0"/>
    <b v="0"/>
    <b v="0"/>
    <b v="0"/>
    <b v="0"/>
  </r>
  <r>
    <n v="1142249"/>
    <s v="123-005-112-008"/>
    <s v="Business Analyst"/>
    <x v="0"/>
    <d v="2022-12-31T00:00:00"/>
    <s v="Edward Sanchez"/>
    <d v="2023-01-05T00:00:00"/>
    <x v="402"/>
    <s v="new to org"/>
    <x v="0"/>
    <b v="0"/>
    <b v="0"/>
    <b v="0"/>
    <b v="0"/>
    <b v="0"/>
    <b v="1"/>
  </r>
  <r>
    <n v="1142249"/>
    <s v="123-005-112-009"/>
    <s v="Business Analyst"/>
    <x v="0"/>
    <d v="2023-05-31T00:00:00"/>
    <s v="Anthony Edwards"/>
    <d v="2023-06-04T00:00:00"/>
    <x v="110"/>
    <s v="new to org"/>
    <x v="0"/>
    <b v="0"/>
    <b v="0"/>
    <b v="0"/>
    <b v="0"/>
    <b v="0"/>
    <b v="1"/>
  </r>
  <r>
    <n v="1142249"/>
    <s v="123-005-112-010"/>
    <s v="Business Analyst"/>
    <x v="0"/>
    <d v="2023-01-27T00:00:00"/>
    <s v="Mary Nguyen"/>
    <d v="2023-02-12T00:00:00"/>
    <x v="124"/>
    <s v="promo"/>
    <x v="0"/>
    <b v="0"/>
    <b v="0"/>
    <b v="0"/>
    <b v="0"/>
    <b v="1"/>
    <b v="0"/>
  </r>
  <r>
    <n v="1142249"/>
    <s v="123-005-112-011"/>
    <s v="Business Analyst"/>
    <x v="0"/>
    <d v="2022-06-05T00:00:00"/>
    <s v="Charles Hernandez"/>
    <d v="2022-06-27T00:00:00"/>
    <x v="489"/>
    <s v="transfer"/>
    <x v="0"/>
    <b v="0"/>
    <b v="0"/>
    <b v="0"/>
    <b v="1"/>
    <b v="0"/>
    <b v="0"/>
  </r>
  <r>
    <n v="2321253"/>
    <s v="123-002-129-005"/>
    <s v="Supply Chain Manager"/>
    <x v="6"/>
    <d v="2022-06-14T00:00:00"/>
    <s v="Deborah Rivera"/>
    <d v="2022-07-01T00:00:00"/>
    <x v="77"/>
    <s v="promo"/>
    <x v="0"/>
    <b v="0"/>
    <b v="0"/>
    <b v="0"/>
    <b v="0"/>
    <b v="1"/>
    <b v="0"/>
  </r>
  <r>
    <n v="2321253"/>
    <s v="123-002-129-006"/>
    <s v="Supply Chain Manager"/>
    <x v="6"/>
    <d v="2022-05-15T00:00:00"/>
    <s v="Mark Gomez"/>
    <d v="2022-05-26T00:00:00"/>
    <x v="490"/>
    <s v="new to org"/>
    <x v="0"/>
    <b v="0"/>
    <b v="0"/>
    <b v="0"/>
    <b v="0"/>
    <b v="0"/>
    <b v="1"/>
  </r>
  <r>
    <n v="7045105"/>
    <s v="123-007-120-003"/>
    <s v="Executive Assistant"/>
    <x v="3"/>
    <d v="2022-03-18T00:00:00"/>
    <s v="Jessica Wilson"/>
    <d v="2022-03-23T00:00:00"/>
    <x v="6"/>
    <m/>
    <x v="0"/>
    <b v="0"/>
    <b v="0"/>
    <b v="0"/>
    <b v="0"/>
    <b v="0"/>
    <b v="0"/>
  </r>
  <r>
    <n v="9347047"/>
    <s v="123-001-104-009"/>
    <s v="HR Specialist"/>
    <x v="9"/>
    <d v="2022-03-31T00:00:00"/>
    <s v="Emily Parker"/>
    <d v="2022-04-16T00:00:00"/>
    <x v="192"/>
    <s v="new to org"/>
    <x v="0"/>
    <b v="0"/>
    <b v="0"/>
    <b v="0"/>
    <b v="0"/>
    <b v="0"/>
    <b v="1"/>
  </r>
  <r>
    <n v="9347047"/>
    <s v="123-001-104-010"/>
    <s v="HR Specialist"/>
    <x v="9"/>
    <d v="2022-06-15T00:00:00"/>
    <s v="Jackson Jackson"/>
    <d v="2022-06-18T00:00:00"/>
    <x v="141"/>
    <s v="promo"/>
    <x v="0"/>
    <b v="0"/>
    <b v="0"/>
    <b v="0"/>
    <b v="0"/>
    <b v="1"/>
    <b v="0"/>
  </r>
  <r>
    <n v="5295408"/>
    <s v="123-008-125-011"/>
    <s v="Security Analyst"/>
    <x v="4"/>
    <d v="2022-10-21T00:00:00"/>
    <s v="Robert White"/>
    <d v="2022-11-03T00:00:00"/>
    <x v="108"/>
    <m/>
    <x v="0"/>
    <b v="0"/>
    <b v="0"/>
    <b v="0"/>
    <b v="0"/>
    <b v="0"/>
    <b v="0"/>
  </r>
  <r>
    <n v="5295408"/>
    <s v="123-008-125-012"/>
    <s v="Security Analyst"/>
    <x v="4"/>
    <d v="2023-06-09T00:00:00"/>
    <s v="Mark White"/>
    <d v="2023-07-07T00:00:00"/>
    <x v="491"/>
    <s v="promo"/>
    <x v="0"/>
    <b v="0"/>
    <b v="0"/>
    <b v="0"/>
    <b v="0"/>
    <b v="1"/>
    <b v="0"/>
  </r>
  <r>
    <n v="6262096"/>
    <s v="123-002-112-002"/>
    <s v="Business Analyst"/>
    <x v="6"/>
    <d v="2022-02-13T00:00:00"/>
    <s v="Olivia Cruz"/>
    <d v="2022-03-05T00:00:00"/>
    <x v="276"/>
    <s v="new to org"/>
    <x v="0"/>
    <b v="0"/>
    <b v="0"/>
    <b v="0"/>
    <b v="0"/>
    <b v="0"/>
    <b v="1"/>
  </r>
  <r>
    <n v="6262096"/>
    <s v="123-002-112-004"/>
    <s v="Business Analyst"/>
    <x v="6"/>
    <d v="2023-02-13T00:00:00"/>
    <s v="Matthew Hernandez"/>
    <d v="2023-03-13T00:00:00"/>
    <x v="348"/>
    <s v="new to org"/>
    <x v="0"/>
    <b v="0"/>
    <b v="0"/>
    <b v="0"/>
    <b v="0"/>
    <b v="0"/>
    <b v="1"/>
  </r>
  <r>
    <n v="8816129"/>
    <s v="123-009-115-005"/>
    <s v="Graphic Designer"/>
    <x v="7"/>
    <d v="2022-07-24T00:00:00"/>
    <s v="Deborah Ramirez"/>
    <d v="2022-08-06T00:00:00"/>
    <x v="460"/>
    <m/>
    <x v="0"/>
    <b v="0"/>
    <b v="0"/>
    <b v="0"/>
    <b v="0"/>
    <b v="0"/>
    <b v="0"/>
  </r>
  <r>
    <n v="8816129"/>
    <s v="123-009-115-007"/>
    <s v="Graphic Designer"/>
    <x v="7"/>
    <d v="2023-04-11T00:00:00"/>
    <s v="Linda Moore"/>
    <d v="2023-04-13T00:00:00"/>
    <x v="157"/>
    <m/>
    <x v="0"/>
    <b v="0"/>
    <b v="0"/>
    <b v="0"/>
    <b v="0"/>
    <b v="0"/>
    <b v="0"/>
  </r>
  <r>
    <n v="3612902"/>
    <s v="123-003-116-007"/>
    <s v="Content Writer"/>
    <x v="8"/>
    <d v="2023-04-30T00:00:00"/>
    <s v="Sophia Ramirez"/>
    <d v="2023-05-07T00:00:00"/>
    <x v="115"/>
    <s v="new to org"/>
    <x v="0"/>
    <b v="0"/>
    <b v="0"/>
    <b v="0"/>
    <b v="0"/>
    <b v="0"/>
    <b v="1"/>
  </r>
  <r>
    <n v="4548261"/>
    <s v="123-001-128-003"/>
    <s v="Payroll Specialist"/>
    <x v="9"/>
    <d v="2023-04-08T00:00:00"/>
    <s v="Logan Rivera"/>
    <d v="2023-05-06T00:00:00"/>
    <x v="54"/>
    <s v="new to org"/>
    <x v="0"/>
    <b v="0"/>
    <b v="0"/>
    <b v="0"/>
    <b v="0"/>
    <b v="0"/>
    <b v="1"/>
  </r>
  <r>
    <n v="4548261"/>
    <s v="123-001-128-004"/>
    <s v="Payroll Specialist"/>
    <x v="9"/>
    <d v="2022-02-25T00:00:00"/>
    <s v="Barbara Turner"/>
    <d v="2022-02-28T00:00:00"/>
    <x v="116"/>
    <s v="new to org"/>
    <x v="0"/>
    <b v="0"/>
    <b v="0"/>
    <b v="0"/>
    <b v="0"/>
    <b v="0"/>
    <b v="1"/>
  </r>
  <r>
    <n v="5981239"/>
    <s v="123-004-106-006"/>
    <s v="Marketing Coordinator"/>
    <x v="1"/>
    <d v="2022-06-14T00:00:00"/>
    <s v="Donald Wright"/>
    <d v="2022-07-07T00:00:00"/>
    <x v="77"/>
    <m/>
    <x v="0"/>
    <b v="0"/>
    <b v="0"/>
    <b v="0"/>
    <b v="0"/>
    <b v="0"/>
    <b v="0"/>
  </r>
  <r>
    <n v="5981239"/>
    <s v="123-004-106-007"/>
    <s v="Marketing Coordinator"/>
    <x v="1"/>
    <d v="2022-07-23T00:00:00"/>
    <s v="Isabella Smith"/>
    <d v="2022-07-26T00:00:00"/>
    <x v="33"/>
    <m/>
    <x v="0"/>
    <b v="0"/>
    <b v="0"/>
    <b v="0"/>
    <b v="0"/>
    <b v="0"/>
    <b v="0"/>
  </r>
  <r>
    <n v="5981239"/>
    <s v="123-004-106-008"/>
    <s v="Marketing Coordinator"/>
    <x v="1"/>
    <d v="2022-11-21T00:00:00"/>
    <s v="Christopher Nelson"/>
    <d v="2022-11-22T00:00:00"/>
    <x v="492"/>
    <s v="promo"/>
    <x v="0"/>
    <b v="0"/>
    <b v="0"/>
    <b v="0"/>
    <b v="0"/>
    <b v="1"/>
    <b v="0"/>
  </r>
  <r>
    <n v="8695022"/>
    <s v="123-003-130-003"/>
    <s v="Biomedical Engineer"/>
    <x v="8"/>
    <d v="2023-02-21T00:00:00"/>
    <s v="Sophia Baker"/>
    <d v="2023-03-02T00:00:00"/>
    <x v="161"/>
    <s v="transfer"/>
    <x v="0"/>
    <b v="0"/>
    <b v="0"/>
    <b v="0"/>
    <b v="1"/>
    <b v="0"/>
    <b v="0"/>
  </r>
  <r>
    <n v="8695022"/>
    <s v="123-003-130-004"/>
    <s v="Biomedical Engineer"/>
    <x v="8"/>
    <d v="2022-05-09T00:00:00"/>
    <s v="Charlotte Turner"/>
    <d v="2022-05-30T00:00:00"/>
    <x v="373"/>
    <m/>
    <x v="0"/>
    <b v="0"/>
    <b v="0"/>
    <b v="0"/>
    <b v="0"/>
    <b v="0"/>
    <b v="0"/>
  </r>
  <r>
    <n v="8695022"/>
    <s v="123-003-130-005"/>
    <s v="Biomedical Engineer"/>
    <x v="8"/>
    <d v="2022-07-12T00:00:00"/>
    <s v="Robert Wilson"/>
    <d v="2022-07-26T00:00:00"/>
    <x v="493"/>
    <s v="transfer"/>
    <x v="0"/>
    <b v="0"/>
    <b v="0"/>
    <b v="0"/>
    <b v="1"/>
    <b v="0"/>
    <b v="0"/>
  </r>
  <r>
    <n v="8695022"/>
    <s v="123-003-130-006"/>
    <s v="Biomedical Engineer"/>
    <x v="8"/>
    <d v="2022-08-10T00:00:00"/>
    <s v="Joshua Harris"/>
    <d v="2022-08-22T00:00:00"/>
    <x v="466"/>
    <s v="promo"/>
    <x v="0"/>
    <b v="0"/>
    <b v="0"/>
    <b v="0"/>
    <b v="0"/>
    <b v="1"/>
    <b v="0"/>
  </r>
  <r>
    <n v="6150025"/>
    <s v="123-002-117-008"/>
    <s v="Quality Assurance"/>
    <x v="6"/>
    <d v="2022-12-27T00:00:00"/>
    <s v="Anthony Clark"/>
    <d v="2023-01-08T00:00:00"/>
    <x v="35"/>
    <m/>
    <x v="0"/>
    <b v="0"/>
    <b v="0"/>
    <b v="0"/>
    <b v="0"/>
    <b v="0"/>
    <b v="0"/>
  </r>
  <r>
    <n v="6150025"/>
    <s v="123-002-117-009"/>
    <s v="Quality Assurance"/>
    <x v="6"/>
    <d v="2023-04-15T00:00:00"/>
    <s v="Linda Lopez"/>
    <d v="2023-04-29T00:00:00"/>
    <x v="189"/>
    <s v="new to org"/>
    <x v="0"/>
    <b v="0"/>
    <b v="0"/>
    <b v="0"/>
    <b v="0"/>
    <b v="0"/>
    <b v="1"/>
  </r>
  <r>
    <n v="5752118"/>
    <s v="123-010-123-004"/>
    <s v="Data Engineer"/>
    <x v="5"/>
    <d v="2022-01-17T00:00:00"/>
    <s v="Jennifer Adams"/>
    <d v="2022-02-06T00:00:00"/>
    <x v="258"/>
    <s v="transfer"/>
    <x v="0"/>
    <b v="0"/>
    <b v="0"/>
    <b v="0"/>
    <b v="1"/>
    <b v="0"/>
    <b v="0"/>
  </r>
  <r>
    <n v="7900127"/>
    <s v="123-008-104-001"/>
    <s v="HR Specialist"/>
    <x v="4"/>
    <d v="2023-05-31T00:00:00"/>
    <s v="Kenneth Lewis"/>
    <d v="2023-06-19T00:00:00"/>
    <x v="494"/>
    <s v="transfer"/>
    <x v="0"/>
    <b v="0"/>
    <b v="0"/>
    <b v="0"/>
    <b v="1"/>
    <b v="0"/>
    <b v="0"/>
  </r>
  <r>
    <n v="7900127"/>
    <s v="123-008-104-005"/>
    <s v="HR Specialist"/>
    <x v="4"/>
    <d v="2023-02-10T00:00:00"/>
    <s v="Ava Evans"/>
    <d v="2023-02-11T00:00:00"/>
    <x v="323"/>
    <m/>
    <x v="0"/>
    <b v="0"/>
    <b v="0"/>
    <b v="0"/>
    <b v="0"/>
    <b v="0"/>
    <b v="0"/>
  </r>
  <r>
    <n v="4757032"/>
    <s v="123-005-117-008"/>
    <s v="Quality Assurance"/>
    <x v="0"/>
    <d v="2023-03-01T00:00:00"/>
    <s v="Karen Turner"/>
    <d v="2023-03-23T00:00:00"/>
    <x v="208"/>
    <s v="new to org"/>
    <x v="0"/>
    <b v="0"/>
    <b v="0"/>
    <b v="0"/>
    <b v="0"/>
    <b v="0"/>
    <b v="1"/>
  </r>
  <r>
    <n v="6326278"/>
    <s v="123-003-111-008"/>
    <s v="Product Manager"/>
    <x v="8"/>
    <d v="2022-07-17T00:00:00"/>
    <s v="Emily Sanchez"/>
    <d v="2022-08-06T00:00:00"/>
    <x v="156"/>
    <s v="promo"/>
    <x v="0"/>
    <b v="0"/>
    <b v="0"/>
    <b v="0"/>
    <b v="0"/>
    <b v="1"/>
    <b v="0"/>
  </r>
  <r>
    <n v="6326278"/>
    <s v="123-003-111-009"/>
    <s v="Product Manager"/>
    <x v="8"/>
    <d v="2023-03-16T00:00:00"/>
    <s v="Ethan Torres"/>
    <d v="2023-03-21T00:00:00"/>
    <x v="52"/>
    <s v="transfer"/>
    <x v="0"/>
    <b v="0"/>
    <b v="0"/>
    <b v="0"/>
    <b v="1"/>
    <b v="0"/>
    <b v="0"/>
  </r>
  <r>
    <n v="6326278"/>
    <s v="123-003-111-010"/>
    <s v="Product Manager"/>
    <x v="8"/>
    <d v="2022-11-22T00:00:00"/>
    <s v="Betty Edwards"/>
    <d v="2022-12-09T00:00:00"/>
    <x v="495"/>
    <s v="promo"/>
    <x v="0"/>
    <b v="0"/>
    <b v="0"/>
    <b v="0"/>
    <b v="0"/>
    <b v="1"/>
    <b v="0"/>
  </r>
  <r>
    <n v="6326278"/>
    <s v="123-003-111-011"/>
    <s v="Product Manager"/>
    <x v="8"/>
    <d v="2022-05-10T00:00:00"/>
    <s v="Dorothy Phillips"/>
    <d v="2022-05-27T00:00:00"/>
    <x v="496"/>
    <s v="transfer"/>
    <x v="0"/>
    <b v="0"/>
    <b v="0"/>
    <b v="0"/>
    <b v="1"/>
    <b v="0"/>
    <b v="0"/>
  </r>
  <r>
    <n v="6326278"/>
    <s v="123-003-111-012"/>
    <s v="Product Manager"/>
    <x v="8"/>
    <d v="2022-09-24T00:00:00"/>
    <s v="Mason Carter"/>
    <d v="2022-10-21T00:00:00"/>
    <x v="488"/>
    <m/>
    <x v="0"/>
    <b v="0"/>
    <b v="0"/>
    <b v="0"/>
    <b v="0"/>
    <b v="0"/>
    <b v="0"/>
  </r>
  <r>
    <n v="8338707"/>
    <s v="123-010-101-002"/>
    <s v="Software Engineer"/>
    <x v="5"/>
    <d v="2022-01-26T00:00:00"/>
    <s v="Andrew Harris"/>
    <d v="2022-02-19T00:00:00"/>
    <x v="258"/>
    <s v="transfer"/>
    <x v="0"/>
    <b v="0"/>
    <b v="0"/>
    <b v="0"/>
    <b v="1"/>
    <b v="0"/>
    <b v="0"/>
  </r>
  <r>
    <n v="2280314"/>
    <s v="123-007-107-005"/>
    <s v="Sales Associate"/>
    <x v="3"/>
    <d v="2022-07-04T00:00:00"/>
    <s v="Ethan Hernandez"/>
    <d v="2022-07-14T00:00:00"/>
    <x v="274"/>
    <m/>
    <x v="0"/>
    <b v="0"/>
    <b v="0"/>
    <b v="0"/>
    <b v="0"/>
    <b v="0"/>
    <b v="0"/>
  </r>
  <r>
    <n v="2280314"/>
    <s v="123-007-107-006"/>
    <s v="Sales Associate"/>
    <x v="3"/>
    <d v="2022-12-22T00:00:00"/>
    <s v="Linda Perez"/>
    <d v="2023-01-07T00:00:00"/>
    <x v="481"/>
    <s v="transfer"/>
    <x v="0"/>
    <b v="0"/>
    <b v="0"/>
    <b v="0"/>
    <b v="1"/>
    <b v="0"/>
    <b v="0"/>
  </r>
  <r>
    <n v="2280314"/>
    <s v="123-007-107-007"/>
    <s v="Sales Associate"/>
    <x v="3"/>
    <d v="2022-09-18T00:00:00"/>
    <s v="David King"/>
    <d v="2022-10-18T00:00:00"/>
    <x v="268"/>
    <s v="transfer"/>
    <x v="0"/>
    <b v="0"/>
    <b v="0"/>
    <b v="0"/>
    <b v="1"/>
    <b v="0"/>
    <b v="0"/>
  </r>
  <r>
    <n v="9585651"/>
    <s v="123-003-125-008"/>
    <s v="Security Analyst"/>
    <x v="8"/>
    <d v="2022-01-31T00:00:00"/>
    <s v="Lucas Wilson"/>
    <d v="2022-02-11T00:00:00"/>
    <x v="423"/>
    <s v="transfer"/>
    <x v="0"/>
    <b v="0"/>
    <b v="0"/>
    <b v="0"/>
    <b v="1"/>
    <b v="0"/>
    <b v="0"/>
  </r>
  <r>
    <n v="9318172"/>
    <s v="123-009-114-006"/>
    <s v="Research Analyst"/>
    <x v="7"/>
    <d v="2022-10-15T00:00:00"/>
    <s v="Barbara Gonzalez"/>
    <d v="2022-10-28T00:00:00"/>
    <x v="497"/>
    <s v="new to org"/>
    <x v="0"/>
    <b v="0"/>
    <b v="0"/>
    <b v="0"/>
    <b v="0"/>
    <b v="0"/>
    <b v="1"/>
  </r>
  <r>
    <n v="9318172"/>
    <s v="123-009-114-007"/>
    <s v="Research Analyst"/>
    <x v="7"/>
    <d v="2022-07-30T00:00:00"/>
    <s v="David Gomez"/>
    <d v="2022-08-23T00:00:00"/>
    <x v="280"/>
    <s v="new to org"/>
    <x v="0"/>
    <b v="0"/>
    <b v="0"/>
    <b v="0"/>
    <b v="0"/>
    <b v="0"/>
    <b v="1"/>
  </r>
  <r>
    <n v="9318172"/>
    <s v="123-009-114-008"/>
    <s v="Research Analyst"/>
    <x v="7"/>
    <d v="2022-10-06T00:00:00"/>
    <s v="Margaret Hill"/>
    <d v="2022-11-02T00:00:00"/>
    <x v="498"/>
    <m/>
    <x v="0"/>
    <b v="0"/>
    <b v="0"/>
    <b v="0"/>
    <b v="0"/>
    <b v="0"/>
    <b v="0"/>
  </r>
  <r>
    <n v="9318172"/>
    <s v="123-009-114-009"/>
    <s v="Research Analyst"/>
    <x v="7"/>
    <d v="2022-12-28T00:00:00"/>
    <s v="Margaret Gonzalez"/>
    <d v="2023-01-09T00:00:00"/>
    <x v="426"/>
    <m/>
    <x v="0"/>
    <b v="0"/>
    <b v="0"/>
    <b v="0"/>
    <b v="0"/>
    <b v="0"/>
    <b v="0"/>
  </r>
  <r>
    <n v="2078208"/>
    <s v="123-003-115-003"/>
    <s v="Graphic Designer"/>
    <x v="8"/>
    <d v="2022-10-28T00:00:00"/>
    <s v="Donna Clark"/>
    <d v="2022-11-17T00:00:00"/>
    <x v="205"/>
    <s v="new to org"/>
    <x v="0"/>
    <b v="0"/>
    <b v="0"/>
    <b v="0"/>
    <b v="0"/>
    <b v="0"/>
    <b v="1"/>
  </r>
  <r>
    <n v="6275644"/>
    <s v="123-001-104-011"/>
    <s v="HR Specialist"/>
    <x v="9"/>
    <d v="2022-11-26T00:00:00"/>
    <s v="Susan Robinson"/>
    <d v="2022-12-25T00:00:00"/>
    <x v="205"/>
    <s v="new to org"/>
    <x v="0"/>
    <b v="0"/>
    <b v="0"/>
    <b v="0"/>
    <b v="0"/>
    <b v="0"/>
    <b v="1"/>
  </r>
  <r>
    <n v="6275644"/>
    <s v="123-001-104-012"/>
    <s v="HR Specialist"/>
    <x v="9"/>
    <d v="2022-08-06T00:00:00"/>
    <s v="Charles Hill"/>
    <d v="2022-08-23T00:00:00"/>
    <x v="374"/>
    <m/>
    <x v="0"/>
    <b v="0"/>
    <b v="0"/>
    <b v="0"/>
    <b v="0"/>
    <b v="0"/>
    <b v="0"/>
  </r>
  <r>
    <n v="8075793"/>
    <s v="123-007-122-010"/>
    <s v="DevOps Engineer"/>
    <x v="3"/>
    <d v="2023-05-21T00:00:00"/>
    <s v="Richard Brown"/>
    <d v="2023-06-06T00:00:00"/>
    <x v="152"/>
    <s v="promo"/>
    <x v="0"/>
    <b v="0"/>
    <b v="0"/>
    <b v="0"/>
    <b v="0"/>
    <b v="1"/>
    <b v="0"/>
  </r>
  <r>
    <n v="8075793"/>
    <s v="123-007-122-011"/>
    <s v="DevOps Engineer"/>
    <x v="3"/>
    <d v="2023-04-09T00:00:00"/>
    <s v="Linda Davis"/>
    <d v="2023-04-15T00:00:00"/>
    <x v="499"/>
    <m/>
    <x v="0"/>
    <b v="0"/>
    <b v="0"/>
    <b v="0"/>
    <b v="0"/>
    <b v="0"/>
    <b v="0"/>
  </r>
  <r>
    <n v="8075793"/>
    <s v="123-007-122-012"/>
    <s v="DevOps Engineer"/>
    <x v="3"/>
    <d v="2022-01-22T00:00:00"/>
    <s v="Jessica Torres"/>
    <d v="2022-02-01T00:00:00"/>
    <x v="301"/>
    <m/>
    <x v="0"/>
    <b v="0"/>
    <b v="0"/>
    <b v="0"/>
    <b v="0"/>
    <b v="0"/>
    <b v="0"/>
  </r>
  <r>
    <n v="1077963"/>
    <s v="123-008-130-009"/>
    <s v="Biomedical Engineer"/>
    <x v="4"/>
    <d v="2022-10-09T00:00:00"/>
    <s v="George Martin"/>
    <d v="2022-10-20T00:00:00"/>
    <x v="478"/>
    <m/>
    <x v="0"/>
    <b v="0"/>
    <b v="0"/>
    <b v="0"/>
    <b v="0"/>
    <b v="0"/>
    <b v="0"/>
  </r>
  <r>
    <n v="6801971"/>
    <s v="123-002-113-001"/>
    <s v="Operations Supervisor"/>
    <x v="6"/>
    <d v="2023-02-07T00:00:00"/>
    <s v="Michelle Brown"/>
    <d v="2023-02-17T00:00:00"/>
    <x v="5"/>
    <m/>
    <x v="0"/>
    <b v="0"/>
    <b v="0"/>
    <b v="0"/>
    <b v="0"/>
    <b v="0"/>
    <b v="0"/>
  </r>
  <r>
    <n v="6801971"/>
    <s v="123-002-113-002"/>
    <s v="Operations Supervisor"/>
    <x v="6"/>
    <d v="2022-05-05T00:00:00"/>
    <s v="Mia Adams"/>
    <d v="2022-06-01T00:00:00"/>
    <x v="500"/>
    <m/>
    <x v="0"/>
    <b v="0"/>
    <b v="0"/>
    <b v="0"/>
    <b v="0"/>
    <b v="0"/>
    <b v="0"/>
  </r>
  <r>
    <n v="6801971"/>
    <s v="123-002-113-003"/>
    <s v="Operations Supervisor"/>
    <x v="6"/>
    <d v="2022-02-18T00:00:00"/>
    <s v="Mary Anderson"/>
    <d v="2022-03-17T00:00:00"/>
    <x v="59"/>
    <s v="transfer"/>
    <x v="0"/>
    <b v="0"/>
    <b v="0"/>
    <b v="0"/>
    <b v="1"/>
    <b v="0"/>
    <b v="0"/>
  </r>
  <r>
    <n v="1082902"/>
    <s v="123-001-130-001"/>
    <s v="Biomedical Engineer"/>
    <x v="9"/>
    <d v="2022-11-08T00:00:00"/>
    <s v="Linda Brown"/>
    <d v="2022-11-11T00:00:00"/>
    <x v="487"/>
    <s v="transfer"/>
    <x v="0"/>
    <b v="0"/>
    <b v="0"/>
    <b v="0"/>
    <b v="1"/>
    <b v="0"/>
    <b v="0"/>
  </r>
  <r>
    <n v="1082902"/>
    <s v="123-001-130-002"/>
    <s v="Biomedical Engineer"/>
    <x v="9"/>
    <d v="2022-06-24T00:00:00"/>
    <s v="Sarah Hall"/>
    <d v="2022-07-24T00:00:00"/>
    <x v="147"/>
    <m/>
    <x v="0"/>
    <b v="0"/>
    <b v="0"/>
    <b v="0"/>
    <b v="0"/>
    <b v="0"/>
    <b v="0"/>
  </r>
  <r>
    <n v="1082902"/>
    <s v="123-001-130-003"/>
    <s v="Biomedical Engineer"/>
    <x v="9"/>
    <d v="2022-06-01T00:00:00"/>
    <s v="William Lee"/>
    <d v="2022-06-26T00:00:00"/>
    <x v="107"/>
    <s v="transfer"/>
    <x v="0"/>
    <b v="0"/>
    <b v="0"/>
    <b v="0"/>
    <b v="1"/>
    <b v="0"/>
    <b v="0"/>
  </r>
  <r>
    <n v="7933921"/>
    <s v="123-008-121-010"/>
    <s v="UX Designer"/>
    <x v="4"/>
    <d v="2023-05-17T00:00:00"/>
    <s v="Andrew Walker"/>
    <d v="2023-05-26T00:00:00"/>
    <x v="47"/>
    <s v="promo"/>
    <x v="0"/>
    <b v="0"/>
    <b v="0"/>
    <b v="0"/>
    <b v="0"/>
    <b v="1"/>
    <b v="0"/>
  </r>
  <r>
    <n v="9098468"/>
    <s v="123-002-108-008"/>
    <s v="Customer Support Rep"/>
    <x v="6"/>
    <d v="2022-09-06T00:00:00"/>
    <s v="Daniel Scott"/>
    <d v="2022-09-28T00:00:00"/>
    <x v="13"/>
    <s v="transfer"/>
    <x v="0"/>
    <b v="0"/>
    <b v="0"/>
    <b v="0"/>
    <b v="1"/>
    <b v="0"/>
    <b v="0"/>
  </r>
  <r>
    <n v="9098468"/>
    <s v="123-002-108-009"/>
    <s v="Customer Support Rep"/>
    <x v="6"/>
    <d v="2022-03-18T00:00:00"/>
    <s v="Brian Jones"/>
    <d v="2022-04-03T00:00:00"/>
    <x v="258"/>
    <s v="promo"/>
    <x v="0"/>
    <b v="0"/>
    <b v="0"/>
    <b v="0"/>
    <b v="0"/>
    <b v="1"/>
    <b v="0"/>
  </r>
  <r>
    <n v="6257292"/>
    <s v="123-005-125-012"/>
    <s v="Security Analyst"/>
    <x v="0"/>
    <d v="2022-08-13T00:00:00"/>
    <s v="Ava Rodriguez"/>
    <d v="2022-09-12T00:00:00"/>
    <x v="229"/>
    <s v="transfer"/>
    <x v="0"/>
    <b v="0"/>
    <b v="0"/>
    <b v="0"/>
    <b v="1"/>
    <b v="0"/>
    <b v="0"/>
  </r>
  <r>
    <n v="6257292"/>
    <s v="123-005-125-013"/>
    <s v="Security Analyst"/>
    <x v="0"/>
    <d v="2023-06-10T00:00:00"/>
    <s v="Logan Flores"/>
    <d v="2023-06-17T00:00:00"/>
    <x v="501"/>
    <m/>
    <x v="0"/>
    <b v="0"/>
    <b v="0"/>
    <b v="0"/>
    <b v="0"/>
    <b v="0"/>
    <b v="0"/>
  </r>
  <r>
    <n v="6257292"/>
    <s v="123-005-125-014"/>
    <s v="Security Analyst"/>
    <x v="0"/>
    <d v="2022-06-18T00:00:00"/>
    <s v="Sarah Ramirez"/>
    <d v="2022-07-10T00:00:00"/>
    <x v="442"/>
    <s v="transfer"/>
    <x v="0"/>
    <b v="0"/>
    <b v="0"/>
    <b v="0"/>
    <b v="1"/>
    <b v="0"/>
    <b v="0"/>
  </r>
  <r>
    <n v="6257292"/>
    <s v="123-005-125-015"/>
    <s v="Security Analyst"/>
    <x v="0"/>
    <d v="2022-04-20T00:00:00"/>
    <s v="Elizabeth Robinson"/>
    <d v="2022-05-14T00:00:00"/>
    <x v="99"/>
    <s v="transfer"/>
    <x v="0"/>
    <b v="0"/>
    <b v="0"/>
    <b v="0"/>
    <b v="1"/>
    <b v="0"/>
    <b v="0"/>
  </r>
  <r>
    <n v="8238926"/>
    <s v="123-003-107-013"/>
    <s v="Sales Associate"/>
    <x v="8"/>
    <d v="2022-10-07T00:00:00"/>
    <s v="Patricia Lewis"/>
    <d v="2022-10-19T00:00:00"/>
    <x v="268"/>
    <s v="new to org"/>
    <x v="0"/>
    <b v="0"/>
    <b v="0"/>
    <b v="0"/>
    <b v="0"/>
    <b v="0"/>
    <b v="1"/>
  </r>
  <r>
    <n v="8238926"/>
    <s v="123-003-107-016"/>
    <s v="Sales Associate"/>
    <x v="8"/>
    <d v="2022-02-21T00:00:00"/>
    <s v="Michael Baker"/>
    <d v="2022-03-14T00:00:00"/>
    <x v="502"/>
    <m/>
    <x v="0"/>
    <b v="0"/>
    <b v="0"/>
    <b v="0"/>
    <b v="0"/>
    <b v="0"/>
    <b v="0"/>
  </r>
  <r>
    <n v="2863660"/>
    <s v="123-002-108-011"/>
    <s v="Customer Support Rep"/>
    <x v="6"/>
    <d v="2023-06-29T00:00:00"/>
    <s v="Jessica Jones"/>
    <d v="2023-07-03T00:00:00"/>
    <x v="150"/>
    <s v="new to org"/>
    <x v="0"/>
    <b v="0"/>
    <b v="0"/>
    <b v="0"/>
    <b v="0"/>
    <b v="0"/>
    <b v="1"/>
  </r>
  <r>
    <n v="6122489"/>
    <s v="123-004-128-005"/>
    <s v="Payroll Specialist"/>
    <x v="1"/>
    <d v="2023-05-01T00:00:00"/>
    <s v="James Nelson"/>
    <d v="2023-05-15T00:00:00"/>
    <x v="386"/>
    <s v="promo"/>
    <x v="0"/>
    <b v="0"/>
    <b v="0"/>
    <b v="0"/>
    <b v="0"/>
    <b v="1"/>
    <b v="0"/>
  </r>
  <r>
    <n v="6907989"/>
    <s v="123-010-116-010"/>
    <s v="Content Writer"/>
    <x v="5"/>
    <d v="2022-02-16T00:00:00"/>
    <s v="Donald Davis"/>
    <d v="2022-03-15T00:00:00"/>
    <x v="210"/>
    <s v="promo"/>
    <x v="0"/>
    <b v="0"/>
    <b v="0"/>
    <b v="0"/>
    <b v="0"/>
    <b v="1"/>
    <b v="0"/>
  </r>
  <r>
    <n v="5876441"/>
    <s v="123-004-127-001"/>
    <s v="Training Coordinator"/>
    <x v="1"/>
    <d v="2022-04-13T00:00:00"/>
    <s v="Deborah Miller"/>
    <d v="2022-04-23T00:00:00"/>
    <x v="490"/>
    <s v="promo"/>
    <x v="0"/>
    <b v="0"/>
    <b v="0"/>
    <b v="0"/>
    <b v="0"/>
    <b v="1"/>
    <b v="0"/>
  </r>
  <r>
    <n v="5876441"/>
    <s v="123-004-127-002"/>
    <s v="Training Coordinator"/>
    <x v="1"/>
    <d v="2022-12-26T00:00:00"/>
    <s v="Ashley Mitchell"/>
    <d v="2023-01-13T00:00:00"/>
    <x v="120"/>
    <m/>
    <x v="0"/>
    <b v="0"/>
    <b v="0"/>
    <b v="0"/>
    <b v="0"/>
    <b v="0"/>
    <b v="0"/>
  </r>
  <r>
    <n v="5876441"/>
    <s v="123-004-127-003"/>
    <s v="Training Coordinator"/>
    <x v="1"/>
    <d v="2022-01-14T00:00:00"/>
    <s v="Lisa Robinson"/>
    <d v="2022-02-10T00:00:00"/>
    <x v="318"/>
    <s v="new to org"/>
    <x v="0"/>
    <b v="0"/>
    <b v="0"/>
    <b v="0"/>
    <b v="0"/>
    <b v="0"/>
    <b v="1"/>
  </r>
  <r>
    <n v="5876441"/>
    <s v="123-004-127-004"/>
    <s v="Training Coordinator"/>
    <x v="1"/>
    <d v="2023-05-11T00:00:00"/>
    <s v="Lucas King"/>
    <d v="2023-05-15T00:00:00"/>
    <x v="54"/>
    <s v="new to org"/>
    <x v="0"/>
    <b v="0"/>
    <b v="0"/>
    <b v="0"/>
    <b v="0"/>
    <b v="0"/>
    <b v="1"/>
  </r>
  <r>
    <n v="5876441"/>
    <s v="123-004-127-005"/>
    <s v="Training Coordinator"/>
    <x v="1"/>
    <d v="2022-08-14T00:00:00"/>
    <s v="Elizabeth Clark"/>
    <d v="2022-09-05T00:00:00"/>
    <x v="104"/>
    <s v="transfer"/>
    <x v="0"/>
    <b v="0"/>
    <b v="0"/>
    <b v="0"/>
    <b v="1"/>
    <b v="0"/>
    <b v="0"/>
  </r>
  <r>
    <n v="6992727"/>
    <s v="123-001-116-011"/>
    <s v="Content Writer"/>
    <x v="9"/>
    <d v="2022-04-02T00:00:00"/>
    <s v="Lisa Wilson"/>
    <d v="2022-04-09T00:00:00"/>
    <x v="503"/>
    <m/>
    <x v="0"/>
    <b v="0"/>
    <b v="0"/>
    <b v="0"/>
    <b v="0"/>
    <b v="0"/>
    <b v="0"/>
  </r>
  <r>
    <n v="6992727"/>
    <s v="123-001-116-012"/>
    <s v="Content Writer"/>
    <x v="9"/>
    <d v="2023-04-06T00:00:00"/>
    <s v="Sarah Cruz"/>
    <d v="2023-05-05T00:00:00"/>
    <x v="251"/>
    <s v="transfer"/>
    <x v="0"/>
    <b v="0"/>
    <b v="0"/>
    <b v="0"/>
    <b v="1"/>
    <b v="0"/>
    <b v="0"/>
  </r>
  <r>
    <n v="3935211"/>
    <s v="123-006-109-007"/>
    <s v="IT Technician"/>
    <x v="2"/>
    <d v="2022-05-06T00:00:00"/>
    <s v="Mason Flores"/>
    <d v="2022-05-20T00:00:00"/>
    <x v="8"/>
    <s v="new to org"/>
    <x v="0"/>
    <b v="0"/>
    <b v="0"/>
    <b v="0"/>
    <b v="0"/>
    <b v="0"/>
    <b v="1"/>
  </r>
  <r>
    <n v="2848691"/>
    <s v="123-008-101-007"/>
    <s v="Software Engineer"/>
    <x v="4"/>
    <d v="2022-06-16T00:00:00"/>
    <s v="Kimberly Jackson"/>
    <d v="2022-06-26T00:00:00"/>
    <x v="127"/>
    <s v="promo"/>
    <x v="0"/>
    <b v="0"/>
    <b v="0"/>
    <b v="0"/>
    <b v="0"/>
    <b v="1"/>
    <b v="0"/>
  </r>
  <r>
    <n v="1687078"/>
    <s v="123-005-107-010"/>
    <s v="Sales Associate"/>
    <x v="0"/>
    <d v="2022-10-05T00:00:00"/>
    <s v="Jennifer Rivera"/>
    <d v="2022-10-10T00:00:00"/>
    <x v="488"/>
    <s v="promo"/>
    <x v="0"/>
    <b v="0"/>
    <b v="0"/>
    <b v="0"/>
    <b v="0"/>
    <b v="1"/>
    <b v="0"/>
  </r>
  <r>
    <n v="6410314"/>
    <s v="123-010-126-005"/>
    <s v="Recruiter"/>
    <x v="5"/>
    <d v="2023-03-03T00:00:00"/>
    <s v="Thomas Rodriguez"/>
    <d v="2023-03-21T00:00:00"/>
    <x v="5"/>
    <s v="promo"/>
    <x v="0"/>
    <b v="0"/>
    <b v="0"/>
    <b v="0"/>
    <b v="0"/>
    <b v="1"/>
    <b v="0"/>
  </r>
  <r>
    <n v="6410314"/>
    <s v="123-010-126-006"/>
    <s v="Recruiter"/>
    <x v="5"/>
    <d v="2023-04-18T00:00:00"/>
    <s v="Karen Torres"/>
    <d v="2023-05-06T00:00:00"/>
    <x v="157"/>
    <s v="transfer"/>
    <x v="0"/>
    <b v="0"/>
    <b v="0"/>
    <b v="0"/>
    <b v="1"/>
    <b v="0"/>
    <b v="0"/>
  </r>
  <r>
    <n v="6998844"/>
    <s v="123-006-115-012"/>
    <s v="Graphic Designer"/>
    <x v="2"/>
    <d v="2022-01-28T00:00:00"/>
    <s v="Sandra Johnson"/>
    <d v="2022-02-22T00:00:00"/>
    <x v="153"/>
    <m/>
    <x v="0"/>
    <b v="0"/>
    <b v="0"/>
    <b v="0"/>
    <b v="0"/>
    <b v="0"/>
    <b v="0"/>
  </r>
  <r>
    <n v="6998844"/>
    <s v="123-006-115-015"/>
    <s v="Graphic Designer"/>
    <x v="2"/>
    <d v="2023-02-07T00:00:00"/>
    <s v="Patricia Carter"/>
    <d v="2023-02-12T00:00:00"/>
    <x v="504"/>
    <s v="new to org"/>
    <x v="0"/>
    <b v="0"/>
    <b v="0"/>
    <b v="0"/>
    <b v="0"/>
    <b v="0"/>
    <b v="1"/>
  </r>
  <r>
    <n v="1099872"/>
    <s v="123-009-115-008"/>
    <s v="Graphic Designer"/>
    <x v="7"/>
    <d v="2022-04-20T00:00:00"/>
    <s v="Patricia Moore"/>
    <d v="2022-05-01T00:00:00"/>
    <x v="293"/>
    <s v="transfer"/>
    <x v="0"/>
    <b v="0"/>
    <b v="0"/>
    <b v="0"/>
    <b v="1"/>
    <b v="0"/>
    <b v="0"/>
  </r>
  <r>
    <n v="1099872"/>
    <s v="123-009-115-010"/>
    <s v="Graphic Designer"/>
    <x v="7"/>
    <d v="2023-06-08T00:00:00"/>
    <s v="Linda Mitchell"/>
    <d v="2023-07-02T00:00:00"/>
    <x v="96"/>
    <s v="transfer"/>
    <x v="0"/>
    <b v="0"/>
    <b v="0"/>
    <b v="0"/>
    <b v="1"/>
    <b v="0"/>
    <b v="0"/>
  </r>
  <r>
    <n v="9309833"/>
    <s v="123-004-105-006"/>
    <s v="Financial Analyst"/>
    <x v="1"/>
    <d v="2022-01-01T00:00:00"/>
    <s v="Linda Jones"/>
    <d v="2022-01-06T00:00:00"/>
    <x v="266"/>
    <s v="promo"/>
    <x v="0"/>
    <b v="0"/>
    <b v="0"/>
    <b v="0"/>
    <b v="0"/>
    <b v="1"/>
    <b v="0"/>
  </r>
  <r>
    <n v="9115466"/>
    <s v="123-004-106-010"/>
    <s v="Marketing Coordinator"/>
    <x v="1"/>
    <d v="2022-01-23T00:00:00"/>
    <s v="Margaret Martinez"/>
    <d v="2022-01-29T00:00:00"/>
    <x v="197"/>
    <s v="transfer"/>
    <x v="0"/>
    <b v="0"/>
    <b v="0"/>
    <b v="0"/>
    <b v="1"/>
    <b v="0"/>
    <b v="0"/>
  </r>
  <r>
    <n v="9115466"/>
    <s v="123-004-106-011"/>
    <s v="Marketing Coordinator"/>
    <x v="1"/>
    <d v="2022-07-25T00:00:00"/>
    <s v="David Allen"/>
    <d v="2022-08-10T00:00:00"/>
    <x v="105"/>
    <s v="promo"/>
    <x v="0"/>
    <b v="0"/>
    <b v="0"/>
    <b v="0"/>
    <b v="0"/>
    <b v="1"/>
    <b v="0"/>
  </r>
  <r>
    <n v="9115466"/>
    <s v="123-004-106-013"/>
    <s v="Marketing Coordinator"/>
    <x v="1"/>
    <d v="2022-04-20T00:00:00"/>
    <s v="Matthew Hall"/>
    <d v="2022-05-05T00:00:00"/>
    <x v="505"/>
    <m/>
    <x v="0"/>
    <b v="0"/>
    <b v="0"/>
    <b v="0"/>
    <b v="0"/>
    <b v="0"/>
    <b v="0"/>
  </r>
  <r>
    <n v="8127514"/>
    <s v="123-001-105-009"/>
    <s v="Financial Analyst"/>
    <x v="9"/>
    <d v="2022-11-07T00:00:00"/>
    <s v="James Nguyen"/>
    <d v="2022-11-09T00:00:00"/>
    <x v="193"/>
    <m/>
    <x v="0"/>
    <b v="0"/>
    <b v="0"/>
    <b v="0"/>
    <b v="0"/>
    <b v="0"/>
    <b v="0"/>
  </r>
  <r>
    <n v="8127514"/>
    <s v="123-001-105-010"/>
    <s v="Financial Analyst"/>
    <x v="9"/>
    <d v="2022-12-30T00:00:00"/>
    <s v="Robert Collins"/>
    <d v="2023-01-04T00:00:00"/>
    <x v="382"/>
    <m/>
    <x v="0"/>
    <b v="0"/>
    <b v="0"/>
    <b v="0"/>
    <b v="0"/>
    <b v="0"/>
    <b v="0"/>
  </r>
  <r>
    <n v="8127514"/>
    <s v="123-001-105-011"/>
    <s v="Financial Analyst"/>
    <x v="9"/>
    <d v="2022-06-12T00:00:00"/>
    <s v="Sarah Smith"/>
    <d v="2022-06-24T00:00:00"/>
    <x v="489"/>
    <m/>
    <x v="0"/>
    <b v="0"/>
    <b v="0"/>
    <b v="0"/>
    <b v="0"/>
    <b v="0"/>
    <b v="0"/>
  </r>
  <r>
    <n v="9442389"/>
    <s v="123-006-107-002"/>
    <s v="Sales Associate"/>
    <x v="2"/>
    <d v="2022-05-24T00:00:00"/>
    <s v="Sandra Rivera"/>
    <d v="2022-06-02T00:00:00"/>
    <x v="201"/>
    <s v="new to org"/>
    <x v="0"/>
    <b v="0"/>
    <b v="0"/>
    <b v="0"/>
    <b v="0"/>
    <b v="0"/>
    <b v="1"/>
  </r>
  <r>
    <n v="9442389"/>
    <s v="123-006-107-003"/>
    <s v="Sales Associate"/>
    <x v="2"/>
    <d v="2022-03-11T00:00:00"/>
    <s v="Jackson Sanchez"/>
    <d v="2022-04-10T00:00:00"/>
    <x v="236"/>
    <s v="new to org"/>
    <x v="0"/>
    <b v="0"/>
    <b v="0"/>
    <b v="0"/>
    <b v="0"/>
    <b v="0"/>
    <b v="1"/>
  </r>
  <r>
    <n v="9442389"/>
    <s v="123-006-107-004"/>
    <s v="Sales Associate"/>
    <x v="2"/>
    <d v="2022-07-04T00:00:00"/>
    <s v="Donald Hill"/>
    <d v="2022-07-23T00:00:00"/>
    <x v="111"/>
    <m/>
    <x v="0"/>
    <b v="0"/>
    <b v="0"/>
    <b v="0"/>
    <b v="0"/>
    <b v="0"/>
    <b v="0"/>
  </r>
  <r>
    <n v="9442389"/>
    <s v="123-006-107-005"/>
    <s v="Sales Associate"/>
    <x v="2"/>
    <d v="2022-11-28T00:00:00"/>
    <s v="William Hall"/>
    <d v="2022-12-17T00:00:00"/>
    <x v="413"/>
    <s v="new to org"/>
    <x v="0"/>
    <b v="0"/>
    <b v="0"/>
    <b v="0"/>
    <b v="0"/>
    <b v="0"/>
    <b v="1"/>
  </r>
  <r>
    <n v="6840068"/>
    <s v="123-010-119-012"/>
    <s v="Account Manager"/>
    <x v="5"/>
    <d v="2022-04-19T00:00:00"/>
    <s v="Michael Nelson"/>
    <d v="2022-05-05T00:00:00"/>
    <x v="506"/>
    <s v="promo"/>
    <x v="0"/>
    <b v="0"/>
    <b v="0"/>
    <b v="0"/>
    <b v="0"/>
    <b v="1"/>
    <b v="0"/>
  </r>
  <r>
    <n v="6840068"/>
    <s v="123-010-119-013"/>
    <s v="Account Manager"/>
    <x v="5"/>
    <d v="2022-08-31T00:00:00"/>
    <s v="Edward Anderson"/>
    <d v="2022-09-04T00:00:00"/>
    <x v="507"/>
    <s v="new to org"/>
    <x v="0"/>
    <b v="0"/>
    <b v="0"/>
    <b v="0"/>
    <b v="0"/>
    <b v="0"/>
    <b v="1"/>
  </r>
  <r>
    <n v="5202421"/>
    <s v="123-001-104-014"/>
    <s v="HR Specialist"/>
    <x v="9"/>
    <d v="2022-01-31T00:00:00"/>
    <s v="Joshua Green"/>
    <d v="2022-03-02T00:00:00"/>
    <x v="290"/>
    <s v="new to org"/>
    <x v="0"/>
    <b v="0"/>
    <b v="0"/>
    <b v="0"/>
    <b v="0"/>
    <b v="0"/>
    <b v="1"/>
  </r>
  <r>
    <n v="6388157"/>
    <s v="123-008-104-009"/>
    <s v="HR Specialist"/>
    <x v="4"/>
    <d v="2022-04-09T00:00:00"/>
    <s v="Donna Johnson"/>
    <d v="2022-04-16T00:00:00"/>
    <x v="292"/>
    <s v="transfer"/>
    <x v="0"/>
    <b v="0"/>
    <b v="0"/>
    <b v="0"/>
    <b v="1"/>
    <b v="0"/>
    <b v="0"/>
  </r>
  <r>
    <n v="3358248"/>
    <s v="123-001-129-005"/>
    <s v="Supply Chain Manager"/>
    <x v="9"/>
    <d v="2023-06-25T00:00:00"/>
    <s v="Nancy Lopez"/>
    <d v="2023-07-11T00:00:00"/>
    <x v="446"/>
    <s v="transfer"/>
    <x v="0"/>
    <b v="0"/>
    <b v="0"/>
    <b v="0"/>
    <b v="1"/>
    <b v="0"/>
    <b v="0"/>
  </r>
  <r>
    <n v="3358248"/>
    <s v="123-001-129-006"/>
    <s v="Supply Chain Manager"/>
    <x v="9"/>
    <d v="2023-01-01T00:00:00"/>
    <s v="Steven Thompson"/>
    <d v="2023-01-21T00:00:00"/>
    <x v="88"/>
    <m/>
    <x v="0"/>
    <b v="0"/>
    <b v="0"/>
    <b v="0"/>
    <b v="0"/>
    <b v="0"/>
    <b v="0"/>
  </r>
  <r>
    <n v="3358248"/>
    <s v="123-001-129-007"/>
    <s v="Supply Chain Manager"/>
    <x v="9"/>
    <d v="2023-03-26T00:00:00"/>
    <s v="Ethan Jones"/>
    <d v="2023-04-09T00:00:00"/>
    <x v="385"/>
    <s v="promo"/>
    <x v="0"/>
    <b v="0"/>
    <b v="0"/>
    <b v="0"/>
    <b v="0"/>
    <b v="1"/>
    <b v="0"/>
  </r>
  <r>
    <n v="7310216"/>
    <s v="123-002-128-007"/>
    <s v="Payroll Specialist"/>
    <x v="6"/>
    <d v="2023-05-26T00:00:00"/>
    <s v="Michael Davis"/>
    <d v="2023-06-03T00:00:00"/>
    <x v="508"/>
    <s v="new to org"/>
    <x v="0"/>
    <b v="0"/>
    <b v="0"/>
    <b v="0"/>
    <b v="0"/>
    <b v="0"/>
    <b v="1"/>
  </r>
  <r>
    <n v="7310216"/>
    <s v="123-002-128-008"/>
    <s v="Payroll Specialist"/>
    <x v="6"/>
    <d v="2022-10-24T00:00:00"/>
    <s v="Mary Anderson"/>
    <d v="2022-11-23T00:00:00"/>
    <x v="388"/>
    <s v="new to org"/>
    <x v="0"/>
    <b v="0"/>
    <b v="0"/>
    <b v="0"/>
    <b v="0"/>
    <b v="0"/>
    <b v="1"/>
  </r>
  <r>
    <n v="7310216"/>
    <s v="123-002-128-010"/>
    <s v="Payroll Specialist"/>
    <x v="6"/>
    <d v="2022-09-05T00:00:00"/>
    <s v="John Wright"/>
    <d v="2022-10-03T00:00:00"/>
    <x v="509"/>
    <s v="new to org"/>
    <x v="0"/>
    <b v="0"/>
    <b v="0"/>
    <b v="0"/>
    <b v="0"/>
    <b v="0"/>
    <b v="1"/>
  </r>
  <r>
    <n v="7697794"/>
    <s v="123-001-120-008"/>
    <s v="Executive Assistant"/>
    <x v="9"/>
    <d v="2022-09-27T00:00:00"/>
    <s v="Donna Walker"/>
    <d v="2022-10-18T00:00:00"/>
    <x v="358"/>
    <s v="transfer"/>
    <x v="0"/>
    <b v="0"/>
    <b v="0"/>
    <b v="0"/>
    <b v="1"/>
    <b v="0"/>
    <b v="0"/>
  </r>
  <r>
    <n v="7697794"/>
    <s v="123-001-120-010"/>
    <s v="Executive Assistant"/>
    <x v="9"/>
    <d v="2022-12-04T00:00:00"/>
    <s v="William Wilson"/>
    <d v="2023-01-03T00:00:00"/>
    <x v="128"/>
    <s v="transfer"/>
    <x v="0"/>
    <b v="0"/>
    <b v="0"/>
    <b v="0"/>
    <b v="1"/>
    <b v="0"/>
    <b v="0"/>
  </r>
  <r>
    <n v="7697794"/>
    <s v="123-001-120-011"/>
    <s v="Executive Assistant"/>
    <x v="9"/>
    <d v="2022-03-16T00:00:00"/>
    <s v="Jessica Young"/>
    <d v="2022-04-11T00:00:00"/>
    <x v="361"/>
    <s v="transfer"/>
    <x v="0"/>
    <b v="0"/>
    <b v="0"/>
    <b v="0"/>
    <b v="1"/>
    <b v="0"/>
    <b v="0"/>
  </r>
  <r>
    <n v="7697794"/>
    <s v="123-001-120-012"/>
    <s v="Executive Assistant"/>
    <x v="9"/>
    <d v="2023-03-03T00:00:00"/>
    <s v="Daniel Jones"/>
    <d v="2023-03-23T00:00:00"/>
    <x v="57"/>
    <s v="transfer"/>
    <x v="0"/>
    <b v="0"/>
    <b v="0"/>
    <b v="0"/>
    <b v="1"/>
    <b v="0"/>
    <b v="0"/>
  </r>
  <r>
    <n v="2352134"/>
    <s v="123-009-129-013"/>
    <s v="Supply Chain Manager"/>
    <x v="7"/>
    <d v="2022-04-17T00:00:00"/>
    <s v="George Williams"/>
    <d v="2022-04-19T00:00:00"/>
    <x v="28"/>
    <s v="new to org"/>
    <x v="0"/>
    <b v="0"/>
    <b v="0"/>
    <b v="0"/>
    <b v="0"/>
    <b v="0"/>
    <b v="1"/>
  </r>
  <r>
    <n v="2352134"/>
    <s v="123-009-129-014"/>
    <s v="Supply Chain Manager"/>
    <x v="7"/>
    <d v="2022-11-07T00:00:00"/>
    <s v="Margaret Walker"/>
    <d v="2022-12-03T00:00:00"/>
    <x v="403"/>
    <s v="new to org"/>
    <x v="0"/>
    <b v="0"/>
    <b v="0"/>
    <b v="0"/>
    <b v="0"/>
    <b v="0"/>
    <b v="1"/>
  </r>
  <r>
    <n v="2352134"/>
    <s v="123-009-129-015"/>
    <s v="Supply Chain Manager"/>
    <x v="7"/>
    <d v="2022-01-27T00:00:00"/>
    <s v="Mary Brown"/>
    <d v="2022-02-21T00:00:00"/>
    <x v="455"/>
    <s v="promo"/>
    <x v="0"/>
    <b v="0"/>
    <b v="0"/>
    <b v="0"/>
    <b v="0"/>
    <b v="1"/>
    <b v="0"/>
  </r>
  <r>
    <n v="2352134"/>
    <s v="123-009-129-016"/>
    <s v="Supply Chain Manager"/>
    <x v="7"/>
    <d v="2022-01-19T00:00:00"/>
    <s v="Amanda Baker"/>
    <d v="2022-02-06T00:00:00"/>
    <x v="282"/>
    <m/>
    <x v="0"/>
    <b v="0"/>
    <b v="0"/>
    <b v="0"/>
    <b v="0"/>
    <b v="0"/>
    <b v="0"/>
  </r>
  <r>
    <n v="1874771"/>
    <s v="123-007-113-015"/>
    <s v="Operations Supervisor"/>
    <x v="3"/>
    <d v="2022-04-29T00:00:00"/>
    <s v="Emily Rodriguez"/>
    <d v="2022-05-14T00:00:00"/>
    <x v="99"/>
    <m/>
    <x v="0"/>
    <b v="0"/>
    <b v="0"/>
    <b v="0"/>
    <b v="0"/>
    <b v="0"/>
    <b v="0"/>
  </r>
  <r>
    <n v="1874771"/>
    <s v="123-007-113-016"/>
    <s v="Operations Supervisor"/>
    <x v="3"/>
    <d v="2022-12-18T00:00:00"/>
    <s v="Daniel Gonzalez"/>
    <d v="2023-01-01T00:00:00"/>
    <x v="302"/>
    <s v="new to org"/>
    <x v="0"/>
    <b v="0"/>
    <b v="0"/>
    <b v="0"/>
    <b v="0"/>
    <b v="0"/>
    <b v="1"/>
  </r>
  <r>
    <n v="1971778"/>
    <s v="123-004-108-010"/>
    <s v="Customer Support Rep"/>
    <x v="1"/>
    <d v="2022-02-16T00:00:00"/>
    <s v="Anthony Mitchell"/>
    <d v="2022-03-14T00:00:00"/>
    <x v="337"/>
    <s v="promo"/>
    <x v="0"/>
    <b v="0"/>
    <b v="0"/>
    <b v="0"/>
    <b v="0"/>
    <b v="1"/>
    <b v="0"/>
  </r>
  <r>
    <n v="3176277"/>
    <s v="123-007-120-004"/>
    <s v="Executive Assistant"/>
    <x v="3"/>
    <d v="2022-07-30T00:00:00"/>
    <s v="John Taylor"/>
    <d v="2022-08-15T00:00:00"/>
    <x v="510"/>
    <s v="transfer"/>
    <x v="0"/>
    <b v="0"/>
    <b v="0"/>
    <b v="0"/>
    <b v="1"/>
    <b v="0"/>
    <b v="0"/>
  </r>
  <r>
    <n v="3176277"/>
    <s v="123-007-120-005"/>
    <s v="Executive Assistant"/>
    <x v="3"/>
    <d v="2022-08-14T00:00:00"/>
    <s v="Lucas Collins"/>
    <d v="2022-08-29T00:00:00"/>
    <x v="119"/>
    <s v="new to org"/>
    <x v="0"/>
    <b v="0"/>
    <b v="0"/>
    <b v="0"/>
    <b v="0"/>
    <b v="0"/>
    <b v="1"/>
  </r>
  <r>
    <n v="3176277"/>
    <s v="123-007-120-006"/>
    <s v="Executive Assistant"/>
    <x v="3"/>
    <d v="2022-10-27T00:00:00"/>
    <s v="Deborah Scott"/>
    <d v="2022-11-24T00:00:00"/>
    <x v="511"/>
    <s v="new to org"/>
    <x v="0"/>
    <b v="0"/>
    <b v="0"/>
    <b v="0"/>
    <b v="0"/>
    <b v="0"/>
    <b v="1"/>
  </r>
  <r>
    <n v="9446412"/>
    <s v="123-001-104-015"/>
    <s v="HR Specialist"/>
    <x v="9"/>
    <d v="2022-07-28T00:00:00"/>
    <s v="Sarah Garcia"/>
    <d v="2022-08-27T00:00:00"/>
    <x v="466"/>
    <m/>
    <x v="0"/>
    <b v="0"/>
    <b v="0"/>
    <b v="0"/>
    <b v="0"/>
    <b v="0"/>
    <b v="0"/>
  </r>
  <r>
    <n v="9446412"/>
    <s v="123-001-104-016"/>
    <s v="HR Specialist"/>
    <x v="9"/>
    <d v="2022-08-04T00:00:00"/>
    <s v="Karen Mitchell"/>
    <d v="2022-08-08T00:00:00"/>
    <x v="307"/>
    <s v="promo"/>
    <x v="0"/>
    <b v="0"/>
    <b v="0"/>
    <b v="0"/>
    <b v="0"/>
    <b v="1"/>
    <b v="0"/>
  </r>
  <r>
    <n v="9446412"/>
    <s v="123-001-104-017"/>
    <s v="HR Specialist"/>
    <x v="9"/>
    <d v="2023-03-27T00:00:00"/>
    <s v="Robert Thomas"/>
    <d v="2023-04-17T00:00:00"/>
    <x v="224"/>
    <s v="promo"/>
    <x v="0"/>
    <b v="0"/>
    <b v="0"/>
    <b v="0"/>
    <b v="0"/>
    <b v="1"/>
    <b v="0"/>
  </r>
  <r>
    <n v="8612879"/>
    <s v="123-001-104-018"/>
    <s v="HR Specialist"/>
    <x v="9"/>
    <d v="2023-01-29T00:00:00"/>
    <s v="Sarah Nguyen"/>
    <d v="2023-02-08T00:00:00"/>
    <x v="372"/>
    <s v="new to org"/>
    <x v="0"/>
    <b v="0"/>
    <b v="0"/>
    <b v="0"/>
    <b v="0"/>
    <b v="0"/>
    <b v="1"/>
  </r>
  <r>
    <n v="8612879"/>
    <s v="123-001-104-019"/>
    <s v="HR Specialist"/>
    <x v="9"/>
    <d v="2023-01-29T00:00:00"/>
    <s v="Sarah Diaz"/>
    <d v="2023-02-14T00:00:00"/>
    <x v="481"/>
    <s v="transfer"/>
    <x v="0"/>
    <b v="0"/>
    <b v="0"/>
    <b v="0"/>
    <b v="1"/>
    <b v="0"/>
    <b v="0"/>
  </r>
  <r>
    <n v="8612879"/>
    <s v="123-001-104-020"/>
    <s v="HR Specialist"/>
    <x v="9"/>
    <d v="2022-08-18T00:00:00"/>
    <s v="Mark Williams"/>
    <d v="2022-08-25T00:00:00"/>
    <x v="76"/>
    <m/>
    <x v="0"/>
    <b v="0"/>
    <b v="0"/>
    <b v="0"/>
    <b v="0"/>
    <b v="0"/>
    <b v="0"/>
  </r>
  <r>
    <n v="6119535"/>
    <s v="123-009-102-001"/>
    <s v="Data Scientist"/>
    <x v="7"/>
    <d v="2022-09-26T00:00:00"/>
    <s v="Jackson Turner"/>
    <d v="2022-10-22T00:00:00"/>
    <x v="27"/>
    <s v="new to org"/>
    <x v="0"/>
    <b v="0"/>
    <b v="0"/>
    <b v="0"/>
    <b v="0"/>
    <b v="0"/>
    <b v="1"/>
  </r>
  <r>
    <n v="6119535"/>
    <s v="123-009-102-002"/>
    <s v="Data Scientist"/>
    <x v="7"/>
    <d v="2023-03-21T00:00:00"/>
    <s v="Nancy Campbell"/>
    <d v="2023-04-18T00:00:00"/>
    <x v="233"/>
    <s v="transfer"/>
    <x v="0"/>
    <b v="0"/>
    <b v="0"/>
    <b v="0"/>
    <b v="1"/>
    <b v="0"/>
    <b v="0"/>
  </r>
  <r>
    <n v="6119535"/>
    <s v="123-009-102-003"/>
    <s v="Data Scientist"/>
    <x v="7"/>
    <d v="2023-02-02T00:00:00"/>
    <s v="Ethan Miller"/>
    <d v="2023-02-26T00:00:00"/>
    <x v="234"/>
    <s v="transfer"/>
    <x v="0"/>
    <b v="0"/>
    <b v="0"/>
    <b v="0"/>
    <b v="1"/>
    <b v="0"/>
    <b v="0"/>
  </r>
  <r>
    <n v="5822081"/>
    <s v="123-009-128-001"/>
    <s v="Payroll Specialist"/>
    <x v="7"/>
    <d v="2023-04-24T00:00:00"/>
    <s v="David Harris"/>
    <d v="2023-05-18T00:00:00"/>
    <x v="78"/>
    <s v="new to org"/>
    <x v="0"/>
    <b v="0"/>
    <b v="0"/>
    <b v="0"/>
    <b v="0"/>
    <b v="0"/>
    <b v="1"/>
  </r>
  <r>
    <n v="5822081"/>
    <s v="123-009-128-003"/>
    <s v="Payroll Specialist"/>
    <x v="7"/>
    <d v="2022-10-30T00:00:00"/>
    <s v="Jennifer Thomas"/>
    <d v="2022-11-10T00:00:00"/>
    <x v="380"/>
    <s v="new to org"/>
    <x v="0"/>
    <b v="0"/>
    <b v="0"/>
    <b v="0"/>
    <b v="0"/>
    <b v="0"/>
    <b v="1"/>
  </r>
  <r>
    <n v="5822081"/>
    <s v="123-009-128-004"/>
    <s v="Payroll Specialist"/>
    <x v="7"/>
    <d v="2022-09-14T00:00:00"/>
    <s v="Lisa Moore"/>
    <d v="2022-10-10T00:00:00"/>
    <x v="170"/>
    <s v="new to org"/>
    <x v="0"/>
    <b v="0"/>
    <b v="0"/>
    <b v="0"/>
    <b v="0"/>
    <b v="0"/>
    <b v="1"/>
  </r>
  <r>
    <n v="1207016"/>
    <s v="123-005-104-011"/>
    <s v="HR Specialist"/>
    <x v="0"/>
    <d v="2023-03-31T00:00:00"/>
    <s v="Mia Lopez"/>
    <d v="2023-04-15T00:00:00"/>
    <x v="473"/>
    <s v="new to org"/>
    <x v="0"/>
    <b v="0"/>
    <b v="0"/>
    <b v="0"/>
    <b v="0"/>
    <b v="0"/>
    <b v="1"/>
  </r>
  <r>
    <n v="1207016"/>
    <s v="123-005-104-012"/>
    <s v="HR Specialist"/>
    <x v="0"/>
    <d v="2023-05-07T00:00:00"/>
    <s v="Robert Thompson"/>
    <d v="2023-05-28T00:00:00"/>
    <x v="179"/>
    <m/>
    <x v="0"/>
    <b v="0"/>
    <b v="0"/>
    <b v="0"/>
    <b v="0"/>
    <b v="0"/>
    <b v="0"/>
  </r>
  <r>
    <n v="1207016"/>
    <s v="123-005-104-013"/>
    <s v="HR Specialist"/>
    <x v="0"/>
    <d v="2022-03-23T00:00:00"/>
    <s v="Patricia Nguyen"/>
    <d v="2022-04-01T00:00:00"/>
    <x v="357"/>
    <m/>
    <x v="0"/>
    <b v="0"/>
    <b v="0"/>
    <b v="0"/>
    <b v="0"/>
    <b v="0"/>
    <b v="0"/>
  </r>
  <r>
    <n v="1207016"/>
    <s v="123-005-104-014"/>
    <s v="HR Specialist"/>
    <x v="0"/>
    <d v="2022-07-04T00:00:00"/>
    <s v="John Lewis"/>
    <d v="2022-07-13T00:00:00"/>
    <x v="307"/>
    <s v="new to org"/>
    <x v="0"/>
    <b v="0"/>
    <b v="0"/>
    <b v="0"/>
    <b v="0"/>
    <b v="0"/>
    <b v="1"/>
  </r>
  <r>
    <n v="1207016"/>
    <s v="123-005-104-015"/>
    <s v="HR Specialist"/>
    <x v="0"/>
    <d v="2022-05-11T00:00:00"/>
    <s v="Logan Young"/>
    <d v="2022-05-19T00:00:00"/>
    <x v="267"/>
    <s v="new to org"/>
    <x v="0"/>
    <b v="0"/>
    <b v="0"/>
    <b v="0"/>
    <b v="0"/>
    <b v="0"/>
    <b v="1"/>
  </r>
  <r>
    <n v="9501337"/>
    <s v="123-008-128-008"/>
    <s v="Payroll Specialist"/>
    <x v="4"/>
    <d v="2022-12-28T00:00:00"/>
    <s v="Thomas Johnson"/>
    <d v="2023-01-15T00:00:00"/>
    <x v="512"/>
    <s v="new to org"/>
    <x v="0"/>
    <b v="0"/>
    <b v="0"/>
    <b v="0"/>
    <b v="0"/>
    <b v="0"/>
    <b v="1"/>
  </r>
  <r>
    <n v="9501337"/>
    <s v="123-008-128-010"/>
    <s v="Payroll Specialist"/>
    <x v="4"/>
    <d v="2022-08-31T00:00:00"/>
    <s v="Steven Jones"/>
    <d v="2022-09-07T00:00:00"/>
    <x v="513"/>
    <s v="transfer"/>
    <x v="0"/>
    <b v="0"/>
    <b v="0"/>
    <b v="0"/>
    <b v="1"/>
    <b v="0"/>
    <b v="0"/>
  </r>
  <r>
    <n v="9501337"/>
    <s v="123-008-128-011"/>
    <s v="Payroll Specialist"/>
    <x v="4"/>
    <d v="2023-03-13T00:00:00"/>
    <s v="John Adams"/>
    <d v="2023-04-11T00:00:00"/>
    <x v="34"/>
    <m/>
    <x v="0"/>
    <b v="0"/>
    <b v="0"/>
    <b v="0"/>
    <b v="0"/>
    <b v="0"/>
    <b v="0"/>
  </r>
  <r>
    <n v="3400475"/>
    <s v="123-006-101-003"/>
    <s v="Software Engineer"/>
    <x v="2"/>
    <d v="2023-01-19T00:00:00"/>
    <s v="Anthony Edwards"/>
    <d v="2023-02-04T00:00:00"/>
    <x v="250"/>
    <s v="new to org"/>
    <x v="0"/>
    <b v="0"/>
    <b v="0"/>
    <b v="0"/>
    <b v="0"/>
    <b v="0"/>
    <b v="1"/>
  </r>
  <r>
    <n v="3400475"/>
    <s v="123-006-101-004"/>
    <s v="Software Engineer"/>
    <x v="2"/>
    <d v="2022-10-25T00:00:00"/>
    <s v="Lisa Williams"/>
    <d v="2022-11-24T00:00:00"/>
    <x v="90"/>
    <s v="promo"/>
    <x v="0"/>
    <b v="0"/>
    <b v="0"/>
    <b v="0"/>
    <b v="0"/>
    <b v="1"/>
    <b v="0"/>
  </r>
  <r>
    <n v="3400475"/>
    <s v="123-006-101-005"/>
    <s v="Software Engineer"/>
    <x v="2"/>
    <d v="2022-08-05T00:00:00"/>
    <s v="Michael Hill"/>
    <d v="2022-08-31T00:00:00"/>
    <x v="377"/>
    <s v="transfer"/>
    <x v="0"/>
    <b v="0"/>
    <b v="0"/>
    <b v="0"/>
    <b v="1"/>
    <b v="0"/>
    <b v="0"/>
  </r>
  <r>
    <n v="3400475"/>
    <s v="123-006-101-006"/>
    <s v="Software Engineer"/>
    <x v="2"/>
    <d v="2023-01-23T00:00:00"/>
    <s v="Charlotte Wilson"/>
    <d v="2023-02-19T00:00:00"/>
    <x v="144"/>
    <s v="new to org"/>
    <x v="0"/>
    <b v="0"/>
    <b v="0"/>
    <b v="0"/>
    <b v="0"/>
    <b v="0"/>
    <b v="1"/>
  </r>
  <r>
    <n v="2316088"/>
    <s v="123-004-103-007"/>
    <s v="Project Manager"/>
    <x v="1"/>
    <d v="2022-05-05T00:00:00"/>
    <s v="Paul Campbell"/>
    <d v="2022-06-02T00:00:00"/>
    <x v="41"/>
    <m/>
    <x v="0"/>
    <b v="0"/>
    <b v="0"/>
    <b v="0"/>
    <b v="0"/>
    <b v="0"/>
    <b v="0"/>
  </r>
  <r>
    <n v="2316088"/>
    <s v="123-004-103-008"/>
    <s v="Project Manager"/>
    <x v="1"/>
    <d v="2023-06-22T00:00:00"/>
    <s v="Joshua Walker"/>
    <d v="2023-07-09T00:00:00"/>
    <x v="67"/>
    <s v="transfer"/>
    <x v="0"/>
    <b v="0"/>
    <b v="0"/>
    <b v="0"/>
    <b v="1"/>
    <b v="0"/>
    <b v="0"/>
  </r>
  <r>
    <n v="2316088"/>
    <s v="123-004-103-009"/>
    <s v="Project Manager"/>
    <x v="1"/>
    <d v="2022-10-28T00:00:00"/>
    <s v="Mason Torres"/>
    <d v="2022-11-27T00:00:00"/>
    <x v="253"/>
    <s v="promo"/>
    <x v="0"/>
    <b v="0"/>
    <b v="0"/>
    <b v="0"/>
    <b v="0"/>
    <b v="1"/>
    <b v="0"/>
  </r>
  <r>
    <n v="2316088"/>
    <s v="123-004-103-010"/>
    <s v="Project Manager"/>
    <x v="1"/>
    <d v="2022-11-19T00:00:00"/>
    <s v="Joseph Robinson"/>
    <d v="2022-12-13T00:00:00"/>
    <x v="193"/>
    <s v="new to org"/>
    <x v="0"/>
    <b v="0"/>
    <b v="0"/>
    <b v="0"/>
    <b v="0"/>
    <b v="0"/>
    <b v="1"/>
  </r>
  <r>
    <n v="2316088"/>
    <s v="123-004-103-011"/>
    <s v="Project Manager"/>
    <x v="1"/>
    <d v="2023-02-24T00:00:00"/>
    <s v="George Cruz"/>
    <d v="2023-03-08T00:00:00"/>
    <x v="453"/>
    <m/>
    <x v="0"/>
    <b v="0"/>
    <b v="0"/>
    <b v="0"/>
    <b v="0"/>
    <b v="0"/>
    <b v="0"/>
  </r>
  <r>
    <n v="6905321"/>
    <s v="123-009-118-010"/>
    <s v="Network Engineer"/>
    <x v="7"/>
    <d v="2023-04-05T00:00:00"/>
    <s v="Joshua Anderson"/>
    <d v="2023-05-01T00:00:00"/>
    <x v="320"/>
    <m/>
    <x v="0"/>
    <b v="0"/>
    <b v="0"/>
    <b v="0"/>
    <b v="0"/>
    <b v="0"/>
    <b v="0"/>
  </r>
  <r>
    <n v="4854788"/>
    <s v="123-003-119-004"/>
    <s v="Account Manager"/>
    <x v="8"/>
    <d v="2022-07-22T00:00:00"/>
    <s v="Andrew Young"/>
    <d v="2022-08-20T00:00:00"/>
    <x v="307"/>
    <s v="promo"/>
    <x v="0"/>
    <b v="0"/>
    <b v="0"/>
    <b v="0"/>
    <b v="0"/>
    <b v="1"/>
    <b v="0"/>
  </r>
  <r>
    <n v="4854788"/>
    <s v="123-003-119-005"/>
    <s v="Account Manager"/>
    <x v="8"/>
    <d v="2023-03-05T00:00:00"/>
    <s v="David Davis"/>
    <d v="2023-03-14T00:00:00"/>
    <x v="103"/>
    <s v="transfer"/>
    <x v="0"/>
    <b v="0"/>
    <b v="0"/>
    <b v="0"/>
    <b v="1"/>
    <b v="0"/>
    <b v="0"/>
  </r>
  <r>
    <n v="2694421"/>
    <s v="123-001-105-014"/>
    <s v="Financial Analyst"/>
    <x v="9"/>
    <d v="2022-12-29T00:00:00"/>
    <s v="Lucas Ramirez"/>
    <d v="2023-01-03T00:00:00"/>
    <x v="139"/>
    <m/>
    <x v="0"/>
    <b v="0"/>
    <b v="0"/>
    <b v="0"/>
    <b v="0"/>
    <b v="0"/>
    <b v="0"/>
  </r>
  <r>
    <n v="2694421"/>
    <s v="123-001-105-015"/>
    <s v="Financial Analyst"/>
    <x v="9"/>
    <d v="2022-05-02T00:00:00"/>
    <s v="Dorothy Jackson"/>
    <d v="2022-05-13T00:00:00"/>
    <x v="8"/>
    <s v="promo"/>
    <x v="0"/>
    <b v="0"/>
    <b v="0"/>
    <b v="0"/>
    <b v="0"/>
    <b v="1"/>
    <b v="0"/>
  </r>
  <r>
    <n v="2808110"/>
    <s v="123-001-124-003"/>
    <s v="Compliance Officer"/>
    <x v="9"/>
    <d v="2023-02-23T00:00:00"/>
    <s v="Charlotte Lewis"/>
    <d v="2023-03-16T00:00:00"/>
    <x v="477"/>
    <s v="new to org"/>
    <x v="0"/>
    <b v="0"/>
    <b v="0"/>
    <b v="0"/>
    <b v="0"/>
    <b v="0"/>
    <b v="1"/>
  </r>
  <r>
    <n v="8309667"/>
    <s v="123-008-110-014"/>
    <s v="Legal Advisor"/>
    <x v="4"/>
    <d v="2022-01-08T00:00:00"/>
    <s v="Elizabeth Edwards"/>
    <d v="2022-01-27T00:00:00"/>
    <x v="112"/>
    <s v="transfer"/>
    <x v="0"/>
    <b v="0"/>
    <b v="0"/>
    <b v="0"/>
    <b v="1"/>
    <b v="0"/>
    <b v="0"/>
  </r>
  <r>
    <n v="8309667"/>
    <s v="123-008-110-015"/>
    <s v="Legal Advisor"/>
    <x v="4"/>
    <d v="2023-03-26T00:00:00"/>
    <s v="Matthew Lee"/>
    <d v="2023-04-01T00:00:00"/>
    <x v="270"/>
    <m/>
    <x v="0"/>
    <b v="0"/>
    <b v="0"/>
    <b v="0"/>
    <b v="0"/>
    <b v="0"/>
    <b v="0"/>
  </r>
  <r>
    <n v="5685869"/>
    <s v="123-002-125-013"/>
    <s v="Security Analyst"/>
    <x v="6"/>
    <d v="2023-01-29T00:00:00"/>
    <s v="Charles Lee"/>
    <d v="2023-02-09T00:00:00"/>
    <x v="66"/>
    <m/>
    <x v="0"/>
    <b v="0"/>
    <b v="0"/>
    <b v="0"/>
    <b v="0"/>
    <b v="0"/>
    <b v="0"/>
  </r>
  <r>
    <n v="3993320"/>
    <s v="123-001-105-016"/>
    <s v="Financial Analyst"/>
    <x v="9"/>
    <d v="2022-11-18T00:00:00"/>
    <s v="Andrew Cruz"/>
    <d v="2022-11-22T00:00:00"/>
    <x v="37"/>
    <s v="new to org"/>
    <x v="0"/>
    <b v="0"/>
    <b v="0"/>
    <b v="0"/>
    <b v="0"/>
    <b v="0"/>
    <b v="1"/>
  </r>
  <r>
    <n v="8363801"/>
    <s v="123-003-108-007"/>
    <s v="Customer Support Rep"/>
    <x v="8"/>
    <d v="2022-04-19T00:00:00"/>
    <s v="Joshua Carter"/>
    <d v="2022-05-19T00:00:00"/>
    <x v="236"/>
    <s v="new to org"/>
    <x v="0"/>
    <b v="0"/>
    <b v="0"/>
    <b v="0"/>
    <b v="0"/>
    <b v="0"/>
    <b v="1"/>
  </r>
  <r>
    <n v="8363801"/>
    <s v="123-003-108-008"/>
    <s v="Customer Support Rep"/>
    <x v="8"/>
    <d v="2023-06-05T00:00:00"/>
    <s v="Michael Wilson"/>
    <d v="2023-06-30T00:00:00"/>
    <x v="118"/>
    <s v="promo"/>
    <x v="0"/>
    <b v="0"/>
    <b v="0"/>
    <b v="0"/>
    <b v="0"/>
    <b v="1"/>
    <b v="0"/>
  </r>
  <r>
    <n v="9193420"/>
    <s v="123-001-127-011"/>
    <s v="Training Coordinator"/>
    <x v="9"/>
    <d v="2022-10-30T00:00:00"/>
    <s v="Mason Robinson"/>
    <d v="2022-11-29T00:00:00"/>
    <x v="63"/>
    <s v="promo"/>
    <x v="0"/>
    <b v="0"/>
    <b v="0"/>
    <b v="0"/>
    <b v="0"/>
    <b v="1"/>
    <b v="0"/>
  </r>
  <r>
    <n v="9193420"/>
    <s v="123-001-127-012"/>
    <s v="Training Coordinator"/>
    <x v="9"/>
    <d v="2023-03-19T00:00:00"/>
    <s v="Mark Cruz"/>
    <d v="2023-04-04T00:00:00"/>
    <x v="514"/>
    <s v="transfer"/>
    <x v="0"/>
    <b v="0"/>
    <b v="0"/>
    <b v="0"/>
    <b v="1"/>
    <b v="0"/>
    <b v="0"/>
  </r>
  <r>
    <n v="2457333"/>
    <s v="123-003-128-008"/>
    <s v="Payroll Specialist"/>
    <x v="8"/>
    <d v="2022-03-22T00:00:00"/>
    <s v="Daniel Phillips"/>
    <d v="2022-04-15T00:00:00"/>
    <x v="394"/>
    <s v="transfer"/>
    <x v="0"/>
    <b v="0"/>
    <b v="0"/>
    <b v="0"/>
    <b v="1"/>
    <b v="0"/>
    <b v="0"/>
  </r>
  <r>
    <n v="2457333"/>
    <s v="123-003-128-010"/>
    <s v="Payroll Specialist"/>
    <x v="8"/>
    <d v="2023-06-10T00:00:00"/>
    <s v="Kenneth Mitchell"/>
    <d v="2023-07-02T00:00:00"/>
    <x v="515"/>
    <m/>
    <x v="0"/>
    <b v="0"/>
    <b v="0"/>
    <b v="0"/>
    <b v="0"/>
    <b v="0"/>
    <b v="0"/>
  </r>
  <r>
    <n v="2242998"/>
    <s v="123-006-123-009"/>
    <s v="Data Engineer"/>
    <x v="2"/>
    <d v="2022-02-06T00:00:00"/>
    <s v="Richard Turner"/>
    <d v="2022-02-27T00:00:00"/>
    <x v="24"/>
    <s v="new to org"/>
    <x v="0"/>
    <b v="0"/>
    <b v="0"/>
    <b v="0"/>
    <b v="0"/>
    <b v="0"/>
    <b v="1"/>
  </r>
  <r>
    <n v="1133724"/>
    <s v="123-003-108-011"/>
    <s v="Customer Support Rep"/>
    <x v="8"/>
    <d v="2023-05-24T00:00:00"/>
    <s v="Isabella Lopez"/>
    <d v="2023-06-03T00:00:00"/>
    <x v="21"/>
    <m/>
    <x v="0"/>
    <b v="0"/>
    <b v="0"/>
    <b v="0"/>
    <b v="0"/>
    <b v="0"/>
    <b v="0"/>
  </r>
  <r>
    <n v="1133724"/>
    <s v="123-003-108-013"/>
    <s v="Customer Support Rep"/>
    <x v="8"/>
    <d v="2022-03-10T00:00:00"/>
    <s v="James Ramirez"/>
    <d v="2022-03-26T00:00:00"/>
    <x v="516"/>
    <s v="promo"/>
    <x v="0"/>
    <b v="0"/>
    <b v="0"/>
    <b v="0"/>
    <b v="0"/>
    <b v="1"/>
    <b v="0"/>
  </r>
  <r>
    <n v="1133724"/>
    <s v="123-003-108-014"/>
    <s v="Customer Support Rep"/>
    <x v="8"/>
    <d v="2022-09-27T00:00:00"/>
    <s v="Robert Clark"/>
    <d v="2022-10-17T00:00:00"/>
    <x v="23"/>
    <s v="promo"/>
    <x v="0"/>
    <b v="0"/>
    <b v="0"/>
    <b v="0"/>
    <b v="0"/>
    <b v="1"/>
    <b v="0"/>
  </r>
  <r>
    <n v="4937877"/>
    <s v="123-006-121-007"/>
    <s v="UX Designer"/>
    <x v="2"/>
    <d v="2022-08-26T00:00:00"/>
    <s v="Olivia Martin"/>
    <d v="2022-09-24T00:00:00"/>
    <x v="354"/>
    <s v="promo"/>
    <x v="0"/>
    <b v="0"/>
    <b v="0"/>
    <b v="0"/>
    <b v="0"/>
    <b v="1"/>
    <b v="0"/>
  </r>
  <r>
    <n v="4937877"/>
    <s v="123-006-121-008"/>
    <s v="UX Designer"/>
    <x v="2"/>
    <d v="2023-02-06T00:00:00"/>
    <s v="Sophia Green"/>
    <d v="2023-02-26T00:00:00"/>
    <x v="165"/>
    <m/>
    <x v="0"/>
    <b v="0"/>
    <b v="0"/>
    <b v="0"/>
    <b v="0"/>
    <b v="0"/>
    <b v="0"/>
  </r>
  <r>
    <n v="4937877"/>
    <s v="123-006-121-009"/>
    <s v="UX Designer"/>
    <x v="2"/>
    <d v="2022-04-26T00:00:00"/>
    <s v="Michael Anderson"/>
    <d v="2022-05-25T00:00:00"/>
    <x v="142"/>
    <s v="new to org"/>
    <x v="0"/>
    <b v="0"/>
    <b v="0"/>
    <b v="0"/>
    <b v="0"/>
    <b v="0"/>
    <b v="1"/>
  </r>
  <r>
    <n v="4937877"/>
    <s v="123-006-121-010"/>
    <s v="UX Designer"/>
    <x v="2"/>
    <d v="2022-11-30T00:00:00"/>
    <s v="Anthony Lewis"/>
    <d v="2022-12-08T00:00:00"/>
    <x v="114"/>
    <s v="new to org"/>
    <x v="0"/>
    <b v="0"/>
    <b v="0"/>
    <b v="0"/>
    <b v="0"/>
    <b v="0"/>
    <b v="1"/>
  </r>
  <r>
    <n v="8128056"/>
    <s v="123-003-104-001"/>
    <s v="HR Specialist"/>
    <x v="8"/>
    <d v="2023-02-12T00:00:00"/>
    <s v="Daniel Hall"/>
    <d v="2023-03-07T00:00:00"/>
    <x v="314"/>
    <s v="transfer"/>
    <x v="0"/>
    <b v="0"/>
    <b v="0"/>
    <b v="0"/>
    <b v="1"/>
    <b v="0"/>
    <b v="0"/>
  </r>
  <r>
    <n v="8128056"/>
    <s v="123-003-104-002"/>
    <s v="HR Specialist"/>
    <x v="8"/>
    <d v="2023-05-16T00:00:00"/>
    <s v="Mason Phillips"/>
    <d v="2023-06-05T00:00:00"/>
    <x v="331"/>
    <m/>
    <x v="0"/>
    <b v="0"/>
    <b v="0"/>
    <b v="0"/>
    <b v="0"/>
    <b v="0"/>
    <b v="0"/>
  </r>
  <r>
    <n v="8128056"/>
    <s v="123-003-104-003"/>
    <s v="HR Specialist"/>
    <x v="8"/>
    <d v="2023-06-04T00:00:00"/>
    <s v="Charles Moore"/>
    <d v="2023-06-11T00:00:00"/>
    <x v="67"/>
    <s v="transfer"/>
    <x v="0"/>
    <b v="0"/>
    <b v="0"/>
    <b v="0"/>
    <b v="1"/>
    <b v="0"/>
    <b v="0"/>
  </r>
  <r>
    <n v="8128056"/>
    <s v="123-003-104-004"/>
    <s v="HR Specialist"/>
    <x v="8"/>
    <d v="2022-11-27T00:00:00"/>
    <s v="Patricia Scott"/>
    <d v="2022-12-06T00:00:00"/>
    <x v="260"/>
    <m/>
    <x v="0"/>
    <b v="0"/>
    <b v="0"/>
    <b v="0"/>
    <b v="0"/>
    <b v="0"/>
    <b v="0"/>
  </r>
  <r>
    <n v="6328751"/>
    <s v="123-007-114-002"/>
    <s v="Research Analyst"/>
    <x v="3"/>
    <d v="2022-10-02T00:00:00"/>
    <s v="Ava Brown"/>
    <d v="2022-10-18T00:00:00"/>
    <x v="90"/>
    <s v="new to org"/>
    <x v="0"/>
    <b v="0"/>
    <b v="0"/>
    <b v="0"/>
    <b v="0"/>
    <b v="0"/>
    <b v="1"/>
  </r>
  <r>
    <n v="6328751"/>
    <s v="123-007-114-004"/>
    <s v="Research Analyst"/>
    <x v="3"/>
    <d v="2022-06-20T00:00:00"/>
    <s v="Andrew Cruz"/>
    <d v="2022-07-08T00:00:00"/>
    <x v="142"/>
    <s v="promo"/>
    <x v="0"/>
    <b v="0"/>
    <b v="0"/>
    <b v="0"/>
    <b v="0"/>
    <b v="1"/>
    <b v="0"/>
  </r>
  <r>
    <n v="6328751"/>
    <s v="123-007-114-005"/>
    <s v="Research Analyst"/>
    <x v="3"/>
    <d v="2022-12-04T00:00:00"/>
    <s v="Charlotte Flores"/>
    <d v="2022-12-09T00:00:00"/>
    <x v="242"/>
    <s v="transfer"/>
    <x v="0"/>
    <b v="0"/>
    <b v="0"/>
    <b v="0"/>
    <b v="1"/>
    <b v="0"/>
    <b v="0"/>
  </r>
  <r>
    <n v="1334200"/>
    <s v="123-001-124-005"/>
    <s v="Compliance Officer"/>
    <x v="9"/>
    <d v="2022-03-06T00:00:00"/>
    <s v="Deborah Roberts"/>
    <d v="2022-03-27T00:00:00"/>
    <x v="288"/>
    <s v="new to org"/>
    <x v="0"/>
    <b v="0"/>
    <b v="0"/>
    <b v="0"/>
    <b v="0"/>
    <b v="0"/>
    <b v="1"/>
  </r>
  <r>
    <n v="1334200"/>
    <s v="123-001-124-006"/>
    <s v="Compliance Officer"/>
    <x v="9"/>
    <d v="2022-06-10T00:00:00"/>
    <s v="Paul Gonzalez"/>
    <d v="2022-07-07T00:00:00"/>
    <x v="345"/>
    <s v="new to org"/>
    <x v="0"/>
    <b v="0"/>
    <b v="0"/>
    <b v="0"/>
    <b v="0"/>
    <b v="0"/>
    <b v="1"/>
  </r>
  <r>
    <n v="1334200"/>
    <s v="123-001-124-007"/>
    <s v="Compliance Officer"/>
    <x v="9"/>
    <d v="2022-06-15T00:00:00"/>
    <s v="Charles Phillips"/>
    <d v="2022-07-15T00:00:00"/>
    <x v="335"/>
    <s v="promo"/>
    <x v="0"/>
    <b v="0"/>
    <b v="0"/>
    <b v="0"/>
    <b v="0"/>
    <b v="1"/>
    <b v="0"/>
  </r>
  <r>
    <n v="5172556"/>
    <s v="123-001-101-013"/>
    <s v="Software Engineer"/>
    <x v="9"/>
    <d v="2023-05-12T00:00:00"/>
    <s v="Steven Sanchez"/>
    <d v="2023-05-14T00:00:00"/>
    <x v="12"/>
    <s v="transfer"/>
    <x v="0"/>
    <b v="0"/>
    <b v="0"/>
    <b v="0"/>
    <b v="1"/>
    <b v="0"/>
    <b v="0"/>
  </r>
  <r>
    <n v="5749457"/>
    <s v="123-001-110-009"/>
    <s v="Legal Advisor"/>
    <x v="9"/>
    <d v="2022-05-07T00:00:00"/>
    <s v="Robert Moore"/>
    <d v="2022-06-03T00:00:00"/>
    <x v="247"/>
    <s v="promo"/>
    <x v="0"/>
    <b v="0"/>
    <b v="0"/>
    <b v="0"/>
    <b v="0"/>
    <b v="1"/>
    <b v="0"/>
  </r>
  <r>
    <n v="5749457"/>
    <s v="123-001-110-010"/>
    <s v="Legal Advisor"/>
    <x v="9"/>
    <d v="2022-10-04T00:00:00"/>
    <s v="William Evans"/>
    <d v="2022-11-01T00:00:00"/>
    <x v="517"/>
    <m/>
    <x v="0"/>
    <b v="0"/>
    <b v="0"/>
    <b v="0"/>
    <b v="0"/>
    <b v="0"/>
    <b v="0"/>
  </r>
  <r>
    <n v="2283911"/>
    <s v="123-009-103-009"/>
    <s v="Project Manager"/>
    <x v="7"/>
    <d v="2023-02-05T00:00:00"/>
    <s v="Michael Mitchell"/>
    <d v="2023-02-12T00:00:00"/>
    <x v="518"/>
    <s v="promo"/>
    <x v="0"/>
    <b v="0"/>
    <b v="0"/>
    <b v="0"/>
    <b v="0"/>
    <b v="1"/>
    <b v="0"/>
  </r>
  <r>
    <n v="2283911"/>
    <s v="123-009-103-010"/>
    <s v="Project Manager"/>
    <x v="7"/>
    <d v="2023-03-12T00:00:00"/>
    <s v="Sophia Lee"/>
    <d v="2023-03-29T00:00:00"/>
    <x v="233"/>
    <s v="new to org"/>
    <x v="0"/>
    <b v="0"/>
    <b v="0"/>
    <b v="0"/>
    <b v="0"/>
    <b v="0"/>
    <b v="1"/>
  </r>
  <r>
    <n v="5886173"/>
    <s v="123-002-114-006"/>
    <s v="Research Analyst"/>
    <x v="6"/>
    <d v="2023-06-03T00:00:00"/>
    <s v="Donald Jackson"/>
    <d v="2023-06-11T00:00:00"/>
    <x v="121"/>
    <s v="new to org"/>
    <x v="0"/>
    <b v="0"/>
    <b v="0"/>
    <b v="0"/>
    <b v="0"/>
    <b v="0"/>
    <b v="1"/>
  </r>
  <r>
    <n v="2817044"/>
    <s v="123-004-115-003"/>
    <s v="Graphic Designer"/>
    <x v="1"/>
    <d v="2023-04-03T00:00:00"/>
    <s v="Deborah Anderson"/>
    <d v="2023-04-15T00:00:00"/>
    <x v="233"/>
    <m/>
    <x v="0"/>
    <b v="0"/>
    <b v="0"/>
    <b v="0"/>
    <b v="0"/>
    <b v="0"/>
    <b v="0"/>
  </r>
  <r>
    <n v="2817044"/>
    <s v="123-004-115-004"/>
    <s v="Graphic Designer"/>
    <x v="1"/>
    <d v="2022-03-27T00:00:00"/>
    <s v="Nancy Martinez"/>
    <d v="2022-03-31T00:00:00"/>
    <x v="398"/>
    <s v="new to org"/>
    <x v="0"/>
    <b v="0"/>
    <b v="0"/>
    <b v="0"/>
    <b v="0"/>
    <b v="0"/>
    <b v="1"/>
  </r>
  <r>
    <n v="2817044"/>
    <s v="123-004-115-007"/>
    <s v="Graphic Designer"/>
    <x v="1"/>
    <d v="2023-05-21T00:00:00"/>
    <s v="Patricia Roberts"/>
    <d v="2023-05-30T00:00:00"/>
    <x v="438"/>
    <s v="promo"/>
    <x v="0"/>
    <b v="0"/>
    <b v="0"/>
    <b v="0"/>
    <b v="0"/>
    <b v="1"/>
    <b v="0"/>
  </r>
  <r>
    <n v="6225347"/>
    <s v="123-006-124-006"/>
    <s v="Compliance Officer"/>
    <x v="2"/>
    <d v="2022-10-02T00:00:00"/>
    <s v="Logan Smith"/>
    <d v="2022-10-25T00:00:00"/>
    <x v="294"/>
    <m/>
    <x v="0"/>
    <b v="0"/>
    <b v="0"/>
    <b v="0"/>
    <b v="0"/>
    <b v="0"/>
    <b v="0"/>
  </r>
  <r>
    <n v="9385512"/>
    <s v="123-004-111-015"/>
    <s v="Product Manager"/>
    <x v="1"/>
    <d v="2022-03-25T00:00:00"/>
    <s v="Steven Scott"/>
    <d v="2022-04-24T00:00:00"/>
    <x v="516"/>
    <m/>
    <x v="0"/>
    <b v="0"/>
    <b v="0"/>
    <b v="0"/>
    <b v="0"/>
    <b v="0"/>
    <b v="0"/>
  </r>
  <r>
    <n v="9385512"/>
    <s v="123-004-111-016"/>
    <s v="Product Manager"/>
    <x v="1"/>
    <d v="2022-01-14T00:00:00"/>
    <s v="Matthew Rodriguez"/>
    <d v="2022-01-20T00:00:00"/>
    <x v="338"/>
    <s v="transfer"/>
    <x v="0"/>
    <b v="0"/>
    <b v="0"/>
    <b v="0"/>
    <b v="1"/>
    <b v="0"/>
    <b v="0"/>
  </r>
  <r>
    <n v="9385512"/>
    <s v="123-004-111-017"/>
    <s v="Product Manager"/>
    <x v="1"/>
    <d v="2022-04-27T00:00:00"/>
    <s v="Richard Lewis"/>
    <d v="2022-04-29T00:00:00"/>
    <x v="500"/>
    <s v="promo"/>
    <x v="0"/>
    <b v="0"/>
    <b v="0"/>
    <b v="0"/>
    <b v="0"/>
    <b v="1"/>
    <b v="0"/>
  </r>
  <r>
    <n v="8116596"/>
    <s v="123-003-116-008"/>
    <s v="Content Writer"/>
    <x v="8"/>
    <d v="2022-10-31T00:00:00"/>
    <s v="Betty Smith"/>
    <d v="2022-11-04T00:00:00"/>
    <x v="492"/>
    <m/>
    <x v="0"/>
    <b v="0"/>
    <b v="0"/>
    <b v="0"/>
    <b v="0"/>
    <b v="0"/>
    <b v="0"/>
  </r>
  <r>
    <n v="8116596"/>
    <s v="123-003-116-009"/>
    <s v="Content Writer"/>
    <x v="8"/>
    <d v="2023-01-16T00:00:00"/>
    <s v="Kimberly Lee"/>
    <d v="2023-02-04T00:00:00"/>
    <x v="348"/>
    <s v="new to org"/>
    <x v="0"/>
    <b v="0"/>
    <b v="0"/>
    <b v="0"/>
    <b v="0"/>
    <b v="0"/>
    <b v="1"/>
  </r>
  <r>
    <n v="8116596"/>
    <s v="123-003-116-011"/>
    <s v="Content Writer"/>
    <x v="8"/>
    <d v="2022-09-15T00:00:00"/>
    <s v="Kimberly Hill"/>
    <d v="2022-10-01T00:00:00"/>
    <x v="222"/>
    <s v="new to org"/>
    <x v="0"/>
    <b v="0"/>
    <b v="0"/>
    <b v="0"/>
    <b v="0"/>
    <b v="0"/>
    <b v="1"/>
  </r>
  <r>
    <n v="1093993"/>
    <s v="123-004-110-007"/>
    <s v="Legal Advisor"/>
    <x v="1"/>
    <d v="2022-03-04T00:00:00"/>
    <s v="Nancy Miller"/>
    <d v="2022-03-24T00:00:00"/>
    <x v="192"/>
    <m/>
    <x v="0"/>
    <b v="0"/>
    <b v="0"/>
    <b v="0"/>
    <b v="0"/>
    <b v="0"/>
    <b v="0"/>
  </r>
  <r>
    <n v="1093993"/>
    <s v="123-004-110-008"/>
    <s v="Legal Advisor"/>
    <x v="1"/>
    <d v="2022-08-20T00:00:00"/>
    <s v="Daniel Green"/>
    <d v="2022-09-01T00:00:00"/>
    <x v="475"/>
    <s v="transfer"/>
    <x v="0"/>
    <b v="0"/>
    <b v="0"/>
    <b v="0"/>
    <b v="1"/>
    <b v="0"/>
    <b v="0"/>
  </r>
  <r>
    <n v="1237053"/>
    <s v="123-004-130-010"/>
    <s v="Biomedical Engineer"/>
    <x v="1"/>
    <d v="2023-02-17T00:00:00"/>
    <s v="Michelle Roberts"/>
    <d v="2023-03-19T00:00:00"/>
    <x v="161"/>
    <s v="new to org"/>
    <x v="0"/>
    <b v="0"/>
    <b v="0"/>
    <b v="0"/>
    <b v="0"/>
    <b v="0"/>
    <b v="1"/>
  </r>
  <r>
    <n v="1237053"/>
    <s v="123-004-130-011"/>
    <s v="Biomedical Engineer"/>
    <x v="1"/>
    <d v="2022-06-06T00:00:00"/>
    <s v="John Nguyen"/>
    <d v="2022-06-10T00:00:00"/>
    <x v="489"/>
    <s v="promo"/>
    <x v="0"/>
    <b v="0"/>
    <b v="0"/>
    <b v="0"/>
    <b v="0"/>
    <b v="1"/>
    <b v="0"/>
  </r>
  <r>
    <n v="4631285"/>
    <s v="123-003-109-003"/>
    <s v="IT Technician"/>
    <x v="8"/>
    <d v="2023-01-28T00:00:00"/>
    <s v="Ethan King"/>
    <d v="2023-02-08T00:00:00"/>
    <x v="476"/>
    <s v="promo"/>
    <x v="0"/>
    <b v="0"/>
    <b v="0"/>
    <b v="0"/>
    <b v="0"/>
    <b v="1"/>
    <b v="0"/>
  </r>
  <r>
    <n v="4631285"/>
    <s v="123-003-109-004"/>
    <s v="IT Technician"/>
    <x v="8"/>
    <d v="2023-04-30T00:00:00"/>
    <s v="Ethan Mitchell"/>
    <d v="2023-05-07T00:00:00"/>
    <x v="157"/>
    <s v="new to org"/>
    <x v="0"/>
    <b v="0"/>
    <b v="0"/>
    <b v="0"/>
    <b v="0"/>
    <b v="0"/>
    <b v="1"/>
  </r>
  <r>
    <n v="3457722"/>
    <s v="123-003-105-007"/>
    <s v="Financial Analyst"/>
    <x v="8"/>
    <d v="2022-02-23T00:00:00"/>
    <s v="John Edwards"/>
    <d v="2022-02-28T00:00:00"/>
    <x v="430"/>
    <s v="new to org"/>
    <x v="0"/>
    <b v="0"/>
    <b v="0"/>
    <b v="0"/>
    <b v="0"/>
    <b v="0"/>
    <b v="1"/>
  </r>
  <r>
    <n v="3457722"/>
    <s v="123-003-105-008"/>
    <s v="Financial Analyst"/>
    <x v="8"/>
    <d v="2022-12-01T00:00:00"/>
    <s v="Kevin Walker"/>
    <d v="2022-12-11T00:00:00"/>
    <x v="519"/>
    <m/>
    <x v="0"/>
    <b v="0"/>
    <b v="0"/>
    <b v="0"/>
    <b v="0"/>
    <b v="0"/>
    <b v="0"/>
  </r>
  <r>
    <n v="3457722"/>
    <s v="123-003-105-009"/>
    <s v="Financial Analyst"/>
    <x v="8"/>
    <d v="2023-01-22T00:00:00"/>
    <s v="Emily Sanchez"/>
    <d v="2023-02-16T00:00:00"/>
    <x v="332"/>
    <s v="promo"/>
    <x v="0"/>
    <b v="0"/>
    <b v="0"/>
    <b v="0"/>
    <b v="0"/>
    <b v="1"/>
    <b v="0"/>
  </r>
  <r>
    <n v="3457722"/>
    <s v="123-003-105-010"/>
    <s v="Financial Analyst"/>
    <x v="8"/>
    <d v="2023-06-19T00:00:00"/>
    <s v="Karen Turner"/>
    <d v="2023-06-30T00:00:00"/>
    <x v="520"/>
    <s v="new to org"/>
    <x v="0"/>
    <b v="0"/>
    <b v="0"/>
    <b v="0"/>
    <b v="0"/>
    <b v="0"/>
    <b v="1"/>
  </r>
  <r>
    <n v="2311972"/>
    <s v="123-010-129-007"/>
    <s v="Supply Chain Manager"/>
    <x v="5"/>
    <d v="2023-03-24T00:00:00"/>
    <s v="Dorothy Martinez"/>
    <d v="2023-04-11T00:00:00"/>
    <x v="57"/>
    <s v="new to org"/>
    <x v="0"/>
    <b v="0"/>
    <b v="0"/>
    <b v="0"/>
    <b v="0"/>
    <b v="0"/>
    <b v="1"/>
  </r>
  <r>
    <n v="2311972"/>
    <s v="123-010-129-008"/>
    <s v="Supply Chain Manager"/>
    <x v="5"/>
    <d v="2023-03-22T00:00:00"/>
    <s v="Amanda Davis"/>
    <d v="2023-04-12T00:00:00"/>
    <x v="183"/>
    <s v="new to org"/>
    <x v="0"/>
    <b v="0"/>
    <b v="0"/>
    <b v="0"/>
    <b v="0"/>
    <b v="0"/>
    <b v="1"/>
  </r>
  <r>
    <n v="3986552"/>
    <s v="123-006-101-008"/>
    <s v="Software Engineer"/>
    <x v="2"/>
    <d v="2022-08-07T00:00:00"/>
    <s v="George Ramirez"/>
    <d v="2022-08-27T00:00:00"/>
    <x v="451"/>
    <s v="new to org"/>
    <x v="0"/>
    <b v="0"/>
    <b v="0"/>
    <b v="0"/>
    <b v="0"/>
    <b v="0"/>
    <b v="1"/>
  </r>
  <r>
    <n v="3986552"/>
    <s v="123-006-101-009"/>
    <s v="Software Engineer"/>
    <x v="2"/>
    <d v="2022-07-03T00:00:00"/>
    <s v="Matthew White"/>
    <d v="2022-08-02T00:00:00"/>
    <x v="76"/>
    <s v="promo"/>
    <x v="0"/>
    <b v="0"/>
    <b v="0"/>
    <b v="0"/>
    <b v="0"/>
    <b v="1"/>
    <b v="0"/>
  </r>
  <r>
    <n v="3986552"/>
    <s v="123-006-101-010"/>
    <s v="Software Engineer"/>
    <x v="2"/>
    <d v="2023-06-23T00:00:00"/>
    <s v="Mark White"/>
    <d v="2023-06-30T00:00:00"/>
    <x v="368"/>
    <s v="promo"/>
    <x v="0"/>
    <b v="0"/>
    <b v="0"/>
    <b v="0"/>
    <b v="0"/>
    <b v="1"/>
    <b v="0"/>
  </r>
  <r>
    <n v="3986552"/>
    <s v="123-006-101-011"/>
    <s v="Software Engineer"/>
    <x v="2"/>
    <d v="2023-01-13T00:00:00"/>
    <s v="Michael Collins"/>
    <d v="2023-02-12T00:00:00"/>
    <x v="302"/>
    <s v="new to org"/>
    <x v="0"/>
    <b v="0"/>
    <b v="0"/>
    <b v="0"/>
    <b v="0"/>
    <b v="0"/>
    <b v="1"/>
  </r>
  <r>
    <n v="9435472"/>
    <s v="123-001-130-006"/>
    <s v="Biomedical Engineer"/>
    <x v="9"/>
    <d v="2022-02-28T00:00:00"/>
    <s v="Sarah Green"/>
    <d v="2022-03-19T00:00:00"/>
    <x v="244"/>
    <s v="new to org"/>
    <x v="0"/>
    <b v="0"/>
    <b v="0"/>
    <b v="0"/>
    <b v="0"/>
    <b v="0"/>
    <b v="1"/>
  </r>
  <r>
    <n v="3968018"/>
    <s v="123-003-128-011"/>
    <s v="Payroll Specialist"/>
    <x v="8"/>
    <d v="2022-03-05T00:00:00"/>
    <s v="Patricia Lewis"/>
    <d v="2022-03-16T00:00:00"/>
    <x v="521"/>
    <s v="transfer"/>
    <x v="0"/>
    <b v="0"/>
    <b v="0"/>
    <b v="0"/>
    <b v="1"/>
    <b v="0"/>
    <b v="0"/>
  </r>
  <r>
    <n v="5655311"/>
    <s v="123-004-128-006"/>
    <s v="Payroll Specialist"/>
    <x v="1"/>
    <d v="2022-11-21T00:00:00"/>
    <s v="Mason Baker"/>
    <d v="2022-12-20T00:00:00"/>
    <x v="238"/>
    <s v="new to org"/>
    <x v="0"/>
    <b v="0"/>
    <b v="0"/>
    <b v="0"/>
    <b v="0"/>
    <b v="0"/>
    <b v="1"/>
  </r>
  <r>
    <n v="5655311"/>
    <s v="123-004-128-009"/>
    <s v="Payroll Specialist"/>
    <x v="1"/>
    <d v="2023-05-29T00:00:00"/>
    <s v="John Gonzalez"/>
    <d v="2023-06-03T00:00:00"/>
    <x v="522"/>
    <s v="transfer"/>
    <x v="0"/>
    <b v="0"/>
    <b v="0"/>
    <b v="0"/>
    <b v="1"/>
    <b v="0"/>
    <b v="0"/>
  </r>
  <r>
    <n v="4333354"/>
    <s v="123-009-123-011"/>
    <s v="Data Engineer"/>
    <x v="7"/>
    <d v="2022-04-01T00:00:00"/>
    <s v="Andrew Robinson"/>
    <d v="2022-04-05T00:00:00"/>
    <x v="236"/>
    <s v="transfer"/>
    <x v="0"/>
    <b v="0"/>
    <b v="0"/>
    <b v="0"/>
    <b v="1"/>
    <b v="0"/>
    <b v="0"/>
  </r>
  <r>
    <n v="4158231"/>
    <s v="123-004-109-005"/>
    <s v="IT Technician"/>
    <x v="1"/>
    <d v="2022-09-28T00:00:00"/>
    <s v="Brian Lewis"/>
    <d v="2022-10-01T00:00:00"/>
    <x v="523"/>
    <s v="new to org"/>
    <x v="0"/>
    <b v="0"/>
    <b v="0"/>
    <b v="0"/>
    <b v="0"/>
    <b v="0"/>
    <b v="1"/>
  </r>
  <r>
    <n v="4158231"/>
    <s v="123-004-109-006"/>
    <s v="IT Technician"/>
    <x v="1"/>
    <d v="2023-06-20T00:00:00"/>
    <s v="Daniel Roberts"/>
    <d v="2023-07-05T00:00:00"/>
    <x v="524"/>
    <s v="new to org"/>
    <x v="0"/>
    <b v="0"/>
    <b v="0"/>
    <b v="0"/>
    <b v="0"/>
    <b v="0"/>
    <b v="1"/>
  </r>
  <r>
    <n v="3860089"/>
    <s v="123-010-102-004"/>
    <s v="Data Scientist"/>
    <x v="5"/>
    <d v="2023-05-31T00:00:00"/>
    <s v="Susan Perez"/>
    <d v="2023-06-18T00:00:00"/>
    <x v="428"/>
    <s v="new to org"/>
    <x v="0"/>
    <b v="0"/>
    <b v="0"/>
    <b v="0"/>
    <b v="0"/>
    <b v="0"/>
    <b v="1"/>
  </r>
  <r>
    <n v="3860089"/>
    <s v="123-010-102-005"/>
    <s v="Data Scientist"/>
    <x v="5"/>
    <d v="2022-08-04T00:00:00"/>
    <s v="Jennifer Allen"/>
    <d v="2022-08-13T00:00:00"/>
    <x v="392"/>
    <s v="new to org"/>
    <x v="0"/>
    <b v="0"/>
    <b v="0"/>
    <b v="0"/>
    <b v="0"/>
    <b v="0"/>
    <b v="1"/>
  </r>
  <r>
    <n v="3860089"/>
    <s v="123-010-102-006"/>
    <s v="Data Scientist"/>
    <x v="5"/>
    <d v="2023-06-14T00:00:00"/>
    <s v="Jackson Davis"/>
    <d v="2023-07-06T00:00:00"/>
    <x v="491"/>
    <s v="transfer"/>
    <x v="0"/>
    <b v="0"/>
    <b v="0"/>
    <b v="0"/>
    <b v="1"/>
    <b v="0"/>
    <b v="0"/>
  </r>
  <r>
    <n v="4127701"/>
    <s v="123-003-116-013"/>
    <s v="Content Writer"/>
    <x v="8"/>
    <d v="2022-02-04T00:00:00"/>
    <s v="Andrew Harris"/>
    <d v="2022-02-15T00:00:00"/>
    <x v="454"/>
    <s v="new to org"/>
    <x v="0"/>
    <b v="0"/>
    <b v="0"/>
    <b v="0"/>
    <b v="0"/>
    <b v="0"/>
    <b v="1"/>
  </r>
  <r>
    <n v="4127701"/>
    <s v="123-003-116-015"/>
    <s v="Content Writer"/>
    <x v="8"/>
    <d v="2022-04-13T00:00:00"/>
    <s v="Nancy Adams"/>
    <d v="2022-04-19T00:00:00"/>
    <x v="448"/>
    <s v="new to org"/>
    <x v="0"/>
    <b v="0"/>
    <b v="0"/>
    <b v="0"/>
    <b v="0"/>
    <b v="0"/>
    <b v="1"/>
  </r>
  <r>
    <n v="4127701"/>
    <s v="123-003-116-016"/>
    <s v="Content Writer"/>
    <x v="8"/>
    <d v="2022-07-10T00:00:00"/>
    <s v="Sandra Wright"/>
    <d v="2022-08-04T00:00:00"/>
    <x v="296"/>
    <s v="promo"/>
    <x v="0"/>
    <b v="0"/>
    <b v="0"/>
    <b v="0"/>
    <b v="0"/>
    <b v="1"/>
    <b v="0"/>
  </r>
  <r>
    <n v="8365343"/>
    <s v="123-010-126-007"/>
    <s v="Recruiter"/>
    <x v="5"/>
    <d v="2023-04-30T00:00:00"/>
    <s v="George Sanchez"/>
    <d v="2023-05-27T00:00:00"/>
    <x v="21"/>
    <m/>
    <x v="0"/>
    <b v="0"/>
    <b v="0"/>
    <b v="0"/>
    <b v="0"/>
    <b v="0"/>
    <b v="0"/>
  </r>
  <r>
    <n v="8365343"/>
    <s v="123-010-126-009"/>
    <s v="Recruiter"/>
    <x v="5"/>
    <d v="2022-08-28T00:00:00"/>
    <s v="Robert Cruz"/>
    <d v="2022-09-22T00:00:00"/>
    <x v="170"/>
    <s v="new to org"/>
    <x v="0"/>
    <b v="0"/>
    <b v="0"/>
    <b v="0"/>
    <b v="0"/>
    <b v="0"/>
    <b v="1"/>
  </r>
  <r>
    <n v="8365343"/>
    <s v="123-010-126-010"/>
    <s v="Recruiter"/>
    <x v="5"/>
    <d v="2022-10-03T00:00:00"/>
    <s v="Anthony Ramirez"/>
    <d v="2022-10-22T00:00:00"/>
    <x v="525"/>
    <s v="transfer"/>
    <x v="0"/>
    <b v="0"/>
    <b v="0"/>
    <b v="0"/>
    <b v="1"/>
    <b v="0"/>
    <b v="0"/>
  </r>
  <r>
    <n v="1479076"/>
    <s v="123-009-106-001"/>
    <s v="Marketing Coordinator"/>
    <x v="7"/>
    <d v="2022-05-23T00:00:00"/>
    <s v="Charlotte Torres"/>
    <d v="2022-05-28T00:00:00"/>
    <x v="8"/>
    <s v="promo"/>
    <x v="0"/>
    <b v="0"/>
    <b v="0"/>
    <b v="0"/>
    <b v="0"/>
    <b v="1"/>
    <b v="0"/>
  </r>
  <r>
    <n v="1479076"/>
    <s v="123-009-106-002"/>
    <s v="Marketing Coordinator"/>
    <x v="7"/>
    <d v="2022-05-25T00:00:00"/>
    <s v="Jennifer Martin"/>
    <d v="2022-06-20T00:00:00"/>
    <x v="92"/>
    <s v="transfer"/>
    <x v="0"/>
    <b v="0"/>
    <b v="0"/>
    <b v="0"/>
    <b v="1"/>
    <b v="0"/>
    <b v="0"/>
  </r>
  <r>
    <n v="6488025"/>
    <s v="123-005-129-004"/>
    <s v="Supply Chain Manager"/>
    <x v="0"/>
    <d v="2022-01-28T00:00:00"/>
    <s v="Daniel Young"/>
    <d v="2022-02-05T00:00:00"/>
    <x v="70"/>
    <s v="transfer"/>
    <x v="0"/>
    <b v="0"/>
    <b v="0"/>
    <b v="0"/>
    <b v="1"/>
    <b v="0"/>
    <b v="0"/>
  </r>
  <r>
    <n v="6488025"/>
    <s v="123-005-129-005"/>
    <s v="Supply Chain Manager"/>
    <x v="0"/>
    <d v="2022-12-15T00:00:00"/>
    <s v="Lisa White"/>
    <d v="2023-01-01T00:00:00"/>
    <x v="250"/>
    <s v="promo"/>
    <x v="0"/>
    <b v="0"/>
    <b v="0"/>
    <b v="0"/>
    <b v="0"/>
    <b v="1"/>
    <b v="0"/>
  </r>
  <r>
    <n v="9679668"/>
    <s v="123-002-127-009"/>
    <s v="Training Coordinator"/>
    <x v="6"/>
    <d v="2022-04-14T00:00:00"/>
    <s v="Amanda Campbell"/>
    <d v="2022-05-05T00:00:00"/>
    <x v="195"/>
    <s v="new to org"/>
    <x v="0"/>
    <b v="0"/>
    <b v="0"/>
    <b v="0"/>
    <b v="0"/>
    <b v="0"/>
    <b v="1"/>
  </r>
  <r>
    <n v="9679668"/>
    <s v="123-002-127-010"/>
    <s v="Training Coordinator"/>
    <x v="6"/>
    <d v="2022-05-12T00:00:00"/>
    <s v="David Lee"/>
    <d v="2022-05-31T00:00:00"/>
    <x v="343"/>
    <s v="transfer"/>
    <x v="0"/>
    <b v="0"/>
    <b v="0"/>
    <b v="0"/>
    <b v="1"/>
    <b v="0"/>
    <b v="0"/>
  </r>
  <r>
    <n v="9679668"/>
    <s v="123-002-127-011"/>
    <s v="Training Coordinator"/>
    <x v="6"/>
    <d v="2023-02-16T00:00:00"/>
    <s v="James Young"/>
    <d v="2023-03-02T00:00:00"/>
    <x v="514"/>
    <m/>
    <x v="0"/>
    <b v="0"/>
    <b v="0"/>
    <b v="0"/>
    <b v="0"/>
    <b v="0"/>
    <b v="0"/>
  </r>
  <r>
    <n v="8554276"/>
    <s v="123-006-117-006"/>
    <s v="Quality Assurance"/>
    <x v="2"/>
    <d v="2022-07-03T00:00:00"/>
    <s v="Linda Gomez"/>
    <d v="2022-07-17T00:00:00"/>
    <x v="87"/>
    <s v="new to org"/>
    <x v="0"/>
    <b v="0"/>
    <b v="0"/>
    <b v="0"/>
    <b v="0"/>
    <b v="0"/>
    <b v="1"/>
  </r>
  <r>
    <n v="8554276"/>
    <s v="123-006-117-007"/>
    <s v="Quality Assurance"/>
    <x v="2"/>
    <d v="2022-12-12T00:00:00"/>
    <s v="Elizabeth Smith"/>
    <d v="2023-01-11T00:00:00"/>
    <x v="336"/>
    <s v="transfer"/>
    <x v="0"/>
    <b v="0"/>
    <b v="0"/>
    <b v="0"/>
    <b v="1"/>
    <b v="0"/>
    <b v="0"/>
  </r>
  <r>
    <n v="8554276"/>
    <s v="123-006-117-008"/>
    <s v="Quality Assurance"/>
    <x v="2"/>
    <d v="2023-04-11T00:00:00"/>
    <s v="Steven Evans"/>
    <d v="2023-04-25T00:00:00"/>
    <x v="235"/>
    <s v="promo"/>
    <x v="0"/>
    <b v="0"/>
    <b v="0"/>
    <b v="0"/>
    <b v="0"/>
    <b v="1"/>
    <b v="0"/>
  </r>
  <r>
    <n v="8554276"/>
    <s v="123-006-117-009"/>
    <s v="Quality Assurance"/>
    <x v="2"/>
    <d v="2023-05-17T00:00:00"/>
    <s v="Linda Parker"/>
    <d v="2023-06-01T00:00:00"/>
    <x v="300"/>
    <s v="transfer"/>
    <x v="0"/>
    <b v="0"/>
    <b v="0"/>
    <b v="0"/>
    <b v="1"/>
    <b v="0"/>
    <b v="0"/>
  </r>
  <r>
    <n v="1840094"/>
    <s v="123-010-129-010"/>
    <s v="Supply Chain Manager"/>
    <x v="5"/>
    <d v="2023-01-01T00:00:00"/>
    <s v="Barbara Jackson"/>
    <d v="2023-01-15T00:00:00"/>
    <x v="242"/>
    <s v="new to org"/>
    <x v="0"/>
    <b v="0"/>
    <b v="0"/>
    <b v="0"/>
    <b v="0"/>
    <b v="0"/>
    <b v="1"/>
  </r>
  <r>
    <n v="1840094"/>
    <s v="123-010-129-011"/>
    <s v="Supply Chain Manager"/>
    <x v="5"/>
    <d v="2022-04-25T00:00:00"/>
    <s v="Kenneth Williams"/>
    <d v="2022-05-07T00:00:00"/>
    <x v="526"/>
    <s v="new to org"/>
    <x v="0"/>
    <b v="0"/>
    <b v="0"/>
    <b v="0"/>
    <b v="0"/>
    <b v="0"/>
    <b v="1"/>
  </r>
  <r>
    <n v="8684482"/>
    <s v="123-010-123-005"/>
    <s v="Data Engineer"/>
    <x v="5"/>
    <d v="2022-12-01T00:00:00"/>
    <s v="Robert Jones"/>
    <d v="2022-12-13T00:00:00"/>
    <x v="464"/>
    <m/>
    <x v="0"/>
    <b v="0"/>
    <b v="0"/>
    <b v="0"/>
    <b v="0"/>
    <b v="0"/>
    <b v="0"/>
  </r>
  <r>
    <n v="9600542"/>
    <s v="123-002-124-003"/>
    <s v="Compliance Officer"/>
    <x v="6"/>
    <d v="2022-01-23T00:00:00"/>
    <s v="Margaret Sanchez"/>
    <d v="2022-01-29T00:00:00"/>
    <x v="59"/>
    <s v="new to org"/>
    <x v="0"/>
    <b v="0"/>
    <b v="0"/>
    <b v="0"/>
    <b v="0"/>
    <b v="0"/>
    <b v="1"/>
  </r>
  <r>
    <n v="9600542"/>
    <s v="123-002-124-005"/>
    <s v="Compliance Officer"/>
    <x v="6"/>
    <d v="2022-09-25T00:00:00"/>
    <s v="Sophia Gonzalez"/>
    <d v="2022-10-05T00:00:00"/>
    <x v="101"/>
    <s v="transfer"/>
    <x v="0"/>
    <b v="0"/>
    <b v="0"/>
    <b v="0"/>
    <b v="1"/>
    <b v="0"/>
    <b v="0"/>
  </r>
  <r>
    <n v="4115755"/>
    <s v="123-009-109-001"/>
    <s v="IT Technician"/>
    <x v="7"/>
    <d v="2022-10-07T00:00:00"/>
    <s v="Amanda Jackson"/>
    <d v="2022-10-08T00:00:00"/>
    <x v="497"/>
    <s v="promo"/>
    <x v="0"/>
    <b v="0"/>
    <b v="0"/>
    <b v="0"/>
    <b v="0"/>
    <b v="1"/>
    <b v="0"/>
  </r>
  <r>
    <n v="2069085"/>
    <s v="123-005-120-014"/>
    <s v="Executive Assistant"/>
    <x v="0"/>
    <d v="2022-12-03T00:00:00"/>
    <s v="Kenneth Hill"/>
    <d v="2022-12-21T00:00:00"/>
    <x v="29"/>
    <m/>
    <x v="0"/>
    <b v="0"/>
    <b v="0"/>
    <b v="0"/>
    <b v="0"/>
    <b v="0"/>
    <b v="0"/>
  </r>
  <r>
    <n v="2069085"/>
    <s v="123-005-120-015"/>
    <s v="Executive Assistant"/>
    <x v="0"/>
    <d v="2022-11-24T00:00:00"/>
    <s v="Nancy Perez"/>
    <d v="2022-12-06T00:00:00"/>
    <x v="42"/>
    <s v="transfer"/>
    <x v="0"/>
    <b v="0"/>
    <b v="0"/>
    <b v="0"/>
    <b v="1"/>
    <b v="0"/>
    <b v="0"/>
  </r>
  <r>
    <n v="2069085"/>
    <s v="123-005-120-016"/>
    <s v="Executive Assistant"/>
    <x v="0"/>
    <d v="2023-05-26T00:00:00"/>
    <s v="Mia Mitchell"/>
    <d v="2023-06-02T00:00:00"/>
    <x v="110"/>
    <m/>
    <x v="0"/>
    <b v="0"/>
    <b v="0"/>
    <b v="0"/>
    <b v="0"/>
    <b v="0"/>
    <b v="0"/>
  </r>
  <r>
    <n v="2069085"/>
    <s v="123-005-120-017"/>
    <s v="Executive Assistant"/>
    <x v="0"/>
    <d v="2022-02-03T00:00:00"/>
    <s v="Thomas Sanchez"/>
    <d v="2022-02-25T00:00:00"/>
    <x v="245"/>
    <m/>
    <x v="0"/>
    <b v="0"/>
    <b v="0"/>
    <b v="0"/>
    <b v="0"/>
    <b v="0"/>
    <b v="0"/>
  </r>
  <r>
    <n v="2069085"/>
    <s v="123-005-120-018"/>
    <s v="Executive Assistant"/>
    <x v="0"/>
    <d v="2022-12-20T00:00:00"/>
    <s v="Kenneth Young"/>
    <d v="2022-12-23T00:00:00"/>
    <x v="408"/>
    <s v="transfer"/>
    <x v="0"/>
    <b v="0"/>
    <b v="0"/>
    <b v="0"/>
    <b v="1"/>
    <b v="0"/>
    <b v="0"/>
  </r>
  <r>
    <n v="9885075"/>
    <s v="123-005-112-012"/>
    <s v="Business Analyst"/>
    <x v="0"/>
    <d v="2022-01-31T00:00:00"/>
    <s v="Amanda Robinson"/>
    <d v="2022-02-05T00:00:00"/>
    <x v="210"/>
    <m/>
    <x v="0"/>
    <b v="0"/>
    <b v="0"/>
    <b v="0"/>
    <b v="0"/>
    <b v="0"/>
    <b v="0"/>
  </r>
  <r>
    <n v="9885075"/>
    <s v="123-005-112-013"/>
    <s v="Business Analyst"/>
    <x v="0"/>
    <d v="2023-03-02T00:00:00"/>
    <s v="Andrew Ramirez"/>
    <d v="2023-03-27T00:00:00"/>
    <x v="144"/>
    <s v="new to org"/>
    <x v="0"/>
    <b v="0"/>
    <b v="0"/>
    <b v="0"/>
    <b v="0"/>
    <b v="0"/>
    <b v="1"/>
  </r>
  <r>
    <n v="9885075"/>
    <s v="123-005-112-014"/>
    <s v="Business Analyst"/>
    <x v="0"/>
    <d v="2023-05-18T00:00:00"/>
    <s v="Emily Mitchell"/>
    <d v="2023-05-26T00:00:00"/>
    <x v="286"/>
    <s v="new to org"/>
    <x v="0"/>
    <b v="0"/>
    <b v="0"/>
    <b v="0"/>
    <b v="0"/>
    <b v="0"/>
    <b v="1"/>
  </r>
  <r>
    <n v="4662556"/>
    <s v="123-002-107-005"/>
    <s v="Sales Associate"/>
    <x v="6"/>
    <d v="2022-10-13T00:00:00"/>
    <s v="Anthony Edwards"/>
    <d v="2022-10-24T00:00:00"/>
    <x v="253"/>
    <s v="promo"/>
    <x v="0"/>
    <b v="0"/>
    <b v="0"/>
    <b v="0"/>
    <b v="0"/>
    <b v="1"/>
    <b v="0"/>
  </r>
  <r>
    <n v="4662556"/>
    <s v="123-002-107-006"/>
    <s v="Sales Associate"/>
    <x v="6"/>
    <d v="2022-11-22T00:00:00"/>
    <s v="Kevin Cruz"/>
    <d v="2022-12-09T00:00:00"/>
    <x v="519"/>
    <s v="transfer"/>
    <x v="0"/>
    <b v="0"/>
    <b v="0"/>
    <b v="0"/>
    <b v="1"/>
    <b v="0"/>
    <b v="0"/>
  </r>
  <r>
    <n v="4662556"/>
    <s v="123-002-107-007"/>
    <s v="Sales Associate"/>
    <x v="6"/>
    <d v="2023-05-22T00:00:00"/>
    <s v="Mia Sanchez"/>
    <d v="2023-06-16T00:00:00"/>
    <x v="439"/>
    <s v="promo"/>
    <x v="0"/>
    <b v="0"/>
    <b v="0"/>
    <b v="0"/>
    <b v="0"/>
    <b v="1"/>
    <b v="0"/>
  </r>
  <r>
    <n v="3980080"/>
    <s v="123-005-113-001"/>
    <s v="Operations Supervisor"/>
    <x v="0"/>
    <d v="2022-06-26T00:00:00"/>
    <s v="Edward Robinson"/>
    <d v="2022-07-18T00:00:00"/>
    <x v="104"/>
    <s v="new to org"/>
    <x v="0"/>
    <b v="0"/>
    <b v="0"/>
    <b v="0"/>
    <b v="0"/>
    <b v="0"/>
    <b v="1"/>
  </r>
  <r>
    <n v="2649587"/>
    <s v="123-010-113-002"/>
    <s v="Operations Supervisor"/>
    <x v="5"/>
    <d v="2022-01-30T00:00:00"/>
    <s v="Richard Green"/>
    <d v="2022-02-19T00:00:00"/>
    <x v="112"/>
    <m/>
    <x v="0"/>
    <b v="0"/>
    <b v="0"/>
    <b v="0"/>
    <b v="0"/>
    <b v="0"/>
    <b v="0"/>
  </r>
  <r>
    <n v="2649587"/>
    <s v="123-010-113-004"/>
    <s v="Operations Supervisor"/>
    <x v="5"/>
    <d v="2022-11-29T00:00:00"/>
    <s v="Charlotte Johnson"/>
    <d v="2022-12-19T00:00:00"/>
    <x v="527"/>
    <m/>
    <x v="0"/>
    <b v="0"/>
    <b v="0"/>
    <b v="0"/>
    <b v="0"/>
    <b v="0"/>
    <b v="0"/>
  </r>
  <r>
    <n v="1381170"/>
    <s v="123-010-124-008"/>
    <s v="Compliance Officer"/>
    <x v="5"/>
    <d v="2022-06-15T00:00:00"/>
    <s v="Mia Collins"/>
    <d v="2022-06-30T00:00:00"/>
    <x v="247"/>
    <s v="promo"/>
    <x v="0"/>
    <b v="0"/>
    <b v="0"/>
    <b v="0"/>
    <b v="0"/>
    <b v="1"/>
    <b v="0"/>
  </r>
  <r>
    <n v="1381170"/>
    <s v="123-010-124-009"/>
    <s v="Compliance Officer"/>
    <x v="5"/>
    <d v="2022-07-24T00:00:00"/>
    <s v="Barbara Walker"/>
    <d v="2022-08-04T00:00:00"/>
    <x v="232"/>
    <s v="promo"/>
    <x v="0"/>
    <b v="0"/>
    <b v="0"/>
    <b v="0"/>
    <b v="0"/>
    <b v="1"/>
    <b v="0"/>
  </r>
  <r>
    <n v="1381170"/>
    <s v="123-010-124-011"/>
    <s v="Compliance Officer"/>
    <x v="5"/>
    <d v="2023-03-31T00:00:00"/>
    <s v="Amanda Hill"/>
    <d v="2023-04-08T00:00:00"/>
    <x v="528"/>
    <s v="promo"/>
    <x v="0"/>
    <b v="0"/>
    <b v="0"/>
    <b v="0"/>
    <b v="0"/>
    <b v="1"/>
    <b v="0"/>
  </r>
  <r>
    <n v="3967518"/>
    <s v="123-009-115-012"/>
    <s v="Graphic Designer"/>
    <x v="7"/>
    <d v="2022-06-13T00:00:00"/>
    <s v="Logan Collins"/>
    <d v="2022-06-21T00:00:00"/>
    <x v="44"/>
    <s v="new to org"/>
    <x v="0"/>
    <b v="0"/>
    <b v="0"/>
    <b v="0"/>
    <b v="0"/>
    <b v="0"/>
    <b v="1"/>
  </r>
  <r>
    <n v="2171758"/>
    <s v="123-001-101-014"/>
    <s v="Software Engineer"/>
    <x v="9"/>
    <d v="2022-03-14T00:00:00"/>
    <s v="Logan Harris"/>
    <d v="2022-04-09T00:00:00"/>
    <x v="398"/>
    <m/>
    <x v="0"/>
    <b v="0"/>
    <b v="0"/>
    <b v="0"/>
    <b v="0"/>
    <b v="0"/>
    <b v="0"/>
  </r>
  <r>
    <n v="2171758"/>
    <s v="123-001-101-015"/>
    <s v="Software Engineer"/>
    <x v="9"/>
    <d v="2022-01-25T00:00:00"/>
    <s v="Dorothy Roberts"/>
    <d v="2022-02-09T00:00:00"/>
    <x v="400"/>
    <s v="transfer"/>
    <x v="0"/>
    <b v="0"/>
    <b v="0"/>
    <b v="0"/>
    <b v="1"/>
    <b v="0"/>
    <b v="0"/>
  </r>
  <r>
    <n v="2171758"/>
    <s v="123-001-101-016"/>
    <s v="Software Engineer"/>
    <x v="9"/>
    <d v="2023-02-12T00:00:00"/>
    <s v="Charles Phillips"/>
    <d v="2023-03-11T00:00:00"/>
    <x v="200"/>
    <s v="transfer"/>
    <x v="0"/>
    <b v="0"/>
    <b v="0"/>
    <b v="0"/>
    <b v="1"/>
    <b v="0"/>
    <b v="0"/>
  </r>
  <r>
    <n v="2171758"/>
    <s v="123-001-101-017"/>
    <s v="Software Engineer"/>
    <x v="9"/>
    <d v="2023-06-08T00:00:00"/>
    <s v="Lisa Sanchez"/>
    <d v="2023-06-29T00:00:00"/>
    <x v="494"/>
    <s v="transfer"/>
    <x v="0"/>
    <b v="0"/>
    <b v="0"/>
    <b v="0"/>
    <b v="1"/>
    <b v="0"/>
    <b v="0"/>
  </r>
  <r>
    <n v="3834568"/>
    <s v="123-007-112-026"/>
    <s v="Business Analyst"/>
    <x v="3"/>
    <d v="2022-09-24T00:00:00"/>
    <s v="Edward Thomas"/>
    <d v="2022-10-05T00:00:00"/>
    <x v="529"/>
    <m/>
    <x v="0"/>
    <b v="0"/>
    <b v="0"/>
    <b v="0"/>
    <b v="0"/>
    <b v="0"/>
    <b v="0"/>
  </r>
  <r>
    <n v="8460359"/>
    <s v="123-008-111-002"/>
    <s v="Product Manager"/>
    <x v="4"/>
    <d v="2022-06-01T00:00:00"/>
    <s v="Edward Rodriguez"/>
    <d v="2022-06-18T00:00:00"/>
    <x v="530"/>
    <s v="transfer"/>
    <x v="0"/>
    <b v="0"/>
    <b v="0"/>
    <b v="0"/>
    <b v="1"/>
    <b v="0"/>
    <b v="0"/>
  </r>
  <r>
    <n v="6112711"/>
    <s v="123-008-116-011"/>
    <s v="Content Writer"/>
    <x v="4"/>
    <d v="2022-08-22T00:00:00"/>
    <s v="Thomas Green"/>
    <d v="2022-08-23T00:00:00"/>
    <x v="531"/>
    <m/>
    <x v="0"/>
    <b v="0"/>
    <b v="0"/>
    <b v="0"/>
    <b v="0"/>
    <b v="0"/>
    <b v="0"/>
  </r>
  <r>
    <n v="7109621"/>
    <s v="123-009-124-005"/>
    <s v="Compliance Officer"/>
    <x v="7"/>
    <d v="2022-06-09T00:00:00"/>
    <s v="Daniel Adams"/>
    <d v="2022-06-28T00:00:00"/>
    <x v="365"/>
    <s v="promo"/>
    <x v="0"/>
    <b v="0"/>
    <b v="0"/>
    <b v="0"/>
    <b v="0"/>
    <b v="1"/>
    <b v="0"/>
  </r>
  <r>
    <n v="7109621"/>
    <s v="123-009-124-006"/>
    <s v="Compliance Officer"/>
    <x v="7"/>
    <d v="2023-05-12T00:00:00"/>
    <s v="Matthew Parker"/>
    <d v="2023-06-02T00:00:00"/>
    <x v="327"/>
    <s v="new to org"/>
    <x v="0"/>
    <b v="0"/>
    <b v="0"/>
    <b v="0"/>
    <b v="0"/>
    <b v="0"/>
    <b v="1"/>
  </r>
  <r>
    <n v="7109621"/>
    <s v="123-009-124-007"/>
    <s v="Compliance Officer"/>
    <x v="7"/>
    <d v="2023-01-24T00:00:00"/>
    <s v="Barbara Walker"/>
    <d v="2023-01-25T00:00:00"/>
    <x v="171"/>
    <m/>
    <x v="0"/>
    <b v="0"/>
    <b v="0"/>
    <b v="0"/>
    <b v="0"/>
    <b v="0"/>
    <b v="0"/>
  </r>
  <r>
    <n v="7109621"/>
    <s v="123-009-124-008"/>
    <s v="Compliance Officer"/>
    <x v="7"/>
    <d v="2022-07-31T00:00:00"/>
    <s v="Joseph Martin"/>
    <d v="2022-08-08T00:00:00"/>
    <x v="80"/>
    <s v="new to org"/>
    <x v="0"/>
    <b v="0"/>
    <b v="0"/>
    <b v="0"/>
    <b v="0"/>
    <b v="0"/>
    <b v="1"/>
  </r>
  <r>
    <n v="4304141"/>
    <s v="123-008-112-007"/>
    <s v="Business Analyst"/>
    <x v="4"/>
    <d v="2023-06-21T00:00:00"/>
    <s v="Mason Mitchell"/>
    <d v="2023-07-20T00:00:00"/>
    <x v="252"/>
    <s v="transfer"/>
    <x v="0"/>
    <b v="0"/>
    <b v="0"/>
    <b v="0"/>
    <b v="1"/>
    <b v="0"/>
    <b v="0"/>
  </r>
  <r>
    <n v="4304141"/>
    <s v="123-008-112-008"/>
    <s v="Business Analyst"/>
    <x v="4"/>
    <d v="2023-02-13T00:00:00"/>
    <s v="Kevin Williams"/>
    <d v="2023-03-06T00:00:00"/>
    <x v="332"/>
    <s v="new to org"/>
    <x v="0"/>
    <b v="0"/>
    <b v="0"/>
    <b v="0"/>
    <b v="0"/>
    <b v="0"/>
    <b v="1"/>
  </r>
  <r>
    <n v="4304141"/>
    <s v="123-008-112-009"/>
    <s v="Business Analyst"/>
    <x v="4"/>
    <d v="2022-03-23T00:00:00"/>
    <s v="Sarah Scott"/>
    <d v="2022-04-18T00:00:00"/>
    <x v="166"/>
    <s v="transfer"/>
    <x v="0"/>
    <b v="0"/>
    <b v="0"/>
    <b v="0"/>
    <b v="1"/>
    <b v="0"/>
    <b v="0"/>
  </r>
  <r>
    <n v="4304141"/>
    <s v="123-008-112-010"/>
    <s v="Business Analyst"/>
    <x v="4"/>
    <d v="2022-07-07T00:00:00"/>
    <s v="Jessica Taylor"/>
    <d v="2022-07-30T00:00:00"/>
    <x v="513"/>
    <s v="promo"/>
    <x v="0"/>
    <b v="0"/>
    <b v="0"/>
    <b v="0"/>
    <b v="0"/>
    <b v="1"/>
    <b v="0"/>
  </r>
  <r>
    <n v="5111878"/>
    <s v="123-008-108-009"/>
    <s v="Customer Support Rep"/>
    <x v="4"/>
    <d v="2022-07-14T00:00:00"/>
    <s v="Jennifer Mitchell"/>
    <d v="2022-08-07T00:00:00"/>
    <x v="510"/>
    <s v="new to org"/>
    <x v="0"/>
    <b v="0"/>
    <b v="0"/>
    <b v="0"/>
    <b v="0"/>
    <b v="0"/>
    <b v="1"/>
  </r>
  <r>
    <n v="1857027"/>
    <s v="123-002-111-016"/>
    <s v="Product Manager"/>
    <x v="6"/>
    <d v="2022-07-22T00:00:00"/>
    <s v="Jennifer Walker"/>
    <d v="2022-07-26T00:00:00"/>
    <x v="484"/>
    <m/>
    <x v="0"/>
    <b v="0"/>
    <b v="0"/>
    <b v="0"/>
    <b v="0"/>
    <b v="0"/>
    <b v="0"/>
  </r>
  <r>
    <n v="1857027"/>
    <s v="123-002-111-017"/>
    <s v="Product Manager"/>
    <x v="6"/>
    <d v="2022-01-10T00:00:00"/>
    <s v="Karen Torres"/>
    <d v="2022-01-29T00:00:00"/>
    <x v="458"/>
    <m/>
    <x v="0"/>
    <b v="0"/>
    <b v="0"/>
    <b v="0"/>
    <b v="0"/>
    <b v="0"/>
    <b v="0"/>
  </r>
  <r>
    <n v="2871060"/>
    <s v="123-008-124-010"/>
    <s v="Compliance Officer"/>
    <x v="4"/>
    <d v="2023-02-21T00:00:00"/>
    <s v="James Taylor"/>
    <d v="2023-03-13T00:00:00"/>
    <x v="420"/>
    <m/>
    <x v="0"/>
    <b v="0"/>
    <b v="0"/>
    <b v="0"/>
    <b v="0"/>
    <b v="0"/>
    <b v="0"/>
  </r>
  <r>
    <n v="2871060"/>
    <s v="123-008-124-011"/>
    <s v="Compliance Officer"/>
    <x v="4"/>
    <d v="2023-05-10T00:00:00"/>
    <s v="Nancy Allen"/>
    <d v="2023-05-27T00:00:00"/>
    <x v="370"/>
    <s v="promo"/>
    <x v="0"/>
    <b v="0"/>
    <b v="0"/>
    <b v="0"/>
    <b v="0"/>
    <b v="1"/>
    <b v="0"/>
  </r>
  <r>
    <n v="6027079"/>
    <s v="123-009-109-003"/>
    <s v="IT Technician"/>
    <x v="7"/>
    <d v="2023-05-15T00:00:00"/>
    <s v="Edward Lopez"/>
    <d v="2023-05-16T00:00:00"/>
    <x v="386"/>
    <s v="transfer"/>
    <x v="0"/>
    <b v="0"/>
    <b v="0"/>
    <b v="0"/>
    <b v="1"/>
    <b v="0"/>
    <b v="0"/>
  </r>
  <r>
    <n v="9548795"/>
    <s v="123-008-116-014"/>
    <s v="Content Writer"/>
    <x v="4"/>
    <d v="2022-07-07T00:00:00"/>
    <s v="Nancy Green"/>
    <d v="2022-07-14T00:00:00"/>
    <x v="60"/>
    <m/>
    <x v="0"/>
    <b v="0"/>
    <b v="0"/>
    <b v="0"/>
    <b v="0"/>
    <b v="0"/>
    <b v="0"/>
  </r>
  <r>
    <n v="3593718"/>
    <s v="123-003-111-013"/>
    <s v="Product Manager"/>
    <x v="8"/>
    <d v="2022-06-10T00:00:00"/>
    <s v="Mia Hernandez"/>
    <d v="2022-06-21T00:00:00"/>
    <x v="347"/>
    <s v="promo"/>
    <x v="0"/>
    <b v="0"/>
    <b v="0"/>
    <b v="0"/>
    <b v="0"/>
    <b v="1"/>
    <b v="0"/>
  </r>
  <r>
    <n v="3593718"/>
    <s v="123-003-111-014"/>
    <s v="Product Manager"/>
    <x v="8"/>
    <d v="2022-10-03T00:00:00"/>
    <s v="Deborah Campbell"/>
    <d v="2022-10-11T00:00:00"/>
    <x v="27"/>
    <m/>
    <x v="0"/>
    <b v="0"/>
    <b v="0"/>
    <b v="0"/>
    <b v="0"/>
    <b v="0"/>
    <b v="0"/>
  </r>
  <r>
    <n v="5409982"/>
    <s v="123-005-116-014"/>
    <s v="Content Writer"/>
    <x v="0"/>
    <d v="2023-02-07T00:00:00"/>
    <s v="Karen Ramirez"/>
    <d v="2023-03-04T00:00:00"/>
    <x v="420"/>
    <m/>
    <x v="0"/>
    <b v="0"/>
    <b v="0"/>
    <b v="0"/>
    <b v="0"/>
    <b v="0"/>
    <b v="0"/>
  </r>
  <r>
    <n v="6932624"/>
    <s v="123-003-121-005"/>
    <s v="UX Designer"/>
    <x v="8"/>
    <d v="2022-07-27T00:00:00"/>
    <s v="Isabella Rivera"/>
    <d v="2022-08-03T00:00:00"/>
    <x v="104"/>
    <s v="transfer"/>
    <x v="0"/>
    <b v="0"/>
    <b v="0"/>
    <b v="0"/>
    <b v="1"/>
    <b v="0"/>
    <b v="0"/>
  </r>
  <r>
    <n v="6932624"/>
    <s v="123-003-121-006"/>
    <s v="UX Designer"/>
    <x v="8"/>
    <d v="2022-01-25T00:00:00"/>
    <s v="Mason White"/>
    <d v="2022-02-05T00:00:00"/>
    <x v="318"/>
    <s v="new to org"/>
    <x v="0"/>
    <b v="0"/>
    <b v="0"/>
    <b v="0"/>
    <b v="0"/>
    <b v="0"/>
    <b v="1"/>
  </r>
  <r>
    <n v="6932624"/>
    <s v="123-003-121-007"/>
    <s v="UX Designer"/>
    <x v="8"/>
    <d v="2022-07-24T00:00:00"/>
    <s v="Emily Scott"/>
    <d v="2022-08-19T00:00:00"/>
    <x v="60"/>
    <s v="new to org"/>
    <x v="0"/>
    <b v="0"/>
    <b v="0"/>
    <b v="0"/>
    <b v="0"/>
    <b v="0"/>
    <b v="1"/>
  </r>
  <r>
    <n v="6932624"/>
    <s v="123-003-121-008"/>
    <s v="UX Designer"/>
    <x v="8"/>
    <d v="2022-04-20T00:00:00"/>
    <s v="Mia Moore"/>
    <d v="2022-04-23T00:00:00"/>
    <x v="151"/>
    <m/>
    <x v="0"/>
    <b v="0"/>
    <b v="0"/>
    <b v="0"/>
    <b v="0"/>
    <b v="0"/>
    <b v="0"/>
  </r>
  <r>
    <n v="3691366"/>
    <s v="123-008-111-005"/>
    <s v="Product Manager"/>
    <x v="4"/>
    <d v="2023-02-04T00:00:00"/>
    <s v="Deborah Nelson"/>
    <d v="2023-02-27T00:00:00"/>
    <x v="234"/>
    <s v="transfer"/>
    <x v="0"/>
    <b v="0"/>
    <b v="0"/>
    <b v="0"/>
    <b v="1"/>
    <b v="0"/>
    <b v="0"/>
  </r>
  <r>
    <n v="3691366"/>
    <s v="123-008-111-006"/>
    <s v="Product Manager"/>
    <x v="4"/>
    <d v="2023-01-20T00:00:00"/>
    <s v="Sarah Hill"/>
    <d v="2023-01-22T00:00:00"/>
    <x v="139"/>
    <s v="promo"/>
    <x v="0"/>
    <b v="0"/>
    <b v="0"/>
    <b v="0"/>
    <b v="0"/>
    <b v="1"/>
    <b v="0"/>
  </r>
  <r>
    <n v="3691366"/>
    <s v="123-008-111-008"/>
    <s v="Product Manager"/>
    <x v="4"/>
    <d v="2022-03-17T00:00:00"/>
    <s v="Donald Rodriguez"/>
    <d v="2022-03-28T00:00:00"/>
    <x v="471"/>
    <s v="transfer"/>
    <x v="0"/>
    <b v="0"/>
    <b v="0"/>
    <b v="0"/>
    <b v="1"/>
    <b v="0"/>
    <b v="0"/>
  </r>
  <r>
    <n v="3691366"/>
    <s v="123-008-111-009"/>
    <s v="Product Manager"/>
    <x v="4"/>
    <d v="2022-11-03T00:00:00"/>
    <s v="Logan Martinez"/>
    <d v="2022-11-22T00:00:00"/>
    <x v="117"/>
    <s v="promo"/>
    <x v="0"/>
    <b v="0"/>
    <b v="0"/>
    <b v="0"/>
    <b v="0"/>
    <b v="1"/>
    <b v="0"/>
  </r>
  <r>
    <n v="2476481"/>
    <s v="123-004-115-008"/>
    <s v="Graphic Designer"/>
    <x v="1"/>
    <d v="2022-10-26T00:00:00"/>
    <s v="Emily King"/>
    <d v="2022-11-18T00:00:00"/>
    <x v="322"/>
    <s v="new to org"/>
    <x v="0"/>
    <b v="0"/>
    <b v="0"/>
    <b v="0"/>
    <b v="0"/>
    <b v="0"/>
    <b v="1"/>
  </r>
  <r>
    <n v="2476481"/>
    <s v="123-004-115-010"/>
    <s v="Graphic Designer"/>
    <x v="1"/>
    <d v="2022-08-08T00:00:00"/>
    <s v="Melissa Cruz"/>
    <d v="2022-08-14T00:00:00"/>
    <x v="17"/>
    <m/>
    <x v="0"/>
    <b v="0"/>
    <b v="0"/>
    <b v="0"/>
    <b v="0"/>
    <b v="0"/>
    <b v="0"/>
  </r>
  <r>
    <n v="8857213"/>
    <s v="123-008-108-011"/>
    <s v="Customer Support Rep"/>
    <x v="4"/>
    <d v="2023-02-25T00:00:00"/>
    <s v="William Davis"/>
    <d v="2023-03-11T00:00:00"/>
    <x v="162"/>
    <s v="transfer"/>
    <x v="0"/>
    <b v="0"/>
    <b v="0"/>
    <b v="0"/>
    <b v="1"/>
    <b v="0"/>
    <b v="0"/>
  </r>
  <r>
    <n v="8857213"/>
    <s v="123-008-108-012"/>
    <s v="Customer Support Rep"/>
    <x v="4"/>
    <d v="2022-03-03T00:00:00"/>
    <s v="Mason King"/>
    <d v="2022-04-02T00:00:00"/>
    <x v="317"/>
    <s v="transfer"/>
    <x v="0"/>
    <b v="0"/>
    <b v="0"/>
    <b v="0"/>
    <b v="1"/>
    <b v="0"/>
    <b v="0"/>
  </r>
  <r>
    <n v="7265860"/>
    <s v="123-010-101-003"/>
    <s v="Software Engineer"/>
    <x v="5"/>
    <d v="2023-05-19T00:00:00"/>
    <s v="Sophia Wright"/>
    <d v="2023-05-29T00:00:00"/>
    <x v="167"/>
    <s v="new to org"/>
    <x v="0"/>
    <b v="0"/>
    <b v="0"/>
    <b v="0"/>
    <b v="0"/>
    <b v="0"/>
    <b v="1"/>
  </r>
  <r>
    <n v="7265860"/>
    <s v="123-010-101-004"/>
    <s v="Software Engineer"/>
    <x v="5"/>
    <d v="2022-04-05T00:00:00"/>
    <s v="Melissa Jones"/>
    <d v="2022-04-23T00:00:00"/>
    <x v="482"/>
    <s v="transfer"/>
    <x v="0"/>
    <b v="0"/>
    <b v="0"/>
    <b v="0"/>
    <b v="1"/>
    <b v="0"/>
    <b v="0"/>
  </r>
  <r>
    <n v="7265860"/>
    <s v="123-010-101-006"/>
    <s v="Software Engineer"/>
    <x v="5"/>
    <d v="2022-07-15T00:00:00"/>
    <s v="Michelle Adams"/>
    <d v="2022-08-09T00:00:00"/>
    <x v="217"/>
    <m/>
    <x v="0"/>
    <b v="0"/>
    <b v="0"/>
    <b v="0"/>
    <b v="0"/>
    <b v="0"/>
    <b v="0"/>
  </r>
  <r>
    <n v="8230086"/>
    <s v="123-005-127-004"/>
    <s v="Training Coordinator"/>
    <x v="0"/>
    <d v="2022-03-16T00:00:00"/>
    <s v="Carol Perez"/>
    <d v="2022-03-22T00:00:00"/>
    <x v="25"/>
    <s v="promo"/>
    <x v="0"/>
    <b v="0"/>
    <b v="0"/>
    <b v="0"/>
    <b v="0"/>
    <b v="1"/>
    <b v="0"/>
  </r>
  <r>
    <n v="8230086"/>
    <s v="123-005-127-005"/>
    <s v="Training Coordinator"/>
    <x v="0"/>
    <d v="2023-03-19T00:00:00"/>
    <s v="Kimberly Roberts"/>
    <d v="2023-04-17T00:00:00"/>
    <x v="265"/>
    <m/>
    <x v="0"/>
    <b v="0"/>
    <b v="0"/>
    <b v="0"/>
    <b v="0"/>
    <b v="0"/>
    <b v="0"/>
  </r>
  <r>
    <n v="8230086"/>
    <s v="123-005-127-006"/>
    <s v="Training Coordinator"/>
    <x v="0"/>
    <d v="2023-02-04T00:00:00"/>
    <s v="James Flores"/>
    <d v="2023-02-05T00:00:00"/>
    <x v="64"/>
    <s v="new to org"/>
    <x v="0"/>
    <b v="0"/>
    <b v="0"/>
    <b v="0"/>
    <b v="0"/>
    <b v="0"/>
    <b v="1"/>
  </r>
  <r>
    <n v="4739473"/>
    <s v="123-006-119-006"/>
    <s v="Account Manager"/>
    <x v="2"/>
    <d v="2022-12-30T00:00:00"/>
    <s v="Deborah Evans"/>
    <d v="2023-01-28T00:00:00"/>
    <x v="61"/>
    <s v="promo"/>
    <x v="0"/>
    <b v="0"/>
    <b v="0"/>
    <b v="0"/>
    <b v="0"/>
    <b v="1"/>
    <b v="0"/>
  </r>
  <r>
    <n v="4739473"/>
    <s v="123-006-119-007"/>
    <s v="Account Manager"/>
    <x v="2"/>
    <d v="2022-06-01T00:00:00"/>
    <s v="Richard Roberts"/>
    <d v="2022-06-08T00:00:00"/>
    <x v="373"/>
    <s v="promo"/>
    <x v="0"/>
    <b v="0"/>
    <b v="0"/>
    <b v="0"/>
    <b v="0"/>
    <b v="1"/>
    <b v="0"/>
  </r>
  <r>
    <n v="4739473"/>
    <s v="123-006-119-010"/>
    <s v="Account Manager"/>
    <x v="2"/>
    <d v="2022-07-26T00:00:00"/>
    <s v="Kevin Wilson"/>
    <d v="2022-08-05T00:00:00"/>
    <x v="379"/>
    <s v="promo"/>
    <x v="0"/>
    <b v="0"/>
    <b v="0"/>
    <b v="0"/>
    <b v="0"/>
    <b v="1"/>
    <b v="0"/>
  </r>
  <r>
    <n v="8118298"/>
    <s v="123-004-109-007"/>
    <s v="IT Technician"/>
    <x v="1"/>
    <d v="2023-03-27T00:00:00"/>
    <s v="William Cruz"/>
    <d v="2023-03-31T00:00:00"/>
    <x v="499"/>
    <s v="transfer"/>
    <x v="0"/>
    <b v="0"/>
    <b v="0"/>
    <b v="0"/>
    <b v="1"/>
    <b v="0"/>
    <b v="0"/>
  </r>
  <r>
    <n v="8118298"/>
    <s v="123-004-109-008"/>
    <s v="IT Technician"/>
    <x v="1"/>
    <d v="2022-08-02T00:00:00"/>
    <s v="Mark Parker"/>
    <d v="2022-08-15T00:00:00"/>
    <x v="352"/>
    <s v="transfer"/>
    <x v="0"/>
    <b v="0"/>
    <b v="0"/>
    <b v="0"/>
    <b v="1"/>
    <b v="0"/>
    <b v="0"/>
  </r>
  <r>
    <n v="8496267"/>
    <s v="123-007-115-010"/>
    <s v="Graphic Designer"/>
    <x v="3"/>
    <d v="2022-08-03T00:00:00"/>
    <s v="David Carter"/>
    <d v="2022-08-07T00:00:00"/>
    <x v="187"/>
    <s v="transfer"/>
    <x v="0"/>
    <b v="0"/>
    <b v="0"/>
    <b v="0"/>
    <b v="1"/>
    <b v="0"/>
    <b v="0"/>
  </r>
  <r>
    <n v="7012792"/>
    <s v="123-006-124-008"/>
    <s v="Compliance Officer"/>
    <x v="2"/>
    <d v="2022-01-17T00:00:00"/>
    <s v="Charlotte Robinson"/>
    <d v="2022-01-18T00:00:00"/>
    <x v="148"/>
    <s v="transfer"/>
    <x v="0"/>
    <b v="0"/>
    <b v="0"/>
    <b v="0"/>
    <b v="1"/>
    <b v="0"/>
    <b v="0"/>
  </r>
  <r>
    <n v="7012792"/>
    <s v="123-006-124-009"/>
    <s v="Compliance Officer"/>
    <x v="2"/>
    <d v="2022-12-30T00:00:00"/>
    <s v="Mia Miller"/>
    <d v="2023-01-11T00:00:00"/>
    <x v="419"/>
    <m/>
    <x v="0"/>
    <b v="0"/>
    <b v="0"/>
    <b v="0"/>
    <b v="0"/>
    <b v="0"/>
    <b v="0"/>
  </r>
  <r>
    <n v="7012792"/>
    <s v="123-006-124-010"/>
    <s v="Compliance Officer"/>
    <x v="2"/>
    <d v="2022-11-04T00:00:00"/>
    <s v="Charlotte Diaz"/>
    <d v="2022-11-12T00:00:00"/>
    <x v="311"/>
    <m/>
    <x v="0"/>
    <b v="0"/>
    <b v="0"/>
    <b v="0"/>
    <b v="0"/>
    <b v="0"/>
    <b v="0"/>
  </r>
  <r>
    <n v="2416860"/>
    <s v="123-007-121-007"/>
    <s v="UX Designer"/>
    <x v="3"/>
    <d v="2022-09-12T00:00:00"/>
    <s v="Robert Martinez"/>
    <d v="2022-09-18T00:00:00"/>
    <x v="364"/>
    <s v="new to org"/>
    <x v="0"/>
    <b v="0"/>
    <b v="0"/>
    <b v="0"/>
    <b v="0"/>
    <b v="0"/>
    <b v="1"/>
  </r>
  <r>
    <n v="2416860"/>
    <s v="123-007-121-009"/>
    <s v="UX Designer"/>
    <x v="3"/>
    <d v="2022-08-03T00:00:00"/>
    <s v="Patricia Hill"/>
    <d v="2022-08-31T00:00:00"/>
    <x v="73"/>
    <s v="transfer"/>
    <x v="0"/>
    <b v="0"/>
    <b v="0"/>
    <b v="0"/>
    <b v="1"/>
    <b v="0"/>
    <b v="0"/>
  </r>
  <r>
    <n v="7960470"/>
    <s v="123-003-127-008"/>
    <s v="Training Coordinator"/>
    <x v="8"/>
    <d v="2022-04-23T00:00:00"/>
    <s v="Lisa Cruz"/>
    <d v="2022-05-19T00:00:00"/>
    <x v="441"/>
    <s v="promo"/>
    <x v="0"/>
    <b v="0"/>
    <b v="0"/>
    <b v="0"/>
    <b v="0"/>
    <b v="1"/>
    <b v="0"/>
  </r>
  <r>
    <n v="7960470"/>
    <s v="123-003-127-010"/>
    <s v="Training Coordinator"/>
    <x v="8"/>
    <d v="2022-01-30T00:00:00"/>
    <s v="Michelle Lee"/>
    <d v="2022-02-25T00:00:00"/>
    <x v="434"/>
    <s v="new to org"/>
    <x v="0"/>
    <b v="0"/>
    <b v="0"/>
    <b v="0"/>
    <b v="0"/>
    <b v="0"/>
    <b v="1"/>
  </r>
  <r>
    <n v="6563023"/>
    <s v="123-008-101-009"/>
    <s v="Software Engineer"/>
    <x v="4"/>
    <d v="2022-02-17T00:00:00"/>
    <s v="Ava Clark"/>
    <d v="2022-03-07T00:00:00"/>
    <x v="454"/>
    <s v="promo"/>
    <x v="0"/>
    <b v="0"/>
    <b v="0"/>
    <b v="0"/>
    <b v="0"/>
    <b v="1"/>
    <b v="0"/>
  </r>
  <r>
    <n v="6416968"/>
    <s v="123-009-122-004"/>
    <s v="DevOps Engineer"/>
    <x v="7"/>
    <d v="2022-07-20T00:00:00"/>
    <s v="Donald Young"/>
    <d v="2022-07-25T00:00:00"/>
    <x v="532"/>
    <s v="transfer"/>
    <x v="0"/>
    <b v="0"/>
    <b v="0"/>
    <b v="0"/>
    <b v="1"/>
    <b v="0"/>
    <b v="0"/>
  </r>
  <r>
    <n v="6416968"/>
    <s v="123-009-122-005"/>
    <s v="DevOps Engineer"/>
    <x v="7"/>
    <d v="2022-03-26T00:00:00"/>
    <s v="Joseph Nelson"/>
    <d v="2022-04-19T00:00:00"/>
    <x v="297"/>
    <s v="promo"/>
    <x v="0"/>
    <b v="0"/>
    <b v="0"/>
    <b v="0"/>
    <b v="0"/>
    <b v="1"/>
    <b v="0"/>
  </r>
  <r>
    <n v="6416968"/>
    <s v="123-009-122-006"/>
    <s v="DevOps Engineer"/>
    <x v="7"/>
    <d v="2022-04-18T00:00:00"/>
    <s v="Olivia Flores"/>
    <d v="2022-04-26T00:00:00"/>
    <x v="244"/>
    <s v="new to org"/>
    <x v="0"/>
    <b v="0"/>
    <b v="0"/>
    <b v="0"/>
    <b v="0"/>
    <b v="0"/>
    <b v="1"/>
  </r>
  <r>
    <n v="5205556"/>
    <s v="123-005-106-013"/>
    <s v="Marketing Coordinator"/>
    <x v="0"/>
    <d v="2023-06-17T00:00:00"/>
    <s v="Kevin Nguyen"/>
    <d v="2023-07-04T00:00:00"/>
    <x v="494"/>
    <m/>
    <x v="0"/>
    <b v="0"/>
    <b v="0"/>
    <b v="0"/>
    <b v="0"/>
    <b v="0"/>
    <b v="0"/>
  </r>
  <r>
    <n v="5205556"/>
    <s v="123-005-106-014"/>
    <s v="Marketing Coordinator"/>
    <x v="0"/>
    <d v="2022-05-15T00:00:00"/>
    <s v="Edward Edwards"/>
    <d v="2022-05-26T00:00:00"/>
    <x v="526"/>
    <s v="new to org"/>
    <x v="0"/>
    <b v="0"/>
    <b v="0"/>
    <b v="0"/>
    <b v="0"/>
    <b v="0"/>
    <b v="1"/>
  </r>
  <r>
    <n v="5205556"/>
    <s v="123-005-106-015"/>
    <s v="Marketing Coordinator"/>
    <x v="0"/>
    <d v="2022-02-05T00:00:00"/>
    <s v="Donna Mitchell"/>
    <d v="2022-03-01T00:00:00"/>
    <x v="3"/>
    <s v="promo"/>
    <x v="0"/>
    <b v="0"/>
    <b v="0"/>
    <b v="0"/>
    <b v="0"/>
    <b v="1"/>
    <b v="0"/>
  </r>
  <r>
    <n v="7459731"/>
    <s v="123-001-121-002"/>
    <s v="UX Designer"/>
    <x v="9"/>
    <d v="2022-02-04T00:00:00"/>
    <s v="Elizabeth Green"/>
    <d v="2022-03-03T00:00:00"/>
    <x v="192"/>
    <s v="transfer"/>
    <x v="0"/>
    <b v="0"/>
    <b v="0"/>
    <b v="0"/>
    <b v="1"/>
    <b v="0"/>
    <b v="0"/>
  </r>
  <r>
    <n v="9066089"/>
    <s v="123-006-116-008"/>
    <s v="Content Writer"/>
    <x v="2"/>
    <d v="2023-04-10T00:00:00"/>
    <s v="Mark Wilson"/>
    <d v="2023-04-30T00:00:00"/>
    <x v="188"/>
    <m/>
    <x v="0"/>
    <b v="0"/>
    <b v="0"/>
    <b v="0"/>
    <b v="0"/>
    <b v="0"/>
    <b v="0"/>
  </r>
  <r>
    <n v="9066089"/>
    <s v="123-006-116-009"/>
    <s v="Content Writer"/>
    <x v="2"/>
    <d v="2023-06-11T00:00:00"/>
    <s v="Melissa Moore"/>
    <d v="2023-07-11T00:00:00"/>
    <x v="356"/>
    <s v="transfer"/>
    <x v="0"/>
    <b v="0"/>
    <b v="0"/>
    <b v="0"/>
    <b v="1"/>
    <b v="0"/>
    <b v="0"/>
  </r>
  <r>
    <n v="6658193"/>
    <s v="123-003-129-012"/>
    <s v="Supply Chain Manager"/>
    <x v="8"/>
    <d v="2023-01-10T00:00:00"/>
    <s v="John Gomez"/>
    <d v="2023-01-24T00:00:00"/>
    <x v="323"/>
    <s v="new to org"/>
    <x v="0"/>
    <b v="0"/>
    <b v="0"/>
    <b v="0"/>
    <b v="0"/>
    <b v="0"/>
    <b v="1"/>
  </r>
  <r>
    <n v="4810526"/>
    <s v="123-002-115-013"/>
    <s v="Graphic Designer"/>
    <x v="6"/>
    <d v="2022-12-22T00:00:00"/>
    <s v="William Parker"/>
    <d v="2023-01-01T00:00:00"/>
    <x v="120"/>
    <s v="new to org"/>
    <x v="0"/>
    <b v="0"/>
    <b v="0"/>
    <b v="0"/>
    <b v="0"/>
    <b v="0"/>
    <b v="1"/>
  </r>
  <r>
    <n v="8317619"/>
    <s v="123-002-118-003"/>
    <s v="Network Engineer"/>
    <x v="6"/>
    <d v="2022-06-05T00:00:00"/>
    <s v="Kimberly Hill"/>
    <d v="2022-06-24T00:00:00"/>
    <x v="352"/>
    <s v="new to org"/>
    <x v="0"/>
    <b v="0"/>
    <b v="0"/>
    <b v="0"/>
    <b v="0"/>
    <b v="0"/>
    <b v="1"/>
  </r>
  <r>
    <n v="8317619"/>
    <s v="123-002-118-004"/>
    <s v="Network Engineer"/>
    <x v="6"/>
    <d v="2023-01-07T00:00:00"/>
    <s v="Ethan Wright"/>
    <d v="2023-01-25T00:00:00"/>
    <x v="285"/>
    <s v="transfer"/>
    <x v="0"/>
    <b v="0"/>
    <b v="0"/>
    <b v="0"/>
    <b v="1"/>
    <b v="0"/>
    <b v="0"/>
  </r>
  <r>
    <n v="8317619"/>
    <s v="123-002-118-005"/>
    <s v="Network Engineer"/>
    <x v="6"/>
    <d v="2022-04-13T00:00:00"/>
    <s v="Lisa Hernandez"/>
    <d v="2022-05-05T00:00:00"/>
    <x v="289"/>
    <s v="promo"/>
    <x v="0"/>
    <b v="0"/>
    <b v="0"/>
    <b v="0"/>
    <b v="0"/>
    <b v="1"/>
    <b v="0"/>
  </r>
  <r>
    <n v="4795970"/>
    <s v="123-003-127-011"/>
    <s v="Training Coordinator"/>
    <x v="8"/>
    <d v="2022-10-13T00:00:00"/>
    <s v="Mia Gonzalez"/>
    <d v="2022-10-15T00:00:00"/>
    <x v="411"/>
    <m/>
    <x v="0"/>
    <b v="0"/>
    <b v="0"/>
    <b v="0"/>
    <b v="0"/>
    <b v="0"/>
    <b v="0"/>
  </r>
  <r>
    <n v="4795970"/>
    <s v="123-003-127-013"/>
    <s v="Training Coordinator"/>
    <x v="8"/>
    <d v="2022-11-04T00:00:00"/>
    <s v="William Campbell"/>
    <d v="2022-11-05T00:00:00"/>
    <x v="411"/>
    <s v="new to org"/>
    <x v="0"/>
    <b v="0"/>
    <b v="0"/>
    <b v="0"/>
    <b v="0"/>
    <b v="0"/>
    <b v="1"/>
  </r>
  <r>
    <n v="4795970"/>
    <s v="123-003-127-015"/>
    <s v="Training Coordinator"/>
    <x v="8"/>
    <d v="2023-02-25T00:00:00"/>
    <s v="Patricia Carter"/>
    <d v="2023-03-02T00:00:00"/>
    <x v="185"/>
    <s v="transfer"/>
    <x v="0"/>
    <b v="0"/>
    <b v="0"/>
    <b v="0"/>
    <b v="1"/>
    <b v="0"/>
    <b v="0"/>
  </r>
  <r>
    <n v="9068702"/>
    <s v="123-003-127-017"/>
    <s v="Training Coordinator"/>
    <x v="8"/>
    <d v="2022-03-14T00:00:00"/>
    <s v="Mason Thompson"/>
    <d v="2022-03-22T00:00:00"/>
    <x v="24"/>
    <s v="promo"/>
    <x v="0"/>
    <b v="0"/>
    <b v="0"/>
    <b v="0"/>
    <b v="0"/>
    <b v="1"/>
    <b v="0"/>
  </r>
  <r>
    <n v="3356197"/>
    <s v="123-007-129-008"/>
    <s v="Supply Chain Manager"/>
    <x v="3"/>
    <d v="2022-05-26T00:00:00"/>
    <s v="Susan Lewis"/>
    <d v="2022-06-17T00:00:00"/>
    <x v="277"/>
    <s v="promo"/>
    <x v="0"/>
    <b v="0"/>
    <b v="0"/>
    <b v="0"/>
    <b v="0"/>
    <b v="1"/>
    <b v="0"/>
  </r>
  <r>
    <n v="6494025"/>
    <s v="123-002-101-011"/>
    <s v="Software Engineer"/>
    <x v="6"/>
    <d v="2023-04-11T00:00:00"/>
    <s v="Isabella Davis"/>
    <d v="2023-04-16T00:00:00"/>
    <x v="514"/>
    <s v="new to org"/>
    <x v="0"/>
    <b v="0"/>
    <b v="0"/>
    <b v="0"/>
    <b v="0"/>
    <b v="0"/>
    <b v="1"/>
  </r>
  <r>
    <n v="6494025"/>
    <s v="123-002-101-012"/>
    <s v="Software Engineer"/>
    <x v="6"/>
    <d v="2022-02-11T00:00:00"/>
    <s v="Olivia Moore"/>
    <d v="2022-02-24T00:00:00"/>
    <x v="292"/>
    <s v="new to org"/>
    <x v="0"/>
    <b v="0"/>
    <b v="0"/>
    <b v="0"/>
    <b v="0"/>
    <b v="0"/>
    <b v="1"/>
  </r>
  <r>
    <n v="6494025"/>
    <s v="123-002-101-013"/>
    <s v="Software Engineer"/>
    <x v="6"/>
    <d v="2023-03-13T00:00:00"/>
    <s v="Kenneth Robinson"/>
    <d v="2023-04-01T00:00:00"/>
    <x v="363"/>
    <s v="transfer"/>
    <x v="0"/>
    <b v="0"/>
    <b v="0"/>
    <b v="0"/>
    <b v="1"/>
    <b v="0"/>
    <b v="0"/>
  </r>
  <r>
    <n v="6494025"/>
    <s v="123-002-101-014"/>
    <s v="Software Engineer"/>
    <x v="6"/>
    <d v="2022-08-19T00:00:00"/>
    <s v="Edward Jackson"/>
    <d v="2022-09-05T00:00:00"/>
    <x v="269"/>
    <m/>
    <x v="0"/>
    <b v="0"/>
    <b v="0"/>
    <b v="0"/>
    <b v="0"/>
    <b v="0"/>
    <b v="0"/>
  </r>
  <r>
    <n v="2486007"/>
    <s v="123-010-124-012"/>
    <s v="Compliance Officer"/>
    <x v="5"/>
    <d v="2023-05-22T00:00:00"/>
    <s v="Logan Diaz"/>
    <d v="2023-06-18T00:00:00"/>
    <x v="356"/>
    <s v="promo"/>
    <x v="0"/>
    <b v="0"/>
    <b v="0"/>
    <b v="0"/>
    <b v="0"/>
    <b v="1"/>
    <b v="0"/>
  </r>
  <r>
    <n v="2486007"/>
    <s v="123-010-124-013"/>
    <s v="Compliance Officer"/>
    <x v="5"/>
    <d v="2022-04-18T00:00:00"/>
    <s v="Patricia Green"/>
    <d v="2022-05-16T00:00:00"/>
    <x v="277"/>
    <m/>
    <x v="0"/>
    <b v="0"/>
    <b v="0"/>
    <b v="0"/>
    <b v="0"/>
    <b v="0"/>
    <b v="0"/>
  </r>
  <r>
    <n v="2486007"/>
    <s v="123-010-124-016"/>
    <s v="Compliance Officer"/>
    <x v="5"/>
    <d v="2022-04-14T00:00:00"/>
    <s v="Jennifer Smith"/>
    <d v="2022-05-07T00:00:00"/>
    <x v="373"/>
    <s v="new to org"/>
    <x v="0"/>
    <b v="0"/>
    <b v="0"/>
    <b v="0"/>
    <b v="0"/>
    <b v="0"/>
    <b v="1"/>
  </r>
  <r>
    <n v="9146156"/>
    <s v="123-010-108-006"/>
    <s v="Customer Support Rep"/>
    <x v="5"/>
    <d v="2023-01-20T00:00:00"/>
    <s v="Emily Hill"/>
    <d v="2023-02-09T00:00:00"/>
    <x v="533"/>
    <m/>
    <x v="0"/>
    <b v="0"/>
    <b v="0"/>
    <b v="0"/>
    <b v="0"/>
    <b v="0"/>
    <b v="0"/>
  </r>
  <r>
    <n v="9146156"/>
    <s v="123-010-108-007"/>
    <s v="Customer Support Rep"/>
    <x v="5"/>
    <d v="2022-04-21T00:00:00"/>
    <s v="Robert Hill"/>
    <d v="2022-05-10T00:00:00"/>
    <x v="343"/>
    <m/>
    <x v="0"/>
    <b v="0"/>
    <b v="0"/>
    <b v="0"/>
    <b v="0"/>
    <b v="0"/>
    <b v="0"/>
  </r>
  <r>
    <n v="9146156"/>
    <s v="123-010-108-008"/>
    <s v="Customer Support Rep"/>
    <x v="5"/>
    <d v="2022-05-01T00:00:00"/>
    <s v="Andrew Miller"/>
    <d v="2022-05-26T00:00:00"/>
    <x v="146"/>
    <s v="transfer"/>
    <x v="0"/>
    <b v="0"/>
    <b v="0"/>
    <b v="0"/>
    <b v="1"/>
    <b v="0"/>
    <b v="0"/>
  </r>
  <r>
    <n v="7051555"/>
    <s v="123-010-119-014"/>
    <s v="Account Manager"/>
    <x v="5"/>
    <d v="2023-03-27T00:00:00"/>
    <s v="Daniel Adams"/>
    <d v="2023-04-24T00:00:00"/>
    <x v="499"/>
    <s v="transfer"/>
    <x v="0"/>
    <b v="0"/>
    <b v="0"/>
    <b v="0"/>
    <b v="1"/>
    <b v="0"/>
    <b v="0"/>
  </r>
  <r>
    <n v="7051555"/>
    <s v="123-010-119-015"/>
    <s v="Account Manager"/>
    <x v="5"/>
    <d v="2023-03-19T00:00:00"/>
    <s v="Charlotte Sanchez"/>
    <d v="2023-04-10T00:00:00"/>
    <x v="251"/>
    <s v="transfer"/>
    <x v="0"/>
    <b v="0"/>
    <b v="0"/>
    <b v="0"/>
    <b v="1"/>
    <b v="0"/>
    <b v="0"/>
  </r>
  <r>
    <n v="7051555"/>
    <s v="123-010-119-017"/>
    <s v="Account Manager"/>
    <x v="5"/>
    <d v="2023-02-27T00:00:00"/>
    <s v="Charles Collins"/>
    <d v="2023-03-25T00:00:00"/>
    <x v="444"/>
    <s v="transfer"/>
    <x v="0"/>
    <b v="0"/>
    <b v="0"/>
    <b v="0"/>
    <b v="1"/>
    <b v="0"/>
    <b v="0"/>
  </r>
  <r>
    <n v="8660865"/>
    <s v="123-005-128-001"/>
    <s v="Payroll Specialist"/>
    <x v="0"/>
    <d v="2022-10-11T00:00:00"/>
    <s v="Daniel Thomas"/>
    <d v="2022-10-26T00:00:00"/>
    <x v="464"/>
    <s v="new to org"/>
    <x v="0"/>
    <b v="0"/>
    <b v="0"/>
    <b v="0"/>
    <b v="0"/>
    <b v="0"/>
    <b v="1"/>
  </r>
  <r>
    <n v="8660865"/>
    <s v="123-005-128-003"/>
    <s v="Payroll Specialist"/>
    <x v="0"/>
    <d v="2022-11-26T00:00:00"/>
    <s v="Emily Roberts"/>
    <d v="2022-12-20T00:00:00"/>
    <x v="29"/>
    <s v="promo"/>
    <x v="0"/>
    <b v="0"/>
    <b v="0"/>
    <b v="0"/>
    <b v="0"/>
    <b v="1"/>
    <b v="0"/>
  </r>
  <r>
    <n v="6847516"/>
    <s v="123-003-125-011"/>
    <s v="Security Analyst"/>
    <x v="8"/>
    <d v="2022-08-22T00:00:00"/>
    <s v="Daniel Flores"/>
    <d v="2022-09-02T00:00:00"/>
    <x v="268"/>
    <s v="new to org"/>
    <x v="0"/>
    <b v="0"/>
    <b v="0"/>
    <b v="0"/>
    <b v="0"/>
    <b v="0"/>
    <b v="1"/>
  </r>
  <r>
    <n v="6847516"/>
    <s v="123-003-125-012"/>
    <s v="Security Analyst"/>
    <x v="8"/>
    <d v="2022-11-17T00:00:00"/>
    <s v="Kenneth Sanchez"/>
    <d v="2022-12-07T00:00:00"/>
    <x v="56"/>
    <s v="transfer"/>
    <x v="0"/>
    <b v="0"/>
    <b v="0"/>
    <b v="0"/>
    <b v="1"/>
    <b v="0"/>
    <b v="0"/>
  </r>
  <r>
    <n v="6847516"/>
    <s v="123-003-125-013"/>
    <s v="Security Analyst"/>
    <x v="8"/>
    <d v="2023-05-13T00:00:00"/>
    <s v="Richard Taylor"/>
    <d v="2023-05-25T00:00:00"/>
    <x v="47"/>
    <m/>
    <x v="0"/>
    <b v="0"/>
    <b v="0"/>
    <b v="0"/>
    <b v="0"/>
    <b v="0"/>
    <b v="0"/>
  </r>
  <r>
    <n v="6847516"/>
    <s v="123-003-125-014"/>
    <s v="Security Analyst"/>
    <x v="8"/>
    <d v="2022-06-22T00:00:00"/>
    <s v="Edward Hernandez"/>
    <d v="2022-07-03T00:00:00"/>
    <x v="277"/>
    <s v="new to org"/>
    <x v="0"/>
    <b v="0"/>
    <b v="0"/>
    <b v="0"/>
    <b v="0"/>
    <b v="0"/>
    <b v="1"/>
  </r>
  <r>
    <n v="2870334"/>
    <s v="123-010-107-004"/>
    <s v="Sales Associate"/>
    <x v="5"/>
    <d v="2022-07-02T00:00:00"/>
    <s v="Edward Scott"/>
    <d v="2022-07-15T00:00:00"/>
    <x v="230"/>
    <s v="new to org"/>
    <x v="0"/>
    <b v="0"/>
    <b v="0"/>
    <b v="0"/>
    <b v="0"/>
    <b v="0"/>
    <b v="1"/>
  </r>
  <r>
    <n v="2870334"/>
    <s v="123-010-107-005"/>
    <s v="Sales Associate"/>
    <x v="5"/>
    <d v="2023-02-19T00:00:00"/>
    <s v="Jennifer Garcia"/>
    <d v="2023-03-19T00:00:00"/>
    <x v="161"/>
    <s v="promo"/>
    <x v="0"/>
    <b v="0"/>
    <b v="0"/>
    <b v="0"/>
    <b v="0"/>
    <b v="1"/>
    <b v="0"/>
  </r>
  <r>
    <n v="3231911"/>
    <s v="123-007-130-002"/>
    <s v="Biomedical Engineer"/>
    <x v="3"/>
    <d v="2022-03-26T00:00:00"/>
    <s v="Michelle Torres"/>
    <d v="2022-04-06T00:00:00"/>
    <x v="245"/>
    <s v="new to org"/>
    <x v="0"/>
    <b v="0"/>
    <b v="0"/>
    <b v="0"/>
    <b v="0"/>
    <b v="0"/>
    <b v="1"/>
  </r>
  <r>
    <n v="8424522"/>
    <s v="123-001-127-013"/>
    <s v="Training Coordinator"/>
    <x v="9"/>
    <d v="2022-08-18T00:00:00"/>
    <s v="Mary Young"/>
    <d v="2022-09-14T00:00:00"/>
    <x v="359"/>
    <s v="new to org"/>
    <x v="0"/>
    <b v="0"/>
    <b v="0"/>
    <b v="0"/>
    <b v="0"/>
    <b v="0"/>
    <b v="1"/>
  </r>
  <r>
    <n v="8424522"/>
    <s v="123-001-127-014"/>
    <s v="Training Coordinator"/>
    <x v="9"/>
    <d v="2023-03-27T00:00:00"/>
    <s v="Olivia Anderson"/>
    <d v="2023-04-17T00:00:00"/>
    <x v="251"/>
    <s v="promo"/>
    <x v="0"/>
    <b v="0"/>
    <b v="0"/>
    <b v="0"/>
    <b v="0"/>
    <b v="1"/>
    <b v="0"/>
  </r>
  <r>
    <n v="4623343"/>
    <s v="123-001-105-019"/>
    <s v="Financial Analyst"/>
    <x v="9"/>
    <d v="2023-06-16T00:00:00"/>
    <s v="Anthony Lopez"/>
    <d v="2023-07-05T00:00:00"/>
    <x v="246"/>
    <s v="promo"/>
    <x v="0"/>
    <b v="0"/>
    <b v="0"/>
    <b v="0"/>
    <b v="0"/>
    <b v="1"/>
    <b v="0"/>
  </r>
  <r>
    <n v="4623343"/>
    <s v="123-001-105-020"/>
    <s v="Financial Analyst"/>
    <x v="9"/>
    <d v="2023-01-08T00:00:00"/>
    <s v="Melissa Taylor"/>
    <d v="2023-02-03T00:00:00"/>
    <x v="444"/>
    <m/>
    <x v="0"/>
    <b v="0"/>
    <b v="0"/>
    <b v="0"/>
    <b v="0"/>
    <b v="0"/>
    <b v="0"/>
  </r>
  <r>
    <n v="5421758"/>
    <s v="123-006-114-004"/>
    <s v="Research Analyst"/>
    <x v="2"/>
    <d v="2023-01-01T00:00:00"/>
    <s v="Christopher Wright"/>
    <d v="2023-01-04T00:00:00"/>
    <x v="362"/>
    <s v="promo"/>
    <x v="0"/>
    <b v="0"/>
    <b v="0"/>
    <b v="0"/>
    <b v="0"/>
    <b v="1"/>
    <b v="0"/>
  </r>
  <r>
    <n v="5421758"/>
    <s v="123-006-114-006"/>
    <s v="Research Analyst"/>
    <x v="2"/>
    <d v="2023-06-04T00:00:00"/>
    <s v="Michael Collins"/>
    <d v="2023-06-27T00:00:00"/>
    <x v="62"/>
    <s v="promo"/>
    <x v="0"/>
    <b v="0"/>
    <b v="0"/>
    <b v="0"/>
    <b v="0"/>
    <b v="1"/>
    <b v="0"/>
  </r>
  <r>
    <n v="9981848"/>
    <s v="123-002-111-018"/>
    <s v="Product Manager"/>
    <x v="6"/>
    <d v="2022-02-24T00:00:00"/>
    <s v="Sandra Moore"/>
    <d v="2022-03-11T00:00:00"/>
    <x v="410"/>
    <s v="promo"/>
    <x v="0"/>
    <b v="0"/>
    <b v="0"/>
    <b v="0"/>
    <b v="0"/>
    <b v="1"/>
    <b v="0"/>
  </r>
  <r>
    <n v="9981848"/>
    <s v="123-002-111-019"/>
    <s v="Product Manager"/>
    <x v="6"/>
    <d v="2022-01-23T00:00:00"/>
    <s v="John Hernandez"/>
    <d v="2022-02-10T00:00:00"/>
    <x v="72"/>
    <m/>
    <x v="0"/>
    <b v="0"/>
    <b v="0"/>
    <b v="0"/>
    <b v="0"/>
    <b v="0"/>
    <b v="0"/>
  </r>
  <r>
    <n v="1965457"/>
    <s v="123-006-129-001"/>
    <s v="Supply Chain Manager"/>
    <x v="2"/>
    <d v="2022-12-29T00:00:00"/>
    <s v="John Baker"/>
    <d v="2023-01-01T00:00:00"/>
    <x v="303"/>
    <s v="promo"/>
    <x v="0"/>
    <b v="0"/>
    <b v="0"/>
    <b v="0"/>
    <b v="0"/>
    <b v="1"/>
    <b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64BA1-D0E6-7D45-A1C4-8AF19EF23728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29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7"/>
    </i>
    <i>
      <x v="9"/>
    </i>
    <i>
      <x v="1"/>
    </i>
    <i>
      <x/>
    </i>
    <i>
      <x v="2"/>
    </i>
    <i>
      <x v="6"/>
    </i>
    <i>
      <x v="3"/>
    </i>
    <i>
      <x v="5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9E8920-F9C9-B34D-8526-D9474B5E83C3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4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7"/>
    </i>
    <i>
      <x v="6"/>
    </i>
    <i>
      <x v="8"/>
    </i>
    <i>
      <x v="1"/>
    </i>
    <i>
      <x v="4"/>
    </i>
    <i>
      <x v="9"/>
    </i>
    <i>
      <x v="5"/>
    </i>
    <i>
      <x v="2"/>
    </i>
    <i>
      <x/>
    </i>
    <i>
      <x v="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4ED46-CA8B-C744-B7FF-137F138B8F84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2"/>
    </i>
    <i>
      <x v="5"/>
    </i>
    <i>
      <x v="8"/>
    </i>
    <i>
      <x v="6"/>
    </i>
    <i>
      <x v="1"/>
    </i>
    <i>
      <x v="4"/>
    </i>
    <i>
      <x/>
    </i>
    <i>
      <x v="3"/>
    </i>
    <i>
      <x v="9"/>
    </i>
    <i>
      <x v="7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B8F86-88BF-F44F-96CC-CB4E3E1F48BF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3"/>
    </i>
    <i>
      <x v="7"/>
    </i>
    <i>
      <x v="6"/>
    </i>
    <i>
      <x v="1"/>
    </i>
    <i>
      <x v="2"/>
    </i>
    <i>
      <x v="5"/>
    </i>
    <i>
      <x v="9"/>
    </i>
    <i>
      <x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30DAF0-8708-B940-9087-19F3AE4B014B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3"/>
  </rowFields>
  <rowItems count="11">
    <i>
      <x/>
    </i>
    <i>
      <x v="9"/>
    </i>
    <i>
      <x v="4"/>
    </i>
    <i>
      <x v="8"/>
    </i>
    <i>
      <x v="7"/>
    </i>
    <i>
      <x v="3"/>
    </i>
    <i>
      <x v="6"/>
    </i>
    <i>
      <x v="1"/>
    </i>
    <i>
      <x v="2"/>
    </i>
    <i>
      <x v="5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36AA-3999-AF4C-95E6-CBB3F945484E}" name="PivotTable7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15:E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10">
    <i>
      <x/>
    </i>
    <i>
      <x v="3"/>
    </i>
    <i>
      <x v="9"/>
    </i>
    <i>
      <x v="4"/>
    </i>
    <i>
      <x v="6"/>
    </i>
    <i>
      <x v="7"/>
    </i>
    <i>
      <x v="5"/>
    </i>
    <i>
      <x v="8"/>
    </i>
    <i>
      <x v="1"/>
    </i>
    <i>
      <x v="2"/>
    </i>
  </rowItems>
  <colItems count="1">
    <i/>
  </colItems>
  <dataFields count="1">
    <dataField name="Sum of Promotion Rate" fld="8" baseField="0" baseItem="0" numFmtId="10"/>
  </dataFields>
  <formats count="8">
    <format dxfId="106">
      <pivotArea type="all" dataOnly="0" outline="0" fieldPosition="0"/>
    </format>
    <format dxfId="105">
      <pivotArea outline="0" collapsedLevelsAreSubtotals="1" fieldPosition="0"/>
    </format>
    <format dxfId="104">
      <pivotArea outline="0" collapsedLevelsAreSubtotals="1" fieldPosition="0"/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0" type="button" dataOnly="0" labelOnly="1" outline="0" axis="axisRow" fieldPosition="0"/>
    </format>
    <format dxfId="100">
      <pivotArea dataOnly="0" labelOnly="1" outline="0" fieldPosition="0">
        <references count="1">
          <reference field="0" count="0"/>
        </references>
      </pivotArea>
    </format>
    <format dxfId="9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BCEFE-2BA8-C348-9B28-97CD2A107998}" name="PivotTable6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A15:B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10">
    <i>
      <x v="7"/>
    </i>
    <i>
      <x v="6"/>
    </i>
    <i>
      <x v="1"/>
    </i>
    <i>
      <x v="8"/>
    </i>
    <i>
      <x v="5"/>
    </i>
    <i>
      <x v="9"/>
    </i>
    <i>
      <x v="4"/>
    </i>
    <i>
      <x v="3"/>
    </i>
    <i>
      <x v="2"/>
    </i>
    <i>
      <x/>
    </i>
  </rowItems>
  <colItems count="1">
    <i/>
  </colItems>
  <dataFields count="1">
    <dataField name="Sum of Declination Rate" fld="7" baseField="0" baseItem="0"/>
  </dataFields>
  <formats count="7">
    <format dxfId="113">
      <pivotArea outline="0" fieldPosition="0">
        <references count="1">
          <reference field="0" count="0" selected="0"/>
        </references>
      </pivotArea>
    </format>
    <format dxfId="112">
      <pivotArea grandRow="1" outline="0" collapsedLevelsAreSubtotals="1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dataOnly="0" labelOnly="1" outline="0" fieldPosition="0">
        <references count="1">
          <reference field="0" count="0"/>
        </references>
      </pivotArea>
    </format>
    <format dxfId="10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E34168-0BCF-2D4E-83F6-A38AFAA9D43D}" name="Pivo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19"/>
    </i>
    <i>
      <x v="12"/>
    </i>
    <i>
      <x v="4"/>
    </i>
    <i>
      <x v="9"/>
    </i>
    <i>
      <x v="11"/>
    </i>
    <i>
      <x v="2"/>
    </i>
    <i>
      <x v="29"/>
    </i>
    <i>
      <x v="5"/>
    </i>
    <i>
      <x v="26"/>
    </i>
    <i>
      <x v="27"/>
    </i>
    <i>
      <x v="1"/>
    </i>
    <i>
      <x v="28"/>
    </i>
    <i>
      <x v="24"/>
    </i>
    <i>
      <x v="10"/>
    </i>
    <i>
      <x v="3"/>
    </i>
    <i>
      <x v="14"/>
    </i>
    <i>
      <x v="6"/>
    </i>
    <i>
      <x v="15"/>
    </i>
    <i>
      <x v="20"/>
    </i>
    <i>
      <x v="8"/>
    </i>
    <i>
      <x v="17"/>
    </i>
    <i>
      <x v="22"/>
    </i>
    <i>
      <x v="21"/>
    </i>
    <i>
      <x/>
    </i>
    <i>
      <x v="18"/>
    </i>
    <i>
      <x v="16"/>
    </i>
    <i>
      <x v="7"/>
    </i>
    <i>
      <x v="23"/>
    </i>
    <i>
      <x v="13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75F9A-DCB4-6F42-8DB9-07E647EC22CA}" name="PivotTable9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11"/>
    </i>
    <i>
      <x v="25"/>
    </i>
    <i>
      <x v="4"/>
    </i>
    <i>
      <x v="12"/>
    </i>
    <i>
      <x/>
    </i>
    <i>
      <x v="2"/>
    </i>
    <i>
      <x v="5"/>
    </i>
    <i>
      <x v="23"/>
    </i>
    <i>
      <x v="27"/>
    </i>
    <i>
      <x v="24"/>
    </i>
    <i>
      <x v="6"/>
    </i>
    <i>
      <x v="10"/>
    </i>
    <i>
      <x v="28"/>
    </i>
    <i>
      <x v="21"/>
    </i>
    <i>
      <x v="20"/>
    </i>
    <i>
      <x v="19"/>
    </i>
    <i>
      <x v="16"/>
    </i>
    <i>
      <x v="17"/>
    </i>
    <i>
      <x v="29"/>
    </i>
    <i>
      <x v="9"/>
    </i>
    <i>
      <x v="7"/>
    </i>
    <i>
      <x v="15"/>
    </i>
    <i>
      <x v="26"/>
    </i>
    <i>
      <x v="18"/>
    </i>
    <i>
      <x v="1"/>
    </i>
    <i>
      <x v="14"/>
    </i>
    <i>
      <x v="3"/>
    </i>
    <i>
      <x v="22"/>
    </i>
    <i>
      <x v="8"/>
    </i>
    <i>
      <x v="1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C1652-9233-0845-B520-72234FE733EA}" name="PivotTable10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24"/>
    </i>
    <i>
      <x v="26"/>
    </i>
    <i>
      <x v="4"/>
    </i>
    <i>
      <x v="14"/>
    </i>
    <i>
      <x v="12"/>
    </i>
    <i>
      <x v="18"/>
    </i>
    <i>
      <x v="3"/>
    </i>
    <i>
      <x v="2"/>
    </i>
    <i>
      <x v="10"/>
    </i>
    <i>
      <x v="8"/>
    </i>
    <i>
      <x v="28"/>
    </i>
    <i>
      <x v="9"/>
    </i>
    <i>
      <x v="5"/>
    </i>
    <i>
      <x v="11"/>
    </i>
    <i>
      <x v="15"/>
    </i>
    <i>
      <x v="27"/>
    </i>
    <i>
      <x v="6"/>
    </i>
    <i>
      <x v="7"/>
    </i>
    <i>
      <x v="19"/>
    </i>
    <i>
      <x v="1"/>
    </i>
    <i>
      <x v="20"/>
    </i>
    <i>
      <x v="22"/>
    </i>
    <i>
      <x v="29"/>
    </i>
    <i>
      <x v="16"/>
    </i>
    <i>
      <x v="21"/>
    </i>
    <i>
      <x/>
    </i>
    <i>
      <x v="17"/>
    </i>
    <i>
      <x v="23"/>
    </i>
    <i>
      <x v="13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BA6F1-0C63-2A45-8B30-7C7A8999D41F}" name="PivotTable1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2"/>
  </rowFields>
  <rowItems count="31">
    <i>
      <x v="25"/>
    </i>
    <i>
      <x v="26"/>
    </i>
    <i>
      <x v="19"/>
    </i>
    <i>
      <x v="5"/>
    </i>
    <i>
      <x v="9"/>
    </i>
    <i>
      <x/>
    </i>
    <i>
      <x v="2"/>
    </i>
    <i>
      <x v="15"/>
    </i>
    <i>
      <x v="11"/>
    </i>
    <i>
      <x v="12"/>
    </i>
    <i>
      <x v="28"/>
    </i>
    <i>
      <x v="27"/>
    </i>
    <i>
      <x v="29"/>
    </i>
    <i>
      <x v="1"/>
    </i>
    <i>
      <x v="10"/>
    </i>
    <i>
      <x v="24"/>
    </i>
    <i>
      <x v="14"/>
    </i>
    <i>
      <x v="4"/>
    </i>
    <i>
      <x v="6"/>
    </i>
    <i>
      <x v="20"/>
    </i>
    <i>
      <x v="22"/>
    </i>
    <i>
      <x v="7"/>
    </i>
    <i>
      <x v="3"/>
    </i>
    <i>
      <x v="17"/>
    </i>
    <i>
      <x v="18"/>
    </i>
    <i>
      <x v="8"/>
    </i>
    <i>
      <x v="21"/>
    </i>
    <i>
      <x v="16"/>
    </i>
    <i>
      <x v="13"/>
    </i>
    <i>
      <x v="23"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DAB6E-8783-E64D-A7CF-A0FF9A69D1C3}" name="PivotTable1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2"/>
  </rowFields>
  <rowItems count="31">
    <i>
      <x v="19"/>
    </i>
    <i>
      <x v="5"/>
    </i>
    <i>
      <x v="4"/>
    </i>
    <i>
      <x v="15"/>
    </i>
    <i>
      <x v="12"/>
    </i>
    <i>
      <x v="27"/>
    </i>
    <i>
      <x v="21"/>
    </i>
    <i>
      <x v="28"/>
    </i>
    <i>
      <x v="11"/>
    </i>
    <i>
      <x v="25"/>
    </i>
    <i>
      <x v="7"/>
    </i>
    <i>
      <x v="10"/>
    </i>
    <i>
      <x v="29"/>
    </i>
    <i>
      <x v="24"/>
    </i>
    <i>
      <x v="6"/>
    </i>
    <i>
      <x/>
    </i>
    <i>
      <x v="8"/>
    </i>
    <i>
      <x v="22"/>
    </i>
    <i>
      <x v="2"/>
    </i>
    <i>
      <x v="26"/>
    </i>
    <i>
      <x v="20"/>
    </i>
    <i>
      <x v="3"/>
    </i>
    <i>
      <x v="17"/>
    </i>
    <i>
      <x v="14"/>
    </i>
    <i>
      <x v="9"/>
    </i>
    <i>
      <x v="1"/>
    </i>
    <i>
      <x v="23"/>
    </i>
    <i>
      <x v="16"/>
    </i>
    <i>
      <x v="18"/>
    </i>
    <i>
      <x v="13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1B8A2-F744-0B42-BDD4-135A82C3ADCF}" name="PivotTable15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35:E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30">
    <i>
      <x v="7"/>
    </i>
    <i>
      <x v="21"/>
    </i>
    <i>
      <x v="15"/>
    </i>
    <i>
      <x v="5"/>
    </i>
    <i>
      <x v="19"/>
    </i>
    <i>
      <x/>
    </i>
    <i>
      <x v="4"/>
    </i>
    <i>
      <x v="27"/>
    </i>
    <i>
      <x v="6"/>
    </i>
    <i>
      <x v="28"/>
    </i>
    <i>
      <x v="22"/>
    </i>
    <i>
      <x v="8"/>
    </i>
    <i>
      <x v="10"/>
    </i>
    <i>
      <x v="12"/>
    </i>
    <i>
      <x v="17"/>
    </i>
    <i>
      <x v="23"/>
    </i>
    <i>
      <x v="20"/>
    </i>
    <i>
      <x v="24"/>
    </i>
    <i>
      <x v="16"/>
    </i>
    <i>
      <x v="11"/>
    </i>
    <i>
      <x v="14"/>
    </i>
    <i>
      <x v="3"/>
    </i>
    <i>
      <x v="29"/>
    </i>
    <i>
      <x v="26"/>
    </i>
    <i>
      <x v="2"/>
    </i>
    <i>
      <x v="25"/>
    </i>
    <i>
      <x v="1"/>
    </i>
    <i>
      <x v="13"/>
    </i>
    <i>
      <x v="18"/>
    </i>
    <i>
      <x v="9"/>
    </i>
  </rowItems>
  <colItems count="1">
    <i/>
  </colItems>
  <dataFields count="1">
    <dataField name="Sum of Promotion Rate" fld="8" baseField="0" baseItem="0" numFmtId="10"/>
  </dataFields>
  <formats count="6"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outline="0" fieldPosition="0">
        <references count="1">
          <reference field="0" count="0"/>
        </references>
      </pivotArea>
    </format>
    <format dxfId="8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33381-8621-0248-B0E4-D0F843E5CD59}" name="PivotTable13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8">
  <location ref="A35:B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30">
    <i>
      <x v="23"/>
    </i>
    <i>
      <x/>
    </i>
    <i>
      <x v="11"/>
    </i>
    <i>
      <x v="16"/>
    </i>
    <i>
      <x v="7"/>
    </i>
    <i>
      <x v="6"/>
    </i>
    <i>
      <x v="21"/>
    </i>
    <i>
      <x v="20"/>
    </i>
    <i>
      <x v="17"/>
    </i>
    <i>
      <x v="27"/>
    </i>
    <i>
      <x v="5"/>
    </i>
    <i>
      <x v="4"/>
    </i>
    <i>
      <x v="13"/>
    </i>
    <i>
      <x v="2"/>
    </i>
    <i>
      <x v="12"/>
    </i>
    <i>
      <x v="10"/>
    </i>
    <i>
      <x v="24"/>
    </i>
    <i>
      <x v="28"/>
    </i>
    <i>
      <x v="15"/>
    </i>
    <i>
      <x v="18"/>
    </i>
    <i>
      <x v="25"/>
    </i>
    <i>
      <x v="22"/>
    </i>
    <i>
      <x v="29"/>
    </i>
    <i>
      <x v="1"/>
    </i>
    <i>
      <x v="14"/>
    </i>
    <i>
      <x v="9"/>
    </i>
    <i>
      <x v="3"/>
    </i>
    <i>
      <x v="19"/>
    </i>
    <i>
      <x v="26"/>
    </i>
    <i>
      <x v="8"/>
    </i>
  </rowItems>
  <colItems count="1">
    <i/>
  </colItems>
  <dataFields count="1">
    <dataField name="Sum of Declination Rate" fld="7" baseField="0" baseItem="0" numFmtId="10"/>
  </dataFields>
  <formats count="6">
    <format dxfId="96">
      <pivotArea outline="0" collapsedLevelsAreSubtotals="1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outline="0" fieldPosition="0">
        <references count="1">
          <reference field="0" count="0"/>
        </references>
      </pivotArea>
    </format>
    <format dxfId="9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7E1C83-A984-5B4B-85F5-BEDB90592676}" name="PivotTable16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4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0">
        <item x="2"/>
        <item x="8"/>
        <item x="6"/>
        <item x="9"/>
        <item x="3"/>
        <item x="5"/>
        <item x="1"/>
        <item x="7"/>
        <item x="4"/>
        <item x="0"/>
      </items>
    </pivotField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>
      <items count="534">
        <item x="440"/>
        <item x="469"/>
        <item x="414"/>
        <item x="330"/>
        <item x="241"/>
        <item x="350"/>
        <item x="43"/>
        <item x="22"/>
        <item x="301"/>
        <item x="418"/>
        <item x="445"/>
        <item x="197"/>
        <item x="465"/>
        <item x="148"/>
        <item x="177"/>
        <item x="266"/>
        <item x="391"/>
        <item x="310"/>
        <item x="349"/>
        <item x="423"/>
        <item x="416"/>
        <item x="338"/>
        <item x="312"/>
        <item x="431"/>
        <item x="458"/>
        <item x="434"/>
        <item x="83"/>
        <item x="123"/>
        <item x="443"/>
        <item x="318"/>
        <item x="112"/>
        <item x="472"/>
        <item x="378"/>
        <item x="282"/>
        <item x="387"/>
        <item x="72"/>
        <item x="400"/>
        <item x="351"/>
        <item x="290"/>
        <item x="337"/>
        <item x="210"/>
        <item x="59"/>
        <item x="381"/>
        <item x="20"/>
        <item x="153"/>
        <item x="9"/>
        <item x="521"/>
        <item x="137"/>
        <item x="1"/>
        <item x="360"/>
        <item x="366"/>
        <item x="334"/>
        <item x="198"/>
        <item x="502"/>
        <item x="288"/>
        <item x="454"/>
        <item x="430"/>
        <item x="70"/>
        <item x="462"/>
        <item x="184"/>
        <item x="258"/>
        <item x="24"/>
        <item x="216"/>
        <item x="375"/>
        <item x="98"/>
        <item x="455"/>
        <item x="384"/>
        <item x="160"/>
        <item x="276"/>
        <item x="249"/>
        <item x="178"/>
        <item x="292"/>
        <item x="410"/>
        <item x="245"/>
        <item x="166"/>
        <item x="192"/>
        <item x="220"/>
        <item x="485"/>
        <item x="297"/>
        <item x="116"/>
        <item x="3"/>
        <item x="6"/>
        <item x="18"/>
        <item x="516"/>
        <item x="432"/>
        <item x="25"/>
        <item x="326"/>
        <item x="317"/>
        <item x="398"/>
        <item x="417"/>
        <item x="151"/>
        <item x="74"/>
        <item x="244"/>
        <item x="409"/>
        <item x="405"/>
        <item x="159"/>
        <item x="395"/>
        <item x="289"/>
        <item x="471"/>
        <item x="361"/>
        <item x="143"/>
        <item x="221"/>
        <item x="28"/>
        <item x="99"/>
        <item x="149"/>
        <item x="404"/>
        <item x="126"/>
        <item x="82"/>
        <item x="396"/>
        <item x="357"/>
        <item x="441"/>
        <item x="58"/>
        <item x="505"/>
        <item x="40"/>
        <item x="236"/>
        <item x="496"/>
        <item x="394"/>
        <item x="243"/>
        <item x="503"/>
        <item x="468"/>
        <item x="293"/>
        <item x="214"/>
        <item x="146"/>
        <item x="482"/>
        <item x="483"/>
        <item x="490"/>
        <item x="435"/>
        <item x="448"/>
        <item x="281"/>
        <item x="284"/>
        <item x="194"/>
        <item x="129"/>
        <item x="427"/>
        <item x="526"/>
        <item x="31"/>
        <item x="500"/>
        <item x="10"/>
        <item x="373"/>
        <item x="267"/>
        <item x="195"/>
        <item x="254"/>
        <item x="343"/>
        <item x="506"/>
        <item x="277"/>
        <item x="141"/>
        <item x="530"/>
        <item x="132"/>
        <item x="8"/>
        <item x="355"/>
        <item x="92"/>
        <item x="133"/>
        <item x="274"/>
        <item x="100"/>
        <item x="340"/>
        <item x="134"/>
        <item x="257"/>
        <item x="308"/>
        <item x="44"/>
        <item x="142"/>
        <item x="201"/>
        <item x="247"/>
        <item x="347"/>
        <item x="291"/>
        <item x="489"/>
        <item x="127"/>
        <item x="41"/>
        <item x="442"/>
        <item x="176"/>
        <item x="263"/>
        <item x="147"/>
        <item x="107"/>
        <item x="77"/>
        <item x="261"/>
        <item x="296"/>
        <item x="255"/>
        <item x="335"/>
        <item x="532"/>
        <item x="341"/>
        <item x="345"/>
        <item x="69"/>
        <item x="232"/>
        <item x="217"/>
        <item x="401"/>
        <item x="379"/>
        <item x="80"/>
        <item x="352"/>
        <item x="87"/>
        <item x="365"/>
        <item x="479"/>
        <item x="230"/>
        <item x="447"/>
        <item x="262"/>
        <item x="392"/>
        <item x="460"/>
        <item x="304"/>
        <item x="484"/>
        <item x="131"/>
        <item x="307"/>
        <item x="60"/>
        <item x="437"/>
        <item x="17"/>
        <item x="466"/>
        <item x="374"/>
        <item x="111"/>
        <item x="187"/>
        <item x="493"/>
        <item x="105"/>
        <item x="33"/>
        <item x="269"/>
        <item x="16"/>
        <item x="53"/>
        <item x="104"/>
        <item x="11"/>
        <item x="156"/>
        <item x="76"/>
        <item x="377"/>
        <item x="406"/>
        <item x="433"/>
        <item x="280"/>
        <item x="46"/>
        <item x="231"/>
        <item x="45"/>
        <item x="513"/>
        <item x="93"/>
        <item x="510"/>
        <item x="399"/>
        <item x="451"/>
        <item x="26"/>
        <item x="229"/>
        <item x="486"/>
        <item x="38"/>
        <item x="65"/>
        <item x="475"/>
        <item x="354"/>
        <item x="119"/>
        <item x="182"/>
        <item x="457"/>
        <item x="531"/>
        <item x="73"/>
        <item x="196"/>
        <item x="358"/>
        <item x="299"/>
        <item x="0"/>
        <item x="339"/>
        <item x="529"/>
        <item x="364"/>
        <item x="268"/>
        <item x="2"/>
        <item x="359"/>
        <item x="222"/>
        <item x="507"/>
        <item x="523"/>
        <item x="172"/>
        <item x="497"/>
        <item x="256"/>
        <item x="509"/>
        <item x="517"/>
        <item x="294"/>
        <item x="13"/>
        <item x="411"/>
        <item x="23"/>
        <item x="223"/>
        <item x="101"/>
        <item x="163"/>
        <item x="199"/>
        <item x="525"/>
        <item x="49"/>
        <item x="390"/>
        <item x="322"/>
        <item x="170"/>
        <item x="498"/>
        <item x="97"/>
        <item x="169"/>
        <item x="488"/>
        <item x="329"/>
        <item x="487"/>
        <item x="425"/>
        <item x="108"/>
        <item x="273"/>
        <item x="492"/>
        <item x="136"/>
        <item x="90"/>
        <item x="117"/>
        <item x="346"/>
        <item x="63"/>
        <item x="478"/>
        <item x="264"/>
        <item x="27"/>
        <item x="218"/>
        <item x="30"/>
        <item x="253"/>
        <item x="75"/>
        <item x="37"/>
        <item x="464"/>
        <item x="380"/>
        <item x="342"/>
        <item x="495"/>
        <item x="193"/>
        <item x="237"/>
        <item x="415"/>
        <item x="106"/>
        <item x="84"/>
        <item x="422"/>
        <item x="311"/>
        <item x="228"/>
        <item x="456"/>
        <item x="145"/>
        <item x="138"/>
        <item x="190"/>
        <item x="175"/>
        <item x="79"/>
        <item x="527"/>
        <item x="511"/>
        <item x="408"/>
        <item x="287"/>
        <item x="56"/>
        <item x="205"/>
        <item x="39"/>
        <item x="181"/>
        <item x="309"/>
        <item x="519"/>
        <item x="376"/>
        <item x="29"/>
        <item x="388"/>
        <item x="242"/>
        <item x="295"/>
        <item x="260"/>
        <item x="114"/>
        <item x="32"/>
        <item x="50"/>
        <item x="413"/>
        <item x="403"/>
        <item x="42"/>
        <item x="139"/>
        <item x="120"/>
        <item x="419"/>
        <item x="383"/>
        <item x="298"/>
        <item x="382"/>
        <item x="238"/>
        <item x="154"/>
        <item x="64"/>
        <item x="450"/>
        <item x="209"/>
        <item x="285"/>
        <item x="94"/>
        <item x="174"/>
        <item x="135"/>
        <item x="275"/>
        <item x="204"/>
        <item x="325"/>
        <item x="481"/>
        <item x="303"/>
        <item x="362"/>
        <item x="402"/>
        <item x="95"/>
        <item x="128"/>
        <item x="459"/>
        <item x="250"/>
        <item x="109"/>
        <item x="324"/>
        <item x="336"/>
        <item x="225"/>
        <item x="130"/>
        <item x="302"/>
        <item x="512"/>
        <item x="35"/>
        <item x="463"/>
        <item x="122"/>
        <item x="19"/>
        <item x="323"/>
        <item x="426"/>
        <item x="171"/>
        <item x="504"/>
        <item x="89"/>
        <item x="185"/>
        <item x="332"/>
        <item x="453"/>
        <item x="533"/>
        <item x="314"/>
        <item x="476"/>
        <item x="348"/>
        <item x="206"/>
        <item x="88"/>
        <item x="165"/>
        <item x="124"/>
        <item x="305"/>
        <item x="203"/>
        <item x="344"/>
        <item x="61"/>
        <item x="444"/>
        <item x="144"/>
        <item x="66"/>
        <item x="420"/>
        <item x="91"/>
        <item x="372"/>
        <item x="5"/>
        <item x="158"/>
        <item x="161"/>
        <item x="162"/>
        <item x="518"/>
        <item x="208"/>
        <item x="219"/>
        <item x="227"/>
        <item x="363"/>
        <item x="213"/>
        <item x="477"/>
        <item x="191"/>
        <item x="473"/>
        <item x="15"/>
        <item x="265"/>
        <item x="71"/>
        <item x="514"/>
        <item x="271"/>
        <item x="51"/>
        <item x="470"/>
        <item x="240"/>
        <item x="272"/>
        <item x="234"/>
        <item x="211"/>
        <item x="235"/>
        <item x="34"/>
        <item x="52"/>
        <item x="103"/>
        <item x="200"/>
        <item x="270"/>
        <item x="183"/>
        <item x="421"/>
        <item x="7"/>
        <item x="102"/>
        <item x="68"/>
        <item x="57"/>
        <item x="115"/>
        <item x="48"/>
        <item x="321"/>
        <item x="215"/>
        <item x="55"/>
        <item x="233"/>
        <item x="188"/>
        <item x="157"/>
        <item x="36"/>
        <item x="385"/>
        <item x="412"/>
        <item x="86"/>
        <item x="189"/>
        <item x="499"/>
        <item x="12"/>
        <item x="320"/>
        <item x="528"/>
        <item x="14"/>
        <item x="140"/>
        <item x="54"/>
        <item x="279"/>
        <item x="168"/>
        <item x="224"/>
        <item x="386"/>
        <item x="508"/>
        <item x="251"/>
        <item x="152"/>
        <item x="212"/>
        <item x="248"/>
        <item x="21"/>
        <item x="327"/>
        <item x="155"/>
        <item x="370"/>
        <item x="47"/>
        <item x="424"/>
        <item x="436"/>
        <item x="286"/>
        <item x="164"/>
        <item x="81"/>
        <item x="333"/>
        <item x="4"/>
        <item x="300"/>
        <item x="438"/>
        <item x="259"/>
        <item x="125"/>
        <item x="239"/>
        <item x="186"/>
        <item x="368"/>
        <item x="331"/>
        <item x="353"/>
        <item x="452"/>
        <item x="167"/>
        <item x="121"/>
        <item x="110"/>
        <item x="180"/>
        <item x="173"/>
        <item x="313"/>
        <item x="118"/>
        <item x="319"/>
        <item x="207"/>
        <item x="439"/>
        <item x="78"/>
        <item x="367"/>
        <item x="474"/>
        <item x="522"/>
        <item x="150"/>
        <item x="179"/>
        <item x="429"/>
        <item x="446"/>
        <item x="283"/>
        <item x="202"/>
        <item x="62"/>
        <item x="246"/>
        <item x="369"/>
        <item x="356"/>
        <item x="520"/>
        <item x="252"/>
        <item x="85"/>
        <item x="501"/>
        <item x="67"/>
        <item x="113"/>
        <item x="393"/>
        <item x="494"/>
        <item x="428"/>
        <item x="306"/>
        <item x="328"/>
        <item x="467"/>
        <item x="491"/>
        <item x="96"/>
        <item x="371"/>
        <item x="315"/>
        <item x="461"/>
        <item x="515"/>
        <item x="449"/>
        <item x="397"/>
        <item x="480"/>
        <item x="278"/>
        <item x="524"/>
        <item x="407"/>
        <item x="316"/>
        <item x="226"/>
        <item x="389"/>
      </items>
    </pivotField>
    <pivotField compact="0" outline="0" showAll="0" defaultSubtotal="0"/>
    <pivotField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4">
        <item sd="0" x="0"/>
        <item x="1"/>
        <item x="2"/>
        <item sd="0" x="3"/>
      </items>
    </pivotField>
  </pivotFields>
  <rowFields count="2">
    <field x="18"/>
    <field x="16"/>
  </rowFields>
  <rowItems count="21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Items count="1">
    <i/>
  </colItems>
  <dataFields count="1">
    <dataField name="Count of Is Hired" fld="9" subtotal="count" baseField="0" baseItem="0"/>
  </dataFields>
  <formats count="8"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18" type="button" dataOnly="0" labelOnly="1" outline="0" axis="axisRow" fieldPosition="0"/>
    </format>
    <format dxfId="59">
      <pivotArea field="16" type="button" dataOnly="0" labelOnly="1" outline="0" axis="axisRow" fieldPosition="1"/>
    </format>
    <format dxfId="58">
      <pivotArea dataOnly="0" labelOnly="1" outline="0" fieldPosition="0">
        <references count="1">
          <reference field="18" count="2">
            <x v="1"/>
            <x v="2"/>
          </reference>
        </references>
      </pivotArea>
    </format>
    <format dxfId="57">
      <pivotArea dataOnly="0" labelOnly="1" outline="0" fieldPosition="0">
        <references count="2">
          <reference field="1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8" count="1" selected="0">
            <x v="1"/>
          </reference>
        </references>
      </pivotArea>
    </format>
    <format dxfId="56">
      <pivotArea dataOnly="0" labelOnly="1" outline="0" fieldPosition="0">
        <references count="2">
          <reference field="16" count="9">
            <x v="1"/>
            <x v="2"/>
            <x v="3"/>
            <x v="4"/>
            <x v="5"/>
            <x v="6"/>
            <x v="7"/>
            <x v="8"/>
            <x v="9"/>
          </reference>
          <reference field="18" count="1" selected="0">
            <x v="2"/>
          </reference>
        </references>
      </pivotArea>
    </format>
    <format dxfId="5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784D4F-A774-044D-9893-607BB6BF51CD}" name="OriginalTable" displayName="OriginalTable" ref="A1:P2201" totalsRowShown="0">
  <autoFilter ref="A1:P2201" xr:uid="{EF784D4F-A774-044D-9893-607BB6BF51CD}"/>
  <tableColumns count="16">
    <tableColumn id="1" xr3:uid="{15B7A866-5C15-D74F-B0FD-E560D93A1C43}" name="Recruitment Number"/>
    <tableColumn id="2" xr3:uid="{29511A43-D082-F64E-A0F7-00D4CD485432}" name="Position Number"/>
    <tableColumn id="3" xr3:uid="{A4BC4EB6-8978-D14F-BD9D-AF1A673F5FE8}" name="Classification"/>
    <tableColumn id="4" xr3:uid="{95771E14-956C-A841-A2B7-34324DD6B96C}" name="Department"/>
    <tableColumn id="5" xr3:uid="{9B0F5E5B-F35F-5947-8242-B1424B97DA6F}" name="Interview Date" dataDxfId="123"/>
    <tableColumn id="6" xr3:uid="{3C62F5A5-AB10-1146-ABFE-16A56D76CD9C}" name="Selection"/>
    <tableColumn id="7" xr3:uid="{90041A82-0A9C-9E40-9F6D-FBD067F77A70}" name="Job Offer Date" dataDxfId="122"/>
    <tableColumn id="8" xr3:uid="{363416D8-648F-8946-8AC9-6A096D3BF00E}" name="Effective Date" dataDxfId="121"/>
    <tableColumn id="9" xr3:uid="{B8AC0108-A0AE-2F48-B905-12569A512C7B}" name="Comments"/>
    <tableColumn id="10" xr3:uid="{CEA99862-7214-A34D-AB55-4CE5D124B9E6}" name="Is Hired" dataDxfId="120">
      <calculatedColumnFormula>AND(NOT(ISBLANK(H2)), NOT(OR(ISNUMBER(SEARCH("decline", I2)), ISNUMBER(SEARCH("rescind", I2)), ISNUMBER(SEARCH("cancel", I2)))))</calculatedColumnFormula>
    </tableColumn>
    <tableColumn id="11" xr3:uid="{EE723F38-53B2-BB46-9E62-54C075A24177}" name="Is Declination" dataDxfId="119">
      <calculatedColumnFormula>ISNUMBER(SEARCH("decline", I2))</calculatedColumnFormula>
    </tableColumn>
    <tableColumn id="12" xr3:uid="{EE7F5FDB-DDAE-7744-8868-E4AEF8A6A41F}" name="Is Rescinded" dataDxfId="118">
      <calculatedColumnFormula>ISNUMBER(SEARCH("rescind", I2))</calculatedColumnFormula>
    </tableColumn>
    <tableColumn id="13" xr3:uid="{4FD843E3-2A7D-EF42-B527-436AFFD2351F}" name="Is Cancelled" dataDxfId="117">
      <calculatedColumnFormula>ISNUMBER(SEARCH("cancel", I2))</calculatedColumnFormula>
    </tableColumn>
    <tableColumn id="14" xr3:uid="{B007B5F7-3B2E-D449-A230-D2B5E0275924}" name="Is Transfer" dataDxfId="116">
      <calculatedColumnFormula>ISNUMBER(SEARCH("transfer", I2))</calculatedColumnFormula>
    </tableColumn>
    <tableColumn id="15" xr3:uid="{7EFA9E14-A513-9F45-BA69-99F2C9E539FE}" name="Is Promotion" dataDxfId="115">
      <calculatedColumnFormula>ISNUMBER(SEARCH("promo", I2))</calculatedColumnFormula>
    </tableColumn>
    <tableColumn id="16" xr3:uid="{6F7C7D4C-6278-2D46-AB43-E7B0532F8191}" name="Is New to Org" dataDxfId="114">
      <calculatedColumnFormula>ISNUMBER(SEARCH("new", I2))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8508D9-0629-8041-8979-666A8D03439C}" name="DeptTable" displayName="DeptTable" ref="A1:I11" totalsRowShown="0">
  <autoFilter ref="A1:I11" xr:uid="{3A8508D9-0629-8041-8979-666A8D03439C}"/>
  <tableColumns count="9">
    <tableColumn id="1" xr3:uid="{AD7873D7-7473-AE45-AE17-759161625D3B}" name="Department"/>
    <tableColumn id="2" xr3:uid="{22B7A428-0EDB-AD41-B9AA-FAFD04C841DA}" name="Number of Hires">
      <calculatedColumnFormula>_xlfn.XLOOKUP(A2, 'Hires by Dept'!$A$4:$A$13, 'Hires by Dept'!$B$4:$B$13, "NA", 0)</calculatedColumnFormula>
    </tableColumn>
    <tableColumn id="3" xr3:uid="{92AD5ABA-7E32-2642-A997-06C50149C49A}" name="Number of Declinations">
      <calculatedColumnFormula>_xlfn.XLOOKUP(A2, 'Declinations by Dept'!A$4:A$13, 'Declinations by Dept'!B$4:B$13, "NA", 0)</calculatedColumnFormula>
    </tableColumn>
    <tableColumn id="4" xr3:uid="{008D08C1-E84F-1D4D-A646-1AEC0ADF1154}" name="Number of Rescinded">
      <calculatedColumnFormula>_xlfn.XLOOKUP(A2, 'Rescinded by Dept'!A$4:A$13, 'Rescinded by Dept'!B$4:B$13, "NA", 0)</calculatedColumnFormula>
    </tableColumn>
    <tableColumn id="5" xr3:uid="{4DBFF984-3E08-2040-87C7-2E29CBADCC32}" name="Number of Transfers">
      <calculatedColumnFormula>_xlfn.XLOOKUP(A2, 'Transfers by Dept'!A$4:A$13, 'Transfers by Dept'!B$4:B$13, "NA", 0)</calculatedColumnFormula>
    </tableColumn>
    <tableColumn id="6" xr3:uid="{BD733C3A-BD30-4F4B-BCB2-04419206196F}" name="Number of Promotions">
      <calculatedColumnFormula>_xlfn.XLOOKUP(A2, 'Promos by Dept'!A$4:A$13, 'Promos by Dept'!B$4:B$13, "NA", 0)</calculatedColumnFormula>
    </tableColumn>
    <tableColumn id="7" xr3:uid="{591F7EFB-EAEF-6D40-813C-EEBDE1743A25}" name="Number of Offers">
      <calculatedColumnFormula>B2 + C2 + D2</calculatedColumnFormula>
    </tableColumn>
    <tableColumn id="8" xr3:uid="{76C893CD-AE7E-154B-AC37-263F1952FF0A}" name="Declination Rate" dataDxfId="98" dataCellStyle="Percent">
      <calculatedColumnFormula>C2 / G2</calculatedColumnFormula>
    </tableColumn>
    <tableColumn id="9" xr3:uid="{77F7DEF2-B21F-9A4F-B02F-2E02F534D5B8}" name="Promotion Rate" dataDxfId="97" dataCellStyle="Percent">
      <calculatedColumnFormula>F2 / B2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085B76-A1CC-8240-BFC4-297F473722C6}" name="ClassificationAnalysisTable" displayName="ClassificationAnalysisTable" ref="A1:I31" totalsRowShown="0">
  <autoFilter ref="A1:I31" xr:uid="{3C085B76-A1CC-8240-BFC4-297F473722C6}"/>
  <tableColumns count="9">
    <tableColumn id="1" xr3:uid="{08D71D13-91D2-B747-BD17-163337C8F74D}" name="Classification"/>
    <tableColumn id="2" xr3:uid="{CA296266-1956-F94D-8882-BC5802A188D1}" name="Number of Hires">
      <calculatedColumnFormula>_xlfn.XLOOKUP(A2, 'Hires by Classification'!A$4:A$33, 'Hires by Classification'!B$4:B$33, "NA", 0)</calculatedColumnFormula>
    </tableColumn>
    <tableColumn id="3" xr3:uid="{43F72FC3-D268-5E41-A0A1-0BDDB8DDE61C}" name="Number of Declinations">
      <calculatedColumnFormula>_xlfn.XLOOKUP(A2, 'Declinations by Classification'!A$4:A$33, 'Declinations by Classification'!B$4:B$33, "NA", 0)</calculatedColumnFormula>
    </tableColumn>
    <tableColumn id="4" xr3:uid="{1628AB1C-8EDA-C042-8A10-33972BCA933A}" name="Number of Rescinded">
      <calculatedColumnFormula>_xlfn.XLOOKUP(A2, 'Rescinded by Classification'!A$4:A$33, 'Rescinded by Classification'!B$4:B$33, "NA", 0)</calculatedColumnFormula>
    </tableColumn>
    <tableColumn id="5" xr3:uid="{E0CDFE92-F4F5-434A-AAA2-164796FAD95F}" name="Number of Offers">
      <calculatedColumnFormula>B2 + C2 + D2</calculatedColumnFormula>
    </tableColumn>
    <tableColumn id="6" xr3:uid="{D8B0B627-DE19-A84D-AD87-9C02792E3B96}" name="Number of Transfers">
      <calculatedColumnFormula>_xlfn.XLOOKUP(A2, 'Transfers by Classification'!A$4:A$33, 'Transfers by Classification'!B$4:B$33, "NA", 0)</calculatedColumnFormula>
    </tableColumn>
    <tableColumn id="7" xr3:uid="{FADB7C07-323F-DD4D-A72C-5820DF81CED4}" name="Number of Promotions">
      <calculatedColumnFormula>_xlfn.XLOOKUP(A2, 'Promos by Classification'!A$4:A$33, 'Promos by Classification'!B$4:B$33, "NA", 0)</calculatedColumnFormula>
    </tableColumn>
    <tableColumn id="8" xr3:uid="{82C0B931-1F02-DF4B-B63C-D96D8C934651}" name="Declination Rate" dataDxfId="84" dataCellStyle="Percent">
      <calculatedColumnFormula>C2 / E2</calculatedColumnFormula>
    </tableColumn>
    <tableColumn id="9" xr3:uid="{E55C789E-0DF5-D544-9B66-ED3028ECE96C}" name="Promotion Rate" dataDxfId="83" dataCellStyle="Percent">
      <calculatedColumnFormula>G2 / B2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B6810-DEF9-7840-9C7F-81EB68E6C633}" name="HiresOnlyTable" displayName="HiresOnlyTable" ref="A1:P1460" totalsRowShown="0" headerRowDxfId="81" dataDxfId="80" tableBorderDxfId="79">
  <autoFilter ref="A1:P1460" xr:uid="{B07B6810-DEF9-7840-9C7F-81EB68E6C633}"/>
  <tableColumns count="16">
    <tableColumn id="1" xr3:uid="{56ACFCE8-0924-5443-8CB0-BB80FD4A5615}" name="Recruitment Number" dataDxfId="78"/>
    <tableColumn id="2" xr3:uid="{3979114C-8818-0A40-9AFC-CE2428910607}" name="Position Number" dataDxfId="77"/>
    <tableColumn id="3" xr3:uid="{8BBA4F07-C904-FA4E-B715-61BF44F332DA}" name="Classification" dataDxfId="76"/>
    <tableColumn id="4" xr3:uid="{039AD162-F16F-B94D-9791-C1F70FEEF0D9}" name="Department" dataDxfId="75"/>
    <tableColumn id="5" xr3:uid="{C165A306-B08A-BB4D-9BA5-B7543E080867}" name="Interview Date" dataDxfId="74"/>
    <tableColumn id="6" xr3:uid="{A199879B-16D2-4647-BCE9-561031E631D6}" name="Selection" dataDxfId="73"/>
    <tableColumn id="7" xr3:uid="{B96FB993-5986-B741-B25D-7F2CEFE11111}" name="Job Offer Date" dataDxfId="72"/>
    <tableColumn id="8" xr3:uid="{26A3838C-2DBF-AD4F-B92D-9CF01A28D29F}" name="Effective Date" dataDxfId="71"/>
    <tableColumn id="9" xr3:uid="{BC1A4957-F4C4-CB4F-801B-D09C903CF8E9}" name="Comments" dataDxfId="70"/>
    <tableColumn id="10" xr3:uid="{30AF6FF1-E615-004C-BE02-C98C0812E1AE}" name="Is Hired" dataDxfId="69"/>
    <tableColumn id="11" xr3:uid="{B1666FA4-84D7-404D-9899-67C1714326A0}" name="Is Declination" dataDxfId="68"/>
    <tableColumn id="12" xr3:uid="{B69724A9-826B-2846-ADA2-D637560350F2}" name="Is Rescinded" dataDxfId="67"/>
    <tableColumn id="13" xr3:uid="{510A6E5D-1A76-B743-9508-8CB6743E008A}" name="Is Cancelled" dataDxfId="66"/>
    <tableColumn id="14" xr3:uid="{943AF907-652C-0D42-8C7E-2049C2854D98}" name="Is Transfer" dataDxfId="65"/>
    <tableColumn id="15" xr3:uid="{F6E8DD6B-035E-8841-97CF-7BFC7440E064}" name="Is Promotion" dataDxfId="64"/>
    <tableColumn id="16" xr3:uid="{EFBA451B-EF4A-1947-B585-AB0E5B7B6228}" name="Is New to Org" dataDxfId="63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9B76E0-FE3D-4A40-A9FB-E1CC6428AC83}" name="Table5" displayName="Table5" ref="E3:G23" totalsRowShown="0">
  <autoFilter ref="E3:G23" xr:uid="{879B76E0-FE3D-4A40-A9FB-E1CC6428AC83}"/>
  <tableColumns count="3">
    <tableColumn id="1" xr3:uid="{A4C490DB-8C4D-4F4A-A9BA-86C0B3ED12A1}" name="Years"/>
    <tableColumn id="2" xr3:uid="{0E7C0BFA-3126-3640-8ECB-BBEB580B7713}" name="Months"/>
    <tableColumn id="3" xr3:uid="{B0F68756-8DFB-3643-9745-A07456D013B0}" name="Number of Hire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41C7235-DDDD-884C-AB3B-711FC662811A}" name="Table12" displayName="Table12" ref="A1:D21" totalsRowShown="0" tableBorderDxfId="54">
  <autoFilter ref="A1:D21" xr:uid="{941C7235-DDDD-884C-AB3B-711FC662811A}"/>
  <tableColumns count="4">
    <tableColumn id="1" xr3:uid="{41589013-3115-8147-88A1-F2423387B5E7}" name="MM-YYYY" dataDxfId="53"/>
    <tableColumn id="2" xr3:uid="{D20425FB-CF20-CB4B-8072-1C26561A30BF}" name="Hires" dataDxfId="52"/>
    <tableColumn id="3" xr3:uid="{51075646-7A33-ED42-8DBB-6CDF12D0CDA2}" name="Split Set" dataDxfId="51"/>
    <tableColumn id="4" xr3:uid="{9E76DC7C-2303-EB4A-B286-040F5B12A063}" name="Forecasted Hires"/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3A1495-0B79-1A4B-8E10-D5CCB568E6D0}" name="Table13" displayName="Table13" ref="A1:F4" totalsRowShown="0">
  <autoFilter ref="A1:F4" xr:uid="{CF3A1495-0B79-1A4B-8E10-D5CCB568E6D0}"/>
  <tableColumns count="6">
    <tableColumn id="1" xr3:uid="{291E8083-ECCF-7243-8023-47A42A56D944}" name="Actual Hires" dataDxfId="50">
      <calculatedColumnFormula>'Poisson Regression'!B19</calculatedColumnFormula>
    </tableColumn>
    <tableColumn id="2" xr3:uid="{CC61CCDD-5354-4948-9BBE-4D474F355387}" name="Forecasted Hires" dataDxfId="49">
      <calculatedColumnFormula>'ETS Forecast'!D19</calculatedColumnFormula>
    </tableColumn>
    <tableColumn id="3" xr3:uid="{BCDAFE8F-E893-D84A-92E1-6B57DD312DCA}" name="Error" dataDxfId="48">
      <calculatedColumnFormula>B2 - A2</calculatedColumnFormula>
    </tableColumn>
    <tableColumn id="6" xr3:uid="{F858E27A-95A4-C948-93BE-7F7453764529}" name="Absolute Error" dataDxfId="47">
      <calculatedColumnFormula>ABS(C2)</calculatedColumnFormula>
    </tableColumn>
    <tableColumn id="4" xr3:uid="{394ED472-FD76-2F4B-BFFA-991C235CBC1B}" name="Squared Error" dataDxfId="46">
      <calculatedColumnFormula>C2^2</calculatedColumnFormula>
    </tableColumn>
    <tableColumn id="5" xr3:uid="{B8B6AC96-BF6F-0A45-BCD1-1208E2BA585D}" name="Absolute Percentage Error" dataDxfId="45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EC940B-9043-224F-A6CE-9FAAAB296FA5}" name="Table14" displayName="Table14" ref="A8:B12" totalsRowShown="0">
  <autoFilter ref="A8:B12" xr:uid="{73EC940B-9043-224F-A6CE-9FAAAB296FA5}"/>
  <tableColumns count="2">
    <tableColumn id="1" xr3:uid="{E59728DA-E4A2-9348-B191-CCE501756475}" name="Metric"/>
    <tableColumn id="2" xr3:uid="{B2E0D053-3643-6345-A75B-53B91D8C2413}" name="Values" dataDxfId="44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DF91E7-F4F9-BF4F-95AE-F6F91F414C83}" name="Table81011" displayName="Table81011" ref="A1:H21" totalsRowShown="0">
  <autoFilter ref="A1:H21" xr:uid="{04DF91E7-F4F9-BF4F-95AE-F6F91F414C83}"/>
  <tableColumns count="8">
    <tableColumn id="1" xr3:uid="{32E659D6-EB37-794D-A0DC-66F27F8233CD}" name="MM-YYYY" dataDxfId="43"/>
    <tableColumn id="2" xr3:uid="{1CDD8121-475A-AA4B-9C4B-CC047EF51890}" name="Hires" dataDxfId="42"/>
    <tableColumn id="3" xr3:uid="{F6B8FA52-7C7A-F74E-AFB2-0BC2611F095A}" name="Split Set"/>
    <tableColumn id="4" xr3:uid="{79F1624A-593A-854E-A3BF-2380D176BAA5}" name="Time Index" dataDxfId="41">
      <calculatedColumnFormula>ROW()-1</calculatedColumnFormula>
    </tableColumn>
    <tableColumn id="5" xr3:uid="{5F204E9E-D4B3-774E-A773-465C329C8833}" name="Sine Component" dataDxfId="40">
      <calculatedColumnFormula>SIN(2*PI()*D2/12)</calculatedColumnFormula>
    </tableColumn>
    <tableColumn id="6" xr3:uid="{9554128E-3772-8745-905C-FA83E76B725C}" name="Cosine Component" dataDxfId="39">
      <calculatedColumnFormula>COS(2*PI()*D2/12)</calculatedColumnFormula>
    </tableColumn>
    <tableColumn id="7" xr3:uid="{1FBD7D20-EF3D-D242-AFA4-8EAAACDD3373}" name="Lambda" dataDxfId="38">
      <calculatedColumnFormula>EXP($K$2 + $K$3*D2 + $K$4*E2 + $K$5*F2)</calculatedColumnFormula>
    </tableColumn>
    <tableColumn id="8" xr3:uid="{4D6ED014-E310-1947-822F-49407FB417FD}" name="Log-Likelihood" dataDxfId="37"/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491572-214E-614E-8D69-07B6C0A14CA3}" name="Table11" displayName="Table11" ref="J1:K5" totalsRowShown="0">
  <autoFilter ref="J1:K5" xr:uid="{89491572-214E-614E-8D69-07B6C0A14CA3}"/>
  <tableColumns count="2">
    <tableColumn id="1" xr3:uid="{5DF59E59-D029-824F-8FD8-761EE7E95F4D}" name="Parameters"/>
    <tableColumn id="2" xr3:uid="{C3BBC002-9B7C-974F-9C1F-A1A7030F0C90}" name="Values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A502D-BD8F-C84C-BF4F-8B404FEFA88C}" name="Table15" displayName="Table15" ref="A1:F4" totalsRowShown="0">
  <autoFilter ref="A1:F4" xr:uid="{142A502D-BD8F-C84C-BF4F-8B404FEFA88C}"/>
  <tableColumns count="6">
    <tableColumn id="1" xr3:uid="{8C226C7E-A918-6845-81A6-6388750F9BB4}" name="Actual Hires" dataDxfId="36">
      <calculatedColumnFormula>'Poisson Regression'!B19</calculatedColumnFormula>
    </tableColumn>
    <tableColumn id="2" xr3:uid="{CD994E91-2EB2-A94F-9DAB-8C25D40B00B3}" name="Forecasted Hires" dataDxfId="35">
      <calculatedColumnFormula>'Poisson Regression'!G19</calculatedColumnFormula>
    </tableColumn>
    <tableColumn id="3" xr3:uid="{88F5AE24-1348-CA4B-84E2-315E65F9DFA8}" name="Error" dataDxfId="34">
      <calculatedColumnFormula>B2 - A2</calculatedColumnFormula>
    </tableColumn>
    <tableColumn id="6" xr3:uid="{C3AF128C-091A-5242-BE57-82B9661E6C82}" name="Absolute Error" dataDxfId="33">
      <calculatedColumnFormula>ABS(C2)</calculatedColumnFormula>
    </tableColumn>
    <tableColumn id="4" xr3:uid="{7DCB362F-3254-E04A-B762-3FAE4A034915}" name="Squared Error" dataDxfId="32">
      <calculatedColumnFormula>C2^2</calculatedColumnFormula>
    </tableColumn>
    <tableColumn id="5" xr3:uid="{76A08AAC-43AB-1E4D-8F95-7B5E7F16E773}" name="Absolute Percentage Error" dataDxfId="31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E8515A-D920-E14C-A9A5-EFD9B865BD55}" name="Table16" displayName="Table16" ref="A8:B12" totalsRowShown="0">
  <autoFilter ref="A8:B12" xr:uid="{5DE8515A-D920-E14C-A9A5-EFD9B865BD55}"/>
  <tableColumns count="2">
    <tableColumn id="1" xr3:uid="{AED534B3-A7F6-114F-AE24-FA16D617DE80}" name="Metric"/>
    <tableColumn id="2" xr3:uid="{F4BD273A-22EE-934F-A0BA-E0CFE9F23E4F}" name="Values" dataDxfId="30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34907-E461-B14B-9138-8CF502DD5257}" name="Table8101118" displayName="Table8101118" ref="A1:H21" totalsRowShown="0">
  <autoFilter ref="A1:H21" xr:uid="{04DF91E7-F4F9-BF4F-95AE-F6F91F414C83}"/>
  <tableColumns count="8">
    <tableColumn id="1" xr3:uid="{F40C2BFD-0100-9B45-BE24-A8DF1259B607}" name="MM-YYYY" dataDxfId="29"/>
    <tableColumn id="2" xr3:uid="{9DF727F4-C933-6B4D-8714-11B4C9257B48}" name="Hires" dataDxfId="28"/>
    <tableColumn id="3" xr3:uid="{6FEFB6F0-CBE3-8242-8E19-5397AB6BA961}" name="Split Set"/>
    <tableColumn id="4" xr3:uid="{EE01F350-D091-7C43-965B-37637EA1B47E}" name="Time Index" dataDxfId="27">
      <calculatedColumnFormula>ROW()-1</calculatedColumnFormula>
    </tableColumn>
    <tableColumn id="5" xr3:uid="{E2F9CF44-E23F-F14B-BF1D-372C7AA8FDA6}" name="Sine Component" dataDxfId="26">
      <calculatedColumnFormula>SIN(2*PI()*D2/12)</calculatedColumnFormula>
    </tableColumn>
    <tableColumn id="6" xr3:uid="{C2EC75A5-AA74-184E-A638-1E3F1C67062D}" name="Cosine Component" dataDxfId="25">
      <calculatedColumnFormula>COS(2*PI()*D2/12)</calculatedColumnFormula>
    </tableColumn>
    <tableColumn id="7" xr3:uid="{588D807D-FCBF-5C4E-B83A-91FDCF7AC0F2}" name="Lambda" dataDxfId="24">
      <calculatedColumnFormula>EXP(#REF! +#REF!* D2 +#REF!* E2 +#REF!* F2)</calculatedColumnFormula>
    </tableColumn>
    <tableColumn id="8" xr3:uid="{5DE4BF9D-8464-A545-9884-4C433AEAE69C}" name="Log-Likelihood" dataDxfId="23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09D927-00E5-5A4C-B848-490F405621A9}" name="Table1119" displayName="Table1119" ref="J1:K6" totalsRowShown="0">
  <autoFilter ref="J1:K6" xr:uid="{89491572-214E-614E-8D69-07B6C0A14CA3}"/>
  <tableColumns count="2">
    <tableColumn id="1" xr3:uid="{2705A7EE-912E-6D49-A0D3-9DFC87648155}" name="Parameters"/>
    <tableColumn id="2" xr3:uid="{D79BB846-8EE9-2F4B-9800-AFFCC6609C04}" name="Values" dataDxfId="22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CB03CBD-7B5F-254B-A8B1-141AB7D41A6A}" name="Table1320" displayName="Table1320" ref="A1:F4" totalsRowShown="0">
  <autoFilter ref="A1:F4" xr:uid="{8CB03CBD-7B5F-254B-A8B1-141AB7D41A6A}"/>
  <tableColumns count="6">
    <tableColumn id="1" xr3:uid="{3E61A7B0-2A95-264C-B9D2-173A71A23E48}" name="Actual Hires" dataDxfId="21">
      <calculatedColumnFormula>'Poisson Regression'!B19</calculatedColumnFormula>
    </tableColumn>
    <tableColumn id="2" xr3:uid="{BC3FF5C1-C55E-9C4E-833F-01E218975102}" name="Forecasted Hires" dataDxfId="20">
      <calculatedColumnFormula>'Negative Binomial Regression'!G19</calculatedColumnFormula>
    </tableColumn>
    <tableColumn id="3" xr3:uid="{F5E978B9-7804-AC4B-914E-75A05980154C}" name="Error" dataDxfId="19">
      <calculatedColumnFormula>B2 - A2</calculatedColumnFormula>
    </tableColumn>
    <tableColumn id="6" xr3:uid="{A2B829AA-AEE6-F34A-8516-1EB7F9A5CFFF}" name="Absolute Error" dataDxfId="18">
      <calculatedColumnFormula>ABS(C2)</calculatedColumnFormula>
    </tableColumn>
    <tableColumn id="4" xr3:uid="{F9B4CE06-DDDC-8040-B85B-62A8B1961D72}" name="Squared Error" dataDxfId="17">
      <calculatedColumnFormula>C2^2</calculatedColumnFormula>
    </tableColumn>
    <tableColumn id="5" xr3:uid="{675A0B43-EB5D-A147-8F5C-8E9C76EAEC53}" name="Absolute Percentage Error" dataDxfId="16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EEBD866-C715-B448-B792-E24FF8C3CDF0}" name="Table1421" displayName="Table1421" ref="A8:B12" totalsRowShown="0">
  <autoFilter ref="A8:B12" xr:uid="{3EEBD866-C715-B448-B792-E24FF8C3CDF0}"/>
  <tableColumns count="2">
    <tableColumn id="1" xr3:uid="{10BD6A9F-0E60-DF4E-9A69-9D528D7B897F}" name="Metric"/>
    <tableColumn id="2" xr3:uid="{5EC38287-A1B9-F849-8127-BE8E89010EB9}" name="Values" dataDxfId="15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EF9596-FFB9-0B4C-8472-0CC576E62276}" name="Table6" displayName="Table6" ref="A1:E4" totalsRowShown="0">
  <autoFilter ref="A1:E4" xr:uid="{A7EF9596-FFB9-0B4C-8472-0CC576E62276}"/>
  <tableColumns count="5">
    <tableColumn id="1" xr3:uid="{FA35FE68-7328-854D-B25B-87DD26F4A0D4}" name="Model"/>
    <tableColumn id="2" xr3:uid="{1609BC29-E9FF-1341-A7F6-4B885E82F545}" name="MSE" dataDxfId="14"/>
    <tableColumn id="3" xr3:uid="{1AFAF516-C488-744B-98AD-F3DC5CC04000}" name="RMSE" dataDxfId="13"/>
    <tableColumn id="4" xr3:uid="{120742F6-A6F6-5348-B133-D3BBFE99510D}" name="MAE" dataDxfId="12"/>
    <tableColumn id="5" xr3:uid="{601077A3-7339-0046-BBA9-104F2D763547}" name="MAPE (%)" dataDxfId="11" dataCellStyle="Percent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0749CF0-9773-A14D-BA7C-868D9B79A9EA}" name="Table810111826" displayName="Table810111826" ref="A1:H25" totalsRowShown="0">
  <autoFilter ref="A1:H25" xr:uid="{04DF91E7-F4F9-BF4F-95AE-F6F91F414C83}"/>
  <tableColumns count="8">
    <tableColumn id="1" xr3:uid="{AE435EF3-87D5-1A4B-9D79-FB0C8BE71060}" name="MM-YYYY" dataDxfId="10"/>
    <tableColumn id="2" xr3:uid="{B8A5415D-6C8E-7347-A6E3-46FD461C42C3}" name="Hires" dataDxfId="9"/>
    <tableColumn id="3" xr3:uid="{84C6B2D6-ACF8-0148-A83A-A0F3F290848B}" name="Split Set"/>
    <tableColumn id="4" xr3:uid="{98C6B9E3-0D38-0440-8F08-91AA875D424C}" name="Time Index" dataDxfId="8">
      <calculatedColumnFormula>ROW()-1</calculatedColumnFormula>
    </tableColumn>
    <tableColumn id="5" xr3:uid="{CB296CA0-5094-0146-B30B-59D25F16D2BA}" name="Sine Component" dataDxfId="7">
      <calculatedColumnFormula>SIN(2*PI()*D2/12)</calculatedColumnFormula>
    </tableColumn>
    <tableColumn id="6" xr3:uid="{5200D763-DFF2-F648-ADA2-3107F97757E3}" name="Cosine Component" dataDxfId="6">
      <calculatedColumnFormula>COS(2*PI()*D2/12)</calculatedColumnFormula>
    </tableColumn>
    <tableColumn id="7" xr3:uid="{74011B73-F00F-A344-8D9E-B2CE69D1FEE0}" name="Lambda" dataDxfId="5">
      <calculatedColumnFormula>EXP($K$2 + $K$3*D2 + $K$4*E2 + $K$5*F2)</calculatedColumnFormula>
    </tableColumn>
    <tableColumn id="8" xr3:uid="{BB32C8B7-2B78-144F-8467-982D2022AC0B}" name="Log-Likelihood" dataDxfId="4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2681612-9937-DA4C-AEC6-22A77382AF35}" name="Table111927" displayName="Table111927" ref="J1:K6" totalsRowShown="0">
  <autoFilter ref="J1:K6" xr:uid="{89491572-214E-614E-8D69-07B6C0A14CA3}"/>
  <tableColumns count="2">
    <tableColumn id="1" xr3:uid="{C1BE4A53-E6C6-A94B-80AE-CA7F64B3928E}" name="Parameters"/>
    <tableColumn id="2" xr3:uid="{E84C6122-927C-6E47-95B7-7D8395B8C853}" name="Values" dataDxfId="3"/>
  </tableColumns>
  <tableStyleInfo name="TableStyleLight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2BC666A-C4BF-AF4B-B14B-295992E19451}" name="Table27" displayName="Table27" ref="A1:B21" totalsRowShown="0">
  <autoFilter ref="A1:B21" xr:uid="{B2BC666A-C4BF-AF4B-B14B-295992E19451}"/>
  <tableColumns count="2">
    <tableColumn id="1" xr3:uid="{32ED6CCF-A6CE-6146-B925-F379C8883116}" name="Time" dataDxfId="2"/>
    <tableColumn id="2" xr3:uid="{8A193B85-8E97-A64E-AB16-D4B797E1DC41}" name="Hires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4FEECBC-E444-5C4F-AAF7-67E071EBB176}" name="Table28" displayName="Table28" ref="D1:F5" totalsRowShown="0">
  <autoFilter ref="D1:F5" xr:uid="{D4FEECBC-E444-5C4F-AAF7-67E071EBB176}"/>
  <tableColumns count="3">
    <tableColumn id="1" xr3:uid="{A2C719D2-524A-8E40-8A4F-62200B68B49F}" name="Time" dataDxfId="1"/>
    <tableColumn id="2" xr3:uid="{0BA0A5EC-B3A1-9246-8D51-5D0F8B213FFC}" name="ETS Forecast">
      <calculatedColumnFormula>ROUND(_xlfn.FORECAST.ETS(D2, $B$2:$B$21, A$2:A$21, 1), 0)</calculatedColumnFormula>
    </tableColumn>
    <tableColumn id="3" xr3:uid="{4DE71563-2070-5E49-B3E6-531D1B122663}" name="NB Forecast" dataDxfId="0">
      <calculatedColumnFormula>'NB Forecasts'!G22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  <wetp:taskpane dockstate="right" visibility="0" width="0" row="0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791534D5-E012-0B4D-948A-4ACD7E144BF8}">
  <we:reference id="wa104100404" version="3.0.0.1" store="en-US" storeType="OMEX"/>
  <we:alternateReferences>
    <we:reference id="wa104100404" version="3.0.0.1" store="wa104100404" storeType="OMEX"/>
  </we:alternateReferences>
  <we:properties>
    <we:property name="CRlpWjAWJww9HgwJLAUTFRMCUVs3BSJDFSMC" value="&quot;&quot;"/>
    <we:property name="CRlpWjAWJww9HgwJLAUTFRMCUVs3BSJDFyAQJTEK" value="&quot;UA==&quot;"/>
    <we:property name="CRlpWjAWJww9HgwJLAUTFRMCUVs3BSJDKS4EHj0WEw4OBw==" value="&quot;UUUGAw==&quot;"/>
    <we:property name="CRlpWjAWJww9HgwJLAUTFRMCUVs3BSJDKS4EHj0WEwgDHQ==" value="&quot;UA==&quot;"/>
    <we:property name="CRlpWjAWJww9HgwJLAUTFRMCUVs3BSJDKS4EHj0WEwgEGA==" value="&quot;VA==&quot;"/>
    <we:property name="CRlpWjAWJww9HgwJLAUTFRMCUVs3BSJDKS4EHj0WEwgNEw==" value="&quot;UQ==&quot;"/>
    <we:property name="CRlpWjAWJww9HgwJLAUTFRMCUVs3BSJDKS4EHj0WEwgSDw==" value="&quot;UQ==&quot;"/>
    <we:property name="CRlpWjAWJww9HgwJLAUTFRMCUVs3BSJDKS4EHj0WEwkCBw==" value="&quot;UA==&quot;"/>
    <we:property name="CRlpWjAWJww9HgwJLAUTFRMCUVs3BSJDKS4EHj0WEwkOCA==" value="&quot;UQ==&quot;"/>
    <we:property name="CRlpWjAWJww9HgwJLAUTFRMCUVs3BSJDKS4EHj0WEwkSEQ==" value="&quot;UFsG&quot;"/>
    <we:property name="CRlpWjAWJww9HgwJLAUTFRMCUVs3BSJDKS4EHj0WEwkVCg==" value="&quot;UQ==&quot;"/>
    <we:property name="CRlpWjAWJww9HgwJLAUTFRMCUVs3BSJDKS4EHj0WEwoTDg==" value="&quot;UUUGAmlUflM=&quot;"/>
    <we:property name="CRlpWjAWJww9HgwJLAUTFRMCUVs3BSJDKS4EHj0WEx0AGw==" value="&quot;UUUGAmlUflM=&quot;"/>
    <we:property name="CRlpWjAWJww9HgwJLAUTFRMCUVs3BSJDKS4EHj0WEx8PDA==" value="&quot;Jjlx&quot;"/>
    <we:property name="CRlpWjAWJww9HgwJLAUTFRMCUVs3BSJDKS4EHj0WExMRAg==" value="&quot;UA==&quot;"/>
    <we:property name="CRlpWjAWJww9HgwJLAUTFRMCUVs3BSJDKS4EHj0WExMRDw==" value="&quot;Ug==&quot;"/>
    <we:property name="CRlpWjAWJww9HgwJLAUTFRMCUVs3BSJDKS4EHj0WExMRGA==" value="&quot;UUUPCw==&quot;"/>
    <we:property name="CRlpWjAWJww9HgwJLAUTFRMCUVs3BSJDKS4EHj0WExQEDA==" value="&quot;UA==&quot;"/>
    <we:property name="CRlpWjAWJww9HgwJLAUTFRMCUVs3BSJDKS4EHj0WExQVGQ==" value="&quot;Uw==&quot;"/>
    <we:property name="CRlpWjAWJww9HgwJLAUTFRMCUVs3BSJDKS4EHj0WExYRGw==" value="&quot;UQ==&quot;"/>
    <we:property name="CRlpWjAWJww9HgwJLAUTFRMCUVs3BSJDKS4EHj0WExYRHw==" value="&quot;UQ==&quot;"/>
    <we:property name="CRlpWjAWJww9HgwJLAUTFRMCUVs3BSJDKS4EHj0WExcEHw==" value="&quot;Uw==&quot;"/>
    <we:property name="CRlpWjAWJww9HgwJLAUTFRMCUVs3BSJDKS4EHj0WExcPAg==" value="&quot;Uls=&quot;"/>
    <we:property name="CRlpWjAWJww9HgwJLAUTFRMCUVs3BSJDKS4EHj0WExcSBw==" value="&quot;UQ==&quot;"/>
    <we:property name="CRlpWjAWJww9HgwJLAUTFRMCUVs3BSJDKS4EHj0WExcTHw==" value="&quot;UUUGBWw=&quot;"/>
    <we:property name="CRlpWjAWJww9HgwJLAUTFRMCUVs3BSJDKS4EHj0WExkXDA==" value="&quot;UUUGAmlV&quot;"/>
    <we:property name="CRlpWjAWJww9HgwJLAUTFRMCUVs3BSJDKS4EHj0WExsCCA==" value="&quot;UUUGAmg=&quot;"/>
    <we:property name="CRlpWjAWJww9HgwJLAUTFRMCUVs3BSJDKS4EHj0WExsTGA==" value="&quot;UA==&quot;"/>
    <we:property name="CRlpWjAWJww9HgwJLAUTFRMCUVs3BSJDKS4EHj0WExwECg==" value="&quot;UUUGAmlUflM=&quot;"/>
    <we:property name="JD9lEh8LPAc5IBsceRcjFhcORG0+BT4=" value="&quot;UUUGAmlUflM=&quot;"/>
    <we:property name="JD9lEh8LPAc5IBsceRcjFhcORG0/AS8=" value="&quot;UUUGAmlUflM=&quot;"/>
    <we:property name="JD9lEh8LPAc5IBsceRcjFhcORG00ATo=" value="&quot;Uw==&quot;"/>
    <we:property name="JD9lEh8LPAc5IBsceRcjFhcORG00Cic=" value="&quot;Uls=&quot;"/>
    <we:property name="JD9lEh8LPAc5IBsceRcjFhcORG00Fjo=" value="&quot;UUUGBWw=&quot;"/>
    <we:property name="JD9lEh8LPAc5IBsceRcjFhcORG00FyI=" value="&quot;UQ==&quot;"/>
    <we:property name="JD9lEh8LPAc5IBsceRcjFhcORG01FD4=" value="&quot;UQ==&quot;"/>
    <we:property name="JD9lEh8LPAc5IBsceRcjFhcORG01FDo=" value="&quot;UQ==&quot;"/>
    <we:property name="JD9lEh8LPAc5IBsceRcjFhcORG03ASk=" value="&quot;UA==&quot;"/>
    <we:property name="JD9lEh8LPAc5IBsceRcjFhcORG03EDw=" value="&quot;Uw==&quot;"/>
    <we:property name="JD9lEh8LPAc5IBsceRcjFhcORG04By0=" value="&quot;UUUGAmg=&quot;"/>
    <we:property name="JD9lEh8LPAc5IBsceRcjFhcORG04Fj0=" value="&quot;UA==&quot;"/>
    <we:property name="JD9lEh8LPAc5IBsceRcjFhcORG06Eik=" value="&quot;UUUGAmlV&quot;"/>
    <we:property name="JD9lEh8LPAc5IBsceRcjFhcORG08Cik=" value="&quot;Jjlx&quot;"/>
    <we:property name="JD9lEh8LPAc5IBsceRcjFhcORG0pFis=" value="&quot;UUUGAmlUflM=&quot;"/>
    <we:property name="JD9lEh8LPAc5IBsceRcjFhcORG0qByI=" value="&quot;UA==&quot;"/>
    <we:property name="JD9lEh8LPAc5IBsceRcjFhcORG0qCy0=" value="&quot;UQ==&quot;"/>
    <we:property name="JD9lEh8LPAc5IBsceRcjFhcORG0qEC8=" value="&quot;UQ==&quot;"/>
    <we:property name="JD9lEh8LPAc5IBsceRcjFhcORG0qFzQ=" value="&quot;UFsG&quot;"/>
    <we:property name="JD9lEh8LPAc5IBsceRcjFhcORG0rAT0=" value="&quot;VA==&quot;"/>
    <we:property name="JD9lEh8LPAc5IBsceRcjFhcORG0rBjg=" value="&quot;UA==&quot;"/>
    <we:property name="JD9lEh8LPAc5IBsceRcjFhcORG0rCDY=" value="&quot;UQ==&quot;"/>
    <we:property name="JD9lEh8LPAc5IBsceRcjFhcORG0rFyo=" value="&quot;UQ==&quot;"/>
    <we:property name="JD9lEh8LPAc5IBsceRcjFhcORG0tCyI=" value="&quot;UUUGAw==&quot;"/>
    <we:property name="JD9lEh8LPAc5IBsceRcjFhcORG0wFCc=" value="&quot;UA==&quot;"/>
    <we:property name="JD9lEh8LPAc5IBsceRcjFhcORG0wFCo=" value="&quot;Ug==&quot;"/>
    <we:property name="JD9lEh8LPAc5IBsceRcjFhcORG0wFD0=" value="&quot;UUUPCw==&quot;"/>
    <we:property name="JD9lEh8LPAc5IBsceSktAiwCWA==" value="&quot;UA==&quot;"/>
    <we:property name="JD9lEh8LPAc5IBsceSsuEA==" value="&quot;&quot;"/>
    <we:property name="Lw5RUy0NOAd6AwEGNwklGw1LZFc+FisRKSgHBnkXIxYXDkRtKRYr" value="&quot;UUUGAmlUflM=&quot;"/>
    <we:property name="Lw5RUy0NOAd6AwEGNwklGw1LZFc+FisRKSgHBnkXIxYXDkRtKgci" value="&quot;UA==&quot;"/>
    <we:property name="Lw5RUy0NOAd6AwEGNwklGw1LZFc+FisRKSgHBnkXIxYXDkRtKgst" value="&quot;UQ==&quot;"/>
    <we:property name="Lw5RUy0NOAd6AwEGNwklGw1LZFc+FisRKSgHBnkXIxYXDkRtKhAv" value="&quot;UQ==&quot;"/>
    <we:property name="Lw5RUy0NOAd6AwEGNwklGw1LZFc+FisRKSgHBnkXIxYXDkRtKhc0" value="&quot;UFsG&quot;"/>
    <we:property name="Lw5RUy0NOAd6AwEGNwklGw1LZFc+FisRKSgHBnkXIxYXDkRtKwE9" value="&quot;VA==&quot;"/>
    <we:property name="Lw5RUy0NOAd6AwEGNwklGw1LZFc+FisRKSgHBnkXIxYXDkRtKwEiUw==" value="&quot;QVcLEg==&quot;"/>
    <we:property name="Lw5RUy0NOAd6AwEGNwklGw1LZFc+FisRKSgHBnkXIxYXDkRtKwY4" value="&quot;UQ==&quot;"/>
    <we:property name="Lw5RUy0NOAd6AwEGNwklGw1LZFc+FisRKSgHBnkXIxYXDkRtKwg2" value="&quot;UQ==&quot;"/>
    <we:property name="Lw5RUy0NOAd6AwEGNwklGw1LZFc+FisRKSgHBnkXIxYXDkRtKww9Uw==" value="&quot;RSESA2s=&quot;"/>
    <we:property name="Lw5RUy0NOAd6AwEGNwklGw1LZFc+FisRKSgHBnkXIxYXDkRtKxcq" value="&quot;UQ==&quot;"/>
    <we:property name="Lw5RUy0NOAd6AwEGNwklGw1LZFc+FisRKSgHBnkXIxYXDkRtLQk9" value="&quot;UA==&quot;"/>
    <we:property name="Lw5RUy0NOAd6AwEGNwklGw1LZFc+FisRKSgHBnkXIxYXDkRtLQsi" value="&quot;UUUGAw==&quot;"/>
    <we:property name="Lw5RUy0NOAd6AwEGNwklGw1LZFc+FisRKSgHBnkXIxYXDkRtMBQ9" value="&quot;UUUPCw==&quot;"/>
    <we:property name="Lw5RUy0NOAd6AwEGNwklGw1LZFc+FisRKSgHBnkXIxYXDkRtMBQn" value="&quot;UA==&quot;"/>
    <we:property name="Lw5RUy0NOAd6AwEGNwklGw1LZFc+FisRKSgHBnkXIxYXDkRtMBQq" value="&quot;Ug==&quot;"/>
    <we:property name="Lw5RUy0NOAd6AwEGNwklGw1LZFc+FisRKSgHBnkXIxYXDkRtMg04" value="&quot;&quot;"/>
    <we:property name="Lw5RUy0NOAd6AwEGNwklGw1LZFc+FisRKSgHBnkXIxYXDkRtNAE6" value="&quot;Uw==&quot;"/>
    <we:property name="Lw5RUy0NOAd6AwEGNwklGw1LZFc+FisRKSgHBnkXIxYXDkRtNAon" value="&quot;Uls=&quot;"/>
    <we:property name="Lw5RUy0NOAd6AwEGNwklGw1LZFc+FisRKSgHBnkXIxYXDkRtNBY6" value="&quot;UUUGBWw=&quot;"/>
    <we:property name="Lw5RUy0NOAd6AwEGNwklGw1LZFc+FisRKSgHBnkXIxYXDkRtNBci" value="&quot;UA==&quot;"/>
    <we:property name="Lw5RUy0NOAd6AwEGNwklGw1LZFc+FisRKSgHBnkXIxYXDkRtNQw9Uw==" value="&quot;RSASBA==&quot;"/>
    <we:property name="Lw5RUy0NOAd6AwEGNwklGw1LZFc+FisRKSgHBnkXIxYXDkRtNRQ+" value="&quot;UQ==&quot;"/>
    <we:property name="Lw5RUy0NOAd6AwEGNwklGw1LZFc+FisRKSgHBnkXIxYXDkRtNRQ6" value="&quot;UQ==&quot;"/>
    <we:property name="Lw5RUy0NOAd6AwEGNwklGw1LZFc+FisRKSgHBnkXIxYXDkRtNwEp" value="&quot;UA==&quot;"/>
    <we:property name="Lw5RUy0NOAd6AwEGNwklGw1LZFc+FisRKSgHBnkXIxYXDkRtNxA8" value="&quot;Uw==&quot;"/>
    <we:property name="Lw5RUy0NOAd6AwEGNwklGw1LZFc+FisRKSgHBnkXIxYXDkRtNxEj" value="&quot;UA==&quot;"/>
    <we:property name="Lw5RUy0NOAd6AwEGNwklGw1LZFc+FisRKSgHBnkXIxYXDkRtNxM6" value="&quot;UA==&quot;"/>
    <we:property name="Lw5RUy0NOAd6AwEGNwklGw1LZFc+FisRKSgHBnkXIxYXDkRtOAct" value="&quot;UUUGAmg=&quot;"/>
    <we:property name="Lw5RUy0NOAd6AwEGNwklGw1LZFc+FisRKSgHBnkXIxYXDkRtOBY9" value="&quot;UA==&quot;"/>
    <we:property name="Lw5RUy0NOAd6AwEGNwklGw1LZFc+FisRKSgHBnkXIxYXDkRtOhIp" value="&quot;UUUGAmlV&quot;"/>
    <we:property name="Lw5RUy0NOAd6AwEGNwklGw1LZFc+FisRKSgHBnkXIxYXDkRtPAop" value="&quot;Jjlx&quot;"/>
    <we:property name="Lw5RUy0NOAd6AwEGNwklGw1LZFc+FisRKSgHBnkXIxYXDkRtPBc6" value="&quot;UA==&quot;"/>
    <we:property name="Lw5RUy0NOAd6AwEGNwklGw1LZFc+FisRKSgHBnkXIxYXDkRtPgU+" value="&quot;UUUGAmlUflM=&quot;"/>
    <we:property name="Lw5RUy0NOAd6AwEGNwklGw1LZFc+FisRKSgHBnkXIxYXDkRtPwEv" value="&quot;UUUGAmlUflM=&quot;"/>
    <we:property name="Lw5RUy0NOAd6AwEGNwklGw1LZFc+FisRKSgHBnkpLQIsAlg=" value="&quot;Uw==&quot;"/>
    <we:property name="Lw5RUy0NOAd6AwEGNwklGw1LZFc+FisRKSgHBnkrLhA=" value="&quot;RSESCw==&quot;"/>
    <we:property name="Lw5RUy0NOAd6AwEGNwklGw1LZFc+FisRKSgHBnkyLQgIClRePBc=" value="&quot;RSASAGNABUZs&quot;"/>
    <we:property name="LykWdDYWKwE7MhwbeRcjFhcORG0+BT4=" value="&quot;UUUGAmlUflM=&quot;"/>
    <we:property name="LykWdDYWKwE7MhwbeRcjFhcORG0/AS8=" value="&quot;UUUGAmlUflM=&quot;"/>
    <we:property name="LykWdDYWKwE7MhwbeRcjFhcORG00ATo=" value="&quot;Uw==&quot;"/>
    <we:property name="LykWdDYWKwE7MhwbeRcjFhcORG00Cic=" value="&quot;Uls=&quot;"/>
    <we:property name="LykWdDYWKwE7MhwbeRcjFhcORG00Fjo=" value="&quot;UUUGBWw=&quot;"/>
    <we:property name="LykWdDYWKwE7MhwbeRcjFhcORG00FyI=" value="&quot;UA==&quot;"/>
    <we:property name="LykWdDYWKwE7MhwbeRcjFhcORG01DD1T" value="&quot;RSASBA==&quot;"/>
    <we:property name="LykWdDYWKwE7MhwbeRcjFhcORG01FD4=" value="&quot;UQ==&quot;"/>
    <we:property name="LykWdDYWKwE7MhwbeRcjFhcORG01FDo=" value="&quot;UQ==&quot;"/>
    <we:property name="LykWdDYWKwE7MhwbeRcjFhcORG03ASk=" value="&quot;UA==&quot;"/>
    <we:property name="LykWdDYWKwE7MhwbeRcjFhcORG03EDw=" value="&quot;Uw==&quot;"/>
    <we:property name="LykWdDYWKwE7MhwbeRcjFhcORG03ESM=" value="&quot;UA==&quot;"/>
    <we:property name="LykWdDYWKwE7MhwbeRcjFhcORG03Ezo=" value="&quot;UA==&quot;"/>
    <we:property name="LykWdDYWKwE7MhwbeRcjFhcORG04By0=" value="&quot;UUUGAmg=&quot;"/>
    <we:property name="LykWdDYWKwE7MhwbeRcjFhcORG04Fj0=" value="&quot;UA==&quot;"/>
    <we:property name="LykWdDYWKwE7MhwbeRcjFhcORG06Eik=" value="&quot;UUUGAmlV&quot;"/>
    <we:property name="LykWdDYWKwE7MhwbeRcjFhcORG08Cik=" value="&quot;Jjlx&quot;"/>
    <we:property name="LykWdDYWKwE7MhwbeRcjFhcORG08Fzo=" value="&quot;UA==&quot;"/>
    <we:property name="LykWdDYWKwE7MhwbeRcjFhcORG0pFis=" value="&quot;UUUGAmlUflM=&quot;"/>
    <we:property name="LykWdDYWKwE7MhwbeRcjFhcORG0qByI=" value="&quot;UA==&quot;"/>
    <we:property name="LykWdDYWKwE7MhwbeRcjFhcORG0qCy0=" value="&quot;UQ==&quot;"/>
    <we:property name="LykWdDYWKwE7MhwbeRcjFhcORG0qEC8=" value="&quot;UQ==&quot;"/>
    <we:property name="LykWdDYWKwE7MhwbeRcjFhcORG0qFzQ=" value="&quot;UFsG&quot;"/>
    <we:property name="LykWdDYWKwE7MhwbeRcjFhcORG0rASJT" value="&quot;QVcLEg==&quot;"/>
    <we:property name="LykWdDYWKwE7MhwbeRcjFhcORG0rAT0=" value="&quot;VA==&quot;"/>
    <we:property name="LykWdDYWKwE7MhwbeRcjFhcORG0rBjg=" value="&quot;UQ==&quot;"/>
    <we:property name="LykWdDYWKwE7MhwbeRcjFhcORG0rCDY=" value="&quot;UQ==&quot;"/>
    <we:property name="LykWdDYWKwE7MhwbeRcjFhcORG0rDD1T" value="&quot;RSESA2s=&quot;"/>
    <we:property name="LykWdDYWKwE7MhwbeRcjFhcORG0rFyo=" value="&quot;UQ==&quot;"/>
    <we:property name="LykWdDYWKwE7MhwbeRcjFhcORG0tCT0=" value="&quot;UA==&quot;"/>
    <we:property name="LykWdDYWKwE7MhwbeRcjFhcORG0tCyI=" value="&quot;UUUGAw==&quot;"/>
    <we:property name="LykWdDYWKwE7MhwbeRcjFhcORG0wFCc=" value="&quot;UA==&quot;"/>
    <we:property name="LykWdDYWKwE7MhwbeRcjFhcORG0wFCo=" value="&quot;Ug==&quot;"/>
    <we:property name="LykWdDYWKwE7MhwbeRcjFhcORG0wFD0=" value="&quot;UUUPCw==&quot;"/>
    <we:property name="LykWdDYWKwE7MhwbeRcjFhcORG0yDTg=" value="&quot;&quot;"/>
    <we:property name="LykWdDYWKwE7MhwbeSktAiwCWA==" value="&quot;Uw==&quot;"/>
    <we:property name="LykWdDYWKwE7MhwbeSsuEA==" value="&quot;RSESCw==&quot;"/>
    <we:property name="LykWdDYWKwE7MhwbeTItCAgKVF48Fw==" value="&quot;RSASAGNABUZs&quot;"/>
    <we:property name="MQRfQSoLIEIIJA8aPRc/Ew4FF0E2CDgHKB4BGCs=" value="&quot;UUUPCw==&quot;"/>
    <we:property name="MQRfQSoLIEIIJA8aPRc/Ew4FF0E2CDgHKB4BGDE=" value="&quot;UA==&quot;"/>
    <we:property name="MQRfQSoLIEIIJA8aPRc/Ew4FF0E2CDgHKB4BGDw=" value="&quot;Ug==&quot;"/>
    <we:property name="MQRfQSoLIEIIJA8aPRc/Ew4FF0E2CDgHKB4EGCg=" value="&quot;UQ==&quot;"/>
    <we:property name="MQRfQSoLIEIIJA8aPRc/Ew4FF0E2CDgHKB4EGCw=" value="&quot;UQ==&quot;"/>
    <we:property name="MQRfQSoLIEIIJA8aPRc/Ew4FF0E2CDgHKB4FBjE=" value="&quot;Uls=&quot;"/>
    <we:property name="MQRfQSoLIEIIJA8aPRc/Ew4FF0E2CDgHKB4FDSw=" value="&quot;Uw==&quot;"/>
    <we:property name="MQRfQSoLIEIIJA8aPRc/Ew4FF0E2CDgHKB4FGiw=" value="&quot;UUUGBWw=&quot;"/>
    <we:property name="MQRfQSoLIEIIJA8aPRc/Ew4FF0E2CDgHKB4FGzQ=" value="&quot;UQ==&quot;"/>
    <we:property name="MQRfQSoLIEIIJA8aPRc/Ew4FF0E2CDgHKB4GDT8=" value="&quot;UA==&quot;"/>
    <we:property name="MQRfQSoLIEIIJA8aPRc/Ew4FF0E2CDgHKB4GHCo=" value="&quot;Uw==&quot;"/>
    <we:property name="MQRfQSoLIEIIJA8aPRc/Ew4FF0E2CDgHKB4JCzs=" value="&quot;UUUGAmg=&quot;"/>
    <we:property name="MQRfQSoLIEIIJA8aPRc/Ew4FF0E2CDgHKB4JGis=" value="&quot;UA==&quot;"/>
    <we:property name="MQRfQSoLIEIIJA8aPRc/Ew4FF0E2CDgHKB4LHj8=" value="&quot;UUUGAmlV&quot;"/>
    <we:property name="MQRfQSoLIEIIJA8aPRc/Ew4FF0E2CDgHKB4NBj8=" value="&quot;Jjlx&quot;"/>
    <we:property name="MQRfQSoLIEIIJA8aPRc/Ew4FF0E2CDgHKB4ODTk=" value="&quot;UUUGAmlUflM=&quot;"/>
    <we:property name="MQRfQSoLIEIIJA8aPRc/Ew4FF0E2CDgHKB4PCSg=" value="&quot;UUUGAmlUflM=&quot;"/>
    <we:property name="MQRfQSoLIEIIJA8aPRc/Ew4FF0E2CDgHKB4YGj0=" value="&quot;UUUGAmlUflM=&quot;"/>
    <we:property name="MQRfQSoLIEIIJA8aPRc/Ew4FF0E2CDgHKB4aBCA=" value="&quot;UQ==&quot;"/>
    <we:property name="MQRfQSoLIEIIJA8aPRc/Ew4FF0E2CDgHKB4aCi4=" value="&quot;UA==&quot;"/>
    <we:property name="MQRfQSoLIEIIJA8aPRc/Ew4FF0E2CDgHKB4aDSs=" value="&quot;VA==&quot;"/>
    <we:property name="MQRfQSoLIEIIJA8aPRc/Ew4FF0E2CDgHKB4aGzw=" value="&quot;UQ==&quot;"/>
    <we:property name="MQRfQSoLIEIIJA8aPRc/Ew4FF0E2CDgHKB4bBzs=" value="&quot;UQ==&quot;"/>
    <we:property name="MQRfQSoLIEIIJA8aPRc/Ew4FF0E2CDgHKB4bCzQ=" value="&quot;UA==&quot;"/>
    <we:property name="MQRfQSoLIEIIJA8aPRc/Ew4FF0E2CDgHKB4bGyI=" value="&quot;UFsG&quot;"/>
    <we:property name="MQRfQSoLIEIIJA8aPRc/Ew4FF0E2CDgHKB4bHDk=" value="&quot;UQ==&quot;"/>
    <we:property name="MQRfQSoLIEIIJA8aPRc/Ew4FF0E2CDgHKB4cBzQ=" value="&quot;UUUGAw==&quot;"/>
    <we:property name="MQRfQSoLIEIIJA8aPRc/Ew4FF2Q4FicDOC0NGw==" value="&quot;RSASAGNABUZv&quot;"/>
    <we:property name="MQRfQSoLIEIIJA8aPRc/Ew4FF307Dg==" value="&quot;RSESCg==&quot;"/>
    <we:property name="MQRfQSoLIEIIJA8aPRc/Ew4FF384HAMLNA==" value="&quot;Uw==&quot;"/>
    <we:property name="MRlZViwHOkIXKBBJDgU+EwAJWlcq" value="&quot;RS8SC2NACEZj&quot;"/>
    <we:property name="MRlZViwHOkIXKBBJFQU0NwgF" value="&quot;UA==&quot;"/>
    <we:property name="MRlZViwHOkIXKBBJFwYm" value="&quot;RS8SA2E=&quot;"/>
    <we:property name="MRlZViwHOkIXKBBJKwsgDAQZaUA8CH8=" value="&quot;QVcLEg==&quot;"/>
    <we:property name="MRlZViwHOkIXKBBJKwsgDAQZaUA8CHw=" value="&quot;QVULEg==&quot;"/>
    <we:property name="MRlZViwHOkIXKBBJKwsgDAQZaUAxF38=" value="&quot;RSkSA2heaiB+cF0=&quot;"/>
    <we:property name="MRlZViwHOkIXKBBJKwsgDAQZaUAxF3w=" value="&quot;UQ==&quot;"/>
    <we:property name="MRlZViwHOkIXKBBJKwsgDAQZaV4xF38=" value="&quot;RSgSA2heaiF+cF0=&quot;"/>
    <we:property name="MRlZViwHOkIXKBBJKwsgDAQZaV4xF3w=" value="&quot;RS8SC2NACEZj&quot;"/>
    <we:property name="MRlZViwHOkIXKBBJKwsgDAQZaVc3Aw==" value="&quot;UQ==&quot;"/>
    <we:property name="MRlZViwHOkIXKBBJKwsgDAQZaVw8Aw==" value="&quot;UA==&quot;"/>
    <we:property name="MRlZViwHOkIXKBBJKwsgDAQZaVwsCQ==" value="&quot;Uw==&quot;"/>
    <we:property name="MgNTVy1XbxE1LR4NKjsiHwY=" value="&quot;UA==&quot;"/>
    <we:property name="MgNTVy1XbxE1LR4NKjspFAY=" value="&quot;Jjlx&quot;"/>
    <we:property name="MgNTVy1Xby04Kw==" value="&quot;RSASBA==&quot;"/>
    <we:property name="MgNTVy1Xby87OSUBNg==" value="&quot;Uw==&quot;"/>
    <we:property name="MgNTVy1XbzQ7MwEJOggpCQ==" value="&quot;RSASAGNABUZv&quot;"/>
    <we:property name="UniqueID" value="&quot;20241091731185939025&quot;"/>
  </we:properties>
  <we:bindings>
    <we:binding id="Sheet3refEdit" type="matrix" appref="{2ACF1D85-7E47-3847-B349-80DEA0D01E12}"/>
    <we:binding id="Sheet3Worker" type="matrix" appref="{EF08CC10-AA7B-9D42-A654-D7BEC8BFAAC6}"/>
    <we:binding id="hr_hiring_data_originalrefEdit" type="matrix" appref="{DADC0CF7-6B3C-8448-BA2C-128784A2FE56}"/>
    <we:binding id="hr_hiring_data_originalWorker" type="matrix" appref="{65834C78-1C8C-9941-9B4B-697BD4E0E04E}"/>
    <we:binding id="Var$K$2:$K$5" type="matrix" appref="{72098FCE-37D5-7641-9261-B7C4596CD38D}"/>
    <we:binding id="refEdit" type="matrix" appref="{5400BBE2-E1DF-4E48-A66C-7F6A80CC2417}"/>
    <we:binding id="Worker" type="matrix" appref="{5DBC3BE4-37FD-E941-8459-85648BDF45EB}"/>
    <we:binding id="Var0" type="matrix" appref="{30A79CEC-304B-6545-BD3F-BEBCEF6EFE99}"/>
    <we:binding id="Obj" type="matrix" appref="{95981DF6-38AE-3647-BBD5-A39A3CC3DB86}"/>
    <we:binding id="Var$K$2:$K$6" type="matrix" appref="{3737379E-6F0F-2D4F-B963-F15C92E1B98A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B577540-3C48-E74F-8B4B-10951020BE56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E4CCDC32-5C1C-1A4E-9E5B-8327D06FF9B2}"/>
  </we:bindings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981E046-A9A7-3D44-986D-343A9349AB8B}">
  <we:reference id="wa200007447" version="1.0.0.0" store="en-U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_xldudf_BOARDFLARE_PY</we:customFunctionIds>
        <we:customFunctionIds>_xldudf_BOARDFLARE_PY_ARR</we:customFunctionIds>
        <we:customFunctionIds>_xldudf_BOARDFLARE_PY_BETA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9E9FF65A-0A8E-7D44-9567-5E231852F00A}">
  <we:reference id="wa200000019" version="24.3.0.0" store="en-US" storeType="OMEX"/>
  <we:alternateReferences>
    <we:reference id="wa200000019" version="24.3.0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819C7-198A-2140-8F33-4242E87D078D}">
  <sheetPr codeName="Sheet1"/>
  <dimension ref="A1:P2201"/>
  <sheetViews>
    <sheetView tabSelected="1" workbookViewId="0">
      <selection activeCell="A2" sqref="A2"/>
    </sheetView>
  </sheetViews>
  <sheetFormatPr baseColWidth="10" defaultRowHeight="16" x14ac:dyDescent="0.2"/>
  <cols>
    <col min="1" max="1" width="20.83203125" customWidth="1"/>
    <col min="2" max="2" width="17.33203125" customWidth="1"/>
    <col min="3" max="3" width="19.5" bestFit="1" customWidth="1"/>
    <col min="4" max="4" width="23.6640625" bestFit="1" customWidth="1"/>
    <col min="5" max="5" width="15.33203125" customWidth="1"/>
    <col min="6" max="6" width="19.1640625" bestFit="1" customWidth="1"/>
    <col min="7" max="8" width="15.1640625" customWidth="1"/>
    <col min="9" max="9" width="12.83203125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3893</v>
      </c>
      <c r="K1" t="s">
        <v>3894</v>
      </c>
      <c r="L1" t="s">
        <v>3895</v>
      </c>
      <c r="M1" t="s">
        <v>3896</v>
      </c>
      <c r="N1" t="s">
        <v>3897</v>
      </c>
      <c r="O1" t="s">
        <v>3899</v>
      </c>
      <c r="P1" t="s">
        <v>3898</v>
      </c>
    </row>
    <row r="2" spans="1:16" x14ac:dyDescent="0.2">
      <c r="A2">
        <v>2867825</v>
      </c>
      <c r="B2" t="s">
        <v>9</v>
      </c>
      <c r="C2" t="s">
        <v>10</v>
      </c>
      <c r="D2" t="s">
        <v>11</v>
      </c>
      <c r="E2" s="1">
        <v>44651</v>
      </c>
      <c r="F2" t="s">
        <v>12</v>
      </c>
      <c r="G2" s="1">
        <v>44670</v>
      </c>
      <c r="I2" t="s">
        <v>13</v>
      </c>
      <c r="J2" s="1" t="b">
        <f>AND(NOT(ISBLANK(H2)), NOT(OR(ISNUMBER(SEARCH("decline", I2)), ISNUMBER(SEARCH("rescind", I2)), ISNUMBER(SEARCH("cancel", I2)))))</f>
        <v>0</v>
      </c>
      <c r="K2" s="1" t="b">
        <f>ISNUMBER(SEARCH("decline", I2))</f>
        <v>1</v>
      </c>
      <c r="L2" s="1" t="b">
        <f>ISNUMBER(SEARCH("rescind", I2))</f>
        <v>0</v>
      </c>
      <c r="M2" s="1" t="b">
        <f>ISNUMBER(SEARCH("cancel", I2))</f>
        <v>0</v>
      </c>
      <c r="N2" s="1" t="b">
        <f>ISNUMBER(SEARCH("transfer", I2))</f>
        <v>0</v>
      </c>
      <c r="O2" s="1" t="b">
        <f>ISNUMBER(SEARCH("promo", I2))</f>
        <v>0</v>
      </c>
      <c r="P2" s="1" t="b">
        <f>ISNUMBER(SEARCH("new", I2))</f>
        <v>0</v>
      </c>
    </row>
    <row r="3" spans="1:16" x14ac:dyDescent="0.2">
      <c r="A3">
        <v>2867825</v>
      </c>
      <c r="B3" t="s">
        <v>14</v>
      </c>
      <c r="C3" t="s">
        <v>10</v>
      </c>
      <c r="D3" t="s">
        <v>11</v>
      </c>
      <c r="E3" s="1">
        <v>44800</v>
      </c>
      <c r="F3" t="s">
        <v>15</v>
      </c>
      <c r="G3" s="1">
        <v>44817</v>
      </c>
      <c r="H3" s="1">
        <v>44856</v>
      </c>
      <c r="I3" t="s">
        <v>16</v>
      </c>
      <c r="J3" s="1" t="b">
        <f t="shared" ref="J3:J66" si="0">AND(NOT(ISBLANK(H3)), NOT(OR(ISNUMBER(SEARCH("decline", I3)), ISNUMBER(SEARCH("rescind", I3)), ISNUMBER(SEARCH("cancel", I3)))))</f>
        <v>1</v>
      </c>
      <c r="K3" s="1" t="b">
        <f t="shared" ref="K3:K66" si="1">ISNUMBER(SEARCH("decline", I3))</f>
        <v>0</v>
      </c>
      <c r="L3" s="1" t="b">
        <f t="shared" ref="L3:L66" si="2">ISNUMBER(SEARCH("rescind", I3))</f>
        <v>0</v>
      </c>
      <c r="M3" s="1" t="b">
        <f t="shared" ref="M3:M66" si="3">ISNUMBER(SEARCH("cancel", I3))</f>
        <v>0</v>
      </c>
      <c r="N3" s="1" t="b">
        <f t="shared" ref="N3:N66" si="4">ISNUMBER(SEARCH("transfer", I3))</f>
        <v>1</v>
      </c>
      <c r="O3" s="1" t="b">
        <f t="shared" ref="O3:O66" si="5">ISNUMBER(SEARCH("promo", I3))</f>
        <v>0</v>
      </c>
      <c r="P3" s="1" t="b">
        <f t="shared" ref="P3:P66" si="6">ISNUMBER(SEARCH("new", I3))</f>
        <v>0</v>
      </c>
    </row>
    <row r="4" spans="1:16" x14ac:dyDescent="0.2">
      <c r="A4">
        <v>1445199</v>
      </c>
      <c r="B4" t="s">
        <v>17</v>
      </c>
      <c r="C4" t="s">
        <v>18</v>
      </c>
      <c r="D4" t="s">
        <v>19</v>
      </c>
      <c r="E4" s="1">
        <v>44568</v>
      </c>
      <c r="F4" t="s">
        <v>20</v>
      </c>
      <c r="G4" s="1">
        <v>44593</v>
      </c>
      <c r="H4" s="1">
        <v>44645</v>
      </c>
      <c r="J4" s="1" t="b">
        <f t="shared" si="0"/>
        <v>1</v>
      </c>
      <c r="K4" s="1" t="b">
        <f t="shared" si="1"/>
        <v>0</v>
      </c>
      <c r="L4" s="1" t="b">
        <f t="shared" si="2"/>
        <v>0</v>
      </c>
      <c r="M4" s="1" t="b">
        <f t="shared" si="3"/>
        <v>0</v>
      </c>
      <c r="N4" s="1" t="b">
        <f t="shared" si="4"/>
        <v>0</v>
      </c>
      <c r="O4" s="1" t="b">
        <f t="shared" si="5"/>
        <v>0</v>
      </c>
      <c r="P4" s="1" t="b">
        <f t="shared" si="6"/>
        <v>0</v>
      </c>
    </row>
    <row r="5" spans="1:16" x14ac:dyDescent="0.2">
      <c r="A5">
        <v>1445199</v>
      </c>
      <c r="B5" t="s">
        <v>21</v>
      </c>
      <c r="C5" t="s">
        <v>18</v>
      </c>
      <c r="D5" t="s">
        <v>19</v>
      </c>
      <c r="E5" s="1">
        <v>44846</v>
      </c>
      <c r="F5" t="s">
        <v>22</v>
      </c>
      <c r="G5" s="1">
        <v>44851</v>
      </c>
      <c r="I5" t="s">
        <v>13</v>
      </c>
      <c r="J5" s="1" t="b">
        <f t="shared" si="0"/>
        <v>0</v>
      </c>
      <c r="K5" s="1" t="b">
        <f t="shared" si="1"/>
        <v>1</v>
      </c>
      <c r="L5" s="1" t="b">
        <f t="shared" si="2"/>
        <v>0</v>
      </c>
      <c r="M5" s="1" t="b">
        <f t="shared" si="3"/>
        <v>0</v>
      </c>
      <c r="N5" s="1" t="b">
        <f t="shared" si="4"/>
        <v>0</v>
      </c>
      <c r="O5" s="1" t="b">
        <f t="shared" si="5"/>
        <v>0</v>
      </c>
      <c r="P5" s="1" t="b">
        <f t="shared" si="6"/>
        <v>0</v>
      </c>
    </row>
    <row r="6" spans="1:16" x14ac:dyDescent="0.2">
      <c r="A6">
        <v>1445199</v>
      </c>
      <c r="B6" t="s">
        <v>23</v>
      </c>
      <c r="C6" t="s">
        <v>18</v>
      </c>
      <c r="D6" t="s">
        <v>19</v>
      </c>
      <c r="E6" s="1">
        <v>44666</v>
      </c>
      <c r="F6" t="s">
        <v>24</v>
      </c>
      <c r="G6" s="1">
        <v>44669</v>
      </c>
      <c r="I6" t="s">
        <v>25</v>
      </c>
      <c r="J6" s="1" t="b">
        <f t="shared" si="0"/>
        <v>0</v>
      </c>
      <c r="K6" s="1" t="b">
        <f t="shared" si="1"/>
        <v>0</v>
      </c>
      <c r="L6" s="1" t="b">
        <f t="shared" si="2"/>
        <v>1</v>
      </c>
      <c r="M6" s="1" t="b">
        <f t="shared" si="3"/>
        <v>0</v>
      </c>
      <c r="N6" s="1" t="b">
        <f t="shared" si="4"/>
        <v>0</v>
      </c>
      <c r="O6" s="1" t="b">
        <f t="shared" si="5"/>
        <v>0</v>
      </c>
      <c r="P6" s="1" t="b">
        <f t="shared" si="6"/>
        <v>0</v>
      </c>
    </row>
    <row r="7" spans="1:16" x14ac:dyDescent="0.2">
      <c r="A7">
        <v>1445199</v>
      </c>
      <c r="B7" t="s">
        <v>26</v>
      </c>
      <c r="C7" t="s">
        <v>18</v>
      </c>
      <c r="D7" t="s">
        <v>19</v>
      </c>
      <c r="E7" s="1">
        <v>44832</v>
      </c>
      <c r="F7" t="s">
        <v>27</v>
      </c>
      <c r="G7" s="1">
        <v>44858</v>
      </c>
      <c r="H7" s="1">
        <v>44861</v>
      </c>
      <c r="I7" t="s">
        <v>28</v>
      </c>
      <c r="J7" s="1" t="b">
        <f t="shared" si="0"/>
        <v>1</v>
      </c>
      <c r="K7" s="1" t="b">
        <f t="shared" si="1"/>
        <v>0</v>
      </c>
      <c r="L7" s="1" t="b">
        <f t="shared" si="2"/>
        <v>0</v>
      </c>
      <c r="M7" s="1" t="b">
        <f t="shared" si="3"/>
        <v>0</v>
      </c>
      <c r="N7" s="1" t="b">
        <f t="shared" si="4"/>
        <v>0</v>
      </c>
      <c r="O7" s="1" t="b">
        <f t="shared" si="5"/>
        <v>0</v>
      </c>
      <c r="P7" s="1" t="b">
        <f t="shared" si="6"/>
        <v>1</v>
      </c>
    </row>
    <row r="8" spans="1:16" x14ac:dyDescent="0.2">
      <c r="A8">
        <v>1445199</v>
      </c>
      <c r="B8" t="s">
        <v>29</v>
      </c>
      <c r="C8" t="s">
        <v>18</v>
      </c>
      <c r="D8" t="s">
        <v>19</v>
      </c>
      <c r="E8" s="1">
        <v>44642</v>
      </c>
      <c r="F8" t="s">
        <v>30</v>
      </c>
      <c r="G8" s="1">
        <v>44660</v>
      </c>
      <c r="H8" s="1">
        <v>44679</v>
      </c>
      <c r="I8" t="s">
        <v>16</v>
      </c>
      <c r="J8" s="1" t="b">
        <f t="shared" si="0"/>
        <v>1</v>
      </c>
      <c r="K8" s="1" t="b">
        <f t="shared" si="1"/>
        <v>0</v>
      </c>
      <c r="L8" s="1" t="b">
        <f t="shared" si="2"/>
        <v>0</v>
      </c>
      <c r="M8" s="1" t="b">
        <f t="shared" si="3"/>
        <v>0</v>
      </c>
      <c r="N8" s="1" t="b">
        <f t="shared" si="4"/>
        <v>1</v>
      </c>
      <c r="O8" s="1" t="b">
        <f t="shared" si="5"/>
        <v>0</v>
      </c>
      <c r="P8" s="1" t="b">
        <f t="shared" si="6"/>
        <v>0</v>
      </c>
    </row>
    <row r="9" spans="1:16" x14ac:dyDescent="0.2">
      <c r="A9">
        <v>7067228</v>
      </c>
      <c r="B9" t="s">
        <v>31</v>
      </c>
      <c r="C9" t="s">
        <v>32</v>
      </c>
      <c r="D9" t="s">
        <v>19</v>
      </c>
      <c r="I9" t="s">
        <v>33</v>
      </c>
      <c r="J9" s="1" t="b">
        <f t="shared" si="0"/>
        <v>0</v>
      </c>
      <c r="K9" s="1" t="b">
        <f t="shared" si="1"/>
        <v>0</v>
      </c>
      <c r="L9" s="1" t="b">
        <f t="shared" si="2"/>
        <v>0</v>
      </c>
      <c r="M9" s="1" t="b">
        <f t="shared" si="3"/>
        <v>1</v>
      </c>
      <c r="N9" s="1" t="b">
        <f t="shared" si="4"/>
        <v>0</v>
      </c>
      <c r="O9" s="1" t="b">
        <f t="shared" si="5"/>
        <v>0</v>
      </c>
      <c r="P9" s="1" t="b">
        <f t="shared" si="6"/>
        <v>0</v>
      </c>
    </row>
    <row r="10" spans="1:16" x14ac:dyDescent="0.2">
      <c r="A10">
        <v>4823498</v>
      </c>
      <c r="B10" t="s">
        <v>34</v>
      </c>
      <c r="C10" t="s">
        <v>35</v>
      </c>
      <c r="D10" t="s">
        <v>11</v>
      </c>
      <c r="E10" s="1">
        <v>45026</v>
      </c>
      <c r="F10" t="s">
        <v>36</v>
      </c>
      <c r="G10" s="1">
        <v>45047</v>
      </c>
      <c r="H10" s="1">
        <v>45101</v>
      </c>
      <c r="I10" t="s">
        <v>16</v>
      </c>
      <c r="J10" s="1" t="b">
        <f t="shared" si="0"/>
        <v>1</v>
      </c>
      <c r="K10" s="1" t="b">
        <f t="shared" si="1"/>
        <v>0</v>
      </c>
      <c r="L10" s="1" t="b">
        <f t="shared" si="2"/>
        <v>0</v>
      </c>
      <c r="M10" s="1" t="b">
        <f t="shared" si="3"/>
        <v>0</v>
      </c>
      <c r="N10" s="1" t="b">
        <f t="shared" si="4"/>
        <v>1</v>
      </c>
      <c r="O10" s="1" t="b">
        <f t="shared" si="5"/>
        <v>0</v>
      </c>
      <c r="P10" s="1" t="b">
        <f t="shared" si="6"/>
        <v>0</v>
      </c>
    </row>
    <row r="11" spans="1:16" x14ac:dyDescent="0.2">
      <c r="A11">
        <v>7120868</v>
      </c>
      <c r="B11" t="s">
        <v>37</v>
      </c>
      <c r="C11" t="s">
        <v>38</v>
      </c>
      <c r="D11" t="s">
        <v>39</v>
      </c>
      <c r="E11" s="1">
        <v>44635</v>
      </c>
      <c r="F11" t="s">
        <v>40</v>
      </c>
      <c r="G11" s="1">
        <v>44655</v>
      </c>
      <c r="I11" t="s">
        <v>13</v>
      </c>
      <c r="J11" s="1" t="b">
        <f t="shared" si="0"/>
        <v>0</v>
      </c>
      <c r="K11" s="1" t="b">
        <f t="shared" si="1"/>
        <v>1</v>
      </c>
      <c r="L11" s="1" t="b">
        <f t="shared" si="2"/>
        <v>0</v>
      </c>
      <c r="M11" s="1" t="b">
        <f t="shared" si="3"/>
        <v>0</v>
      </c>
      <c r="N11" s="1" t="b">
        <f t="shared" si="4"/>
        <v>0</v>
      </c>
      <c r="O11" s="1" t="b">
        <f t="shared" si="5"/>
        <v>0</v>
      </c>
      <c r="P11" s="1" t="b">
        <f t="shared" si="6"/>
        <v>0</v>
      </c>
    </row>
    <row r="12" spans="1:16" x14ac:dyDescent="0.2">
      <c r="A12">
        <v>7120868</v>
      </c>
      <c r="B12" t="s">
        <v>41</v>
      </c>
      <c r="C12" t="s">
        <v>38</v>
      </c>
      <c r="D12" t="s">
        <v>39</v>
      </c>
      <c r="E12" s="1">
        <v>44950</v>
      </c>
      <c r="F12" t="s">
        <v>42</v>
      </c>
      <c r="G12" s="1">
        <v>44959</v>
      </c>
      <c r="H12" s="1">
        <v>45019</v>
      </c>
      <c r="I12" t="s">
        <v>43</v>
      </c>
      <c r="J12" s="1" t="b">
        <f t="shared" si="0"/>
        <v>1</v>
      </c>
      <c r="K12" s="1" t="b">
        <f t="shared" si="1"/>
        <v>0</v>
      </c>
      <c r="L12" s="1" t="b">
        <f t="shared" si="2"/>
        <v>0</v>
      </c>
      <c r="M12" s="1" t="b">
        <f t="shared" si="3"/>
        <v>0</v>
      </c>
      <c r="N12" s="1" t="b">
        <f t="shared" si="4"/>
        <v>0</v>
      </c>
      <c r="O12" s="1" t="b">
        <f t="shared" si="5"/>
        <v>1</v>
      </c>
      <c r="P12" s="1" t="b">
        <f t="shared" si="6"/>
        <v>0</v>
      </c>
    </row>
    <row r="13" spans="1:16" x14ac:dyDescent="0.2">
      <c r="A13">
        <v>7120868</v>
      </c>
      <c r="B13" t="s">
        <v>44</v>
      </c>
      <c r="C13" t="s">
        <v>38</v>
      </c>
      <c r="D13" t="s">
        <v>39</v>
      </c>
      <c r="E13" s="1">
        <v>44619</v>
      </c>
      <c r="F13" t="s">
        <v>45</v>
      </c>
      <c r="G13" s="1">
        <v>44627</v>
      </c>
      <c r="H13" s="1">
        <v>44680</v>
      </c>
      <c r="I13" t="s">
        <v>43</v>
      </c>
      <c r="J13" s="1" t="b">
        <f t="shared" si="0"/>
        <v>1</v>
      </c>
      <c r="K13" s="1" t="b">
        <f t="shared" si="1"/>
        <v>0</v>
      </c>
      <c r="L13" s="1" t="b">
        <f t="shared" si="2"/>
        <v>0</v>
      </c>
      <c r="M13" s="1" t="b">
        <f t="shared" si="3"/>
        <v>0</v>
      </c>
      <c r="N13" s="1" t="b">
        <f t="shared" si="4"/>
        <v>0</v>
      </c>
      <c r="O13" s="1" t="b">
        <f t="shared" si="5"/>
        <v>1</v>
      </c>
      <c r="P13" s="1" t="b">
        <f t="shared" si="6"/>
        <v>0</v>
      </c>
    </row>
    <row r="14" spans="1:16" x14ac:dyDescent="0.2">
      <c r="A14">
        <v>1538552</v>
      </c>
      <c r="B14" t="s">
        <v>46</v>
      </c>
      <c r="C14" t="s">
        <v>47</v>
      </c>
      <c r="D14" t="s">
        <v>39</v>
      </c>
      <c r="E14" s="1">
        <v>44884</v>
      </c>
      <c r="F14" t="s">
        <v>48</v>
      </c>
      <c r="G14" s="1">
        <v>44891</v>
      </c>
      <c r="I14" t="s">
        <v>13</v>
      </c>
      <c r="J14" s="1" t="b">
        <f t="shared" si="0"/>
        <v>0</v>
      </c>
      <c r="K14" s="1" t="b">
        <f t="shared" si="1"/>
        <v>1</v>
      </c>
      <c r="L14" s="1" t="b">
        <f t="shared" si="2"/>
        <v>0</v>
      </c>
      <c r="M14" s="1" t="b">
        <f t="shared" si="3"/>
        <v>0</v>
      </c>
      <c r="N14" s="1" t="b">
        <f t="shared" si="4"/>
        <v>0</v>
      </c>
      <c r="O14" s="1" t="b">
        <f t="shared" si="5"/>
        <v>0</v>
      </c>
      <c r="P14" s="1" t="b">
        <f t="shared" si="6"/>
        <v>0</v>
      </c>
    </row>
    <row r="15" spans="1:16" x14ac:dyDescent="0.2">
      <c r="A15">
        <v>1538552</v>
      </c>
      <c r="B15" t="s">
        <v>49</v>
      </c>
      <c r="C15" t="s">
        <v>47</v>
      </c>
      <c r="D15" t="s">
        <v>39</v>
      </c>
      <c r="E15" s="1">
        <v>45031</v>
      </c>
      <c r="F15" t="s">
        <v>50</v>
      </c>
      <c r="G15" s="1">
        <v>45036</v>
      </c>
      <c r="H15" s="1">
        <v>45053</v>
      </c>
      <c r="J15" s="1" t="b">
        <f t="shared" si="0"/>
        <v>1</v>
      </c>
      <c r="K15" s="1" t="b">
        <f t="shared" si="1"/>
        <v>0</v>
      </c>
      <c r="L15" s="1" t="b">
        <f t="shared" si="2"/>
        <v>0</v>
      </c>
      <c r="M15" s="1" t="b">
        <f t="shared" si="3"/>
        <v>0</v>
      </c>
      <c r="N15" s="1" t="b">
        <f t="shared" si="4"/>
        <v>0</v>
      </c>
      <c r="O15" s="1" t="b">
        <f t="shared" si="5"/>
        <v>0</v>
      </c>
      <c r="P15" s="1" t="b">
        <f t="shared" si="6"/>
        <v>0</v>
      </c>
    </row>
    <row r="16" spans="1:16" x14ac:dyDescent="0.2">
      <c r="A16">
        <v>1538552</v>
      </c>
      <c r="B16" t="s">
        <v>51</v>
      </c>
      <c r="C16" t="s">
        <v>47</v>
      </c>
      <c r="D16" t="s">
        <v>39</v>
      </c>
      <c r="E16" s="1">
        <v>44831</v>
      </c>
      <c r="F16" t="s">
        <v>52</v>
      </c>
      <c r="G16" s="1">
        <v>44855</v>
      </c>
      <c r="I16" t="s">
        <v>13</v>
      </c>
      <c r="J16" s="1" t="b">
        <f t="shared" si="0"/>
        <v>0</v>
      </c>
      <c r="K16" s="1" t="b">
        <f t="shared" si="1"/>
        <v>1</v>
      </c>
      <c r="L16" s="1" t="b">
        <f t="shared" si="2"/>
        <v>0</v>
      </c>
      <c r="M16" s="1" t="b">
        <f t="shared" si="3"/>
        <v>0</v>
      </c>
      <c r="N16" s="1" t="b">
        <f t="shared" si="4"/>
        <v>0</v>
      </c>
      <c r="O16" s="1" t="b">
        <f t="shared" si="5"/>
        <v>0</v>
      </c>
      <c r="P16" s="1" t="b">
        <f t="shared" si="6"/>
        <v>0</v>
      </c>
    </row>
    <row r="17" spans="1:16" x14ac:dyDescent="0.2">
      <c r="A17">
        <v>1538552</v>
      </c>
      <c r="B17" t="s">
        <v>53</v>
      </c>
      <c r="C17" t="s">
        <v>47</v>
      </c>
      <c r="D17" t="s">
        <v>39</v>
      </c>
      <c r="E17" s="1">
        <v>44703</v>
      </c>
      <c r="F17" t="s">
        <v>54</v>
      </c>
      <c r="G17" s="1">
        <v>44720</v>
      </c>
      <c r="H17" s="1">
        <v>44752</v>
      </c>
      <c r="J17" s="1" t="b">
        <f t="shared" si="0"/>
        <v>1</v>
      </c>
      <c r="K17" s="1" t="b">
        <f t="shared" si="1"/>
        <v>0</v>
      </c>
      <c r="L17" s="1" t="b">
        <f t="shared" si="2"/>
        <v>0</v>
      </c>
      <c r="M17" s="1" t="b">
        <f t="shared" si="3"/>
        <v>0</v>
      </c>
      <c r="N17" s="1" t="b">
        <f t="shared" si="4"/>
        <v>0</v>
      </c>
      <c r="O17" s="1" t="b">
        <f t="shared" si="5"/>
        <v>0</v>
      </c>
      <c r="P17" s="1" t="b">
        <f t="shared" si="6"/>
        <v>0</v>
      </c>
    </row>
    <row r="18" spans="1:16" x14ac:dyDescent="0.2">
      <c r="A18">
        <v>2525206</v>
      </c>
      <c r="B18" t="s">
        <v>55</v>
      </c>
      <c r="C18" t="s">
        <v>35</v>
      </c>
      <c r="D18" t="s">
        <v>56</v>
      </c>
      <c r="E18" s="1">
        <v>44994</v>
      </c>
      <c r="F18" t="s">
        <v>57</v>
      </c>
      <c r="G18" s="1">
        <v>45014</v>
      </c>
      <c r="I18" t="s">
        <v>13</v>
      </c>
      <c r="J18" s="1" t="b">
        <f t="shared" si="0"/>
        <v>0</v>
      </c>
      <c r="K18" s="1" t="b">
        <f t="shared" si="1"/>
        <v>1</v>
      </c>
      <c r="L18" s="1" t="b">
        <f t="shared" si="2"/>
        <v>0</v>
      </c>
      <c r="M18" s="1" t="b">
        <f t="shared" si="3"/>
        <v>0</v>
      </c>
      <c r="N18" s="1" t="b">
        <f t="shared" si="4"/>
        <v>0</v>
      </c>
      <c r="O18" s="1" t="b">
        <f t="shared" si="5"/>
        <v>0</v>
      </c>
      <c r="P18" s="1" t="b">
        <f t="shared" si="6"/>
        <v>0</v>
      </c>
    </row>
    <row r="19" spans="1:16" x14ac:dyDescent="0.2">
      <c r="A19">
        <v>2065818</v>
      </c>
      <c r="B19" t="s">
        <v>58</v>
      </c>
      <c r="C19" t="s">
        <v>59</v>
      </c>
      <c r="D19" t="s">
        <v>60</v>
      </c>
      <c r="E19" s="1">
        <v>44573</v>
      </c>
      <c r="F19" t="s">
        <v>61</v>
      </c>
      <c r="G19" s="1">
        <v>44595</v>
      </c>
      <c r="H19" s="1">
        <v>44642</v>
      </c>
      <c r="I19" t="s">
        <v>28</v>
      </c>
      <c r="J19" s="1" t="b">
        <f t="shared" si="0"/>
        <v>1</v>
      </c>
      <c r="K19" s="1" t="b">
        <f t="shared" si="1"/>
        <v>0</v>
      </c>
      <c r="L19" s="1" t="b">
        <f t="shared" si="2"/>
        <v>0</v>
      </c>
      <c r="M19" s="1" t="b">
        <f t="shared" si="3"/>
        <v>0</v>
      </c>
      <c r="N19" s="1" t="b">
        <f t="shared" si="4"/>
        <v>0</v>
      </c>
      <c r="O19" s="1" t="b">
        <f t="shared" si="5"/>
        <v>0</v>
      </c>
      <c r="P19" s="1" t="b">
        <f t="shared" si="6"/>
        <v>1</v>
      </c>
    </row>
    <row r="20" spans="1:16" x14ac:dyDescent="0.2">
      <c r="A20">
        <v>2065818</v>
      </c>
      <c r="B20" t="s">
        <v>62</v>
      </c>
      <c r="C20" t="s">
        <v>59</v>
      </c>
      <c r="D20" t="s">
        <v>60</v>
      </c>
      <c r="E20" s="1">
        <v>44835</v>
      </c>
      <c r="F20" t="s">
        <v>63</v>
      </c>
      <c r="G20" s="1">
        <v>44860</v>
      </c>
      <c r="I20" t="s">
        <v>13</v>
      </c>
      <c r="J20" s="1" t="b">
        <f t="shared" si="0"/>
        <v>0</v>
      </c>
      <c r="K20" s="1" t="b">
        <f t="shared" si="1"/>
        <v>1</v>
      </c>
      <c r="L20" s="1" t="b">
        <f t="shared" si="2"/>
        <v>0</v>
      </c>
      <c r="M20" s="1" t="b">
        <f t="shared" si="3"/>
        <v>0</v>
      </c>
      <c r="N20" s="1" t="b">
        <f t="shared" si="4"/>
        <v>0</v>
      </c>
      <c r="O20" s="1" t="b">
        <f t="shared" si="5"/>
        <v>0</v>
      </c>
      <c r="P20" s="1" t="b">
        <f t="shared" si="6"/>
        <v>0</v>
      </c>
    </row>
    <row r="21" spans="1:16" x14ac:dyDescent="0.2">
      <c r="A21">
        <v>2065818</v>
      </c>
      <c r="B21" t="s">
        <v>64</v>
      </c>
      <c r="C21" t="s">
        <v>59</v>
      </c>
      <c r="D21" t="s">
        <v>60</v>
      </c>
      <c r="E21" s="1">
        <v>44723</v>
      </c>
      <c r="F21" t="s">
        <v>65</v>
      </c>
      <c r="G21" s="1">
        <v>44738</v>
      </c>
      <c r="H21" s="1">
        <v>44739</v>
      </c>
      <c r="I21" t="s">
        <v>16</v>
      </c>
      <c r="J21" s="1" t="b">
        <f t="shared" si="0"/>
        <v>1</v>
      </c>
      <c r="K21" s="1" t="b">
        <f t="shared" si="1"/>
        <v>0</v>
      </c>
      <c r="L21" s="1" t="b">
        <f t="shared" si="2"/>
        <v>0</v>
      </c>
      <c r="M21" s="1" t="b">
        <f t="shared" si="3"/>
        <v>0</v>
      </c>
      <c r="N21" s="1" t="b">
        <f t="shared" si="4"/>
        <v>1</v>
      </c>
      <c r="O21" s="1" t="b">
        <f t="shared" si="5"/>
        <v>0</v>
      </c>
      <c r="P21" s="1" t="b">
        <f t="shared" si="6"/>
        <v>0</v>
      </c>
    </row>
    <row r="22" spans="1:16" x14ac:dyDescent="0.2">
      <c r="A22">
        <v>2065818</v>
      </c>
      <c r="B22" t="s">
        <v>66</v>
      </c>
      <c r="C22" t="s">
        <v>59</v>
      </c>
      <c r="D22" t="s">
        <v>60</v>
      </c>
      <c r="E22" s="1">
        <v>44744</v>
      </c>
      <c r="F22" t="s">
        <v>67</v>
      </c>
      <c r="G22" s="1">
        <v>44761</v>
      </c>
      <c r="H22" s="1">
        <v>44820</v>
      </c>
      <c r="I22" t="s">
        <v>28</v>
      </c>
      <c r="J22" s="1" t="b">
        <f t="shared" si="0"/>
        <v>1</v>
      </c>
      <c r="K22" s="1" t="b">
        <f t="shared" si="1"/>
        <v>0</v>
      </c>
      <c r="L22" s="1" t="b">
        <f t="shared" si="2"/>
        <v>0</v>
      </c>
      <c r="M22" s="1" t="b">
        <f t="shared" si="3"/>
        <v>0</v>
      </c>
      <c r="N22" s="1" t="b">
        <f t="shared" si="4"/>
        <v>0</v>
      </c>
      <c r="O22" s="1" t="b">
        <f t="shared" si="5"/>
        <v>0</v>
      </c>
      <c r="P22" s="1" t="b">
        <f t="shared" si="6"/>
        <v>1</v>
      </c>
    </row>
    <row r="23" spans="1:16" x14ac:dyDescent="0.2">
      <c r="A23">
        <v>2065818</v>
      </c>
      <c r="B23" t="s">
        <v>68</v>
      </c>
      <c r="C23" t="s">
        <v>59</v>
      </c>
      <c r="D23" t="s">
        <v>60</v>
      </c>
      <c r="E23" s="1">
        <v>45081</v>
      </c>
      <c r="F23" t="s">
        <v>69</v>
      </c>
      <c r="G23" s="1">
        <v>45101</v>
      </c>
      <c r="I23" t="s">
        <v>13</v>
      </c>
      <c r="J23" s="1" t="b">
        <f t="shared" si="0"/>
        <v>0</v>
      </c>
      <c r="K23" s="1" t="b">
        <f t="shared" si="1"/>
        <v>1</v>
      </c>
      <c r="L23" s="1" t="b">
        <f t="shared" si="2"/>
        <v>0</v>
      </c>
      <c r="M23" s="1" t="b">
        <f t="shared" si="3"/>
        <v>0</v>
      </c>
      <c r="N23" s="1" t="b">
        <f t="shared" si="4"/>
        <v>0</v>
      </c>
      <c r="O23" s="1" t="b">
        <f t="shared" si="5"/>
        <v>0</v>
      </c>
      <c r="P23" s="1" t="b">
        <f t="shared" si="6"/>
        <v>0</v>
      </c>
    </row>
    <row r="24" spans="1:16" x14ac:dyDescent="0.2">
      <c r="A24">
        <v>4337174</v>
      </c>
      <c r="B24" t="s">
        <v>70</v>
      </c>
      <c r="C24" t="s">
        <v>71</v>
      </c>
      <c r="D24" t="s">
        <v>39</v>
      </c>
      <c r="E24" s="1">
        <v>45062</v>
      </c>
      <c r="F24" t="s">
        <v>72</v>
      </c>
      <c r="G24" s="1">
        <v>45063</v>
      </c>
      <c r="H24" s="1">
        <v>45071</v>
      </c>
      <c r="I24" t="s">
        <v>16</v>
      </c>
      <c r="J24" s="1" t="b">
        <f t="shared" si="0"/>
        <v>1</v>
      </c>
      <c r="K24" s="1" t="b">
        <f t="shared" si="1"/>
        <v>0</v>
      </c>
      <c r="L24" s="1" t="b">
        <f t="shared" si="2"/>
        <v>0</v>
      </c>
      <c r="M24" s="1" t="b">
        <f t="shared" si="3"/>
        <v>0</v>
      </c>
      <c r="N24" s="1" t="b">
        <f t="shared" si="4"/>
        <v>1</v>
      </c>
      <c r="O24" s="1" t="b">
        <f t="shared" si="5"/>
        <v>0</v>
      </c>
      <c r="P24" s="1" t="b">
        <f t="shared" si="6"/>
        <v>0</v>
      </c>
    </row>
    <row r="25" spans="1:16" x14ac:dyDescent="0.2">
      <c r="A25">
        <v>4337174</v>
      </c>
      <c r="B25" t="s">
        <v>73</v>
      </c>
      <c r="C25" t="s">
        <v>71</v>
      </c>
      <c r="D25" t="s">
        <v>39</v>
      </c>
      <c r="E25" s="1">
        <v>44808</v>
      </c>
      <c r="F25" t="s">
        <v>74</v>
      </c>
      <c r="G25" s="1">
        <v>44837</v>
      </c>
      <c r="H25" s="1">
        <v>44874</v>
      </c>
      <c r="I25" t="s">
        <v>28</v>
      </c>
      <c r="J25" s="1" t="b">
        <f t="shared" si="0"/>
        <v>1</v>
      </c>
      <c r="K25" s="1" t="b">
        <f t="shared" si="1"/>
        <v>0</v>
      </c>
      <c r="L25" s="1" t="b">
        <f t="shared" si="2"/>
        <v>0</v>
      </c>
      <c r="M25" s="1" t="b">
        <f t="shared" si="3"/>
        <v>0</v>
      </c>
      <c r="N25" s="1" t="b">
        <f t="shared" si="4"/>
        <v>0</v>
      </c>
      <c r="O25" s="1" t="b">
        <f t="shared" si="5"/>
        <v>0</v>
      </c>
      <c r="P25" s="1" t="b">
        <f t="shared" si="6"/>
        <v>1</v>
      </c>
    </row>
    <row r="26" spans="1:16" x14ac:dyDescent="0.2">
      <c r="A26">
        <v>2321324</v>
      </c>
      <c r="B26" t="s">
        <v>75</v>
      </c>
      <c r="C26" t="s">
        <v>76</v>
      </c>
      <c r="D26" t="s">
        <v>77</v>
      </c>
      <c r="E26" s="1">
        <v>45048</v>
      </c>
      <c r="F26" t="s">
        <v>78</v>
      </c>
      <c r="G26" s="1">
        <v>45066</v>
      </c>
      <c r="H26" s="1">
        <v>45077</v>
      </c>
      <c r="I26" t="s">
        <v>43</v>
      </c>
      <c r="J26" s="1" t="b">
        <f t="shared" si="0"/>
        <v>1</v>
      </c>
      <c r="K26" s="1" t="b">
        <f t="shared" si="1"/>
        <v>0</v>
      </c>
      <c r="L26" s="1" t="b">
        <f t="shared" si="2"/>
        <v>0</v>
      </c>
      <c r="M26" s="1" t="b">
        <f t="shared" si="3"/>
        <v>0</v>
      </c>
      <c r="N26" s="1" t="b">
        <f t="shared" si="4"/>
        <v>0</v>
      </c>
      <c r="O26" s="1" t="b">
        <f t="shared" si="5"/>
        <v>1</v>
      </c>
      <c r="P26" s="1" t="b">
        <f t="shared" si="6"/>
        <v>0</v>
      </c>
    </row>
    <row r="27" spans="1:16" x14ac:dyDescent="0.2">
      <c r="A27">
        <v>5446912</v>
      </c>
      <c r="B27" t="s">
        <v>79</v>
      </c>
      <c r="C27" t="s">
        <v>80</v>
      </c>
      <c r="D27" t="s">
        <v>81</v>
      </c>
      <c r="E27" s="1">
        <v>44970</v>
      </c>
      <c r="F27" t="s">
        <v>82</v>
      </c>
      <c r="G27" s="1">
        <v>44992</v>
      </c>
      <c r="H27" s="1">
        <v>45034</v>
      </c>
      <c r="I27" t="s">
        <v>43</v>
      </c>
      <c r="J27" s="1" t="b">
        <f t="shared" si="0"/>
        <v>1</v>
      </c>
      <c r="K27" s="1" t="b">
        <f t="shared" si="1"/>
        <v>0</v>
      </c>
      <c r="L27" s="1" t="b">
        <f t="shared" si="2"/>
        <v>0</v>
      </c>
      <c r="M27" s="1" t="b">
        <f t="shared" si="3"/>
        <v>0</v>
      </c>
      <c r="N27" s="1" t="b">
        <f t="shared" si="4"/>
        <v>0</v>
      </c>
      <c r="O27" s="1" t="b">
        <f t="shared" si="5"/>
        <v>1</v>
      </c>
      <c r="P27" s="1" t="b">
        <f t="shared" si="6"/>
        <v>0</v>
      </c>
    </row>
    <row r="28" spans="1:16" x14ac:dyDescent="0.2">
      <c r="A28">
        <v>5446912</v>
      </c>
      <c r="B28" t="s">
        <v>83</v>
      </c>
      <c r="C28" t="s">
        <v>80</v>
      </c>
      <c r="D28" t="s">
        <v>81</v>
      </c>
      <c r="E28" s="1">
        <v>44792</v>
      </c>
      <c r="F28" t="s">
        <v>84</v>
      </c>
      <c r="G28" s="1">
        <v>44795</v>
      </c>
      <c r="H28" s="1">
        <v>44817</v>
      </c>
      <c r="J28" s="1" t="b">
        <f t="shared" si="0"/>
        <v>1</v>
      </c>
      <c r="K28" s="1" t="b">
        <f t="shared" si="1"/>
        <v>0</v>
      </c>
      <c r="L28" s="1" t="b">
        <f t="shared" si="2"/>
        <v>0</v>
      </c>
      <c r="M28" s="1" t="b">
        <f t="shared" si="3"/>
        <v>0</v>
      </c>
      <c r="N28" s="1" t="b">
        <f t="shared" si="4"/>
        <v>0</v>
      </c>
      <c r="O28" s="1" t="b">
        <f t="shared" si="5"/>
        <v>0</v>
      </c>
      <c r="P28" s="1" t="b">
        <f t="shared" si="6"/>
        <v>0</v>
      </c>
    </row>
    <row r="29" spans="1:16" x14ac:dyDescent="0.2">
      <c r="A29">
        <v>5446912</v>
      </c>
      <c r="B29" t="s">
        <v>85</v>
      </c>
      <c r="C29" t="s">
        <v>80</v>
      </c>
      <c r="D29" t="s">
        <v>81</v>
      </c>
      <c r="E29" s="1">
        <v>44787</v>
      </c>
      <c r="F29" t="s">
        <v>86</v>
      </c>
      <c r="G29" s="1">
        <v>44788</v>
      </c>
      <c r="I29" t="s">
        <v>13</v>
      </c>
      <c r="J29" s="1" t="b">
        <f t="shared" si="0"/>
        <v>0</v>
      </c>
      <c r="K29" s="1" t="b">
        <f t="shared" si="1"/>
        <v>1</v>
      </c>
      <c r="L29" s="1" t="b">
        <f t="shared" si="2"/>
        <v>0</v>
      </c>
      <c r="M29" s="1" t="b">
        <f t="shared" si="3"/>
        <v>0</v>
      </c>
      <c r="N29" s="1" t="b">
        <f t="shared" si="4"/>
        <v>0</v>
      </c>
      <c r="O29" s="1" t="b">
        <f t="shared" si="5"/>
        <v>0</v>
      </c>
      <c r="P29" s="1" t="b">
        <f t="shared" si="6"/>
        <v>0</v>
      </c>
    </row>
    <row r="30" spans="1:16" x14ac:dyDescent="0.2">
      <c r="A30">
        <v>5446912</v>
      </c>
      <c r="B30" t="s">
        <v>87</v>
      </c>
      <c r="C30" t="s">
        <v>80</v>
      </c>
      <c r="D30" t="s">
        <v>81</v>
      </c>
      <c r="E30" s="1">
        <v>44796</v>
      </c>
      <c r="F30" t="s">
        <v>88</v>
      </c>
      <c r="G30" s="1">
        <v>44799</v>
      </c>
      <c r="I30" t="s">
        <v>13</v>
      </c>
      <c r="J30" s="1" t="b">
        <f t="shared" si="0"/>
        <v>0</v>
      </c>
      <c r="K30" s="1" t="b">
        <f t="shared" si="1"/>
        <v>1</v>
      </c>
      <c r="L30" s="1" t="b">
        <f t="shared" si="2"/>
        <v>0</v>
      </c>
      <c r="M30" s="1" t="b">
        <f t="shared" si="3"/>
        <v>0</v>
      </c>
      <c r="N30" s="1" t="b">
        <f t="shared" si="4"/>
        <v>0</v>
      </c>
      <c r="O30" s="1" t="b">
        <f t="shared" si="5"/>
        <v>0</v>
      </c>
      <c r="P30" s="1" t="b">
        <f t="shared" si="6"/>
        <v>0</v>
      </c>
    </row>
    <row r="31" spans="1:16" x14ac:dyDescent="0.2">
      <c r="A31">
        <v>1527021</v>
      </c>
      <c r="B31" t="s">
        <v>89</v>
      </c>
      <c r="C31" t="s">
        <v>90</v>
      </c>
      <c r="D31" t="s">
        <v>39</v>
      </c>
      <c r="E31" s="1">
        <v>44781</v>
      </c>
      <c r="F31" t="s">
        <v>91</v>
      </c>
      <c r="G31" s="1">
        <v>44799</v>
      </c>
      <c r="H31" s="1">
        <v>44808</v>
      </c>
      <c r="I31" t="s">
        <v>28</v>
      </c>
      <c r="J31" s="1" t="b">
        <f t="shared" si="0"/>
        <v>1</v>
      </c>
      <c r="K31" s="1" t="b">
        <f t="shared" si="1"/>
        <v>0</v>
      </c>
      <c r="L31" s="1" t="b">
        <f t="shared" si="2"/>
        <v>0</v>
      </c>
      <c r="M31" s="1" t="b">
        <f t="shared" si="3"/>
        <v>0</v>
      </c>
      <c r="N31" s="1" t="b">
        <f t="shared" si="4"/>
        <v>0</v>
      </c>
      <c r="O31" s="1" t="b">
        <f t="shared" si="5"/>
        <v>0</v>
      </c>
      <c r="P31" s="1" t="b">
        <f t="shared" si="6"/>
        <v>1</v>
      </c>
    </row>
    <row r="32" spans="1:16" x14ac:dyDescent="0.2">
      <c r="A32">
        <v>8930103</v>
      </c>
      <c r="B32" t="s">
        <v>92</v>
      </c>
      <c r="C32" t="s">
        <v>93</v>
      </c>
      <c r="D32" t="s">
        <v>77</v>
      </c>
      <c r="E32" s="1">
        <v>45003</v>
      </c>
      <c r="F32" t="s">
        <v>94</v>
      </c>
      <c r="G32" s="1">
        <v>45015</v>
      </c>
      <c r="I32" t="s">
        <v>13</v>
      </c>
      <c r="J32" s="1" t="b">
        <f t="shared" si="0"/>
        <v>0</v>
      </c>
      <c r="K32" s="1" t="b">
        <f t="shared" si="1"/>
        <v>1</v>
      </c>
      <c r="L32" s="1" t="b">
        <f t="shared" si="2"/>
        <v>0</v>
      </c>
      <c r="M32" s="1" t="b">
        <f t="shared" si="3"/>
        <v>0</v>
      </c>
      <c r="N32" s="1" t="b">
        <f t="shared" si="4"/>
        <v>0</v>
      </c>
      <c r="O32" s="1" t="b">
        <f t="shared" si="5"/>
        <v>0</v>
      </c>
      <c r="P32" s="1" t="b">
        <f t="shared" si="6"/>
        <v>0</v>
      </c>
    </row>
    <row r="33" spans="1:16" x14ac:dyDescent="0.2">
      <c r="A33">
        <v>8930103</v>
      </c>
      <c r="B33" t="s">
        <v>95</v>
      </c>
      <c r="C33" t="s">
        <v>93</v>
      </c>
      <c r="D33" t="s">
        <v>77</v>
      </c>
      <c r="E33" s="1">
        <v>44617</v>
      </c>
      <c r="F33" t="s">
        <v>96</v>
      </c>
      <c r="G33" s="1">
        <v>44639</v>
      </c>
      <c r="H33" s="1">
        <v>44681</v>
      </c>
      <c r="J33" s="1" t="b">
        <f t="shared" si="0"/>
        <v>1</v>
      </c>
      <c r="K33" s="1" t="b">
        <f t="shared" si="1"/>
        <v>0</v>
      </c>
      <c r="L33" s="1" t="b">
        <f t="shared" si="2"/>
        <v>0</v>
      </c>
      <c r="M33" s="1" t="b">
        <f t="shared" si="3"/>
        <v>0</v>
      </c>
      <c r="N33" s="1" t="b">
        <f t="shared" si="4"/>
        <v>0</v>
      </c>
      <c r="O33" s="1" t="b">
        <f t="shared" si="5"/>
        <v>0</v>
      </c>
      <c r="P33" s="1" t="b">
        <f t="shared" si="6"/>
        <v>0</v>
      </c>
    </row>
    <row r="34" spans="1:16" x14ac:dyDescent="0.2">
      <c r="A34">
        <v>8930103</v>
      </c>
      <c r="B34" t="s">
        <v>97</v>
      </c>
      <c r="C34" t="s">
        <v>93</v>
      </c>
      <c r="D34" t="s">
        <v>77</v>
      </c>
      <c r="E34" s="1">
        <v>44909</v>
      </c>
      <c r="F34" t="s">
        <v>98</v>
      </c>
      <c r="G34" s="1">
        <v>44935</v>
      </c>
      <c r="H34" s="1">
        <v>44991</v>
      </c>
      <c r="I34" t="s">
        <v>16</v>
      </c>
      <c r="J34" s="1" t="b">
        <f t="shared" si="0"/>
        <v>1</v>
      </c>
      <c r="K34" s="1" t="b">
        <f t="shared" si="1"/>
        <v>0</v>
      </c>
      <c r="L34" s="1" t="b">
        <f t="shared" si="2"/>
        <v>0</v>
      </c>
      <c r="M34" s="1" t="b">
        <f t="shared" si="3"/>
        <v>0</v>
      </c>
      <c r="N34" s="1" t="b">
        <f t="shared" si="4"/>
        <v>1</v>
      </c>
      <c r="O34" s="1" t="b">
        <f t="shared" si="5"/>
        <v>0</v>
      </c>
      <c r="P34" s="1" t="b">
        <f t="shared" si="6"/>
        <v>0</v>
      </c>
    </row>
    <row r="35" spans="1:16" x14ac:dyDescent="0.2">
      <c r="A35">
        <v>8930103</v>
      </c>
      <c r="B35" t="s">
        <v>99</v>
      </c>
      <c r="C35" t="s">
        <v>93</v>
      </c>
      <c r="D35" t="s">
        <v>77</v>
      </c>
      <c r="E35" s="1">
        <v>45021</v>
      </c>
      <c r="F35" t="s">
        <v>100</v>
      </c>
      <c r="G35" s="1">
        <v>45026</v>
      </c>
      <c r="I35" t="s">
        <v>13</v>
      </c>
      <c r="J35" s="1" t="b">
        <f t="shared" si="0"/>
        <v>0</v>
      </c>
      <c r="K35" s="1" t="b">
        <f t="shared" si="1"/>
        <v>1</v>
      </c>
      <c r="L35" s="1" t="b">
        <f t="shared" si="2"/>
        <v>0</v>
      </c>
      <c r="M35" s="1" t="b">
        <f t="shared" si="3"/>
        <v>0</v>
      </c>
      <c r="N35" s="1" t="b">
        <f t="shared" si="4"/>
        <v>0</v>
      </c>
      <c r="O35" s="1" t="b">
        <f t="shared" si="5"/>
        <v>0</v>
      </c>
      <c r="P35" s="1" t="b">
        <f t="shared" si="6"/>
        <v>0</v>
      </c>
    </row>
    <row r="36" spans="1:16" x14ac:dyDescent="0.2">
      <c r="A36">
        <v>8077999</v>
      </c>
      <c r="B36" t="s">
        <v>101</v>
      </c>
      <c r="C36" t="s">
        <v>38</v>
      </c>
      <c r="D36" t="s">
        <v>11</v>
      </c>
      <c r="E36" s="1">
        <v>45015</v>
      </c>
      <c r="F36" t="s">
        <v>102</v>
      </c>
      <c r="G36" s="1">
        <v>45041</v>
      </c>
      <c r="I36" t="s">
        <v>13</v>
      </c>
      <c r="J36" s="1" t="b">
        <f t="shared" si="0"/>
        <v>0</v>
      </c>
      <c r="K36" s="1" t="b">
        <f t="shared" si="1"/>
        <v>1</v>
      </c>
      <c r="L36" s="1" t="b">
        <f t="shared" si="2"/>
        <v>0</v>
      </c>
      <c r="M36" s="1" t="b">
        <f t="shared" si="3"/>
        <v>0</v>
      </c>
      <c r="N36" s="1" t="b">
        <f t="shared" si="4"/>
        <v>0</v>
      </c>
      <c r="O36" s="1" t="b">
        <f t="shared" si="5"/>
        <v>0</v>
      </c>
      <c r="P36" s="1" t="b">
        <f t="shared" si="6"/>
        <v>0</v>
      </c>
    </row>
    <row r="37" spans="1:16" x14ac:dyDescent="0.2">
      <c r="A37">
        <v>8077999</v>
      </c>
      <c r="B37" t="s">
        <v>103</v>
      </c>
      <c r="C37" t="s">
        <v>38</v>
      </c>
      <c r="D37" t="s">
        <v>11</v>
      </c>
      <c r="E37" s="1">
        <v>44577</v>
      </c>
      <c r="F37" t="s">
        <v>104</v>
      </c>
      <c r="G37" s="1">
        <v>44580</v>
      </c>
      <c r="H37" s="1">
        <v>44640</v>
      </c>
      <c r="I37" t="s">
        <v>16</v>
      </c>
      <c r="J37" s="1" t="b">
        <f t="shared" si="0"/>
        <v>1</v>
      </c>
      <c r="K37" s="1" t="b">
        <f t="shared" si="1"/>
        <v>0</v>
      </c>
      <c r="L37" s="1" t="b">
        <f t="shared" si="2"/>
        <v>0</v>
      </c>
      <c r="M37" s="1" t="b">
        <f t="shared" si="3"/>
        <v>0</v>
      </c>
      <c r="N37" s="1" t="b">
        <f t="shared" si="4"/>
        <v>1</v>
      </c>
      <c r="O37" s="1" t="b">
        <f t="shared" si="5"/>
        <v>0</v>
      </c>
      <c r="P37" s="1" t="b">
        <f t="shared" si="6"/>
        <v>0</v>
      </c>
    </row>
    <row r="38" spans="1:16" x14ac:dyDescent="0.2">
      <c r="A38">
        <v>8077999</v>
      </c>
      <c r="B38" t="s">
        <v>105</v>
      </c>
      <c r="C38" t="s">
        <v>38</v>
      </c>
      <c r="D38" t="s">
        <v>11</v>
      </c>
      <c r="E38" s="1">
        <v>45059</v>
      </c>
      <c r="F38" t="s">
        <v>106</v>
      </c>
      <c r="G38" s="1">
        <v>45075</v>
      </c>
      <c r="H38" s="1">
        <v>45089</v>
      </c>
      <c r="I38" t="s">
        <v>43</v>
      </c>
      <c r="J38" s="1" t="b">
        <f t="shared" si="0"/>
        <v>1</v>
      </c>
      <c r="K38" s="1" t="b">
        <f t="shared" si="1"/>
        <v>0</v>
      </c>
      <c r="L38" s="1" t="b">
        <f t="shared" si="2"/>
        <v>0</v>
      </c>
      <c r="M38" s="1" t="b">
        <f t="shared" si="3"/>
        <v>0</v>
      </c>
      <c r="N38" s="1" t="b">
        <f t="shared" si="4"/>
        <v>0</v>
      </c>
      <c r="O38" s="1" t="b">
        <f t="shared" si="5"/>
        <v>1</v>
      </c>
      <c r="P38" s="1" t="b">
        <f t="shared" si="6"/>
        <v>0</v>
      </c>
    </row>
    <row r="39" spans="1:16" x14ac:dyDescent="0.2">
      <c r="A39">
        <v>8077999</v>
      </c>
      <c r="B39" t="s">
        <v>107</v>
      </c>
      <c r="C39" t="s">
        <v>38</v>
      </c>
      <c r="D39" t="s">
        <v>11</v>
      </c>
      <c r="E39" s="1">
        <v>44564</v>
      </c>
      <c r="F39" t="s">
        <v>108</v>
      </c>
      <c r="G39" s="1">
        <v>44577</v>
      </c>
      <c r="H39" s="1">
        <v>44594</v>
      </c>
      <c r="I39" t="s">
        <v>16</v>
      </c>
      <c r="J39" s="1" t="b">
        <f t="shared" si="0"/>
        <v>1</v>
      </c>
      <c r="K39" s="1" t="b">
        <f t="shared" si="1"/>
        <v>0</v>
      </c>
      <c r="L39" s="1" t="b">
        <f t="shared" si="2"/>
        <v>0</v>
      </c>
      <c r="M39" s="1" t="b">
        <f t="shared" si="3"/>
        <v>0</v>
      </c>
      <c r="N39" s="1" t="b">
        <f t="shared" si="4"/>
        <v>1</v>
      </c>
      <c r="O39" s="1" t="b">
        <f t="shared" si="5"/>
        <v>0</v>
      </c>
      <c r="P39" s="1" t="b">
        <f t="shared" si="6"/>
        <v>0</v>
      </c>
    </row>
    <row r="40" spans="1:16" x14ac:dyDescent="0.2">
      <c r="A40">
        <v>8633773</v>
      </c>
      <c r="B40" t="s">
        <v>109</v>
      </c>
      <c r="C40" t="s">
        <v>110</v>
      </c>
      <c r="D40" t="s">
        <v>60</v>
      </c>
      <c r="E40" s="1">
        <v>44865</v>
      </c>
      <c r="F40" t="s">
        <v>111</v>
      </c>
      <c r="G40" s="1">
        <v>44872</v>
      </c>
      <c r="H40" s="1">
        <v>44876</v>
      </c>
      <c r="J40" s="1" t="b">
        <f t="shared" si="0"/>
        <v>1</v>
      </c>
      <c r="K40" s="1" t="b">
        <f t="shared" si="1"/>
        <v>0</v>
      </c>
      <c r="L40" s="1" t="b">
        <f t="shared" si="2"/>
        <v>0</v>
      </c>
      <c r="M40" s="1" t="b">
        <f t="shared" si="3"/>
        <v>0</v>
      </c>
      <c r="N40" s="1" t="b">
        <f t="shared" si="4"/>
        <v>0</v>
      </c>
      <c r="O40" s="1" t="b">
        <f t="shared" si="5"/>
        <v>0</v>
      </c>
      <c r="P40" s="1" t="b">
        <f t="shared" si="6"/>
        <v>0</v>
      </c>
    </row>
    <row r="41" spans="1:16" x14ac:dyDescent="0.2">
      <c r="A41">
        <v>8633773</v>
      </c>
      <c r="B41" t="s">
        <v>112</v>
      </c>
      <c r="C41" t="s">
        <v>110</v>
      </c>
      <c r="D41" t="s">
        <v>60</v>
      </c>
      <c r="E41" s="1">
        <v>44620</v>
      </c>
      <c r="F41" t="s">
        <v>113</v>
      </c>
      <c r="G41" s="1">
        <v>44622</v>
      </c>
      <c r="H41" s="1">
        <v>44660</v>
      </c>
      <c r="I41" t="s">
        <v>16</v>
      </c>
      <c r="J41" s="1" t="b">
        <f t="shared" si="0"/>
        <v>1</v>
      </c>
      <c r="K41" s="1" t="b">
        <f t="shared" si="1"/>
        <v>0</v>
      </c>
      <c r="L41" s="1" t="b">
        <f t="shared" si="2"/>
        <v>0</v>
      </c>
      <c r="M41" s="1" t="b">
        <f t="shared" si="3"/>
        <v>0</v>
      </c>
      <c r="N41" s="1" t="b">
        <f t="shared" si="4"/>
        <v>1</v>
      </c>
      <c r="O41" s="1" t="b">
        <f t="shared" si="5"/>
        <v>0</v>
      </c>
      <c r="P41" s="1" t="b">
        <f t="shared" si="6"/>
        <v>0</v>
      </c>
    </row>
    <row r="42" spans="1:16" x14ac:dyDescent="0.2">
      <c r="A42">
        <v>8633773</v>
      </c>
      <c r="B42" t="s">
        <v>114</v>
      </c>
      <c r="C42" t="s">
        <v>110</v>
      </c>
      <c r="D42" t="s">
        <v>60</v>
      </c>
      <c r="E42" s="1">
        <v>44644</v>
      </c>
      <c r="F42" t="s">
        <v>115</v>
      </c>
      <c r="G42" s="1">
        <v>44672</v>
      </c>
      <c r="H42" s="1">
        <v>44684</v>
      </c>
      <c r="I42" t="s">
        <v>43</v>
      </c>
      <c r="J42" s="1" t="b">
        <f t="shared" si="0"/>
        <v>1</v>
      </c>
      <c r="K42" s="1" t="b">
        <f t="shared" si="1"/>
        <v>0</v>
      </c>
      <c r="L42" s="1" t="b">
        <f t="shared" si="2"/>
        <v>0</v>
      </c>
      <c r="M42" s="1" t="b">
        <f t="shared" si="3"/>
        <v>0</v>
      </c>
      <c r="N42" s="1" t="b">
        <f t="shared" si="4"/>
        <v>0</v>
      </c>
      <c r="O42" s="1" t="b">
        <f t="shared" si="5"/>
        <v>1</v>
      </c>
      <c r="P42" s="1" t="b">
        <f t="shared" si="6"/>
        <v>0</v>
      </c>
    </row>
    <row r="43" spans="1:16" x14ac:dyDescent="0.2">
      <c r="A43">
        <v>8633773</v>
      </c>
      <c r="B43" t="s">
        <v>116</v>
      </c>
      <c r="C43" t="s">
        <v>110</v>
      </c>
      <c r="D43" t="s">
        <v>60</v>
      </c>
      <c r="E43" s="1">
        <v>44802</v>
      </c>
      <c r="F43" t="s">
        <v>117</v>
      </c>
      <c r="G43" s="1">
        <v>44815</v>
      </c>
      <c r="I43" t="s">
        <v>13</v>
      </c>
      <c r="J43" s="1" t="b">
        <f t="shared" si="0"/>
        <v>0</v>
      </c>
      <c r="K43" s="1" t="b">
        <f t="shared" si="1"/>
        <v>1</v>
      </c>
      <c r="L43" s="1" t="b">
        <f t="shared" si="2"/>
        <v>0</v>
      </c>
      <c r="M43" s="1" t="b">
        <f t="shared" si="3"/>
        <v>0</v>
      </c>
      <c r="N43" s="1" t="b">
        <f t="shared" si="4"/>
        <v>0</v>
      </c>
      <c r="O43" s="1" t="b">
        <f t="shared" si="5"/>
        <v>0</v>
      </c>
      <c r="P43" s="1" t="b">
        <f t="shared" si="6"/>
        <v>0</v>
      </c>
    </row>
    <row r="44" spans="1:16" x14ac:dyDescent="0.2">
      <c r="A44">
        <v>8633773</v>
      </c>
      <c r="B44" t="s">
        <v>118</v>
      </c>
      <c r="C44" t="s">
        <v>110</v>
      </c>
      <c r="D44" t="s">
        <v>60</v>
      </c>
      <c r="E44" s="1">
        <v>44814</v>
      </c>
      <c r="F44" t="s">
        <v>119</v>
      </c>
      <c r="G44" s="1">
        <v>44833</v>
      </c>
      <c r="I44" t="s">
        <v>13</v>
      </c>
      <c r="J44" s="1" t="b">
        <f t="shared" si="0"/>
        <v>0</v>
      </c>
      <c r="K44" s="1" t="b">
        <f t="shared" si="1"/>
        <v>1</v>
      </c>
      <c r="L44" s="1" t="b">
        <f t="shared" si="2"/>
        <v>0</v>
      </c>
      <c r="M44" s="1" t="b">
        <f t="shared" si="3"/>
        <v>0</v>
      </c>
      <c r="N44" s="1" t="b">
        <f t="shared" si="4"/>
        <v>0</v>
      </c>
      <c r="O44" s="1" t="b">
        <f t="shared" si="5"/>
        <v>0</v>
      </c>
      <c r="P44" s="1" t="b">
        <f t="shared" si="6"/>
        <v>0</v>
      </c>
    </row>
    <row r="45" spans="1:16" x14ac:dyDescent="0.2">
      <c r="A45">
        <v>1666754</v>
      </c>
      <c r="B45" t="s">
        <v>120</v>
      </c>
      <c r="C45" t="s">
        <v>121</v>
      </c>
      <c r="D45" t="s">
        <v>122</v>
      </c>
      <c r="E45" s="1">
        <v>44771</v>
      </c>
      <c r="F45" t="s">
        <v>123</v>
      </c>
      <c r="G45" s="1">
        <v>44793</v>
      </c>
      <c r="H45" s="1">
        <v>44839</v>
      </c>
      <c r="I45" t="s">
        <v>28</v>
      </c>
      <c r="J45" s="1" t="b">
        <f t="shared" si="0"/>
        <v>1</v>
      </c>
      <c r="K45" s="1" t="b">
        <f t="shared" si="1"/>
        <v>0</v>
      </c>
      <c r="L45" s="1" t="b">
        <f t="shared" si="2"/>
        <v>0</v>
      </c>
      <c r="M45" s="1" t="b">
        <f t="shared" si="3"/>
        <v>0</v>
      </c>
      <c r="N45" s="1" t="b">
        <f t="shared" si="4"/>
        <v>0</v>
      </c>
      <c r="O45" s="1" t="b">
        <f t="shared" si="5"/>
        <v>0</v>
      </c>
      <c r="P45" s="1" t="b">
        <f t="shared" si="6"/>
        <v>1</v>
      </c>
    </row>
    <row r="46" spans="1:16" x14ac:dyDescent="0.2">
      <c r="A46">
        <v>1666754</v>
      </c>
      <c r="B46" t="s">
        <v>124</v>
      </c>
      <c r="C46" t="s">
        <v>121</v>
      </c>
      <c r="D46" t="s">
        <v>122</v>
      </c>
      <c r="E46" s="1">
        <v>44869</v>
      </c>
      <c r="F46" t="s">
        <v>125</v>
      </c>
      <c r="G46" s="1">
        <v>44884</v>
      </c>
      <c r="H46" s="1">
        <v>44905</v>
      </c>
      <c r="I46" t="s">
        <v>28</v>
      </c>
      <c r="J46" s="1" t="b">
        <f t="shared" si="0"/>
        <v>1</v>
      </c>
      <c r="K46" s="1" t="b">
        <f t="shared" si="1"/>
        <v>0</v>
      </c>
      <c r="L46" s="1" t="b">
        <f t="shared" si="2"/>
        <v>0</v>
      </c>
      <c r="M46" s="1" t="b">
        <f t="shared" si="3"/>
        <v>0</v>
      </c>
      <c r="N46" s="1" t="b">
        <f t="shared" si="4"/>
        <v>0</v>
      </c>
      <c r="O46" s="1" t="b">
        <f t="shared" si="5"/>
        <v>0</v>
      </c>
      <c r="P46" s="1" t="b">
        <f t="shared" si="6"/>
        <v>1</v>
      </c>
    </row>
    <row r="47" spans="1:16" x14ac:dyDescent="0.2">
      <c r="A47">
        <v>1666754</v>
      </c>
      <c r="B47" t="s">
        <v>126</v>
      </c>
      <c r="C47" t="s">
        <v>121</v>
      </c>
      <c r="D47" t="s">
        <v>122</v>
      </c>
      <c r="E47" s="1">
        <v>44664</v>
      </c>
      <c r="F47" t="s">
        <v>127</v>
      </c>
      <c r="G47" s="1">
        <v>44667</v>
      </c>
      <c r="H47" s="1">
        <v>44702</v>
      </c>
      <c r="I47" t="s">
        <v>16</v>
      </c>
      <c r="J47" s="1" t="b">
        <f t="shared" si="0"/>
        <v>1</v>
      </c>
      <c r="K47" s="1" t="b">
        <f t="shared" si="1"/>
        <v>0</v>
      </c>
      <c r="L47" s="1" t="b">
        <f t="shared" si="2"/>
        <v>0</v>
      </c>
      <c r="M47" s="1" t="b">
        <f t="shared" si="3"/>
        <v>0</v>
      </c>
      <c r="N47" s="1" t="b">
        <f t="shared" si="4"/>
        <v>1</v>
      </c>
      <c r="O47" s="1" t="b">
        <f t="shared" si="5"/>
        <v>0</v>
      </c>
      <c r="P47" s="1" t="b">
        <f t="shared" si="6"/>
        <v>0</v>
      </c>
    </row>
    <row r="48" spans="1:16" x14ac:dyDescent="0.2">
      <c r="A48">
        <v>1666754</v>
      </c>
      <c r="B48" t="s">
        <v>128</v>
      </c>
      <c r="C48" t="s">
        <v>121</v>
      </c>
      <c r="D48" t="s">
        <v>122</v>
      </c>
      <c r="E48" s="1">
        <v>44919</v>
      </c>
      <c r="F48" t="s">
        <v>129</v>
      </c>
      <c r="G48" s="1">
        <v>44948</v>
      </c>
      <c r="I48" t="s">
        <v>25</v>
      </c>
      <c r="J48" s="1" t="b">
        <f t="shared" si="0"/>
        <v>0</v>
      </c>
      <c r="K48" s="1" t="b">
        <f t="shared" si="1"/>
        <v>0</v>
      </c>
      <c r="L48" s="1" t="b">
        <f t="shared" si="2"/>
        <v>1</v>
      </c>
      <c r="M48" s="1" t="b">
        <f t="shared" si="3"/>
        <v>0</v>
      </c>
      <c r="N48" s="1" t="b">
        <f t="shared" si="4"/>
        <v>0</v>
      </c>
      <c r="O48" s="1" t="b">
        <f t="shared" si="5"/>
        <v>0</v>
      </c>
      <c r="P48" s="1" t="b">
        <f t="shared" si="6"/>
        <v>0</v>
      </c>
    </row>
    <row r="49" spans="1:16" x14ac:dyDescent="0.2">
      <c r="A49">
        <v>2154126</v>
      </c>
      <c r="B49" t="s">
        <v>130</v>
      </c>
      <c r="C49" t="s">
        <v>131</v>
      </c>
      <c r="D49" t="s">
        <v>19</v>
      </c>
      <c r="E49" s="1">
        <v>44871</v>
      </c>
      <c r="F49" t="s">
        <v>132</v>
      </c>
      <c r="G49" s="1">
        <v>44891</v>
      </c>
      <c r="I49" t="s">
        <v>13</v>
      </c>
      <c r="J49" s="1" t="b">
        <f t="shared" si="0"/>
        <v>0</v>
      </c>
      <c r="K49" s="1" t="b">
        <f t="shared" si="1"/>
        <v>1</v>
      </c>
      <c r="L49" s="1" t="b">
        <f t="shared" si="2"/>
        <v>0</v>
      </c>
      <c r="M49" s="1" t="b">
        <f t="shared" si="3"/>
        <v>0</v>
      </c>
      <c r="N49" s="1" t="b">
        <f t="shared" si="4"/>
        <v>0</v>
      </c>
      <c r="O49" s="1" t="b">
        <f t="shared" si="5"/>
        <v>0</v>
      </c>
      <c r="P49" s="1" t="b">
        <f t="shared" si="6"/>
        <v>0</v>
      </c>
    </row>
    <row r="50" spans="1:16" x14ac:dyDescent="0.2">
      <c r="A50">
        <v>2154126</v>
      </c>
      <c r="B50" t="s">
        <v>133</v>
      </c>
      <c r="C50" t="s">
        <v>131</v>
      </c>
      <c r="D50" t="s">
        <v>19</v>
      </c>
      <c r="E50" s="1">
        <v>44868</v>
      </c>
      <c r="F50" t="s">
        <v>134</v>
      </c>
      <c r="G50" s="1">
        <v>44898</v>
      </c>
      <c r="H50" s="1">
        <v>44941</v>
      </c>
      <c r="I50" t="s">
        <v>16</v>
      </c>
      <c r="J50" s="1" t="b">
        <f t="shared" si="0"/>
        <v>1</v>
      </c>
      <c r="K50" s="1" t="b">
        <f t="shared" si="1"/>
        <v>0</v>
      </c>
      <c r="L50" s="1" t="b">
        <f t="shared" si="2"/>
        <v>0</v>
      </c>
      <c r="M50" s="1" t="b">
        <f t="shared" si="3"/>
        <v>0</v>
      </c>
      <c r="N50" s="1" t="b">
        <f t="shared" si="4"/>
        <v>1</v>
      </c>
      <c r="O50" s="1" t="b">
        <f t="shared" si="5"/>
        <v>0</v>
      </c>
      <c r="P50" s="1" t="b">
        <f t="shared" si="6"/>
        <v>0</v>
      </c>
    </row>
    <row r="51" spans="1:16" x14ac:dyDescent="0.2">
      <c r="A51">
        <v>2154126</v>
      </c>
      <c r="B51" t="s">
        <v>135</v>
      </c>
      <c r="C51" t="s">
        <v>131</v>
      </c>
      <c r="D51" t="s">
        <v>19</v>
      </c>
      <c r="E51" s="1">
        <v>44832</v>
      </c>
      <c r="F51" t="s">
        <v>136</v>
      </c>
      <c r="G51" s="1">
        <v>44836</v>
      </c>
      <c r="I51" t="s">
        <v>13</v>
      </c>
      <c r="J51" s="1" t="b">
        <f t="shared" si="0"/>
        <v>0</v>
      </c>
      <c r="K51" s="1" t="b">
        <f t="shared" si="1"/>
        <v>1</v>
      </c>
      <c r="L51" s="1" t="b">
        <f t="shared" si="2"/>
        <v>0</v>
      </c>
      <c r="M51" s="1" t="b">
        <f t="shared" si="3"/>
        <v>0</v>
      </c>
      <c r="N51" s="1" t="b">
        <f t="shared" si="4"/>
        <v>0</v>
      </c>
      <c r="O51" s="1" t="b">
        <f t="shared" si="5"/>
        <v>0</v>
      </c>
      <c r="P51" s="1" t="b">
        <f t="shared" si="6"/>
        <v>0</v>
      </c>
    </row>
    <row r="52" spans="1:16" x14ac:dyDescent="0.2">
      <c r="A52">
        <v>2795765</v>
      </c>
      <c r="B52" t="s">
        <v>137</v>
      </c>
      <c r="C52" t="s">
        <v>138</v>
      </c>
      <c r="D52" t="s">
        <v>139</v>
      </c>
      <c r="E52" s="1">
        <v>44913</v>
      </c>
      <c r="F52" t="s">
        <v>140</v>
      </c>
      <c r="G52" s="1">
        <v>44920</v>
      </c>
      <c r="I52" t="s">
        <v>13</v>
      </c>
      <c r="J52" s="1" t="b">
        <f t="shared" si="0"/>
        <v>0</v>
      </c>
      <c r="K52" s="1" t="b">
        <f t="shared" si="1"/>
        <v>1</v>
      </c>
      <c r="L52" s="1" t="b">
        <f t="shared" si="2"/>
        <v>0</v>
      </c>
      <c r="M52" s="1" t="b">
        <f t="shared" si="3"/>
        <v>0</v>
      </c>
      <c r="N52" s="1" t="b">
        <f t="shared" si="4"/>
        <v>0</v>
      </c>
      <c r="O52" s="1" t="b">
        <f t="shared" si="5"/>
        <v>0</v>
      </c>
      <c r="P52" s="1" t="b">
        <f t="shared" si="6"/>
        <v>0</v>
      </c>
    </row>
    <row r="53" spans="1:16" x14ac:dyDescent="0.2">
      <c r="A53">
        <v>2795765</v>
      </c>
      <c r="B53" t="s">
        <v>141</v>
      </c>
      <c r="C53" t="s">
        <v>138</v>
      </c>
      <c r="D53" t="s">
        <v>139</v>
      </c>
      <c r="E53" s="1">
        <v>44819</v>
      </c>
      <c r="F53" t="s">
        <v>142</v>
      </c>
      <c r="G53" s="1">
        <v>44848</v>
      </c>
      <c r="H53" s="1">
        <v>44907</v>
      </c>
      <c r="I53" t="s">
        <v>28</v>
      </c>
      <c r="J53" s="1" t="b">
        <f t="shared" si="0"/>
        <v>1</v>
      </c>
      <c r="K53" s="1" t="b">
        <f t="shared" si="1"/>
        <v>0</v>
      </c>
      <c r="L53" s="1" t="b">
        <f t="shared" si="2"/>
        <v>0</v>
      </c>
      <c r="M53" s="1" t="b">
        <f t="shared" si="3"/>
        <v>0</v>
      </c>
      <c r="N53" s="1" t="b">
        <f t="shared" si="4"/>
        <v>0</v>
      </c>
      <c r="O53" s="1" t="b">
        <f t="shared" si="5"/>
        <v>0</v>
      </c>
      <c r="P53" s="1" t="b">
        <f t="shared" si="6"/>
        <v>1</v>
      </c>
    </row>
    <row r="54" spans="1:16" x14ac:dyDescent="0.2">
      <c r="A54">
        <v>1852264</v>
      </c>
      <c r="B54" t="s">
        <v>143</v>
      </c>
      <c r="C54" t="s">
        <v>76</v>
      </c>
      <c r="D54" t="s">
        <v>60</v>
      </c>
      <c r="E54" s="1">
        <v>44714</v>
      </c>
      <c r="F54" t="s">
        <v>144</v>
      </c>
      <c r="G54" s="1">
        <v>44732</v>
      </c>
      <c r="I54" t="s">
        <v>13</v>
      </c>
      <c r="J54" s="1" t="b">
        <f t="shared" si="0"/>
        <v>0</v>
      </c>
      <c r="K54" s="1" t="b">
        <f t="shared" si="1"/>
        <v>1</v>
      </c>
      <c r="L54" s="1" t="b">
        <f t="shared" si="2"/>
        <v>0</v>
      </c>
      <c r="M54" s="1" t="b">
        <f t="shared" si="3"/>
        <v>0</v>
      </c>
      <c r="N54" s="1" t="b">
        <f t="shared" si="4"/>
        <v>0</v>
      </c>
      <c r="O54" s="1" t="b">
        <f t="shared" si="5"/>
        <v>0</v>
      </c>
      <c r="P54" s="1" t="b">
        <f t="shared" si="6"/>
        <v>0</v>
      </c>
    </row>
    <row r="55" spans="1:16" x14ac:dyDescent="0.2">
      <c r="A55">
        <v>1852264</v>
      </c>
      <c r="B55" t="s">
        <v>145</v>
      </c>
      <c r="C55" t="s">
        <v>76</v>
      </c>
      <c r="D55" t="s">
        <v>60</v>
      </c>
      <c r="E55" s="1">
        <v>44830</v>
      </c>
      <c r="F55" t="s">
        <v>146</v>
      </c>
      <c r="G55" s="1">
        <v>44836</v>
      </c>
      <c r="I55" t="s">
        <v>25</v>
      </c>
      <c r="J55" s="1" t="b">
        <f t="shared" si="0"/>
        <v>0</v>
      </c>
      <c r="K55" s="1" t="b">
        <f t="shared" si="1"/>
        <v>0</v>
      </c>
      <c r="L55" s="1" t="b">
        <f t="shared" si="2"/>
        <v>1</v>
      </c>
      <c r="M55" s="1" t="b">
        <f t="shared" si="3"/>
        <v>0</v>
      </c>
      <c r="N55" s="1" t="b">
        <f t="shared" si="4"/>
        <v>0</v>
      </c>
      <c r="O55" s="1" t="b">
        <f t="shared" si="5"/>
        <v>0</v>
      </c>
      <c r="P55" s="1" t="b">
        <f t="shared" si="6"/>
        <v>0</v>
      </c>
    </row>
    <row r="56" spans="1:16" x14ac:dyDescent="0.2">
      <c r="A56">
        <v>1852264</v>
      </c>
      <c r="B56" t="s">
        <v>147</v>
      </c>
      <c r="C56" t="s">
        <v>76</v>
      </c>
      <c r="D56" t="s">
        <v>60</v>
      </c>
      <c r="E56" s="1">
        <v>44676</v>
      </c>
      <c r="F56" t="s">
        <v>148</v>
      </c>
      <c r="G56" s="1">
        <v>44679</v>
      </c>
      <c r="H56" s="1">
        <v>44736</v>
      </c>
      <c r="J56" s="1" t="b">
        <f t="shared" si="0"/>
        <v>1</v>
      </c>
      <c r="K56" s="1" t="b">
        <f t="shared" si="1"/>
        <v>0</v>
      </c>
      <c r="L56" s="1" t="b">
        <f t="shared" si="2"/>
        <v>0</v>
      </c>
      <c r="M56" s="1" t="b">
        <f t="shared" si="3"/>
        <v>0</v>
      </c>
      <c r="N56" s="1" t="b">
        <f t="shared" si="4"/>
        <v>0</v>
      </c>
      <c r="O56" s="1" t="b">
        <f t="shared" si="5"/>
        <v>0</v>
      </c>
      <c r="P56" s="1" t="b">
        <f t="shared" si="6"/>
        <v>0</v>
      </c>
    </row>
    <row r="57" spans="1:16" x14ac:dyDescent="0.2">
      <c r="A57">
        <v>1604451</v>
      </c>
      <c r="B57" t="s">
        <v>149</v>
      </c>
      <c r="C57" t="s">
        <v>150</v>
      </c>
      <c r="D57" t="s">
        <v>39</v>
      </c>
      <c r="E57" s="1">
        <v>44877</v>
      </c>
      <c r="F57" t="s">
        <v>151</v>
      </c>
      <c r="G57" s="1">
        <v>44889</v>
      </c>
      <c r="H57" s="1">
        <v>44947</v>
      </c>
      <c r="J57" s="1" t="b">
        <f t="shared" si="0"/>
        <v>1</v>
      </c>
      <c r="K57" s="1" t="b">
        <f t="shared" si="1"/>
        <v>0</v>
      </c>
      <c r="L57" s="1" t="b">
        <f t="shared" si="2"/>
        <v>0</v>
      </c>
      <c r="M57" s="1" t="b">
        <f t="shared" si="3"/>
        <v>0</v>
      </c>
      <c r="N57" s="1" t="b">
        <f t="shared" si="4"/>
        <v>0</v>
      </c>
      <c r="O57" s="1" t="b">
        <f t="shared" si="5"/>
        <v>0</v>
      </c>
      <c r="P57" s="1" t="b">
        <f t="shared" si="6"/>
        <v>0</v>
      </c>
    </row>
    <row r="58" spans="1:16" x14ac:dyDescent="0.2">
      <c r="A58">
        <v>1604451</v>
      </c>
      <c r="B58" t="s">
        <v>152</v>
      </c>
      <c r="C58" t="s">
        <v>150</v>
      </c>
      <c r="D58" t="s">
        <v>39</v>
      </c>
      <c r="E58" s="1">
        <v>44777</v>
      </c>
      <c r="F58" t="s">
        <v>153</v>
      </c>
      <c r="G58" s="1">
        <v>44799</v>
      </c>
      <c r="H58" s="1">
        <v>44815</v>
      </c>
      <c r="I58" t="s">
        <v>16</v>
      </c>
      <c r="J58" s="1" t="b">
        <f t="shared" si="0"/>
        <v>1</v>
      </c>
      <c r="K58" s="1" t="b">
        <f t="shared" si="1"/>
        <v>0</v>
      </c>
      <c r="L58" s="1" t="b">
        <f t="shared" si="2"/>
        <v>0</v>
      </c>
      <c r="M58" s="1" t="b">
        <f t="shared" si="3"/>
        <v>0</v>
      </c>
      <c r="N58" s="1" t="b">
        <f t="shared" si="4"/>
        <v>1</v>
      </c>
      <c r="O58" s="1" t="b">
        <f t="shared" si="5"/>
        <v>0</v>
      </c>
      <c r="P58" s="1" t="b">
        <f t="shared" si="6"/>
        <v>0</v>
      </c>
    </row>
    <row r="59" spans="1:16" x14ac:dyDescent="0.2">
      <c r="A59">
        <v>1604451</v>
      </c>
      <c r="B59" t="s">
        <v>154</v>
      </c>
      <c r="C59" t="s">
        <v>150</v>
      </c>
      <c r="D59" t="s">
        <v>39</v>
      </c>
      <c r="E59" s="1">
        <v>44978</v>
      </c>
      <c r="F59" t="s">
        <v>155</v>
      </c>
      <c r="G59" s="1">
        <v>44998</v>
      </c>
      <c r="H59" s="1">
        <v>45046</v>
      </c>
      <c r="I59" t="s">
        <v>28</v>
      </c>
      <c r="J59" s="1" t="b">
        <f t="shared" si="0"/>
        <v>1</v>
      </c>
      <c r="K59" s="1" t="b">
        <f t="shared" si="1"/>
        <v>0</v>
      </c>
      <c r="L59" s="1" t="b">
        <f t="shared" si="2"/>
        <v>0</v>
      </c>
      <c r="M59" s="1" t="b">
        <f t="shared" si="3"/>
        <v>0</v>
      </c>
      <c r="N59" s="1" t="b">
        <f t="shared" si="4"/>
        <v>0</v>
      </c>
      <c r="O59" s="1" t="b">
        <f t="shared" si="5"/>
        <v>0</v>
      </c>
      <c r="P59" s="1" t="b">
        <f t="shared" si="6"/>
        <v>1</v>
      </c>
    </row>
    <row r="60" spans="1:16" x14ac:dyDescent="0.2">
      <c r="A60">
        <v>1604451</v>
      </c>
      <c r="B60" t="s">
        <v>156</v>
      </c>
      <c r="C60" t="s">
        <v>150</v>
      </c>
      <c r="D60" t="s">
        <v>39</v>
      </c>
      <c r="E60" s="1">
        <v>44728</v>
      </c>
      <c r="F60" t="s">
        <v>157</v>
      </c>
      <c r="G60" s="1">
        <v>44754</v>
      </c>
      <c r="I60" t="s">
        <v>13</v>
      </c>
      <c r="J60" s="1" t="b">
        <f t="shared" si="0"/>
        <v>0</v>
      </c>
      <c r="K60" s="1" t="b">
        <f t="shared" si="1"/>
        <v>1</v>
      </c>
      <c r="L60" s="1" t="b">
        <f t="shared" si="2"/>
        <v>0</v>
      </c>
      <c r="M60" s="1" t="b">
        <f t="shared" si="3"/>
        <v>0</v>
      </c>
      <c r="N60" s="1" t="b">
        <f t="shared" si="4"/>
        <v>0</v>
      </c>
      <c r="O60" s="1" t="b">
        <f t="shared" si="5"/>
        <v>0</v>
      </c>
      <c r="P60" s="1" t="b">
        <f t="shared" si="6"/>
        <v>0</v>
      </c>
    </row>
    <row r="61" spans="1:16" x14ac:dyDescent="0.2">
      <c r="A61">
        <v>1604451</v>
      </c>
      <c r="B61" t="s">
        <v>158</v>
      </c>
      <c r="C61" t="s">
        <v>150</v>
      </c>
      <c r="D61" t="s">
        <v>39</v>
      </c>
      <c r="E61" s="1">
        <v>44902</v>
      </c>
      <c r="F61" t="s">
        <v>159</v>
      </c>
      <c r="G61" s="1">
        <v>44928</v>
      </c>
      <c r="H61" s="1">
        <v>44988</v>
      </c>
      <c r="J61" s="1" t="b">
        <f t="shared" si="0"/>
        <v>1</v>
      </c>
      <c r="K61" s="1" t="b">
        <f t="shared" si="1"/>
        <v>0</v>
      </c>
      <c r="L61" s="1" t="b">
        <f t="shared" si="2"/>
        <v>0</v>
      </c>
      <c r="M61" s="1" t="b">
        <f t="shared" si="3"/>
        <v>0</v>
      </c>
      <c r="N61" s="1" t="b">
        <f t="shared" si="4"/>
        <v>0</v>
      </c>
      <c r="O61" s="1" t="b">
        <f t="shared" si="5"/>
        <v>0</v>
      </c>
      <c r="P61" s="1" t="b">
        <f t="shared" si="6"/>
        <v>0</v>
      </c>
    </row>
    <row r="62" spans="1:16" x14ac:dyDescent="0.2">
      <c r="A62">
        <v>7907400</v>
      </c>
      <c r="B62" t="s">
        <v>160</v>
      </c>
      <c r="C62" t="s">
        <v>47</v>
      </c>
      <c r="D62" t="s">
        <v>19</v>
      </c>
      <c r="E62" s="1">
        <v>44953</v>
      </c>
      <c r="F62" t="s">
        <v>161</v>
      </c>
      <c r="G62" s="1">
        <v>44981</v>
      </c>
      <c r="I62" t="s">
        <v>13</v>
      </c>
      <c r="J62" s="1" t="b">
        <f t="shared" si="0"/>
        <v>0</v>
      </c>
      <c r="K62" s="1" t="b">
        <f t="shared" si="1"/>
        <v>1</v>
      </c>
      <c r="L62" s="1" t="b">
        <f t="shared" si="2"/>
        <v>0</v>
      </c>
      <c r="M62" s="1" t="b">
        <f t="shared" si="3"/>
        <v>0</v>
      </c>
      <c r="N62" s="1" t="b">
        <f t="shared" si="4"/>
        <v>0</v>
      </c>
      <c r="O62" s="1" t="b">
        <f t="shared" si="5"/>
        <v>0</v>
      </c>
      <c r="P62" s="1" t="b">
        <f t="shared" si="6"/>
        <v>0</v>
      </c>
    </row>
    <row r="63" spans="1:16" x14ac:dyDescent="0.2">
      <c r="A63">
        <v>7907400</v>
      </c>
      <c r="B63" t="s">
        <v>162</v>
      </c>
      <c r="C63" t="s">
        <v>47</v>
      </c>
      <c r="D63" t="s">
        <v>19</v>
      </c>
      <c r="E63" s="1">
        <v>44795</v>
      </c>
      <c r="F63" t="s">
        <v>163</v>
      </c>
      <c r="G63" s="1">
        <v>44803</v>
      </c>
      <c r="I63" t="s">
        <v>13</v>
      </c>
      <c r="J63" s="1" t="b">
        <f t="shared" si="0"/>
        <v>0</v>
      </c>
      <c r="K63" s="1" t="b">
        <f t="shared" si="1"/>
        <v>1</v>
      </c>
      <c r="L63" s="1" t="b">
        <f t="shared" si="2"/>
        <v>0</v>
      </c>
      <c r="M63" s="1" t="b">
        <f t="shared" si="3"/>
        <v>0</v>
      </c>
      <c r="N63" s="1" t="b">
        <f t="shared" si="4"/>
        <v>0</v>
      </c>
      <c r="O63" s="1" t="b">
        <f t="shared" si="5"/>
        <v>0</v>
      </c>
      <c r="P63" s="1" t="b">
        <f t="shared" si="6"/>
        <v>0</v>
      </c>
    </row>
    <row r="64" spans="1:16" x14ac:dyDescent="0.2">
      <c r="A64">
        <v>7907400</v>
      </c>
      <c r="B64" t="s">
        <v>164</v>
      </c>
      <c r="C64" t="s">
        <v>47</v>
      </c>
      <c r="D64" t="s">
        <v>19</v>
      </c>
      <c r="E64" s="1">
        <v>45033</v>
      </c>
      <c r="F64" t="s">
        <v>165</v>
      </c>
      <c r="G64" s="1">
        <v>45045</v>
      </c>
      <c r="H64" s="1">
        <v>45065</v>
      </c>
      <c r="I64" t="s">
        <v>43</v>
      </c>
      <c r="J64" s="1" t="b">
        <f t="shared" si="0"/>
        <v>1</v>
      </c>
      <c r="K64" s="1" t="b">
        <f t="shared" si="1"/>
        <v>0</v>
      </c>
      <c r="L64" s="1" t="b">
        <f t="shared" si="2"/>
        <v>0</v>
      </c>
      <c r="M64" s="1" t="b">
        <f t="shared" si="3"/>
        <v>0</v>
      </c>
      <c r="N64" s="1" t="b">
        <f t="shared" si="4"/>
        <v>0</v>
      </c>
      <c r="O64" s="1" t="b">
        <f t="shared" si="5"/>
        <v>1</v>
      </c>
      <c r="P64" s="1" t="b">
        <f t="shared" si="6"/>
        <v>0</v>
      </c>
    </row>
    <row r="65" spans="1:16" x14ac:dyDescent="0.2">
      <c r="A65">
        <v>1397023</v>
      </c>
      <c r="B65" t="s">
        <v>166</v>
      </c>
      <c r="C65" t="s">
        <v>167</v>
      </c>
      <c r="D65" t="s">
        <v>19</v>
      </c>
      <c r="E65" s="1">
        <v>44847</v>
      </c>
      <c r="F65" t="s">
        <v>168</v>
      </c>
      <c r="G65" s="1">
        <v>44859</v>
      </c>
      <c r="I65" t="s">
        <v>25</v>
      </c>
      <c r="J65" s="1" t="b">
        <f t="shared" si="0"/>
        <v>0</v>
      </c>
      <c r="K65" s="1" t="b">
        <f t="shared" si="1"/>
        <v>0</v>
      </c>
      <c r="L65" s="1" t="b">
        <f t="shared" si="2"/>
        <v>1</v>
      </c>
      <c r="M65" s="1" t="b">
        <f t="shared" si="3"/>
        <v>0</v>
      </c>
      <c r="N65" s="1" t="b">
        <f t="shared" si="4"/>
        <v>0</v>
      </c>
      <c r="O65" s="1" t="b">
        <f t="shared" si="5"/>
        <v>0</v>
      </c>
      <c r="P65" s="1" t="b">
        <f t="shared" si="6"/>
        <v>0</v>
      </c>
    </row>
    <row r="66" spans="1:16" x14ac:dyDescent="0.2">
      <c r="A66">
        <v>1397023</v>
      </c>
      <c r="B66" t="s">
        <v>169</v>
      </c>
      <c r="C66" t="s">
        <v>167</v>
      </c>
      <c r="D66" t="s">
        <v>19</v>
      </c>
      <c r="E66" s="1">
        <v>44901</v>
      </c>
      <c r="F66" t="s">
        <v>170</v>
      </c>
      <c r="G66" s="1">
        <v>44902</v>
      </c>
      <c r="H66" s="1">
        <v>44910</v>
      </c>
      <c r="J66" s="1" t="b">
        <f t="shared" si="0"/>
        <v>1</v>
      </c>
      <c r="K66" s="1" t="b">
        <f t="shared" si="1"/>
        <v>0</v>
      </c>
      <c r="L66" s="1" t="b">
        <f t="shared" si="2"/>
        <v>0</v>
      </c>
      <c r="M66" s="1" t="b">
        <f t="shared" si="3"/>
        <v>0</v>
      </c>
      <c r="N66" s="1" t="b">
        <f t="shared" si="4"/>
        <v>0</v>
      </c>
      <c r="O66" s="1" t="b">
        <f t="shared" si="5"/>
        <v>0</v>
      </c>
      <c r="P66" s="1" t="b">
        <f t="shared" si="6"/>
        <v>0</v>
      </c>
    </row>
    <row r="67" spans="1:16" x14ac:dyDescent="0.2">
      <c r="A67">
        <v>1397023</v>
      </c>
      <c r="B67" t="s">
        <v>171</v>
      </c>
      <c r="C67" t="s">
        <v>167</v>
      </c>
      <c r="D67" t="s">
        <v>19</v>
      </c>
      <c r="E67" s="1">
        <v>44833</v>
      </c>
      <c r="F67" t="s">
        <v>172</v>
      </c>
      <c r="G67" s="1">
        <v>44835</v>
      </c>
      <c r="H67" s="1">
        <v>44842</v>
      </c>
      <c r="I67" t="s">
        <v>28</v>
      </c>
      <c r="J67" s="1" t="b">
        <f t="shared" ref="J67:J130" si="7">AND(NOT(ISBLANK(H67)), NOT(OR(ISNUMBER(SEARCH("decline", I67)), ISNUMBER(SEARCH("rescind", I67)), ISNUMBER(SEARCH("cancel", I67)))))</f>
        <v>1</v>
      </c>
      <c r="K67" s="1" t="b">
        <f t="shared" ref="K67:K130" si="8">ISNUMBER(SEARCH("decline", I67))</f>
        <v>0</v>
      </c>
      <c r="L67" s="1" t="b">
        <f t="shared" ref="L67:L130" si="9">ISNUMBER(SEARCH("rescind", I67))</f>
        <v>0</v>
      </c>
      <c r="M67" s="1" t="b">
        <f t="shared" ref="M67:M130" si="10">ISNUMBER(SEARCH("cancel", I67))</f>
        <v>0</v>
      </c>
      <c r="N67" s="1" t="b">
        <f t="shared" ref="N67:N130" si="11">ISNUMBER(SEARCH("transfer", I67))</f>
        <v>0</v>
      </c>
      <c r="O67" s="1" t="b">
        <f t="shared" ref="O67:O130" si="12">ISNUMBER(SEARCH("promo", I67))</f>
        <v>0</v>
      </c>
      <c r="P67" s="1" t="b">
        <f t="shared" ref="P67:P130" si="13">ISNUMBER(SEARCH("new", I67))</f>
        <v>1</v>
      </c>
    </row>
    <row r="68" spans="1:16" x14ac:dyDescent="0.2">
      <c r="A68">
        <v>1397023</v>
      </c>
      <c r="B68" t="s">
        <v>173</v>
      </c>
      <c r="C68" t="s">
        <v>167</v>
      </c>
      <c r="D68" t="s">
        <v>19</v>
      </c>
      <c r="E68" s="1">
        <v>44883</v>
      </c>
      <c r="F68" t="s">
        <v>174</v>
      </c>
      <c r="G68" s="1">
        <v>44897</v>
      </c>
      <c r="H68" s="1">
        <v>44936</v>
      </c>
      <c r="I68" t="s">
        <v>28</v>
      </c>
      <c r="J68" s="1" t="b">
        <f t="shared" si="7"/>
        <v>1</v>
      </c>
      <c r="K68" s="1" t="b">
        <f t="shared" si="8"/>
        <v>0</v>
      </c>
      <c r="L68" s="1" t="b">
        <f t="shared" si="9"/>
        <v>0</v>
      </c>
      <c r="M68" s="1" t="b">
        <f t="shared" si="10"/>
        <v>0</v>
      </c>
      <c r="N68" s="1" t="b">
        <f t="shared" si="11"/>
        <v>0</v>
      </c>
      <c r="O68" s="1" t="b">
        <f t="shared" si="12"/>
        <v>0</v>
      </c>
      <c r="P68" s="1" t="b">
        <f t="shared" si="13"/>
        <v>1</v>
      </c>
    </row>
    <row r="69" spans="1:16" x14ac:dyDescent="0.2">
      <c r="A69">
        <v>9580255</v>
      </c>
      <c r="B69" t="s">
        <v>175</v>
      </c>
      <c r="C69" t="s">
        <v>176</v>
      </c>
      <c r="D69" t="s">
        <v>60</v>
      </c>
      <c r="E69" s="1">
        <v>45008</v>
      </c>
      <c r="F69" t="s">
        <v>177</v>
      </c>
      <c r="G69" s="1">
        <v>45009</v>
      </c>
      <c r="I69" t="s">
        <v>13</v>
      </c>
      <c r="J69" s="1" t="b">
        <f t="shared" si="7"/>
        <v>0</v>
      </c>
      <c r="K69" s="1" t="b">
        <f t="shared" si="8"/>
        <v>1</v>
      </c>
      <c r="L69" s="1" t="b">
        <f t="shared" si="9"/>
        <v>0</v>
      </c>
      <c r="M69" s="1" t="b">
        <f t="shared" si="10"/>
        <v>0</v>
      </c>
      <c r="N69" s="1" t="b">
        <f t="shared" si="11"/>
        <v>0</v>
      </c>
      <c r="O69" s="1" t="b">
        <f t="shared" si="12"/>
        <v>0</v>
      </c>
      <c r="P69" s="1" t="b">
        <f t="shared" si="13"/>
        <v>0</v>
      </c>
    </row>
    <row r="70" spans="1:16" x14ac:dyDescent="0.2">
      <c r="A70">
        <v>9580255</v>
      </c>
      <c r="B70" t="s">
        <v>178</v>
      </c>
      <c r="C70" t="s">
        <v>176</v>
      </c>
      <c r="D70" t="s">
        <v>60</v>
      </c>
      <c r="E70" s="1">
        <v>44633</v>
      </c>
      <c r="F70" t="s">
        <v>179</v>
      </c>
      <c r="G70" s="1">
        <v>44655</v>
      </c>
      <c r="H70" s="1">
        <v>44714</v>
      </c>
      <c r="I70" t="s">
        <v>43</v>
      </c>
      <c r="J70" s="1" t="b">
        <f t="shared" si="7"/>
        <v>1</v>
      </c>
      <c r="K70" s="1" t="b">
        <f t="shared" si="8"/>
        <v>0</v>
      </c>
      <c r="L70" s="1" t="b">
        <f t="shared" si="9"/>
        <v>0</v>
      </c>
      <c r="M70" s="1" t="b">
        <f t="shared" si="10"/>
        <v>0</v>
      </c>
      <c r="N70" s="1" t="b">
        <f t="shared" si="11"/>
        <v>0</v>
      </c>
      <c r="O70" s="1" t="b">
        <f t="shared" si="12"/>
        <v>1</v>
      </c>
      <c r="P70" s="1" t="b">
        <f t="shared" si="13"/>
        <v>0</v>
      </c>
    </row>
    <row r="71" spans="1:16" x14ac:dyDescent="0.2">
      <c r="A71">
        <v>9580255</v>
      </c>
      <c r="B71" t="s">
        <v>180</v>
      </c>
      <c r="C71" t="s">
        <v>176</v>
      </c>
      <c r="D71" t="s">
        <v>60</v>
      </c>
      <c r="E71" s="1">
        <v>44689</v>
      </c>
      <c r="F71" t="s">
        <v>181</v>
      </c>
      <c r="G71" s="1">
        <v>44713</v>
      </c>
      <c r="H71" s="1">
        <v>44771</v>
      </c>
      <c r="I71" t="s">
        <v>28</v>
      </c>
      <c r="J71" s="1" t="b">
        <f t="shared" si="7"/>
        <v>1</v>
      </c>
      <c r="K71" s="1" t="b">
        <f t="shared" si="8"/>
        <v>0</v>
      </c>
      <c r="L71" s="1" t="b">
        <f t="shared" si="9"/>
        <v>0</v>
      </c>
      <c r="M71" s="1" t="b">
        <f t="shared" si="10"/>
        <v>0</v>
      </c>
      <c r="N71" s="1" t="b">
        <f t="shared" si="11"/>
        <v>0</v>
      </c>
      <c r="O71" s="1" t="b">
        <f t="shared" si="12"/>
        <v>0</v>
      </c>
      <c r="P71" s="1" t="b">
        <f t="shared" si="13"/>
        <v>1</v>
      </c>
    </row>
    <row r="72" spans="1:16" x14ac:dyDescent="0.2">
      <c r="A72">
        <v>9580255</v>
      </c>
      <c r="B72" t="s">
        <v>182</v>
      </c>
      <c r="C72" t="s">
        <v>176</v>
      </c>
      <c r="D72" t="s">
        <v>60</v>
      </c>
      <c r="E72" s="1">
        <v>44896</v>
      </c>
      <c r="F72" t="s">
        <v>183</v>
      </c>
      <c r="G72" s="1">
        <v>44909</v>
      </c>
      <c r="H72" s="1">
        <v>44954</v>
      </c>
      <c r="I72" t="s">
        <v>28</v>
      </c>
      <c r="J72" s="1" t="b">
        <f t="shared" si="7"/>
        <v>1</v>
      </c>
      <c r="K72" s="1" t="b">
        <f t="shared" si="8"/>
        <v>0</v>
      </c>
      <c r="L72" s="1" t="b">
        <f t="shared" si="9"/>
        <v>0</v>
      </c>
      <c r="M72" s="1" t="b">
        <f t="shared" si="10"/>
        <v>0</v>
      </c>
      <c r="N72" s="1" t="b">
        <f t="shared" si="11"/>
        <v>0</v>
      </c>
      <c r="O72" s="1" t="b">
        <f t="shared" si="12"/>
        <v>0</v>
      </c>
      <c r="P72" s="1" t="b">
        <f t="shared" si="13"/>
        <v>1</v>
      </c>
    </row>
    <row r="73" spans="1:16" x14ac:dyDescent="0.2">
      <c r="A73">
        <v>9580255</v>
      </c>
      <c r="B73" t="s">
        <v>184</v>
      </c>
      <c r="C73" t="s">
        <v>176</v>
      </c>
      <c r="D73" t="s">
        <v>60</v>
      </c>
      <c r="E73" s="1">
        <v>44992</v>
      </c>
      <c r="F73" t="s">
        <v>185</v>
      </c>
      <c r="G73" s="1">
        <v>45014</v>
      </c>
      <c r="I73" t="s">
        <v>25</v>
      </c>
      <c r="J73" s="1" t="b">
        <f t="shared" si="7"/>
        <v>0</v>
      </c>
      <c r="K73" s="1" t="b">
        <f t="shared" si="8"/>
        <v>0</v>
      </c>
      <c r="L73" s="1" t="b">
        <f t="shared" si="9"/>
        <v>1</v>
      </c>
      <c r="M73" s="1" t="b">
        <f t="shared" si="10"/>
        <v>0</v>
      </c>
      <c r="N73" s="1" t="b">
        <f t="shared" si="11"/>
        <v>0</v>
      </c>
      <c r="O73" s="1" t="b">
        <f t="shared" si="12"/>
        <v>0</v>
      </c>
      <c r="P73" s="1" t="b">
        <f t="shared" si="13"/>
        <v>0</v>
      </c>
    </row>
    <row r="74" spans="1:16" x14ac:dyDescent="0.2">
      <c r="A74">
        <v>7361002</v>
      </c>
      <c r="B74" t="s">
        <v>186</v>
      </c>
      <c r="C74" t="s">
        <v>167</v>
      </c>
      <c r="D74" t="s">
        <v>187</v>
      </c>
      <c r="E74" s="1">
        <v>44562</v>
      </c>
      <c r="F74" t="s">
        <v>188</v>
      </c>
      <c r="G74" s="1">
        <v>44572</v>
      </c>
      <c r="H74" s="1">
        <v>44591</v>
      </c>
      <c r="J74" s="1" t="b">
        <f t="shared" si="7"/>
        <v>1</v>
      </c>
      <c r="K74" s="1" t="b">
        <f t="shared" si="8"/>
        <v>0</v>
      </c>
      <c r="L74" s="1" t="b">
        <f t="shared" si="9"/>
        <v>0</v>
      </c>
      <c r="M74" s="1" t="b">
        <f t="shared" si="10"/>
        <v>0</v>
      </c>
      <c r="N74" s="1" t="b">
        <f t="shared" si="11"/>
        <v>0</v>
      </c>
      <c r="O74" s="1" t="b">
        <f t="shared" si="12"/>
        <v>0</v>
      </c>
      <c r="P74" s="1" t="b">
        <f t="shared" si="13"/>
        <v>0</v>
      </c>
    </row>
    <row r="75" spans="1:16" x14ac:dyDescent="0.2">
      <c r="A75">
        <v>7361002</v>
      </c>
      <c r="B75" t="s">
        <v>189</v>
      </c>
      <c r="C75" t="s">
        <v>167</v>
      </c>
      <c r="D75" t="s">
        <v>187</v>
      </c>
      <c r="E75" s="1">
        <v>44891</v>
      </c>
      <c r="F75" t="s">
        <v>190</v>
      </c>
      <c r="G75" s="1">
        <v>44906</v>
      </c>
      <c r="I75" t="s">
        <v>25</v>
      </c>
      <c r="J75" s="1" t="b">
        <f t="shared" si="7"/>
        <v>0</v>
      </c>
      <c r="K75" s="1" t="b">
        <f t="shared" si="8"/>
        <v>0</v>
      </c>
      <c r="L75" s="1" t="b">
        <f t="shared" si="9"/>
        <v>1</v>
      </c>
      <c r="M75" s="1" t="b">
        <f t="shared" si="10"/>
        <v>0</v>
      </c>
      <c r="N75" s="1" t="b">
        <f t="shared" si="11"/>
        <v>0</v>
      </c>
      <c r="O75" s="1" t="b">
        <f t="shared" si="12"/>
        <v>0</v>
      </c>
      <c r="P75" s="1" t="b">
        <f t="shared" si="13"/>
        <v>0</v>
      </c>
    </row>
    <row r="76" spans="1:16" x14ac:dyDescent="0.2">
      <c r="A76">
        <v>7361002</v>
      </c>
      <c r="B76" t="s">
        <v>191</v>
      </c>
      <c r="C76" t="s">
        <v>167</v>
      </c>
      <c r="D76" t="s">
        <v>187</v>
      </c>
      <c r="E76" s="1">
        <v>44735</v>
      </c>
      <c r="F76" t="s">
        <v>192</v>
      </c>
      <c r="G76" s="1">
        <v>44757</v>
      </c>
      <c r="H76" s="1">
        <v>44763</v>
      </c>
      <c r="I76" t="s">
        <v>43</v>
      </c>
      <c r="J76" s="1" t="b">
        <f t="shared" si="7"/>
        <v>1</v>
      </c>
      <c r="K76" s="1" t="b">
        <f t="shared" si="8"/>
        <v>0</v>
      </c>
      <c r="L76" s="1" t="b">
        <f t="shared" si="9"/>
        <v>0</v>
      </c>
      <c r="M76" s="1" t="b">
        <f t="shared" si="10"/>
        <v>0</v>
      </c>
      <c r="N76" s="1" t="b">
        <f t="shared" si="11"/>
        <v>0</v>
      </c>
      <c r="O76" s="1" t="b">
        <f t="shared" si="12"/>
        <v>1</v>
      </c>
      <c r="P76" s="1" t="b">
        <f t="shared" si="13"/>
        <v>0</v>
      </c>
    </row>
    <row r="77" spans="1:16" x14ac:dyDescent="0.2">
      <c r="A77">
        <v>7361002</v>
      </c>
      <c r="B77" t="s">
        <v>193</v>
      </c>
      <c r="C77" t="s">
        <v>167</v>
      </c>
      <c r="D77" t="s">
        <v>187</v>
      </c>
      <c r="E77" s="1">
        <v>44905</v>
      </c>
      <c r="F77" t="s">
        <v>194</v>
      </c>
      <c r="G77" s="1">
        <v>44908</v>
      </c>
      <c r="I77" t="s">
        <v>25</v>
      </c>
      <c r="J77" s="1" t="b">
        <f t="shared" si="7"/>
        <v>0</v>
      </c>
      <c r="K77" s="1" t="b">
        <f t="shared" si="8"/>
        <v>0</v>
      </c>
      <c r="L77" s="1" t="b">
        <f t="shared" si="9"/>
        <v>1</v>
      </c>
      <c r="M77" s="1" t="b">
        <f t="shared" si="10"/>
        <v>0</v>
      </c>
      <c r="N77" s="1" t="b">
        <f t="shared" si="11"/>
        <v>0</v>
      </c>
      <c r="O77" s="1" t="b">
        <f t="shared" si="12"/>
        <v>0</v>
      </c>
      <c r="P77" s="1" t="b">
        <f t="shared" si="13"/>
        <v>0</v>
      </c>
    </row>
    <row r="78" spans="1:16" x14ac:dyDescent="0.2">
      <c r="A78">
        <v>7361002</v>
      </c>
      <c r="B78" t="s">
        <v>195</v>
      </c>
      <c r="C78" t="s">
        <v>167</v>
      </c>
      <c r="D78" t="s">
        <v>187</v>
      </c>
      <c r="E78" s="1">
        <v>44792</v>
      </c>
      <c r="F78" t="s">
        <v>196</v>
      </c>
      <c r="G78" s="1">
        <v>44818</v>
      </c>
      <c r="H78" s="1">
        <v>44831</v>
      </c>
      <c r="I78" t="s">
        <v>43</v>
      </c>
      <c r="J78" s="1" t="b">
        <f t="shared" si="7"/>
        <v>1</v>
      </c>
      <c r="K78" s="1" t="b">
        <f t="shared" si="8"/>
        <v>0</v>
      </c>
      <c r="L78" s="1" t="b">
        <f t="shared" si="9"/>
        <v>0</v>
      </c>
      <c r="M78" s="1" t="b">
        <f t="shared" si="10"/>
        <v>0</v>
      </c>
      <c r="N78" s="1" t="b">
        <f t="shared" si="11"/>
        <v>0</v>
      </c>
      <c r="O78" s="1" t="b">
        <f t="shared" si="12"/>
        <v>1</v>
      </c>
      <c r="P78" s="1" t="b">
        <f t="shared" si="13"/>
        <v>0</v>
      </c>
    </row>
    <row r="79" spans="1:16" x14ac:dyDescent="0.2">
      <c r="A79">
        <v>3472189</v>
      </c>
      <c r="B79" t="s">
        <v>197</v>
      </c>
      <c r="C79" t="s">
        <v>10</v>
      </c>
      <c r="D79" t="s">
        <v>56</v>
      </c>
      <c r="E79" s="1">
        <v>44761</v>
      </c>
      <c r="F79" t="s">
        <v>198</v>
      </c>
      <c r="G79" s="1">
        <v>44784</v>
      </c>
      <c r="H79" s="1">
        <v>44829</v>
      </c>
      <c r="I79" t="s">
        <v>16</v>
      </c>
      <c r="J79" s="1" t="b">
        <f t="shared" si="7"/>
        <v>1</v>
      </c>
      <c r="K79" s="1" t="b">
        <f t="shared" si="8"/>
        <v>0</v>
      </c>
      <c r="L79" s="1" t="b">
        <f t="shared" si="9"/>
        <v>0</v>
      </c>
      <c r="M79" s="1" t="b">
        <f t="shared" si="10"/>
        <v>0</v>
      </c>
      <c r="N79" s="1" t="b">
        <f t="shared" si="11"/>
        <v>1</v>
      </c>
      <c r="O79" s="1" t="b">
        <f t="shared" si="12"/>
        <v>0</v>
      </c>
      <c r="P79" s="1" t="b">
        <f t="shared" si="13"/>
        <v>0</v>
      </c>
    </row>
    <row r="80" spans="1:16" x14ac:dyDescent="0.2">
      <c r="A80">
        <v>3472189</v>
      </c>
      <c r="B80" t="s">
        <v>199</v>
      </c>
      <c r="C80" t="s">
        <v>10</v>
      </c>
      <c r="D80" t="s">
        <v>56</v>
      </c>
      <c r="E80" s="1">
        <v>44567</v>
      </c>
      <c r="F80" t="s">
        <v>200</v>
      </c>
      <c r="G80" s="1">
        <v>44596</v>
      </c>
      <c r="H80" s="1">
        <v>44645</v>
      </c>
      <c r="J80" s="1" t="b">
        <f t="shared" si="7"/>
        <v>1</v>
      </c>
      <c r="K80" s="1" t="b">
        <f t="shared" si="8"/>
        <v>0</v>
      </c>
      <c r="L80" s="1" t="b">
        <f t="shared" si="9"/>
        <v>0</v>
      </c>
      <c r="M80" s="1" t="b">
        <f t="shared" si="10"/>
        <v>0</v>
      </c>
      <c r="N80" s="1" t="b">
        <f t="shared" si="11"/>
        <v>0</v>
      </c>
      <c r="O80" s="1" t="b">
        <f t="shared" si="12"/>
        <v>0</v>
      </c>
      <c r="P80" s="1" t="b">
        <f t="shared" si="13"/>
        <v>0</v>
      </c>
    </row>
    <row r="81" spans="1:16" x14ac:dyDescent="0.2">
      <c r="A81">
        <v>2788238</v>
      </c>
      <c r="B81" t="s">
        <v>201</v>
      </c>
      <c r="C81" t="s">
        <v>35</v>
      </c>
      <c r="D81" t="s">
        <v>60</v>
      </c>
      <c r="E81" s="1">
        <v>45037</v>
      </c>
      <c r="F81" t="s">
        <v>202</v>
      </c>
      <c r="G81" s="1">
        <v>45039</v>
      </c>
      <c r="I81" t="s">
        <v>13</v>
      </c>
      <c r="J81" s="1" t="b">
        <f t="shared" si="7"/>
        <v>0</v>
      </c>
      <c r="K81" s="1" t="b">
        <f t="shared" si="8"/>
        <v>1</v>
      </c>
      <c r="L81" s="1" t="b">
        <f t="shared" si="9"/>
        <v>0</v>
      </c>
      <c r="M81" s="1" t="b">
        <f t="shared" si="10"/>
        <v>0</v>
      </c>
      <c r="N81" s="1" t="b">
        <f t="shared" si="11"/>
        <v>0</v>
      </c>
      <c r="O81" s="1" t="b">
        <f t="shared" si="12"/>
        <v>0</v>
      </c>
      <c r="P81" s="1" t="b">
        <f t="shared" si="13"/>
        <v>0</v>
      </c>
    </row>
    <row r="82" spans="1:16" x14ac:dyDescent="0.2">
      <c r="A82">
        <v>2788238</v>
      </c>
      <c r="B82" t="s">
        <v>203</v>
      </c>
      <c r="C82" t="s">
        <v>35</v>
      </c>
      <c r="D82" t="s">
        <v>60</v>
      </c>
      <c r="E82" s="1">
        <v>45037</v>
      </c>
      <c r="F82" t="s">
        <v>204</v>
      </c>
      <c r="G82" s="1">
        <v>45059</v>
      </c>
      <c r="H82" s="1">
        <v>45093</v>
      </c>
      <c r="I82" t="s">
        <v>16</v>
      </c>
      <c r="J82" s="1" t="b">
        <f t="shared" si="7"/>
        <v>1</v>
      </c>
      <c r="K82" s="1" t="b">
        <f t="shared" si="8"/>
        <v>0</v>
      </c>
      <c r="L82" s="1" t="b">
        <f t="shared" si="9"/>
        <v>0</v>
      </c>
      <c r="M82" s="1" t="b">
        <f t="shared" si="10"/>
        <v>0</v>
      </c>
      <c r="N82" s="1" t="b">
        <f t="shared" si="11"/>
        <v>1</v>
      </c>
      <c r="O82" s="1" t="b">
        <f t="shared" si="12"/>
        <v>0</v>
      </c>
      <c r="P82" s="1" t="b">
        <f t="shared" si="13"/>
        <v>0</v>
      </c>
    </row>
    <row r="83" spans="1:16" x14ac:dyDescent="0.2">
      <c r="A83">
        <v>6323376</v>
      </c>
      <c r="B83" t="s">
        <v>205</v>
      </c>
      <c r="C83" t="s">
        <v>35</v>
      </c>
      <c r="D83" t="s">
        <v>77</v>
      </c>
      <c r="E83" s="1">
        <v>45018</v>
      </c>
      <c r="F83" t="s">
        <v>206</v>
      </c>
      <c r="G83" s="1">
        <v>45047</v>
      </c>
      <c r="H83" s="1">
        <v>45058</v>
      </c>
      <c r="J83" s="1" t="b">
        <f t="shared" si="7"/>
        <v>1</v>
      </c>
      <c r="K83" s="1" t="b">
        <f t="shared" si="8"/>
        <v>0</v>
      </c>
      <c r="L83" s="1" t="b">
        <f t="shared" si="9"/>
        <v>0</v>
      </c>
      <c r="M83" s="1" t="b">
        <f t="shared" si="10"/>
        <v>0</v>
      </c>
      <c r="N83" s="1" t="b">
        <f t="shared" si="11"/>
        <v>0</v>
      </c>
      <c r="O83" s="1" t="b">
        <f t="shared" si="12"/>
        <v>0</v>
      </c>
      <c r="P83" s="1" t="b">
        <f t="shared" si="13"/>
        <v>0</v>
      </c>
    </row>
    <row r="84" spans="1:16" x14ac:dyDescent="0.2">
      <c r="A84">
        <v>6323376</v>
      </c>
      <c r="B84" t="s">
        <v>207</v>
      </c>
      <c r="C84" t="s">
        <v>35</v>
      </c>
      <c r="D84" t="s">
        <v>77</v>
      </c>
      <c r="E84" s="1">
        <v>44815</v>
      </c>
      <c r="F84" t="s">
        <v>208</v>
      </c>
      <c r="G84" s="1">
        <v>44842</v>
      </c>
      <c r="H84" s="1">
        <v>44883</v>
      </c>
      <c r="J84" s="1" t="b">
        <f t="shared" si="7"/>
        <v>1</v>
      </c>
      <c r="K84" s="1" t="b">
        <f t="shared" si="8"/>
        <v>0</v>
      </c>
      <c r="L84" s="1" t="b">
        <f t="shared" si="9"/>
        <v>0</v>
      </c>
      <c r="M84" s="1" t="b">
        <f t="shared" si="10"/>
        <v>0</v>
      </c>
      <c r="N84" s="1" t="b">
        <f t="shared" si="11"/>
        <v>0</v>
      </c>
      <c r="O84" s="1" t="b">
        <f t="shared" si="12"/>
        <v>0</v>
      </c>
      <c r="P84" s="1" t="b">
        <f t="shared" si="13"/>
        <v>0</v>
      </c>
    </row>
    <row r="85" spans="1:16" x14ac:dyDescent="0.2">
      <c r="A85">
        <v>6323376</v>
      </c>
      <c r="B85" t="s">
        <v>209</v>
      </c>
      <c r="C85" t="s">
        <v>35</v>
      </c>
      <c r="D85" t="s">
        <v>77</v>
      </c>
      <c r="E85" s="1">
        <v>45058</v>
      </c>
      <c r="F85" t="s">
        <v>210</v>
      </c>
      <c r="G85" s="1">
        <v>45079</v>
      </c>
      <c r="I85" t="s">
        <v>25</v>
      </c>
      <c r="J85" s="1" t="b">
        <f t="shared" si="7"/>
        <v>0</v>
      </c>
      <c r="K85" s="1" t="b">
        <f t="shared" si="8"/>
        <v>0</v>
      </c>
      <c r="L85" s="1" t="b">
        <f t="shared" si="9"/>
        <v>1</v>
      </c>
      <c r="M85" s="1" t="b">
        <f t="shared" si="10"/>
        <v>0</v>
      </c>
      <c r="N85" s="1" t="b">
        <f t="shared" si="11"/>
        <v>0</v>
      </c>
      <c r="O85" s="1" t="b">
        <f t="shared" si="12"/>
        <v>0</v>
      </c>
      <c r="P85" s="1" t="b">
        <f t="shared" si="13"/>
        <v>0</v>
      </c>
    </row>
    <row r="86" spans="1:16" x14ac:dyDescent="0.2">
      <c r="A86">
        <v>6323376</v>
      </c>
      <c r="B86" t="s">
        <v>211</v>
      </c>
      <c r="C86" t="s">
        <v>35</v>
      </c>
      <c r="D86" t="s">
        <v>77</v>
      </c>
      <c r="E86" s="1">
        <v>44854</v>
      </c>
      <c r="F86" t="s">
        <v>212</v>
      </c>
      <c r="G86" s="1">
        <v>44862</v>
      </c>
      <c r="I86" t="s">
        <v>25</v>
      </c>
      <c r="J86" s="1" t="b">
        <f t="shared" si="7"/>
        <v>0</v>
      </c>
      <c r="K86" s="1" t="b">
        <f t="shared" si="8"/>
        <v>0</v>
      </c>
      <c r="L86" s="1" t="b">
        <f t="shared" si="9"/>
        <v>1</v>
      </c>
      <c r="M86" s="1" t="b">
        <f t="shared" si="10"/>
        <v>0</v>
      </c>
      <c r="N86" s="1" t="b">
        <f t="shared" si="11"/>
        <v>0</v>
      </c>
      <c r="O86" s="1" t="b">
        <f t="shared" si="12"/>
        <v>0</v>
      </c>
      <c r="P86" s="1" t="b">
        <f t="shared" si="13"/>
        <v>0</v>
      </c>
    </row>
    <row r="87" spans="1:16" x14ac:dyDescent="0.2">
      <c r="A87">
        <v>6323376</v>
      </c>
      <c r="B87" t="s">
        <v>213</v>
      </c>
      <c r="C87" t="s">
        <v>35</v>
      </c>
      <c r="D87" t="s">
        <v>77</v>
      </c>
      <c r="E87" s="1">
        <v>44644</v>
      </c>
      <c r="F87" t="s">
        <v>214</v>
      </c>
      <c r="G87" s="1">
        <v>44649</v>
      </c>
      <c r="I87" t="s">
        <v>25</v>
      </c>
      <c r="J87" s="1" t="b">
        <f t="shared" si="7"/>
        <v>0</v>
      </c>
      <c r="K87" s="1" t="b">
        <f t="shared" si="8"/>
        <v>0</v>
      </c>
      <c r="L87" s="1" t="b">
        <f t="shared" si="9"/>
        <v>1</v>
      </c>
      <c r="M87" s="1" t="b">
        <f t="shared" si="10"/>
        <v>0</v>
      </c>
      <c r="N87" s="1" t="b">
        <f t="shared" si="11"/>
        <v>0</v>
      </c>
      <c r="O87" s="1" t="b">
        <f t="shared" si="12"/>
        <v>0</v>
      </c>
      <c r="P87" s="1" t="b">
        <f t="shared" si="13"/>
        <v>0</v>
      </c>
    </row>
    <row r="88" spans="1:16" x14ac:dyDescent="0.2">
      <c r="A88">
        <v>3530518</v>
      </c>
      <c r="B88" t="s">
        <v>215</v>
      </c>
      <c r="C88" t="s">
        <v>93</v>
      </c>
      <c r="D88" t="s">
        <v>60</v>
      </c>
      <c r="E88" s="1">
        <v>44900</v>
      </c>
      <c r="F88" t="s">
        <v>216</v>
      </c>
      <c r="G88" s="1">
        <v>44918</v>
      </c>
      <c r="H88" s="1">
        <v>44948</v>
      </c>
      <c r="I88" t="s">
        <v>16</v>
      </c>
      <c r="J88" s="1" t="b">
        <f t="shared" si="7"/>
        <v>1</v>
      </c>
      <c r="K88" s="1" t="b">
        <f t="shared" si="8"/>
        <v>0</v>
      </c>
      <c r="L88" s="1" t="b">
        <f t="shared" si="9"/>
        <v>0</v>
      </c>
      <c r="M88" s="1" t="b">
        <f t="shared" si="10"/>
        <v>0</v>
      </c>
      <c r="N88" s="1" t="b">
        <f t="shared" si="11"/>
        <v>1</v>
      </c>
      <c r="O88" s="1" t="b">
        <f t="shared" si="12"/>
        <v>0</v>
      </c>
      <c r="P88" s="1" t="b">
        <f t="shared" si="13"/>
        <v>0</v>
      </c>
    </row>
    <row r="89" spans="1:16" x14ac:dyDescent="0.2">
      <c r="A89">
        <v>3530518</v>
      </c>
      <c r="B89" t="s">
        <v>217</v>
      </c>
      <c r="C89" t="s">
        <v>93</v>
      </c>
      <c r="D89" t="s">
        <v>60</v>
      </c>
      <c r="E89" s="1">
        <v>44960</v>
      </c>
      <c r="F89" t="s">
        <v>218</v>
      </c>
      <c r="G89" s="1">
        <v>44989</v>
      </c>
      <c r="H89" s="1">
        <v>45039</v>
      </c>
      <c r="I89" t="s">
        <v>43</v>
      </c>
      <c r="J89" s="1" t="b">
        <f t="shared" si="7"/>
        <v>1</v>
      </c>
      <c r="K89" s="1" t="b">
        <f t="shared" si="8"/>
        <v>0</v>
      </c>
      <c r="L89" s="1" t="b">
        <f t="shared" si="9"/>
        <v>0</v>
      </c>
      <c r="M89" s="1" t="b">
        <f t="shared" si="10"/>
        <v>0</v>
      </c>
      <c r="N89" s="1" t="b">
        <f t="shared" si="11"/>
        <v>0</v>
      </c>
      <c r="O89" s="1" t="b">
        <f t="shared" si="12"/>
        <v>1</v>
      </c>
      <c r="P89" s="1" t="b">
        <f t="shared" si="13"/>
        <v>0</v>
      </c>
    </row>
    <row r="90" spans="1:16" x14ac:dyDescent="0.2">
      <c r="A90">
        <v>1327691</v>
      </c>
      <c r="B90" t="s">
        <v>219</v>
      </c>
      <c r="C90" t="s">
        <v>90</v>
      </c>
      <c r="D90" t="s">
        <v>81</v>
      </c>
      <c r="E90" s="1">
        <v>44961</v>
      </c>
      <c r="F90" t="s">
        <v>220</v>
      </c>
      <c r="G90" s="1">
        <v>44989</v>
      </c>
      <c r="H90" s="1">
        <v>45047</v>
      </c>
      <c r="I90" t="s">
        <v>28</v>
      </c>
      <c r="J90" s="1" t="b">
        <f t="shared" si="7"/>
        <v>1</v>
      </c>
      <c r="K90" s="1" t="b">
        <f t="shared" si="8"/>
        <v>0</v>
      </c>
      <c r="L90" s="1" t="b">
        <f t="shared" si="9"/>
        <v>0</v>
      </c>
      <c r="M90" s="1" t="b">
        <f t="shared" si="10"/>
        <v>0</v>
      </c>
      <c r="N90" s="1" t="b">
        <f t="shared" si="11"/>
        <v>0</v>
      </c>
      <c r="O90" s="1" t="b">
        <f t="shared" si="12"/>
        <v>0</v>
      </c>
      <c r="P90" s="1" t="b">
        <f t="shared" si="13"/>
        <v>1</v>
      </c>
    </row>
    <row r="91" spans="1:16" x14ac:dyDescent="0.2">
      <c r="A91">
        <v>1327691</v>
      </c>
      <c r="B91" t="s">
        <v>221</v>
      </c>
      <c r="C91" t="s">
        <v>90</v>
      </c>
      <c r="D91" t="s">
        <v>81</v>
      </c>
      <c r="E91" s="1">
        <v>44787</v>
      </c>
      <c r="F91" t="s">
        <v>222</v>
      </c>
      <c r="G91" s="1">
        <v>44803</v>
      </c>
      <c r="H91" s="1">
        <v>44818</v>
      </c>
      <c r="J91" s="1" t="b">
        <f t="shared" si="7"/>
        <v>1</v>
      </c>
      <c r="K91" s="1" t="b">
        <f t="shared" si="8"/>
        <v>0</v>
      </c>
      <c r="L91" s="1" t="b">
        <f t="shared" si="9"/>
        <v>0</v>
      </c>
      <c r="M91" s="1" t="b">
        <f t="shared" si="10"/>
        <v>0</v>
      </c>
      <c r="N91" s="1" t="b">
        <f t="shared" si="11"/>
        <v>0</v>
      </c>
      <c r="O91" s="1" t="b">
        <f t="shared" si="12"/>
        <v>0</v>
      </c>
      <c r="P91" s="1" t="b">
        <f t="shared" si="13"/>
        <v>0</v>
      </c>
    </row>
    <row r="92" spans="1:16" x14ac:dyDescent="0.2">
      <c r="A92">
        <v>1327691</v>
      </c>
      <c r="B92" t="s">
        <v>223</v>
      </c>
      <c r="C92" t="s">
        <v>90</v>
      </c>
      <c r="D92" t="s">
        <v>81</v>
      </c>
      <c r="E92" s="1">
        <v>44960</v>
      </c>
      <c r="F92" t="s">
        <v>224</v>
      </c>
      <c r="G92" s="1">
        <v>44971</v>
      </c>
      <c r="I92" t="s">
        <v>25</v>
      </c>
      <c r="J92" s="1" t="b">
        <f t="shared" si="7"/>
        <v>0</v>
      </c>
      <c r="K92" s="1" t="b">
        <f t="shared" si="8"/>
        <v>0</v>
      </c>
      <c r="L92" s="1" t="b">
        <f t="shared" si="9"/>
        <v>1</v>
      </c>
      <c r="M92" s="1" t="b">
        <f t="shared" si="10"/>
        <v>0</v>
      </c>
      <c r="N92" s="1" t="b">
        <f t="shared" si="11"/>
        <v>0</v>
      </c>
      <c r="O92" s="1" t="b">
        <f t="shared" si="12"/>
        <v>0</v>
      </c>
      <c r="P92" s="1" t="b">
        <f t="shared" si="13"/>
        <v>0</v>
      </c>
    </row>
    <row r="93" spans="1:16" x14ac:dyDescent="0.2">
      <c r="A93">
        <v>1327691</v>
      </c>
      <c r="B93" t="s">
        <v>225</v>
      </c>
      <c r="C93" t="s">
        <v>90</v>
      </c>
      <c r="D93" t="s">
        <v>81</v>
      </c>
      <c r="E93" s="1">
        <v>45040</v>
      </c>
      <c r="F93" t="s">
        <v>226</v>
      </c>
      <c r="G93" s="1">
        <v>45070</v>
      </c>
      <c r="H93" s="1">
        <v>45079</v>
      </c>
      <c r="J93" s="1" t="b">
        <f t="shared" si="7"/>
        <v>1</v>
      </c>
      <c r="K93" s="1" t="b">
        <f t="shared" si="8"/>
        <v>0</v>
      </c>
      <c r="L93" s="1" t="b">
        <f t="shared" si="9"/>
        <v>0</v>
      </c>
      <c r="M93" s="1" t="b">
        <f t="shared" si="10"/>
        <v>0</v>
      </c>
      <c r="N93" s="1" t="b">
        <f t="shared" si="11"/>
        <v>0</v>
      </c>
      <c r="O93" s="1" t="b">
        <f t="shared" si="12"/>
        <v>0</v>
      </c>
      <c r="P93" s="1" t="b">
        <f t="shared" si="13"/>
        <v>0</v>
      </c>
    </row>
    <row r="94" spans="1:16" x14ac:dyDescent="0.2">
      <c r="A94">
        <v>9961107</v>
      </c>
      <c r="B94" t="s">
        <v>227</v>
      </c>
      <c r="C94" t="s">
        <v>10</v>
      </c>
      <c r="D94" t="s">
        <v>60</v>
      </c>
      <c r="E94" s="1">
        <v>45000</v>
      </c>
      <c r="F94" t="s">
        <v>228</v>
      </c>
      <c r="G94" s="1">
        <v>45005</v>
      </c>
      <c r="H94" s="1">
        <v>45061</v>
      </c>
      <c r="I94" t="s">
        <v>16</v>
      </c>
      <c r="J94" s="1" t="b">
        <f t="shared" si="7"/>
        <v>1</v>
      </c>
      <c r="K94" s="1" t="b">
        <f t="shared" si="8"/>
        <v>0</v>
      </c>
      <c r="L94" s="1" t="b">
        <f t="shared" si="9"/>
        <v>0</v>
      </c>
      <c r="M94" s="1" t="b">
        <f t="shared" si="10"/>
        <v>0</v>
      </c>
      <c r="N94" s="1" t="b">
        <f t="shared" si="11"/>
        <v>1</v>
      </c>
      <c r="O94" s="1" t="b">
        <f t="shared" si="12"/>
        <v>0</v>
      </c>
      <c r="P94" s="1" t="b">
        <f t="shared" si="13"/>
        <v>0</v>
      </c>
    </row>
    <row r="95" spans="1:16" x14ac:dyDescent="0.2">
      <c r="A95">
        <v>9961107</v>
      </c>
      <c r="B95" t="s">
        <v>229</v>
      </c>
      <c r="C95" t="s">
        <v>10</v>
      </c>
      <c r="D95" t="s">
        <v>60</v>
      </c>
      <c r="E95" s="1">
        <v>44897</v>
      </c>
      <c r="F95" t="s">
        <v>230</v>
      </c>
      <c r="G95" s="1">
        <v>44904</v>
      </c>
      <c r="H95" s="1">
        <v>44934</v>
      </c>
      <c r="I95" t="s">
        <v>16</v>
      </c>
      <c r="J95" s="1" t="b">
        <f t="shared" si="7"/>
        <v>1</v>
      </c>
      <c r="K95" s="1" t="b">
        <f t="shared" si="8"/>
        <v>0</v>
      </c>
      <c r="L95" s="1" t="b">
        <f t="shared" si="9"/>
        <v>0</v>
      </c>
      <c r="M95" s="1" t="b">
        <f t="shared" si="10"/>
        <v>0</v>
      </c>
      <c r="N95" s="1" t="b">
        <f t="shared" si="11"/>
        <v>1</v>
      </c>
      <c r="O95" s="1" t="b">
        <f t="shared" si="12"/>
        <v>0</v>
      </c>
      <c r="P95" s="1" t="b">
        <f t="shared" si="13"/>
        <v>0</v>
      </c>
    </row>
    <row r="96" spans="1:16" x14ac:dyDescent="0.2">
      <c r="A96">
        <v>9961107</v>
      </c>
      <c r="B96" t="s">
        <v>231</v>
      </c>
      <c r="C96" t="s">
        <v>10</v>
      </c>
      <c r="D96" t="s">
        <v>60</v>
      </c>
      <c r="E96" s="1">
        <v>44993</v>
      </c>
      <c r="F96" t="s">
        <v>232</v>
      </c>
      <c r="G96" s="1">
        <v>45002</v>
      </c>
      <c r="H96" s="1">
        <v>45056</v>
      </c>
      <c r="J96" s="1" t="b">
        <f t="shared" si="7"/>
        <v>1</v>
      </c>
      <c r="K96" s="1" t="b">
        <f t="shared" si="8"/>
        <v>0</v>
      </c>
      <c r="L96" s="1" t="b">
        <f t="shared" si="9"/>
        <v>0</v>
      </c>
      <c r="M96" s="1" t="b">
        <f t="shared" si="10"/>
        <v>0</v>
      </c>
      <c r="N96" s="1" t="b">
        <f t="shared" si="11"/>
        <v>0</v>
      </c>
      <c r="O96" s="1" t="b">
        <f t="shared" si="12"/>
        <v>0</v>
      </c>
      <c r="P96" s="1" t="b">
        <f t="shared" si="13"/>
        <v>0</v>
      </c>
    </row>
    <row r="97" spans="1:16" x14ac:dyDescent="0.2">
      <c r="A97">
        <v>9961107</v>
      </c>
      <c r="B97" t="s">
        <v>233</v>
      </c>
      <c r="C97" t="s">
        <v>10</v>
      </c>
      <c r="D97" t="s">
        <v>60</v>
      </c>
      <c r="E97" s="1">
        <v>44615</v>
      </c>
      <c r="F97" t="s">
        <v>234</v>
      </c>
      <c r="G97" s="1">
        <v>44627</v>
      </c>
      <c r="I97" t="s">
        <v>13</v>
      </c>
      <c r="J97" s="1" t="b">
        <f t="shared" si="7"/>
        <v>0</v>
      </c>
      <c r="K97" s="1" t="b">
        <f t="shared" si="8"/>
        <v>1</v>
      </c>
      <c r="L97" s="1" t="b">
        <f t="shared" si="9"/>
        <v>0</v>
      </c>
      <c r="M97" s="1" t="b">
        <f t="shared" si="10"/>
        <v>0</v>
      </c>
      <c r="N97" s="1" t="b">
        <f t="shared" si="11"/>
        <v>0</v>
      </c>
      <c r="O97" s="1" t="b">
        <f t="shared" si="12"/>
        <v>0</v>
      </c>
      <c r="P97" s="1" t="b">
        <f t="shared" si="13"/>
        <v>0</v>
      </c>
    </row>
    <row r="98" spans="1:16" x14ac:dyDescent="0.2">
      <c r="A98">
        <v>9961107</v>
      </c>
      <c r="B98" t="s">
        <v>235</v>
      </c>
      <c r="C98" t="s">
        <v>10</v>
      </c>
      <c r="D98" t="s">
        <v>60</v>
      </c>
      <c r="E98" s="1">
        <v>44603</v>
      </c>
      <c r="F98" t="s">
        <v>236</v>
      </c>
      <c r="G98" s="1">
        <v>44628</v>
      </c>
      <c r="I98" t="s">
        <v>25</v>
      </c>
      <c r="J98" s="1" t="b">
        <f t="shared" si="7"/>
        <v>0</v>
      </c>
      <c r="K98" s="1" t="b">
        <f t="shared" si="8"/>
        <v>0</v>
      </c>
      <c r="L98" s="1" t="b">
        <f t="shared" si="9"/>
        <v>1</v>
      </c>
      <c r="M98" s="1" t="b">
        <f t="shared" si="10"/>
        <v>0</v>
      </c>
      <c r="N98" s="1" t="b">
        <f t="shared" si="11"/>
        <v>0</v>
      </c>
      <c r="O98" s="1" t="b">
        <f t="shared" si="12"/>
        <v>0</v>
      </c>
      <c r="P98" s="1" t="b">
        <f t="shared" si="13"/>
        <v>0</v>
      </c>
    </row>
    <row r="99" spans="1:16" x14ac:dyDescent="0.2">
      <c r="A99">
        <v>1520596</v>
      </c>
      <c r="B99" t="s">
        <v>237</v>
      </c>
      <c r="C99" t="s">
        <v>93</v>
      </c>
      <c r="D99" t="s">
        <v>19</v>
      </c>
      <c r="E99" s="1">
        <v>44679</v>
      </c>
      <c r="F99" t="s">
        <v>238</v>
      </c>
      <c r="G99" s="1">
        <v>44698</v>
      </c>
      <c r="H99" s="1">
        <v>44712</v>
      </c>
      <c r="I99" t="s">
        <v>43</v>
      </c>
      <c r="J99" s="1" t="b">
        <f t="shared" si="7"/>
        <v>1</v>
      </c>
      <c r="K99" s="1" t="b">
        <f t="shared" si="8"/>
        <v>0</v>
      </c>
      <c r="L99" s="1" t="b">
        <f t="shared" si="9"/>
        <v>0</v>
      </c>
      <c r="M99" s="1" t="b">
        <f t="shared" si="10"/>
        <v>0</v>
      </c>
      <c r="N99" s="1" t="b">
        <f t="shared" si="11"/>
        <v>0</v>
      </c>
      <c r="O99" s="1" t="b">
        <f t="shared" si="12"/>
        <v>1</v>
      </c>
      <c r="P99" s="1" t="b">
        <f t="shared" si="13"/>
        <v>0</v>
      </c>
    </row>
    <row r="100" spans="1:16" x14ac:dyDescent="0.2">
      <c r="A100">
        <v>8801975</v>
      </c>
      <c r="B100" t="s">
        <v>239</v>
      </c>
      <c r="C100" t="s">
        <v>240</v>
      </c>
      <c r="D100" t="s">
        <v>11</v>
      </c>
      <c r="E100" s="1">
        <v>44679</v>
      </c>
      <c r="F100" t="s">
        <v>241</v>
      </c>
      <c r="G100" s="1">
        <v>44704</v>
      </c>
      <c r="I100" t="s">
        <v>13</v>
      </c>
      <c r="J100" s="1" t="b">
        <f t="shared" si="7"/>
        <v>0</v>
      </c>
      <c r="K100" s="1" t="b">
        <f t="shared" si="8"/>
        <v>1</v>
      </c>
      <c r="L100" s="1" t="b">
        <f t="shared" si="9"/>
        <v>0</v>
      </c>
      <c r="M100" s="1" t="b">
        <f t="shared" si="10"/>
        <v>0</v>
      </c>
      <c r="N100" s="1" t="b">
        <f t="shared" si="11"/>
        <v>0</v>
      </c>
      <c r="O100" s="1" t="b">
        <f t="shared" si="12"/>
        <v>0</v>
      </c>
      <c r="P100" s="1" t="b">
        <f t="shared" si="13"/>
        <v>0</v>
      </c>
    </row>
    <row r="101" spans="1:16" x14ac:dyDescent="0.2">
      <c r="A101">
        <v>8801975</v>
      </c>
      <c r="B101" t="s">
        <v>242</v>
      </c>
      <c r="C101" t="s">
        <v>240</v>
      </c>
      <c r="D101" t="s">
        <v>11</v>
      </c>
      <c r="E101" s="1">
        <v>44588</v>
      </c>
      <c r="F101" t="s">
        <v>243</v>
      </c>
      <c r="G101" s="1">
        <v>44618</v>
      </c>
      <c r="H101" s="1">
        <v>44638</v>
      </c>
      <c r="I101" t="s">
        <v>28</v>
      </c>
      <c r="J101" s="1" t="b">
        <f t="shared" si="7"/>
        <v>1</v>
      </c>
      <c r="K101" s="1" t="b">
        <f t="shared" si="8"/>
        <v>0</v>
      </c>
      <c r="L101" s="1" t="b">
        <f t="shared" si="9"/>
        <v>0</v>
      </c>
      <c r="M101" s="1" t="b">
        <f t="shared" si="10"/>
        <v>0</v>
      </c>
      <c r="N101" s="1" t="b">
        <f t="shared" si="11"/>
        <v>0</v>
      </c>
      <c r="O101" s="1" t="b">
        <f t="shared" si="12"/>
        <v>0</v>
      </c>
      <c r="P101" s="1" t="b">
        <f t="shared" si="13"/>
        <v>1</v>
      </c>
    </row>
    <row r="102" spans="1:16" x14ac:dyDescent="0.2">
      <c r="A102">
        <v>8801975</v>
      </c>
      <c r="B102" t="s">
        <v>244</v>
      </c>
      <c r="C102" t="s">
        <v>240</v>
      </c>
      <c r="D102" t="s">
        <v>11</v>
      </c>
      <c r="E102" s="1">
        <v>44765</v>
      </c>
      <c r="F102" t="s">
        <v>245</v>
      </c>
      <c r="G102" s="1">
        <v>44768</v>
      </c>
      <c r="H102" s="1">
        <v>44806</v>
      </c>
      <c r="J102" s="1" t="b">
        <f t="shared" si="7"/>
        <v>1</v>
      </c>
      <c r="K102" s="1" t="b">
        <f t="shared" si="8"/>
        <v>0</v>
      </c>
      <c r="L102" s="1" t="b">
        <f t="shared" si="9"/>
        <v>0</v>
      </c>
      <c r="M102" s="1" t="b">
        <f t="shared" si="10"/>
        <v>0</v>
      </c>
      <c r="N102" s="1" t="b">
        <f t="shared" si="11"/>
        <v>0</v>
      </c>
      <c r="O102" s="1" t="b">
        <f t="shared" si="12"/>
        <v>0</v>
      </c>
      <c r="P102" s="1" t="b">
        <f t="shared" si="13"/>
        <v>0</v>
      </c>
    </row>
    <row r="103" spans="1:16" x14ac:dyDescent="0.2">
      <c r="A103">
        <v>5074336</v>
      </c>
      <c r="B103" t="s">
        <v>246</v>
      </c>
      <c r="C103" t="s">
        <v>176</v>
      </c>
      <c r="D103" t="s">
        <v>11</v>
      </c>
      <c r="E103" s="1">
        <v>45000</v>
      </c>
      <c r="F103" t="s">
        <v>247</v>
      </c>
      <c r="G103" s="1">
        <v>45022</v>
      </c>
      <c r="H103" s="1">
        <v>45046</v>
      </c>
      <c r="I103" t="s">
        <v>16</v>
      </c>
      <c r="J103" s="1" t="b">
        <f t="shared" si="7"/>
        <v>1</v>
      </c>
      <c r="K103" s="1" t="b">
        <f t="shared" si="8"/>
        <v>0</v>
      </c>
      <c r="L103" s="1" t="b">
        <f t="shared" si="9"/>
        <v>0</v>
      </c>
      <c r="M103" s="1" t="b">
        <f t="shared" si="10"/>
        <v>0</v>
      </c>
      <c r="N103" s="1" t="b">
        <f t="shared" si="11"/>
        <v>1</v>
      </c>
      <c r="O103" s="1" t="b">
        <f t="shared" si="12"/>
        <v>0</v>
      </c>
      <c r="P103" s="1" t="b">
        <f t="shared" si="13"/>
        <v>0</v>
      </c>
    </row>
    <row r="104" spans="1:16" x14ac:dyDescent="0.2">
      <c r="A104">
        <v>5074336</v>
      </c>
      <c r="B104" t="s">
        <v>248</v>
      </c>
      <c r="C104" t="s">
        <v>176</v>
      </c>
      <c r="D104" t="s">
        <v>11</v>
      </c>
      <c r="E104" s="1">
        <v>44574</v>
      </c>
      <c r="F104" t="s">
        <v>249</v>
      </c>
      <c r="G104" s="1">
        <v>44602</v>
      </c>
      <c r="I104" t="s">
        <v>13</v>
      </c>
      <c r="J104" s="1" t="b">
        <f t="shared" si="7"/>
        <v>0</v>
      </c>
      <c r="K104" s="1" t="b">
        <f t="shared" si="8"/>
        <v>1</v>
      </c>
      <c r="L104" s="1" t="b">
        <f t="shared" si="9"/>
        <v>0</v>
      </c>
      <c r="M104" s="1" t="b">
        <f t="shared" si="10"/>
        <v>0</v>
      </c>
      <c r="N104" s="1" t="b">
        <f t="shared" si="11"/>
        <v>0</v>
      </c>
      <c r="O104" s="1" t="b">
        <f t="shared" si="12"/>
        <v>0</v>
      </c>
      <c r="P104" s="1" t="b">
        <f t="shared" si="13"/>
        <v>0</v>
      </c>
    </row>
    <row r="105" spans="1:16" x14ac:dyDescent="0.2">
      <c r="A105">
        <v>5074336</v>
      </c>
      <c r="B105" t="s">
        <v>250</v>
      </c>
      <c r="C105" t="s">
        <v>176</v>
      </c>
      <c r="D105" t="s">
        <v>11</v>
      </c>
      <c r="E105" s="1">
        <v>44932</v>
      </c>
      <c r="F105" t="s">
        <v>251</v>
      </c>
      <c r="G105" s="1">
        <v>44953</v>
      </c>
      <c r="H105" s="1">
        <v>45011</v>
      </c>
      <c r="J105" s="1" t="b">
        <f t="shared" si="7"/>
        <v>1</v>
      </c>
      <c r="K105" s="1" t="b">
        <f t="shared" si="8"/>
        <v>0</v>
      </c>
      <c r="L105" s="1" t="b">
        <f t="shared" si="9"/>
        <v>0</v>
      </c>
      <c r="M105" s="1" t="b">
        <f t="shared" si="10"/>
        <v>0</v>
      </c>
      <c r="N105" s="1" t="b">
        <f t="shared" si="11"/>
        <v>0</v>
      </c>
      <c r="O105" s="1" t="b">
        <f t="shared" si="12"/>
        <v>0</v>
      </c>
      <c r="P105" s="1" t="b">
        <f t="shared" si="13"/>
        <v>0</v>
      </c>
    </row>
    <row r="106" spans="1:16" x14ac:dyDescent="0.2">
      <c r="A106">
        <v>5074336</v>
      </c>
      <c r="B106" t="s">
        <v>252</v>
      </c>
      <c r="C106" t="s">
        <v>176</v>
      </c>
      <c r="D106" t="s">
        <v>11</v>
      </c>
      <c r="E106" s="1">
        <v>45096</v>
      </c>
      <c r="F106" t="s">
        <v>253</v>
      </c>
      <c r="G106" s="1">
        <v>45117</v>
      </c>
      <c r="H106" s="1">
        <v>45135</v>
      </c>
      <c r="I106" t="s">
        <v>43</v>
      </c>
      <c r="J106" s="1" t="b">
        <f t="shared" si="7"/>
        <v>1</v>
      </c>
      <c r="K106" s="1" t="b">
        <f t="shared" si="8"/>
        <v>0</v>
      </c>
      <c r="L106" s="1" t="b">
        <f t="shared" si="9"/>
        <v>0</v>
      </c>
      <c r="M106" s="1" t="b">
        <f t="shared" si="10"/>
        <v>0</v>
      </c>
      <c r="N106" s="1" t="b">
        <f t="shared" si="11"/>
        <v>0</v>
      </c>
      <c r="O106" s="1" t="b">
        <f t="shared" si="12"/>
        <v>1</v>
      </c>
      <c r="P106" s="1" t="b">
        <f t="shared" si="13"/>
        <v>0</v>
      </c>
    </row>
    <row r="107" spans="1:16" x14ac:dyDescent="0.2">
      <c r="A107">
        <v>5074336</v>
      </c>
      <c r="B107" t="s">
        <v>254</v>
      </c>
      <c r="C107" t="s">
        <v>176</v>
      </c>
      <c r="D107" t="s">
        <v>11</v>
      </c>
      <c r="E107" s="1">
        <v>44836</v>
      </c>
      <c r="F107" t="s">
        <v>255</v>
      </c>
      <c r="G107" s="1">
        <v>44847</v>
      </c>
      <c r="H107" s="1">
        <v>44902</v>
      </c>
      <c r="J107" s="1" t="b">
        <f t="shared" si="7"/>
        <v>1</v>
      </c>
      <c r="K107" s="1" t="b">
        <f t="shared" si="8"/>
        <v>0</v>
      </c>
      <c r="L107" s="1" t="b">
        <f t="shared" si="9"/>
        <v>0</v>
      </c>
      <c r="M107" s="1" t="b">
        <f t="shared" si="10"/>
        <v>0</v>
      </c>
      <c r="N107" s="1" t="b">
        <f t="shared" si="11"/>
        <v>0</v>
      </c>
      <c r="O107" s="1" t="b">
        <f t="shared" si="12"/>
        <v>0</v>
      </c>
      <c r="P107" s="1" t="b">
        <f t="shared" si="13"/>
        <v>0</v>
      </c>
    </row>
    <row r="108" spans="1:16" x14ac:dyDescent="0.2">
      <c r="A108">
        <v>5118725</v>
      </c>
      <c r="B108" t="s">
        <v>256</v>
      </c>
      <c r="C108" t="s">
        <v>150</v>
      </c>
      <c r="D108" t="s">
        <v>122</v>
      </c>
      <c r="E108" s="1">
        <v>44950</v>
      </c>
      <c r="F108" t="s">
        <v>257</v>
      </c>
      <c r="G108" s="1">
        <v>44961</v>
      </c>
      <c r="H108" s="1">
        <v>44963</v>
      </c>
      <c r="I108" t="s">
        <v>43</v>
      </c>
      <c r="J108" s="1" t="b">
        <f t="shared" si="7"/>
        <v>1</v>
      </c>
      <c r="K108" s="1" t="b">
        <f t="shared" si="8"/>
        <v>0</v>
      </c>
      <c r="L108" s="1" t="b">
        <f t="shared" si="9"/>
        <v>0</v>
      </c>
      <c r="M108" s="1" t="b">
        <f t="shared" si="10"/>
        <v>0</v>
      </c>
      <c r="N108" s="1" t="b">
        <f t="shared" si="11"/>
        <v>0</v>
      </c>
      <c r="O108" s="1" t="b">
        <f t="shared" si="12"/>
        <v>1</v>
      </c>
      <c r="P108" s="1" t="b">
        <f t="shared" si="13"/>
        <v>0</v>
      </c>
    </row>
    <row r="109" spans="1:16" x14ac:dyDescent="0.2">
      <c r="A109">
        <v>5118725</v>
      </c>
      <c r="B109" t="s">
        <v>258</v>
      </c>
      <c r="C109" t="s">
        <v>150</v>
      </c>
      <c r="D109" t="s">
        <v>122</v>
      </c>
      <c r="E109" s="1">
        <v>44779</v>
      </c>
      <c r="F109" t="s">
        <v>259</v>
      </c>
      <c r="G109" s="1">
        <v>44791</v>
      </c>
      <c r="H109" s="1">
        <v>44843</v>
      </c>
      <c r="I109" t="s">
        <v>28</v>
      </c>
      <c r="J109" s="1" t="b">
        <f t="shared" si="7"/>
        <v>1</v>
      </c>
      <c r="K109" s="1" t="b">
        <f t="shared" si="8"/>
        <v>0</v>
      </c>
      <c r="L109" s="1" t="b">
        <f t="shared" si="9"/>
        <v>0</v>
      </c>
      <c r="M109" s="1" t="b">
        <f t="shared" si="10"/>
        <v>0</v>
      </c>
      <c r="N109" s="1" t="b">
        <f t="shared" si="11"/>
        <v>0</v>
      </c>
      <c r="O109" s="1" t="b">
        <f t="shared" si="12"/>
        <v>0</v>
      </c>
      <c r="P109" s="1" t="b">
        <f t="shared" si="13"/>
        <v>1</v>
      </c>
    </row>
    <row r="110" spans="1:16" x14ac:dyDescent="0.2">
      <c r="A110">
        <v>5118725</v>
      </c>
      <c r="B110" t="s">
        <v>260</v>
      </c>
      <c r="C110" t="s">
        <v>150</v>
      </c>
      <c r="D110" t="s">
        <v>122</v>
      </c>
      <c r="E110" s="1">
        <v>44844</v>
      </c>
      <c r="F110" t="s">
        <v>261</v>
      </c>
      <c r="G110" s="1">
        <v>44862</v>
      </c>
      <c r="I110" t="s">
        <v>25</v>
      </c>
      <c r="J110" s="1" t="b">
        <f t="shared" si="7"/>
        <v>0</v>
      </c>
      <c r="K110" s="1" t="b">
        <f t="shared" si="8"/>
        <v>0</v>
      </c>
      <c r="L110" s="1" t="b">
        <f t="shared" si="9"/>
        <v>1</v>
      </c>
      <c r="M110" s="1" t="b">
        <f t="shared" si="10"/>
        <v>0</v>
      </c>
      <c r="N110" s="1" t="b">
        <f t="shared" si="11"/>
        <v>0</v>
      </c>
      <c r="O110" s="1" t="b">
        <f t="shared" si="12"/>
        <v>0</v>
      </c>
      <c r="P110" s="1" t="b">
        <f t="shared" si="13"/>
        <v>0</v>
      </c>
    </row>
    <row r="111" spans="1:16" x14ac:dyDescent="0.2">
      <c r="A111">
        <v>1170307</v>
      </c>
      <c r="B111" t="s">
        <v>262</v>
      </c>
      <c r="C111" t="s">
        <v>80</v>
      </c>
      <c r="D111" t="s">
        <v>19</v>
      </c>
      <c r="E111" s="1">
        <v>44808</v>
      </c>
      <c r="F111" t="s">
        <v>263</v>
      </c>
      <c r="G111" s="1">
        <v>44831</v>
      </c>
      <c r="I111" t="s">
        <v>13</v>
      </c>
      <c r="J111" s="1" t="b">
        <f t="shared" si="7"/>
        <v>0</v>
      </c>
      <c r="K111" s="1" t="b">
        <f t="shared" si="8"/>
        <v>1</v>
      </c>
      <c r="L111" s="1" t="b">
        <f t="shared" si="9"/>
        <v>0</v>
      </c>
      <c r="M111" s="1" t="b">
        <f t="shared" si="10"/>
        <v>0</v>
      </c>
      <c r="N111" s="1" t="b">
        <f t="shared" si="11"/>
        <v>0</v>
      </c>
      <c r="O111" s="1" t="b">
        <f t="shared" si="12"/>
        <v>0</v>
      </c>
      <c r="P111" s="1" t="b">
        <f t="shared" si="13"/>
        <v>0</v>
      </c>
    </row>
    <row r="112" spans="1:16" x14ac:dyDescent="0.2">
      <c r="A112">
        <v>8987516</v>
      </c>
      <c r="B112" t="s">
        <v>264</v>
      </c>
      <c r="C112" t="s">
        <v>265</v>
      </c>
      <c r="D112" t="s">
        <v>77</v>
      </c>
      <c r="E112" s="1">
        <v>44976</v>
      </c>
      <c r="F112" t="s">
        <v>266</v>
      </c>
      <c r="G112" s="1">
        <v>44999</v>
      </c>
      <c r="H112" s="1">
        <v>45015</v>
      </c>
      <c r="I112" t="s">
        <v>16</v>
      </c>
      <c r="J112" s="1" t="b">
        <f t="shared" si="7"/>
        <v>1</v>
      </c>
      <c r="K112" s="1" t="b">
        <f t="shared" si="8"/>
        <v>0</v>
      </c>
      <c r="L112" s="1" t="b">
        <f t="shared" si="9"/>
        <v>0</v>
      </c>
      <c r="M112" s="1" t="b">
        <f t="shared" si="10"/>
        <v>0</v>
      </c>
      <c r="N112" s="1" t="b">
        <f t="shared" si="11"/>
        <v>1</v>
      </c>
      <c r="O112" s="1" t="b">
        <f t="shared" si="12"/>
        <v>0</v>
      </c>
      <c r="P112" s="1" t="b">
        <f t="shared" si="13"/>
        <v>0</v>
      </c>
    </row>
    <row r="113" spans="1:16" x14ac:dyDescent="0.2">
      <c r="A113">
        <v>8987516</v>
      </c>
      <c r="B113" t="s">
        <v>267</v>
      </c>
      <c r="C113" t="s">
        <v>265</v>
      </c>
      <c r="D113" t="s">
        <v>77</v>
      </c>
      <c r="E113" s="1">
        <v>45105</v>
      </c>
      <c r="F113" t="s">
        <v>268</v>
      </c>
      <c r="G113" s="1">
        <v>45117</v>
      </c>
      <c r="H113" s="1">
        <v>45145</v>
      </c>
      <c r="I113" t="s">
        <v>28</v>
      </c>
      <c r="J113" s="1" t="b">
        <f t="shared" si="7"/>
        <v>1</v>
      </c>
      <c r="K113" s="1" t="b">
        <f t="shared" si="8"/>
        <v>0</v>
      </c>
      <c r="L113" s="1" t="b">
        <f t="shared" si="9"/>
        <v>0</v>
      </c>
      <c r="M113" s="1" t="b">
        <f t="shared" si="10"/>
        <v>0</v>
      </c>
      <c r="N113" s="1" t="b">
        <f t="shared" si="11"/>
        <v>0</v>
      </c>
      <c r="O113" s="1" t="b">
        <f t="shared" si="12"/>
        <v>0</v>
      </c>
      <c r="P113" s="1" t="b">
        <f t="shared" si="13"/>
        <v>1</v>
      </c>
    </row>
    <row r="114" spans="1:16" x14ac:dyDescent="0.2">
      <c r="A114">
        <v>8987516</v>
      </c>
      <c r="B114" t="s">
        <v>269</v>
      </c>
      <c r="C114" t="s">
        <v>265</v>
      </c>
      <c r="D114" t="s">
        <v>77</v>
      </c>
      <c r="E114" s="1">
        <v>45026</v>
      </c>
      <c r="F114" t="s">
        <v>270</v>
      </c>
      <c r="G114" s="1">
        <v>45035</v>
      </c>
      <c r="H114" s="1">
        <v>45055</v>
      </c>
      <c r="I114" t="s">
        <v>28</v>
      </c>
      <c r="J114" s="1" t="b">
        <f t="shared" si="7"/>
        <v>1</v>
      </c>
      <c r="K114" s="1" t="b">
        <f t="shared" si="8"/>
        <v>0</v>
      </c>
      <c r="L114" s="1" t="b">
        <f t="shared" si="9"/>
        <v>0</v>
      </c>
      <c r="M114" s="1" t="b">
        <f t="shared" si="10"/>
        <v>0</v>
      </c>
      <c r="N114" s="1" t="b">
        <f t="shared" si="11"/>
        <v>0</v>
      </c>
      <c r="O114" s="1" t="b">
        <f t="shared" si="12"/>
        <v>0</v>
      </c>
      <c r="P114" s="1" t="b">
        <f t="shared" si="13"/>
        <v>1</v>
      </c>
    </row>
    <row r="115" spans="1:16" x14ac:dyDescent="0.2">
      <c r="A115">
        <v>8987516</v>
      </c>
      <c r="B115" t="s">
        <v>271</v>
      </c>
      <c r="C115" t="s">
        <v>265</v>
      </c>
      <c r="D115" t="s">
        <v>77</v>
      </c>
      <c r="E115" s="1">
        <v>44759</v>
      </c>
      <c r="F115" t="s">
        <v>272</v>
      </c>
      <c r="G115" s="1">
        <v>44770</v>
      </c>
      <c r="I115" t="s">
        <v>25</v>
      </c>
      <c r="J115" s="1" t="b">
        <f t="shared" si="7"/>
        <v>0</v>
      </c>
      <c r="K115" s="1" t="b">
        <f t="shared" si="8"/>
        <v>0</v>
      </c>
      <c r="L115" s="1" t="b">
        <f t="shared" si="9"/>
        <v>1</v>
      </c>
      <c r="M115" s="1" t="b">
        <f t="shared" si="10"/>
        <v>0</v>
      </c>
      <c r="N115" s="1" t="b">
        <f t="shared" si="11"/>
        <v>0</v>
      </c>
      <c r="O115" s="1" t="b">
        <f t="shared" si="12"/>
        <v>0</v>
      </c>
      <c r="P115" s="1" t="b">
        <f t="shared" si="13"/>
        <v>0</v>
      </c>
    </row>
    <row r="116" spans="1:16" x14ac:dyDescent="0.2">
      <c r="A116">
        <v>3005795</v>
      </c>
      <c r="B116" t="s">
        <v>273</v>
      </c>
      <c r="C116" t="s">
        <v>138</v>
      </c>
      <c r="D116" t="s">
        <v>139</v>
      </c>
      <c r="E116" s="1">
        <v>44845</v>
      </c>
      <c r="F116" t="s">
        <v>274</v>
      </c>
      <c r="G116" s="1">
        <v>44869</v>
      </c>
      <c r="I116" t="s">
        <v>13</v>
      </c>
      <c r="J116" s="1" t="b">
        <f t="shared" si="7"/>
        <v>0</v>
      </c>
      <c r="K116" s="1" t="b">
        <f t="shared" si="8"/>
        <v>1</v>
      </c>
      <c r="L116" s="1" t="b">
        <f t="shared" si="9"/>
        <v>0</v>
      </c>
      <c r="M116" s="1" t="b">
        <f t="shared" si="10"/>
        <v>0</v>
      </c>
      <c r="N116" s="1" t="b">
        <f t="shared" si="11"/>
        <v>0</v>
      </c>
      <c r="O116" s="1" t="b">
        <f t="shared" si="12"/>
        <v>0</v>
      </c>
      <c r="P116" s="1" t="b">
        <f t="shared" si="13"/>
        <v>0</v>
      </c>
    </row>
    <row r="117" spans="1:16" x14ac:dyDescent="0.2">
      <c r="A117">
        <v>3005795</v>
      </c>
      <c r="B117" t="s">
        <v>275</v>
      </c>
      <c r="C117" t="s">
        <v>138</v>
      </c>
      <c r="D117" t="s">
        <v>139</v>
      </c>
      <c r="E117" s="1">
        <v>44760</v>
      </c>
      <c r="F117" t="s">
        <v>276</v>
      </c>
      <c r="G117" s="1">
        <v>44770</v>
      </c>
      <c r="H117" s="1">
        <v>44785</v>
      </c>
      <c r="I117" t="s">
        <v>28</v>
      </c>
      <c r="J117" s="1" t="b">
        <f t="shared" si="7"/>
        <v>1</v>
      </c>
      <c r="K117" s="1" t="b">
        <f t="shared" si="8"/>
        <v>0</v>
      </c>
      <c r="L117" s="1" t="b">
        <f t="shared" si="9"/>
        <v>0</v>
      </c>
      <c r="M117" s="1" t="b">
        <f t="shared" si="10"/>
        <v>0</v>
      </c>
      <c r="N117" s="1" t="b">
        <f t="shared" si="11"/>
        <v>0</v>
      </c>
      <c r="O117" s="1" t="b">
        <f t="shared" si="12"/>
        <v>0</v>
      </c>
      <c r="P117" s="1" t="b">
        <f t="shared" si="13"/>
        <v>1</v>
      </c>
    </row>
    <row r="118" spans="1:16" x14ac:dyDescent="0.2">
      <c r="A118">
        <v>7054579</v>
      </c>
      <c r="B118" t="s">
        <v>277</v>
      </c>
      <c r="C118" t="s">
        <v>38</v>
      </c>
      <c r="D118" t="s">
        <v>11</v>
      </c>
      <c r="E118" s="1">
        <v>44617</v>
      </c>
      <c r="F118" t="s">
        <v>278</v>
      </c>
      <c r="G118" s="1">
        <v>44635</v>
      </c>
      <c r="H118" s="1">
        <v>44654</v>
      </c>
      <c r="I118" t="s">
        <v>43</v>
      </c>
      <c r="J118" s="1" t="b">
        <f t="shared" si="7"/>
        <v>1</v>
      </c>
      <c r="K118" s="1" t="b">
        <f t="shared" si="8"/>
        <v>0</v>
      </c>
      <c r="L118" s="1" t="b">
        <f t="shared" si="9"/>
        <v>0</v>
      </c>
      <c r="M118" s="1" t="b">
        <f t="shared" si="10"/>
        <v>0</v>
      </c>
      <c r="N118" s="1" t="b">
        <f t="shared" si="11"/>
        <v>0</v>
      </c>
      <c r="O118" s="1" t="b">
        <f t="shared" si="12"/>
        <v>1</v>
      </c>
      <c r="P118" s="1" t="b">
        <f t="shared" si="13"/>
        <v>0</v>
      </c>
    </row>
    <row r="119" spans="1:16" x14ac:dyDescent="0.2">
      <c r="A119">
        <v>3118618</v>
      </c>
      <c r="B119" t="s">
        <v>279</v>
      </c>
      <c r="C119" t="s">
        <v>265</v>
      </c>
      <c r="D119" t="s">
        <v>77</v>
      </c>
      <c r="E119" s="1">
        <v>45013</v>
      </c>
      <c r="F119" t="s">
        <v>280</v>
      </c>
      <c r="G119" s="1">
        <v>45024</v>
      </c>
      <c r="H119" s="1">
        <v>45036</v>
      </c>
      <c r="I119" t="s">
        <v>28</v>
      </c>
      <c r="J119" s="1" t="b">
        <f t="shared" si="7"/>
        <v>1</v>
      </c>
      <c r="K119" s="1" t="b">
        <f t="shared" si="8"/>
        <v>0</v>
      </c>
      <c r="L119" s="1" t="b">
        <f t="shared" si="9"/>
        <v>0</v>
      </c>
      <c r="M119" s="1" t="b">
        <f t="shared" si="10"/>
        <v>0</v>
      </c>
      <c r="N119" s="1" t="b">
        <f t="shared" si="11"/>
        <v>0</v>
      </c>
      <c r="O119" s="1" t="b">
        <f t="shared" si="12"/>
        <v>0</v>
      </c>
      <c r="P119" s="1" t="b">
        <f t="shared" si="13"/>
        <v>1</v>
      </c>
    </row>
    <row r="120" spans="1:16" x14ac:dyDescent="0.2">
      <c r="A120">
        <v>1861958</v>
      </c>
      <c r="B120" t="s">
        <v>281</v>
      </c>
      <c r="C120" t="s">
        <v>282</v>
      </c>
      <c r="D120" t="s">
        <v>77</v>
      </c>
      <c r="E120" s="1">
        <v>44616</v>
      </c>
      <c r="F120" t="s">
        <v>283</v>
      </c>
      <c r="G120" s="1">
        <v>44621</v>
      </c>
      <c r="H120" s="1">
        <v>44631</v>
      </c>
      <c r="J120" s="1" t="b">
        <f t="shared" si="7"/>
        <v>1</v>
      </c>
      <c r="K120" s="1" t="b">
        <f t="shared" si="8"/>
        <v>0</v>
      </c>
      <c r="L120" s="1" t="b">
        <f t="shared" si="9"/>
        <v>0</v>
      </c>
      <c r="M120" s="1" t="b">
        <f t="shared" si="10"/>
        <v>0</v>
      </c>
      <c r="N120" s="1" t="b">
        <f t="shared" si="11"/>
        <v>0</v>
      </c>
      <c r="O120" s="1" t="b">
        <f t="shared" si="12"/>
        <v>0</v>
      </c>
      <c r="P120" s="1" t="b">
        <f t="shared" si="13"/>
        <v>0</v>
      </c>
    </row>
    <row r="121" spans="1:16" x14ac:dyDescent="0.2">
      <c r="A121">
        <v>6097514</v>
      </c>
      <c r="B121" t="s">
        <v>284</v>
      </c>
      <c r="C121" t="s">
        <v>76</v>
      </c>
      <c r="D121" t="s">
        <v>19</v>
      </c>
      <c r="E121" s="1">
        <v>44793</v>
      </c>
      <c r="F121" t="s">
        <v>285</v>
      </c>
      <c r="G121" s="1">
        <v>44818</v>
      </c>
      <c r="H121" s="1">
        <v>44852</v>
      </c>
      <c r="J121" s="1" t="b">
        <f t="shared" si="7"/>
        <v>1</v>
      </c>
      <c r="K121" s="1" t="b">
        <f t="shared" si="8"/>
        <v>0</v>
      </c>
      <c r="L121" s="1" t="b">
        <f t="shared" si="9"/>
        <v>0</v>
      </c>
      <c r="M121" s="1" t="b">
        <f t="shared" si="10"/>
        <v>0</v>
      </c>
      <c r="N121" s="1" t="b">
        <f t="shared" si="11"/>
        <v>0</v>
      </c>
      <c r="O121" s="1" t="b">
        <f t="shared" si="12"/>
        <v>0</v>
      </c>
      <c r="P121" s="1" t="b">
        <f t="shared" si="13"/>
        <v>0</v>
      </c>
    </row>
    <row r="122" spans="1:16" x14ac:dyDescent="0.2">
      <c r="A122">
        <v>7381684</v>
      </c>
      <c r="B122" t="s">
        <v>286</v>
      </c>
      <c r="C122" t="s">
        <v>287</v>
      </c>
      <c r="D122" t="s">
        <v>77</v>
      </c>
      <c r="E122" s="1">
        <v>44623</v>
      </c>
      <c r="F122" t="s">
        <v>288</v>
      </c>
      <c r="G122" s="1">
        <v>44643</v>
      </c>
      <c r="H122" s="1">
        <v>44691</v>
      </c>
      <c r="J122" s="1" t="b">
        <f t="shared" si="7"/>
        <v>1</v>
      </c>
      <c r="K122" s="1" t="b">
        <f t="shared" si="8"/>
        <v>0</v>
      </c>
      <c r="L122" s="1" t="b">
        <f t="shared" si="9"/>
        <v>0</v>
      </c>
      <c r="M122" s="1" t="b">
        <f t="shared" si="10"/>
        <v>0</v>
      </c>
      <c r="N122" s="1" t="b">
        <f t="shared" si="11"/>
        <v>0</v>
      </c>
      <c r="O122" s="1" t="b">
        <f t="shared" si="12"/>
        <v>0</v>
      </c>
      <c r="P122" s="1" t="b">
        <f t="shared" si="13"/>
        <v>0</v>
      </c>
    </row>
    <row r="123" spans="1:16" x14ac:dyDescent="0.2">
      <c r="A123">
        <v>7381684</v>
      </c>
      <c r="B123" t="s">
        <v>289</v>
      </c>
      <c r="C123" t="s">
        <v>287</v>
      </c>
      <c r="D123" t="s">
        <v>77</v>
      </c>
      <c r="E123" s="1">
        <v>44778</v>
      </c>
      <c r="F123" t="s">
        <v>290</v>
      </c>
      <c r="G123" s="1">
        <v>44787</v>
      </c>
      <c r="I123" t="s">
        <v>13</v>
      </c>
      <c r="J123" s="1" t="b">
        <f t="shared" si="7"/>
        <v>0</v>
      </c>
      <c r="K123" s="1" t="b">
        <f t="shared" si="8"/>
        <v>1</v>
      </c>
      <c r="L123" s="1" t="b">
        <f t="shared" si="9"/>
        <v>0</v>
      </c>
      <c r="M123" s="1" t="b">
        <f t="shared" si="10"/>
        <v>0</v>
      </c>
      <c r="N123" s="1" t="b">
        <f t="shared" si="11"/>
        <v>0</v>
      </c>
      <c r="O123" s="1" t="b">
        <f t="shared" si="12"/>
        <v>0</v>
      </c>
      <c r="P123" s="1" t="b">
        <f t="shared" si="13"/>
        <v>0</v>
      </c>
    </row>
    <row r="124" spans="1:16" x14ac:dyDescent="0.2">
      <c r="A124">
        <v>7381684</v>
      </c>
      <c r="B124" t="s">
        <v>291</v>
      </c>
      <c r="C124" t="s">
        <v>287</v>
      </c>
      <c r="D124" t="s">
        <v>77</v>
      </c>
      <c r="E124" s="1">
        <v>44638</v>
      </c>
      <c r="F124" t="s">
        <v>292</v>
      </c>
      <c r="G124" s="1">
        <v>44644</v>
      </c>
      <c r="H124" s="1">
        <v>44645</v>
      </c>
      <c r="I124" t="s">
        <v>43</v>
      </c>
      <c r="J124" s="1" t="b">
        <f t="shared" si="7"/>
        <v>1</v>
      </c>
      <c r="K124" s="1" t="b">
        <f t="shared" si="8"/>
        <v>0</v>
      </c>
      <c r="L124" s="1" t="b">
        <f t="shared" si="9"/>
        <v>0</v>
      </c>
      <c r="M124" s="1" t="b">
        <f t="shared" si="10"/>
        <v>0</v>
      </c>
      <c r="N124" s="1" t="b">
        <f t="shared" si="11"/>
        <v>0</v>
      </c>
      <c r="O124" s="1" t="b">
        <f t="shared" si="12"/>
        <v>1</v>
      </c>
      <c r="P124" s="1" t="b">
        <f t="shared" si="13"/>
        <v>0</v>
      </c>
    </row>
    <row r="125" spans="1:16" x14ac:dyDescent="0.2">
      <c r="A125">
        <v>7853787</v>
      </c>
      <c r="B125" t="s">
        <v>293</v>
      </c>
      <c r="C125" t="s">
        <v>287</v>
      </c>
      <c r="D125" t="s">
        <v>81</v>
      </c>
      <c r="E125" s="1">
        <v>44851</v>
      </c>
      <c r="F125" t="s">
        <v>294</v>
      </c>
      <c r="G125" s="1">
        <v>44874</v>
      </c>
      <c r="I125" t="s">
        <v>13</v>
      </c>
      <c r="J125" s="1" t="b">
        <f t="shared" si="7"/>
        <v>0</v>
      </c>
      <c r="K125" s="1" t="b">
        <f t="shared" si="8"/>
        <v>1</v>
      </c>
      <c r="L125" s="1" t="b">
        <f t="shared" si="9"/>
        <v>0</v>
      </c>
      <c r="M125" s="1" t="b">
        <f t="shared" si="10"/>
        <v>0</v>
      </c>
      <c r="N125" s="1" t="b">
        <f t="shared" si="11"/>
        <v>0</v>
      </c>
      <c r="O125" s="1" t="b">
        <f t="shared" si="12"/>
        <v>0</v>
      </c>
      <c r="P125" s="1" t="b">
        <f t="shared" si="13"/>
        <v>0</v>
      </c>
    </row>
    <row r="126" spans="1:16" x14ac:dyDescent="0.2">
      <c r="A126">
        <v>7853787</v>
      </c>
      <c r="B126" t="s">
        <v>295</v>
      </c>
      <c r="C126" t="s">
        <v>287</v>
      </c>
      <c r="D126" t="s">
        <v>81</v>
      </c>
      <c r="E126" s="1">
        <v>44832</v>
      </c>
      <c r="F126" t="s">
        <v>296</v>
      </c>
      <c r="G126" s="1">
        <v>44858</v>
      </c>
      <c r="H126" s="1">
        <v>44909</v>
      </c>
      <c r="I126" t="s">
        <v>16</v>
      </c>
      <c r="J126" s="1" t="b">
        <f t="shared" si="7"/>
        <v>1</v>
      </c>
      <c r="K126" s="1" t="b">
        <f t="shared" si="8"/>
        <v>0</v>
      </c>
      <c r="L126" s="1" t="b">
        <f t="shared" si="9"/>
        <v>0</v>
      </c>
      <c r="M126" s="1" t="b">
        <f t="shared" si="10"/>
        <v>0</v>
      </c>
      <c r="N126" s="1" t="b">
        <f t="shared" si="11"/>
        <v>1</v>
      </c>
      <c r="O126" s="1" t="b">
        <f t="shared" si="12"/>
        <v>0</v>
      </c>
      <c r="P126" s="1" t="b">
        <f t="shared" si="13"/>
        <v>0</v>
      </c>
    </row>
    <row r="127" spans="1:16" x14ac:dyDescent="0.2">
      <c r="A127">
        <v>7853787</v>
      </c>
      <c r="B127" t="s">
        <v>297</v>
      </c>
      <c r="C127" t="s">
        <v>287</v>
      </c>
      <c r="D127" t="s">
        <v>81</v>
      </c>
      <c r="E127" s="1">
        <v>44792</v>
      </c>
      <c r="F127" t="s">
        <v>298</v>
      </c>
      <c r="G127" s="1">
        <v>44813</v>
      </c>
      <c r="H127" s="1">
        <v>44823</v>
      </c>
      <c r="I127" t="s">
        <v>43</v>
      </c>
      <c r="J127" s="1" t="b">
        <f t="shared" si="7"/>
        <v>1</v>
      </c>
      <c r="K127" s="1" t="b">
        <f t="shared" si="8"/>
        <v>0</v>
      </c>
      <c r="L127" s="1" t="b">
        <f t="shared" si="9"/>
        <v>0</v>
      </c>
      <c r="M127" s="1" t="b">
        <f t="shared" si="10"/>
        <v>0</v>
      </c>
      <c r="N127" s="1" t="b">
        <f t="shared" si="11"/>
        <v>0</v>
      </c>
      <c r="O127" s="1" t="b">
        <f t="shared" si="12"/>
        <v>1</v>
      </c>
      <c r="P127" s="1" t="b">
        <f t="shared" si="13"/>
        <v>0</v>
      </c>
    </row>
    <row r="128" spans="1:16" x14ac:dyDescent="0.2">
      <c r="A128">
        <v>7853787</v>
      </c>
      <c r="B128" t="s">
        <v>299</v>
      </c>
      <c r="C128" t="s">
        <v>287</v>
      </c>
      <c r="D128" t="s">
        <v>81</v>
      </c>
      <c r="E128" s="1">
        <v>44731</v>
      </c>
      <c r="F128" t="s">
        <v>300</v>
      </c>
      <c r="G128" s="1">
        <v>44757</v>
      </c>
      <c r="H128" s="1">
        <v>44777</v>
      </c>
      <c r="I128" t="s">
        <v>43</v>
      </c>
      <c r="J128" s="1" t="b">
        <f t="shared" si="7"/>
        <v>1</v>
      </c>
      <c r="K128" s="1" t="b">
        <f t="shared" si="8"/>
        <v>0</v>
      </c>
      <c r="L128" s="1" t="b">
        <f t="shared" si="9"/>
        <v>0</v>
      </c>
      <c r="M128" s="1" t="b">
        <f t="shared" si="10"/>
        <v>0</v>
      </c>
      <c r="N128" s="1" t="b">
        <f t="shared" si="11"/>
        <v>0</v>
      </c>
      <c r="O128" s="1" t="b">
        <f t="shared" si="12"/>
        <v>1</v>
      </c>
      <c r="P128" s="1" t="b">
        <f t="shared" si="13"/>
        <v>0</v>
      </c>
    </row>
    <row r="129" spans="1:16" x14ac:dyDescent="0.2">
      <c r="A129">
        <v>5842082</v>
      </c>
      <c r="B129" t="s">
        <v>301</v>
      </c>
      <c r="C129" t="s">
        <v>287</v>
      </c>
      <c r="D129" t="s">
        <v>122</v>
      </c>
      <c r="E129" s="1">
        <v>45074</v>
      </c>
      <c r="F129" t="s">
        <v>302</v>
      </c>
      <c r="G129" s="1">
        <v>45092</v>
      </c>
      <c r="H129" s="1">
        <v>45124</v>
      </c>
      <c r="J129" s="1" t="b">
        <f t="shared" si="7"/>
        <v>1</v>
      </c>
      <c r="K129" s="1" t="b">
        <f t="shared" si="8"/>
        <v>0</v>
      </c>
      <c r="L129" s="1" t="b">
        <f t="shared" si="9"/>
        <v>0</v>
      </c>
      <c r="M129" s="1" t="b">
        <f t="shared" si="10"/>
        <v>0</v>
      </c>
      <c r="N129" s="1" t="b">
        <f t="shared" si="11"/>
        <v>0</v>
      </c>
      <c r="O129" s="1" t="b">
        <f t="shared" si="12"/>
        <v>0</v>
      </c>
      <c r="P129" s="1" t="b">
        <f t="shared" si="13"/>
        <v>0</v>
      </c>
    </row>
    <row r="130" spans="1:16" x14ac:dyDescent="0.2">
      <c r="A130">
        <v>5842082</v>
      </c>
      <c r="B130" t="s">
        <v>303</v>
      </c>
      <c r="C130" t="s">
        <v>287</v>
      </c>
      <c r="D130" t="s">
        <v>122</v>
      </c>
      <c r="E130" s="1">
        <v>44892</v>
      </c>
      <c r="F130" t="s">
        <v>304</v>
      </c>
      <c r="G130" s="1">
        <v>44912</v>
      </c>
      <c r="H130" s="1">
        <v>44929</v>
      </c>
      <c r="I130" t="s">
        <v>16</v>
      </c>
      <c r="J130" s="1" t="b">
        <f t="shared" si="7"/>
        <v>1</v>
      </c>
      <c r="K130" s="1" t="b">
        <f t="shared" si="8"/>
        <v>0</v>
      </c>
      <c r="L130" s="1" t="b">
        <f t="shared" si="9"/>
        <v>0</v>
      </c>
      <c r="M130" s="1" t="b">
        <f t="shared" si="10"/>
        <v>0</v>
      </c>
      <c r="N130" s="1" t="b">
        <f t="shared" si="11"/>
        <v>1</v>
      </c>
      <c r="O130" s="1" t="b">
        <f t="shared" si="12"/>
        <v>0</v>
      </c>
      <c r="P130" s="1" t="b">
        <f t="shared" si="13"/>
        <v>0</v>
      </c>
    </row>
    <row r="131" spans="1:16" x14ac:dyDescent="0.2">
      <c r="A131">
        <v>5842082</v>
      </c>
      <c r="B131" t="s">
        <v>305</v>
      </c>
      <c r="C131" t="s">
        <v>287</v>
      </c>
      <c r="D131" t="s">
        <v>122</v>
      </c>
      <c r="E131" s="1">
        <v>44583</v>
      </c>
      <c r="F131" t="s">
        <v>306</v>
      </c>
      <c r="G131" s="1">
        <v>44608</v>
      </c>
      <c r="I131" t="s">
        <v>13</v>
      </c>
      <c r="J131" s="1" t="b">
        <f t="shared" ref="J131:J194" si="14">AND(NOT(ISBLANK(H131)), NOT(OR(ISNUMBER(SEARCH("decline", I131)), ISNUMBER(SEARCH("rescind", I131)), ISNUMBER(SEARCH("cancel", I131)))))</f>
        <v>0</v>
      </c>
      <c r="K131" s="1" t="b">
        <f t="shared" ref="K131:K194" si="15">ISNUMBER(SEARCH("decline", I131))</f>
        <v>1</v>
      </c>
      <c r="L131" s="1" t="b">
        <f t="shared" ref="L131:L194" si="16">ISNUMBER(SEARCH("rescind", I131))</f>
        <v>0</v>
      </c>
      <c r="M131" s="1" t="b">
        <f t="shared" ref="M131:M194" si="17">ISNUMBER(SEARCH("cancel", I131))</f>
        <v>0</v>
      </c>
      <c r="N131" s="1" t="b">
        <f t="shared" ref="N131:N194" si="18">ISNUMBER(SEARCH("transfer", I131))</f>
        <v>0</v>
      </c>
      <c r="O131" s="1" t="b">
        <f t="shared" ref="O131:O194" si="19">ISNUMBER(SEARCH("promo", I131))</f>
        <v>0</v>
      </c>
      <c r="P131" s="1" t="b">
        <f t="shared" ref="P131:P194" si="20">ISNUMBER(SEARCH("new", I131))</f>
        <v>0</v>
      </c>
    </row>
    <row r="132" spans="1:16" x14ac:dyDescent="0.2">
      <c r="A132">
        <v>5842082</v>
      </c>
      <c r="B132" t="s">
        <v>307</v>
      </c>
      <c r="C132" t="s">
        <v>287</v>
      </c>
      <c r="D132" t="s">
        <v>122</v>
      </c>
      <c r="E132" s="1">
        <v>44741</v>
      </c>
      <c r="F132" t="s">
        <v>308</v>
      </c>
      <c r="G132" s="1">
        <v>44757</v>
      </c>
      <c r="H132" s="1">
        <v>44791</v>
      </c>
      <c r="I132" t="s">
        <v>28</v>
      </c>
      <c r="J132" s="1" t="b">
        <f t="shared" si="14"/>
        <v>1</v>
      </c>
      <c r="K132" s="1" t="b">
        <f t="shared" si="15"/>
        <v>0</v>
      </c>
      <c r="L132" s="1" t="b">
        <f t="shared" si="16"/>
        <v>0</v>
      </c>
      <c r="M132" s="1" t="b">
        <f t="shared" si="17"/>
        <v>0</v>
      </c>
      <c r="N132" s="1" t="b">
        <f t="shared" si="18"/>
        <v>0</v>
      </c>
      <c r="O132" s="1" t="b">
        <f t="shared" si="19"/>
        <v>0</v>
      </c>
      <c r="P132" s="1" t="b">
        <f t="shared" si="20"/>
        <v>1</v>
      </c>
    </row>
    <row r="133" spans="1:16" x14ac:dyDescent="0.2">
      <c r="A133">
        <v>8419378</v>
      </c>
      <c r="B133" t="s">
        <v>309</v>
      </c>
      <c r="C133" t="s">
        <v>310</v>
      </c>
      <c r="D133" t="s">
        <v>11</v>
      </c>
      <c r="E133" s="1">
        <v>45065</v>
      </c>
      <c r="F133" t="s">
        <v>311</v>
      </c>
      <c r="G133" s="1">
        <v>45068</v>
      </c>
      <c r="H133" s="1">
        <v>45099</v>
      </c>
      <c r="J133" s="1" t="b">
        <f t="shared" si="14"/>
        <v>1</v>
      </c>
      <c r="K133" s="1" t="b">
        <f t="shared" si="15"/>
        <v>0</v>
      </c>
      <c r="L133" s="1" t="b">
        <f t="shared" si="16"/>
        <v>0</v>
      </c>
      <c r="M133" s="1" t="b">
        <f t="shared" si="17"/>
        <v>0</v>
      </c>
      <c r="N133" s="1" t="b">
        <f t="shared" si="18"/>
        <v>0</v>
      </c>
      <c r="O133" s="1" t="b">
        <f t="shared" si="19"/>
        <v>0</v>
      </c>
      <c r="P133" s="1" t="b">
        <f t="shared" si="20"/>
        <v>0</v>
      </c>
    </row>
    <row r="134" spans="1:16" x14ac:dyDescent="0.2">
      <c r="A134">
        <v>8419378</v>
      </c>
      <c r="B134" t="s">
        <v>312</v>
      </c>
      <c r="C134" t="s">
        <v>310</v>
      </c>
      <c r="D134" t="s">
        <v>11</v>
      </c>
      <c r="E134" s="1">
        <v>44669</v>
      </c>
      <c r="F134" t="s">
        <v>313</v>
      </c>
      <c r="G134" s="1">
        <v>44697</v>
      </c>
      <c r="H134" s="1">
        <v>44708</v>
      </c>
      <c r="I134" t="s">
        <v>28</v>
      </c>
      <c r="J134" s="1" t="b">
        <f t="shared" si="14"/>
        <v>1</v>
      </c>
      <c r="K134" s="1" t="b">
        <f t="shared" si="15"/>
        <v>0</v>
      </c>
      <c r="L134" s="1" t="b">
        <f t="shared" si="16"/>
        <v>0</v>
      </c>
      <c r="M134" s="1" t="b">
        <f t="shared" si="17"/>
        <v>0</v>
      </c>
      <c r="N134" s="1" t="b">
        <f t="shared" si="18"/>
        <v>0</v>
      </c>
      <c r="O134" s="1" t="b">
        <f t="shared" si="19"/>
        <v>0</v>
      </c>
      <c r="P134" s="1" t="b">
        <f t="shared" si="20"/>
        <v>1</v>
      </c>
    </row>
    <row r="135" spans="1:16" x14ac:dyDescent="0.2">
      <c r="A135">
        <v>6533187</v>
      </c>
      <c r="B135" t="s">
        <v>314</v>
      </c>
      <c r="C135" t="s">
        <v>315</v>
      </c>
      <c r="D135" t="s">
        <v>77</v>
      </c>
      <c r="E135" s="1">
        <v>44599</v>
      </c>
      <c r="F135" t="s">
        <v>316</v>
      </c>
      <c r="G135" s="1">
        <v>44614</v>
      </c>
      <c r="H135" s="1">
        <v>44620</v>
      </c>
      <c r="J135" s="1" t="b">
        <f t="shared" si="14"/>
        <v>1</v>
      </c>
      <c r="K135" s="1" t="b">
        <f t="shared" si="15"/>
        <v>0</v>
      </c>
      <c r="L135" s="1" t="b">
        <f t="shared" si="16"/>
        <v>0</v>
      </c>
      <c r="M135" s="1" t="b">
        <f t="shared" si="17"/>
        <v>0</v>
      </c>
      <c r="N135" s="1" t="b">
        <f t="shared" si="18"/>
        <v>0</v>
      </c>
      <c r="O135" s="1" t="b">
        <f t="shared" si="19"/>
        <v>0</v>
      </c>
      <c r="P135" s="1" t="b">
        <f t="shared" si="20"/>
        <v>0</v>
      </c>
    </row>
    <row r="136" spans="1:16" x14ac:dyDescent="0.2">
      <c r="A136">
        <v>6533187</v>
      </c>
      <c r="B136" t="s">
        <v>317</v>
      </c>
      <c r="C136" t="s">
        <v>315</v>
      </c>
      <c r="D136" t="s">
        <v>77</v>
      </c>
      <c r="E136" s="1">
        <v>44975</v>
      </c>
      <c r="F136" t="s">
        <v>318</v>
      </c>
      <c r="G136" s="1">
        <v>45003</v>
      </c>
      <c r="H136" s="1">
        <v>45036</v>
      </c>
      <c r="I136" t="s">
        <v>28</v>
      </c>
      <c r="J136" s="1" t="b">
        <f t="shared" si="14"/>
        <v>1</v>
      </c>
      <c r="K136" s="1" t="b">
        <f t="shared" si="15"/>
        <v>0</v>
      </c>
      <c r="L136" s="1" t="b">
        <f t="shared" si="16"/>
        <v>0</v>
      </c>
      <c r="M136" s="1" t="b">
        <f t="shared" si="17"/>
        <v>0</v>
      </c>
      <c r="N136" s="1" t="b">
        <f t="shared" si="18"/>
        <v>0</v>
      </c>
      <c r="O136" s="1" t="b">
        <f t="shared" si="19"/>
        <v>0</v>
      </c>
      <c r="P136" s="1" t="b">
        <f t="shared" si="20"/>
        <v>1</v>
      </c>
    </row>
    <row r="137" spans="1:16" x14ac:dyDescent="0.2">
      <c r="A137">
        <v>6533187</v>
      </c>
      <c r="B137" t="s">
        <v>319</v>
      </c>
      <c r="C137" t="s">
        <v>315</v>
      </c>
      <c r="D137" t="s">
        <v>77</v>
      </c>
      <c r="E137" s="1">
        <v>45035</v>
      </c>
      <c r="F137" t="s">
        <v>320</v>
      </c>
      <c r="G137" s="1">
        <v>45049</v>
      </c>
      <c r="H137" s="1">
        <v>45053</v>
      </c>
      <c r="I137" t="s">
        <v>16</v>
      </c>
      <c r="J137" s="1" t="b">
        <f t="shared" si="14"/>
        <v>1</v>
      </c>
      <c r="K137" s="1" t="b">
        <f t="shared" si="15"/>
        <v>0</v>
      </c>
      <c r="L137" s="1" t="b">
        <f t="shared" si="16"/>
        <v>0</v>
      </c>
      <c r="M137" s="1" t="b">
        <f t="shared" si="17"/>
        <v>0</v>
      </c>
      <c r="N137" s="1" t="b">
        <f t="shared" si="18"/>
        <v>1</v>
      </c>
      <c r="O137" s="1" t="b">
        <f t="shared" si="19"/>
        <v>0</v>
      </c>
      <c r="P137" s="1" t="b">
        <f t="shared" si="20"/>
        <v>0</v>
      </c>
    </row>
    <row r="138" spans="1:16" x14ac:dyDescent="0.2">
      <c r="A138">
        <v>4147112</v>
      </c>
      <c r="B138" t="s">
        <v>321</v>
      </c>
      <c r="C138" t="s">
        <v>80</v>
      </c>
      <c r="D138" t="s">
        <v>39</v>
      </c>
      <c r="E138" s="1">
        <v>44770</v>
      </c>
      <c r="F138" t="s">
        <v>322</v>
      </c>
      <c r="G138" s="1">
        <v>44779</v>
      </c>
      <c r="H138" s="1">
        <v>44815</v>
      </c>
      <c r="J138" s="1" t="b">
        <f t="shared" si="14"/>
        <v>1</v>
      </c>
      <c r="K138" s="1" t="b">
        <f t="shared" si="15"/>
        <v>0</v>
      </c>
      <c r="L138" s="1" t="b">
        <f t="shared" si="16"/>
        <v>0</v>
      </c>
      <c r="M138" s="1" t="b">
        <f t="shared" si="17"/>
        <v>0</v>
      </c>
      <c r="N138" s="1" t="b">
        <f t="shared" si="18"/>
        <v>0</v>
      </c>
      <c r="O138" s="1" t="b">
        <f t="shared" si="19"/>
        <v>0</v>
      </c>
      <c r="P138" s="1" t="b">
        <f t="shared" si="20"/>
        <v>0</v>
      </c>
    </row>
    <row r="139" spans="1:16" x14ac:dyDescent="0.2">
      <c r="A139">
        <v>4147112</v>
      </c>
      <c r="B139" t="s">
        <v>323</v>
      </c>
      <c r="C139" t="s">
        <v>80</v>
      </c>
      <c r="D139" t="s">
        <v>39</v>
      </c>
      <c r="E139" s="1">
        <v>45058</v>
      </c>
      <c r="F139" t="s">
        <v>324</v>
      </c>
      <c r="G139" s="1">
        <v>45062</v>
      </c>
      <c r="I139" t="s">
        <v>13</v>
      </c>
      <c r="J139" s="1" t="b">
        <f t="shared" si="14"/>
        <v>0</v>
      </c>
      <c r="K139" s="1" t="b">
        <f t="shared" si="15"/>
        <v>1</v>
      </c>
      <c r="L139" s="1" t="b">
        <f t="shared" si="16"/>
        <v>0</v>
      </c>
      <c r="M139" s="1" t="b">
        <f t="shared" si="17"/>
        <v>0</v>
      </c>
      <c r="N139" s="1" t="b">
        <f t="shared" si="18"/>
        <v>0</v>
      </c>
      <c r="O139" s="1" t="b">
        <f t="shared" si="19"/>
        <v>0</v>
      </c>
      <c r="P139" s="1" t="b">
        <f t="shared" si="20"/>
        <v>0</v>
      </c>
    </row>
    <row r="140" spans="1:16" x14ac:dyDescent="0.2">
      <c r="A140">
        <v>4147112</v>
      </c>
      <c r="B140" t="s">
        <v>325</v>
      </c>
      <c r="C140" t="s">
        <v>80</v>
      </c>
      <c r="D140" t="s">
        <v>39</v>
      </c>
      <c r="E140" s="1">
        <v>44807</v>
      </c>
      <c r="F140" t="s">
        <v>326</v>
      </c>
      <c r="G140" s="1">
        <v>44830</v>
      </c>
      <c r="I140" t="s">
        <v>13</v>
      </c>
      <c r="J140" s="1" t="b">
        <f t="shared" si="14"/>
        <v>0</v>
      </c>
      <c r="K140" s="1" t="b">
        <f t="shared" si="15"/>
        <v>1</v>
      </c>
      <c r="L140" s="1" t="b">
        <f t="shared" si="16"/>
        <v>0</v>
      </c>
      <c r="M140" s="1" t="b">
        <f t="shared" si="17"/>
        <v>0</v>
      </c>
      <c r="N140" s="1" t="b">
        <f t="shared" si="18"/>
        <v>0</v>
      </c>
      <c r="O140" s="1" t="b">
        <f t="shared" si="19"/>
        <v>0</v>
      </c>
      <c r="P140" s="1" t="b">
        <f t="shared" si="20"/>
        <v>0</v>
      </c>
    </row>
    <row r="141" spans="1:16" x14ac:dyDescent="0.2">
      <c r="A141">
        <v>4147112</v>
      </c>
      <c r="B141" t="s">
        <v>327</v>
      </c>
      <c r="C141" t="s">
        <v>80</v>
      </c>
      <c r="D141" t="s">
        <v>39</v>
      </c>
      <c r="E141" s="1">
        <v>44979</v>
      </c>
      <c r="F141" t="s">
        <v>148</v>
      </c>
      <c r="G141" s="1">
        <v>44982</v>
      </c>
      <c r="I141" t="s">
        <v>13</v>
      </c>
      <c r="J141" s="1" t="b">
        <f t="shared" si="14"/>
        <v>0</v>
      </c>
      <c r="K141" s="1" t="b">
        <f t="shared" si="15"/>
        <v>1</v>
      </c>
      <c r="L141" s="1" t="b">
        <f t="shared" si="16"/>
        <v>0</v>
      </c>
      <c r="M141" s="1" t="b">
        <f t="shared" si="17"/>
        <v>0</v>
      </c>
      <c r="N141" s="1" t="b">
        <f t="shared" si="18"/>
        <v>0</v>
      </c>
      <c r="O141" s="1" t="b">
        <f t="shared" si="19"/>
        <v>0</v>
      </c>
      <c r="P141" s="1" t="b">
        <f t="shared" si="20"/>
        <v>0</v>
      </c>
    </row>
    <row r="142" spans="1:16" x14ac:dyDescent="0.2">
      <c r="A142">
        <v>4147112</v>
      </c>
      <c r="B142" t="s">
        <v>328</v>
      </c>
      <c r="C142" t="s">
        <v>80</v>
      </c>
      <c r="D142" t="s">
        <v>39</v>
      </c>
      <c r="E142" s="1">
        <v>44678</v>
      </c>
      <c r="F142" t="s">
        <v>206</v>
      </c>
      <c r="G142" s="1">
        <v>44693</v>
      </c>
      <c r="I142" t="s">
        <v>25</v>
      </c>
      <c r="J142" s="1" t="b">
        <f t="shared" si="14"/>
        <v>0</v>
      </c>
      <c r="K142" s="1" t="b">
        <f t="shared" si="15"/>
        <v>0</v>
      </c>
      <c r="L142" s="1" t="b">
        <f t="shared" si="16"/>
        <v>1</v>
      </c>
      <c r="M142" s="1" t="b">
        <f t="shared" si="17"/>
        <v>0</v>
      </c>
      <c r="N142" s="1" t="b">
        <f t="shared" si="18"/>
        <v>0</v>
      </c>
      <c r="O142" s="1" t="b">
        <f t="shared" si="19"/>
        <v>0</v>
      </c>
      <c r="P142" s="1" t="b">
        <f t="shared" si="20"/>
        <v>0</v>
      </c>
    </row>
    <row r="143" spans="1:16" x14ac:dyDescent="0.2">
      <c r="A143">
        <v>2970754</v>
      </c>
      <c r="B143" t="s">
        <v>329</v>
      </c>
      <c r="C143" t="s">
        <v>265</v>
      </c>
      <c r="D143" t="s">
        <v>187</v>
      </c>
      <c r="E143" s="1">
        <v>44841</v>
      </c>
      <c r="F143" t="s">
        <v>330</v>
      </c>
      <c r="G143" s="1">
        <v>44855</v>
      </c>
      <c r="H143" s="1">
        <v>44909</v>
      </c>
      <c r="I143" t="s">
        <v>28</v>
      </c>
      <c r="J143" s="1" t="b">
        <f t="shared" si="14"/>
        <v>1</v>
      </c>
      <c r="K143" s="1" t="b">
        <f t="shared" si="15"/>
        <v>0</v>
      </c>
      <c r="L143" s="1" t="b">
        <f t="shared" si="16"/>
        <v>0</v>
      </c>
      <c r="M143" s="1" t="b">
        <f t="shared" si="17"/>
        <v>0</v>
      </c>
      <c r="N143" s="1" t="b">
        <f t="shared" si="18"/>
        <v>0</v>
      </c>
      <c r="O143" s="1" t="b">
        <f t="shared" si="19"/>
        <v>0</v>
      </c>
      <c r="P143" s="1" t="b">
        <f t="shared" si="20"/>
        <v>1</v>
      </c>
    </row>
    <row r="144" spans="1:16" x14ac:dyDescent="0.2">
      <c r="A144">
        <v>2970754</v>
      </c>
      <c r="B144" t="s">
        <v>331</v>
      </c>
      <c r="C144" t="s">
        <v>265</v>
      </c>
      <c r="D144" t="s">
        <v>187</v>
      </c>
      <c r="E144" s="1">
        <v>44710</v>
      </c>
      <c r="F144" t="s">
        <v>332</v>
      </c>
      <c r="G144" s="1">
        <v>44723</v>
      </c>
      <c r="H144" s="1">
        <v>44736</v>
      </c>
      <c r="J144" s="1" t="b">
        <f t="shared" si="14"/>
        <v>1</v>
      </c>
      <c r="K144" s="1" t="b">
        <f t="shared" si="15"/>
        <v>0</v>
      </c>
      <c r="L144" s="1" t="b">
        <f t="shared" si="16"/>
        <v>0</v>
      </c>
      <c r="M144" s="1" t="b">
        <f t="shared" si="17"/>
        <v>0</v>
      </c>
      <c r="N144" s="1" t="b">
        <f t="shared" si="18"/>
        <v>0</v>
      </c>
      <c r="O144" s="1" t="b">
        <f t="shared" si="19"/>
        <v>0</v>
      </c>
      <c r="P144" s="1" t="b">
        <f t="shared" si="20"/>
        <v>0</v>
      </c>
    </row>
    <row r="145" spans="1:16" x14ac:dyDescent="0.2">
      <c r="A145">
        <v>2970754</v>
      </c>
      <c r="B145" t="s">
        <v>333</v>
      </c>
      <c r="C145" t="s">
        <v>265</v>
      </c>
      <c r="D145" t="s">
        <v>187</v>
      </c>
      <c r="E145" s="1">
        <v>44844</v>
      </c>
      <c r="F145" t="s">
        <v>168</v>
      </c>
      <c r="G145" s="1">
        <v>44869</v>
      </c>
      <c r="H145" s="1">
        <v>44920</v>
      </c>
      <c r="I145" t="s">
        <v>43</v>
      </c>
      <c r="J145" s="1" t="b">
        <f t="shared" si="14"/>
        <v>1</v>
      </c>
      <c r="K145" s="1" t="b">
        <f t="shared" si="15"/>
        <v>0</v>
      </c>
      <c r="L145" s="1" t="b">
        <f t="shared" si="16"/>
        <v>0</v>
      </c>
      <c r="M145" s="1" t="b">
        <f t="shared" si="17"/>
        <v>0</v>
      </c>
      <c r="N145" s="1" t="b">
        <f t="shared" si="18"/>
        <v>0</v>
      </c>
      <c r="O145" s="1" t="b">
        <f t="shared" si="19"/>
        <v>1</v>
      </c>
      <c r="P145" s="1" t="b">
        <f t="shared" si="20"/>
        <v>0</v>
      </c>
    </row>
    <row r="146" spans="1:16" x14ac:dyDescent="0.2">
      <c r="A146">
        <v>2970754</v>
      </c>
      <c r="B146" t="s">
        <v>334</v>
      </c>
      <c r="C146" t="s">
        <v>265</v>
      </c>
      <c r="D146" t="s">
        <v>187</v>
      </c>
      <c r="E146" s="1">
        <v>45081</v>
      </c>
      <c r="F146" t="s">
        <v>335</v>
      </c>
      <c r="G146" s="1">
        <v>45090</v>
      </c>
      <c r="H146" s="1">
        <v>45143</v>
      </c>
      <c r="I146" t="s">
        <v>28</v>
      </c>
      <c r="J146" s="1" t="b">
        <f t="shared" si="14"/>
        <v>1</v>
      </c>
      <c r="K146" s="1" t="b">
        <f t="shared" si="15"/>
        <v>0</v>
      </c>
      <c r="L146" s="1" t="b">
        <f t="shared" si="16"/>
        <v>0</v>
      </c>
      <c r="M146" s="1" t="b">
        <f t="shared" si="17"/>
        <v>0</v>
      </c>
      <c r="N146" s="1" t="b">
        <f t="shared" si="18"/>
        <v>0</v>
      </c>
      <c r="O146" s="1" t="b">
        <f t="shared" si="19"/>
        <v>0</v>
      </c>
      <c r="P146" s="1" t="b">
        <f t="shared" si="20"/>
        <v>1</v>
      </c>
    </row>
    <row r="147" spans="1:16" x14ac:dyDescent="0.2">
      <c r="A147">
        <v>1043037</v>
      </c>
      <c r="B147" t="s">
        <v>336</v>
      </c>
      <c r="C147" t="s">
        <v>110</v>
      </c>
      <c r="D147" t="s">
        <v>11</v>
      </c>
      <c r="E147" s="1">
        <v>45019</v>
      </c>
      <c r="F147" t="s">
        <v>337</v>
      </c>
      <c r="G147" s="1">
        <v>45037</v>
      </c>
      <c r="H147" s="1">
        <v>45068</v>
      </c>
      <c r="J147" s="1" t="b">
        <f t="shared" si="14"/>
        <v>1</v>
      </c>
      <c r="K147" s="1" t="b">
        <f t="shared" si="15"/>
        <v>0</v>
      </c>
      <c r="L147" s="1" t="b">
        <f t="shared" si="16"/>
        <v>0</v>
      </c>
      <c r="M147" s="1" t="b">
        <f t="shared" si="17"/>
        <v>0</v>
      </c>
      <c r="N147" s="1" t="b">
        <f t="shared" si="18"/>
        <v>0</v>
      </c>
      <c r="O147" s="1" t="b">
        <f t="shared" si="19"/>
        <v>0</v>
      </c>
      <c r="P147" s="1" t="b">
        <f t="shared" si="20"/>
        <v>0</v>
      </c>
    </row>
    <row r="148" spans="1:16" x14ac:dyDescent="0.2">
      <c r="A148">
        <v>1043037</v>
      </c>
      <c r="B148" t="s">
        <v>338</v>
      </c>
      <c r="C148" t="s">
        <v>110</v>
      </c>
      <c r="D148" t="s">
        <v>11</v>
      </c>
      <c r="E148" s="1">
        <v>44755</v>
      </c>
      <c r="F148" t="s">
        <v>339</v>
      </c>
      <c r="G148" s="1">
        <v>44778</v>
      </c>
      <c r="H148" s="1">
        <v>44794</v>
      </c>
      <c r="J148" s="1" t="b">
        <f t="shared" si="14"/>
        <v>1</v>
      </c>
      <c r="K148" s="1" t="b">
        <f t="shared" si="15"/>
        <v>0</v>
      </c>
      <c r="L148" s="1" t="b">
        <f t="shared" si="16"/>
        <v>0</v>
      </c>
      <c r="M148" s="1" t="b">
        <f t="shared" si="17"/>
        <v>0</v>
      </c>
      <c r="N148" s="1" t="b">
        <f t="shared" si="18"/>
        <v>0</v>
      </c>
      <c r="O148" s="1" t="b">
        <f t="shared" si="19"/>
        <v>0</v>
      </c>
      <c r="P148" s="1" t="b">
        <f t="shared" si="20"/>
        <v>0</v>
      </c>
    </row>
    <row r="149" spans="1:16" x14ac:dyDescent="0.2">
      <c r="A149">
        <v>1043037</v>
      </c>
      <c r="B149" t="s">
        <v>340</v>
      </c>
      <c r="C149" t="s">
        <v>110</v>
      </c>
      <c r="D149" t="s">
        <v>11</v>
      </c>
      <c r="E149" s="1">
        <v>44982</v>
      </c>
      <c r="F149" t="s">
        <v>341</v>
      </c>
      <c r="G149" s="1">
        <v>44984</v>
      </c>
      <c r="H149" s="1">
        <v>45005</v>
      </c>
      <c r="I149" t="s">
        <v>43</v>
      </c>
      <c r="J149" s="1" t="b">
        <f t="shared" si="14"/>
        <v>1</v>
      </c>
      <c r="K149" s="1" t="b">
        <f t="shared" si="15"/>
        <v>0</v>
      </c>
      <c r="L149" s="1" t="b">
        <f t="shared" si="16"/>
        <v>0</v>
      </c>
      <c r="M149" s="1" t="b">
        <f t="shared" si="17"/>
        <v>0</v>
      </c>
      <c r="N149" s="1" t="b">
        <f t="shared" si="18"/>
        <v>0</v>
      </c>
      <c r="O149" s="1" t="b">
        <f t="shared" si="19"/>
        <v>1</v>
      </c>
      <c r="P149" s="1" t="b">
        <f t="shared" si="20"/>
        <v>0</v>
      </c>
    </row>
    <row r="150" spans="1:16" x14ac:dyDescent="0.2">
      <c r="A150">
        <v>1043037</v>
      </c>
      <c r="B150" t="s">
        <v>342</v>
      </c>
      <c r="C150" t="s">
        <v>110</v>
      </c>
      <c r="D150" t="s">
        <v>11</v>
      </c>
      <c r="E150" s="1">
        <v>44717</v>
      </c>
      <c r="F150" t="s">
        <v>343</v>
      </c>
      <c r="G150" s="1">
        <v>44733</v>
      </c>
      <c r="H150" s="1">
        <v>44736</v>
      </c>
      <c r="J150" s="1" t="b">
        <f t="shared" si="14"/>
        <v>1</v>
      </c>
      <c r="K150" s="1" t="b">
        <f t="shared" si="15"/>
        <v>0</v>
      </c>
      <c r="L150" s="1" t="b">
        <f t="shared" si="16"/>
        <v>0</v>
      </c>
      <c r="M150" s="1" t="b">
        <f t="shared" si="17"/>
        <v>0</v>
      </c>
      <c r="N150" s="1" t="b">
        <f t="shared" si="18"/>
        <v>0</v>
      </c>
      <c r="O150" s="1" t="b">
        <f t="shared" si="19"/>
        <v>0</v>
      </c>
      <c r="P150" s="1" t="b">
        <f t="shared" si="20"/>
        <v>0</v>
      </c>
    </row>
    <row r="151" spans="1:16" x14ac:dyDescent="0.2">
      <c r="A151">
        <v>1043037</v>
      </c>
      <c r="B151" t="s">
        <v>344</v>
      </c>
      <c r="C151" t="s">
        <v>110</v>
      </c>
      <c r="D151" t="s">
        <v>11</v>
      </c>
      <c r="E151" s="1">
        <v>44664</v>
      </c>
      <c r="F151" t="s">
        <v>345</v>
      </c>
      <c r="G151" s="1">
        <v>44692</v>
      </c>
      <c r="I151" t="s">
        <v>13</v>
      </c>
      <c r="J151" s="1" t="b">
        <f t="shared" si="14"/>
        <v>0</v>
      </c>
      <c r="K151" s="1" t="b">
        <f t="shared" si="15"/>
        <v>1</v>
      </c>
      <c r="L151" s="1" t="b">
        <f t="shared" si="16"/>
        <v>0</v>
      </c>
      <c r="M151" s="1" t="b">
        <f t="shared" si="17"/>
        <v>0</v>
      </c>
      <c r="N151" s="1" t="b">
        <f t="shared" si="18"/>
        <v>0</v>
      </c>
      <c r="O151" s="1" t="b">
        <f t="shared" si="19"/>
        <v>0</v>
      </c>
      <c r="P151" s="1" t="b">
        <f t="shared" si="20"/>
        <v>0</v>
      </c>
    </row>
    <row r="152" spans="1:16" x14ac:dyDescent="0.2">
      <c r="A152">
        <v>8387112</v>
      </c>
      <c r="B152" t="s">
        <v>346</v>
      </c>
      <c r="C152" t="s">
        <v>176</v>
      </c>
      <c r="D152" t="s">
        <v>139</v>
      </c>
      <c r="E152" s="1">
        <v>44632</v>
      </c>
      <c r="F152" t="s">
        <v>347</v>
      </c>
      <c r="G152" s="1">
        <v>44640</v>
      </c>
      <c r="I152" t="s">
        <v>13</v>
      </c>
      <c r="J152" s="1" t="b">
        <f t="shared" si="14"/>
        <v>0</v>
      </c>
      <c r="K152" s="1" t="b">
        <f t="shared" si="15"/>
        <v>1</v>
      </c>
      <c r="L152" s="1" t="b">
        <f t="shared" si="16"/>
        <v>0</v>
      </c>
      <c r="M152" s="1" t="b">
        <f t="shared" si="17"/>
        <v>0</v>
      </c>
      <c r="N152" s="1" t="b">
        <f t="shared" si="18"/>
        <v>0</v>
      </c>
      <c r="O152" s="1" t="b">
        <f t="shared" si="19"/>
        <v>0</v>
      </c>
      <c r="P152" s="1" t="b">
        <f t="shared" si="20"/>
        <v>0</v>
      </c>
    </row>
    <row r="153" spans="1:16" x14ac:dyDescent="0.2">
      <c r="A153">
        <v>8387112</v>
      </c>
      <c r="B153" t="s">
        <v>348</v>
      </c>
      <c r="C153" t="s">
        <v>176</v>
      </c>
      <c r="D153" t="s">
        <v>139</v>
      </c>
      <c r="E153" s="1">
        <v>44720</v>
      </c>
      <c r="F153" t="s">
        <v>349</v>
      </c>
      <c r="G153" s="1">
        <v>44723</v>
      </c>
      <c r="I153" t="s">
        <v>13</v>
      </c>
      <c r="J153" s="1" t="b">
        <f t="shared" si="14"/>
        <v>0</v>
      </c>
      <c r="K153" s="1" t="b">
        <f t="shared" si="15"/>
        <v>1</v>
      </c>
      <c r="L153" s="1" t="b">
        <f t="shared" si="16"/>
        <v>0</v>
      </c>
      <c r="M153" s="1" t="b">
        <f t="shared" si="17"/>
        <v>0</v>
      </c>
      <c r="N153" s="1" t="b">
        <f t="shared" si="18"/>
        <v>0</v>
      </c>
      <c r="O153" s="1" t="b">
        <f t="shared" si="19"/>
        <v>0</v>
      </c>
      <c r="P153" s="1" t="b">
        <f t="shared" si="20"/>
        <v>0</v>
      </c>
    </row>
    <row r="154" spans="1:16" x14ac:dyDescent="0.2">
      <c r="A154">
        <v>8387112</v>
      </c>
      <c r="B154" t="s">
        <v>350</v>
      </c>
      <c r="C154" t="s">
        <v>176</v>
      </c>
      <c r="D154" t="s">
        <v>139</v>
      </c>
      <c r="E154" s="1">
        <v>44969</v>
      </c>
      <c r="F154" t="s">
        <v>351</v>
      </c>
      <c r="G154" s="1">
        <v>44990</v>
      </c>
      <c r="H154" s="1">
        <v>44996</v>
      </c>
      <c r="I154" t="s">
        <v>28</v>
      </c>
      <c r="J154" s="1" t="b">
        <f t="shared" si="14"/>
        <v>1</v>
      </c>
      <c r="K154" s="1" t="b">
        <f t="shared" si="15"/>
        <v>0</v>
      </c>
      <c r="L154" s="1" t="b">
        <f t="shared" si="16"/>
        <v>0</v>
      </c>
      <c r="M154" s="1" t="b">
        <f t="shared" si="17"/>
        <v>0</v>
      </c>
      <c r="N154" s="1" t="b">
        <f t="shared" si="18"/>
        <v>0</v>
      </c>
      <c r="O154" s="1" t="b">
        <f t="shared" si="19"/>
        <v>0</v>
      </c>
      <c r="P154" s="1" t="b">
        <f t="shared" si="20"/>
        <v>1</v>
      </c>
    </row>
    <row r="155" spans="1:16" x14ac:dyDescent="0.2">
      <c r="A155">
        <v>8387112</v>
      </c>
      <c r="B155" t="s">
        <v>352</v>
      </c>
      <c r="C155" t="s">
        <v>176</v>
      </c>
      <c r="D155" t="s">
        <v>139</v>
      </c>
      <c r="E155" s="1">
        <v>45061</v>
      </c>
      <c r="F155" t="s">
        <v>353</v>
      </c>
      <c r="G155" s="1">
        <v>45089</v>
      </c>
      <c r="H155" s="1">
        <v>45124</v>
      </c>
      <c r="J155" s="1" t="b">
        <f t="shared" si="14"/>
        <v>1</v>
      </c>
      <c r="K155" s="1" t="b">
        <f t="shared" si="15"/>
        <v>0</v>
      </c>
      <c r="L155" s="1" t="b">
        <f t="shared" si="16"/>
        <v>0</v>
      </c>
      <c r="M155" s="1" t="b">
        <f t="shared" si="17"/>
        <v>0</v>
      </c>
      <c r="N155" s="1" t="b">
        <f t="shared" si="18"/>
        <v>0</v>
      </c>
      <c r="O155" s="1" t="b">
        <f t="shared" si="19"/>
        <v>0</v>
      </c>
      <c r="P155" s="1" t="b">
        <f t="shared" si="20"/>
        <v>0</v>
      </c>
    </row>
    <row r="156" spans="1:16" x14ac:dyDescent="0.2">
      <c r="A156">
        <v>5821419</v>
      </c>
      <c r="B156" t="s">
        <v>354</v>
      </c>
      <c r="C156" t="s">
        <v>93</v>
      </c>
      <c r="D156" t="s">
        <v>122</v>
      </c>
      <c r="E156" s="1">
        <v>44868</v>
      </c>
      <c r="F156" t="s">
        <v>355</v>
      </c>
      <c r="G156" s="1">
        <v>44897</v>
      </c>
      <c r="H156" s="1">
        <v>44899</v>
      </c>
      <c r="I156" t="s">
        <v>16</v>
      </c>
      <c r="J156" s="1" t="b">
        <f t="shared" si="14"/>
        <v>1</v>
      </c>
      <c r="K156" s="1" t="b">
        <f t="shared" si="15"/>
        <v>0</v>
      </c>
      <c r="L156" s="1" t="b">
        <f t="shared" si="16"/>
        <v>0</v>
      </c>
      <c r="M156" s="1" t="b">
        <f t="shared" si="17"/>
        <v>0</v>
      </c>
      <c r="N156" s="1" t="b">
        <f t="shared" si="18"/>
        <v>1</v>
      </c>
      <c r="O156" s="1" t="b">
        <f t="shared" si="19"/>
        <v>0</v>
      </c>
      <c r="P156" s="1" t="b">
        <f t="shared" si="20"/>
        <v>0</v>
      </c>
    </row>
    <row r="157" spans="1:16" x14ac:dyDescent="0.2">
      <c r="A157">
        <v>5821419</v>
      </c>
      <c r="B157" t="s">
        <v>356</v>
      </c>
      <c r="C157" t="s">
        <v>93</v>
      </c>
      <c r="D157" t="s">
        <v>122</v>
      </c>
      <c r="E157" s="1">
        <v>44862</v>
      </c>
      <c r="F157" t="s">
        <v>357</v>
      </c>
      <c r="G157" s="1">
        <v>44874</v>
      </c>
      <c r="I157" t="s">
        <v>13</v>
      </c>
      <c r="J157" s="1" t="b">
        <f t="shared" si="14"/>
        <v>0</v>
      </c>
      <c r="K157" s="1" t="b">
        <f t="shared" si="15"/>
        <v>1</v>
      </c>
      <c r="L157" s="1" t="b">
        <f t="shared" si="16"/>
        <v>0</v>
      </c>
      <c r="M157" s="1" t="b">
        <f t="shared" si="17"/>
        <v>0</v>
      </c>
      <c r="N157" s="1" t="b">
        <f t="shared" si="18"/>
        <v>0</v>
      </c>
      <c r="O157" s="1" t="b">
        <f t="shared" si="19"/>
        <v>0</v>
      </c>
      <c r="P157" s="1" t="b">
        <f t="shared" si="20"/>
        <v>0</v>
      </c>
    </row>
    <row r="158" spans="1:16" x14ac:dyDescent="0.2">
      <c r="A158">
        <v>5821419</v>
      </c>
      <c r="B158" t="s">
        <v>358</v>
      </c>
      <c r="C158" t="s">
        <v>93</v>
      </c>
      <c r="D158" t="s">
        <v>122</v>
      </c>
      <c r="E158" s="1">
        <v>44983</v>
      </c>
      <c r="F158" t="s">
        <v>359</v>
      </c>
      <c r="G158" s="1">
        <v>45002</v>
      </c>
      <c r="H158" s="1">
        <v>45046</v>
      </c>
      <c r="I158" t="s">
        <v>43</v>
      </c>
      <c r="J158" s="1" t="b">
        <f t="shared" si="14"/>
        <v>1</v>
      </c>
      <c r="K158" s="1" t="b">
        <f t="shared" si="15"/>
        <v>0</v>
      </c>
      <c r="L158" s="1" t="b">
        <f t="shared" si="16"/>
        <v>0</v>
      </c>
      <c r="M158" s="1" t="b">
        <f t="shared" si="17"/>
        <v>0</v>
      </c>
      <c r="N158" s="1" t="b">
        <f t="shared" si="18"/>
        <v>0</v>
      </c>
      <c r="O158" s="1" t="b">
        <f t="shared" si="19"/>
        <v>1</v>
      </c>
      <c r="P158" s="1" t="b">
        <f t="shared" si="20"/>
        <v>0</v>
      </c>
    </row>
    <row r="159" spans="1:16" x14ac:dyDescent="0.2">
      <c r="A159">
        <v>5821419</v>
      </c>
      <c r="B159" t="s">
        <v>360</v>
      </c>
      <c r="C159" t="s">
        <v>93</v>
      </c>
      <c r="D159" t="s">
        <v>122</v>
      </c>
      <c r="E159" s="1">
        <v>44953</v>
      </c>
      <c r="F159" t="s">
        <v>361</v>
      </c>
      <c r="G159" s="1">
        <v>44973</v>
      </c>
      <c r="H159" s="1">
        <v>45017</v>
      </c>
      <c r="I159" t="s">
        <v>43</v>
      </c>
      <c r="J159" s="1" t="b">
        <f t="shared" si="14"/>
        <v>1</v>
      </c>
      <c r="K159" s="1" t="b">
        <f t="shared" si="15"/>
        <v>0</v>
      </c>
      <c r="L159" s="1" t="b">
        <f t="shared" si="16"/>
        <v>0</v>
      </c>
      <c r="M159" s="1" t="b">
        <f t="shared" si="17"/>
        <v>0</v>
      </c>
      <c r="N159" s="1" t="b">
        <f t="shared" si="18"/>
        <v>0</v>
      </c>
      <c r="O159" s="1" t="b">
        <f t="shared" si="19"/>
        <v>1</v>
      </c>
      <c r="P159" s="1" t="b">
        <f t="shared" si="20"/>
        <v>0</v>
      </c>
    </row>
    <row r="160" spans="1:16" x14ac:dyDescent="0.2">
      <c r="A160">
        <v>5040453</v>
      </c>
      <c r="B160" t="s">
        <v>362</v>
      </c>
      <c r="C160" t="s">
        <v>363</v>
      </c>
      <c r="D160" t="s">
        <v>81</v>
      </c>
      <c r="E160" s="1">
        <v>45032</v>
      </c>
      <c r="F160" t="s">
        <v>364</v>
      </c>
      <c r="G160" s="1">
        <v>45041</v>
      </c>
      <c r="I160" t="s">
        <v>13</v>
      </c>
      <c r="J160" s="1" t="b">
        <f t="shared" si="14"/>
        <v>0</v>
      </c>
      <c r="K160" s="1" t="b">
        <f t="shared" si="15"/>
        <v>1</v>
      </c>
      <c r="L160" s="1" t="b">
        <f t="shared" si="16"/>
        <v>0</v>
      </c>
      <c r="M160" s="1" t="b">
        <f t="shared" si="17"/>
        <v>0</v>
      </c>
      <c r="N160" s="1" t="b">
        <f t="shared" si="18"/>
        <v>0</v>
      </c>
      <c r="O160" s="1" t="b">
        <f t="shared" si="19"/>
        <v>0</v>
      </c>
      <c r="P160" s="1" t="b">
        <f t="shared" si="20"/>
        <v>0</v>
      </c>
    </row>
    <row r="161" spans="1:16" x14ac:dyDescent="0.2">
      <c r="A161">
        <v>5040453</v>
      </c>
      <c r="B161" t="s">
        <v>365</v>
      </c>
      <c r="C161" t="s">
        <v>363</v>
      </c>
      <c r="D161" t="s">
        <v>81</v>
      </c>
      <c r="E161" s="1">
        <v>44723</v>
      </c>
      <c r="F161" t="s">
        <v>366</v>
      </c>
      <c r="G161" s="1">
        <v>44726</v>
      </c>
      <c r="H161" s="1">
        <v>44755</v>
      </c>
      <c r="J161" s="1" t="b">
        <f t="shared" si="14"/>
        <v>1</v>
      </c>
      <c r="K161" s="1" t="b">
        <f t="shared" si="15"/>
        <v>0</v>
      </c>
      <c r="L161" s="1" t="b">
        <f t="shared" si="16"/>
        <v>0</v>
      </c>
      <c r="M161" s="1" t="b">
        <f t="shared" si="17"/>
        <v>0</v>
      </c>
      <c r="N161" s="1" t="b">
        <f t="shared" si="18"/>
        <v>0</v>
      </c>
      <c r="O161" s="1" t="b">
        <f t="shared" si="19"/>
        <v>0</v>
      </c>
      <c r="P161" s="1" t="b">
        <f t="shared" si="20"/>
        <v>0</v>
      </c>
    </row>
    <row r="162" spans="1:16" x14ac:dyDescent="0.2">
      <c r="A162">
        <v>6797629</v>
      </c>
      <c r="B162" t="s">
        <v>367</v>
      </c>
      <c r="C162" t="s">
        <v>32</v>
      </c>
      <c r="D162" t="s">
        <v>11</v>
      </c>
      <c r="E162" s="1">
        <v>44765</v>
      </c>
      <c r="F162" t="s">
        <v>368</v>
      </c>
      <c r="G162" s="1">
        <v>44778</v>
      </c>
      <c r="H162" s="1">
        <v>44833</v>
      </c>
      <c r="J162" s="1" t="b">
        <f t="shared" si="14"/>
        <v>1</v>
      </c>
      <c r="K162" s="1" t="b">
        <f t="shared" si="15"/>
        <v>0</v>
      </c>
      <c r="L162" s="1" t="b">
        <f t="shared" si="16"/>
        <v>0</v>
      </c>
      <c r="M162" s="1" t="b">
        <f t="shared" si="17"/>
        <v>0</v>
      </c>
      <c r="N162" s="1" t="b">
        <f t="shared" si="18"/>
        <v>0</v>
      </c>
      <c r="O162" s="1" t="b">
        <f t="shared" si="19"/>
        <v>0</v>
      </c>
      <c r="P162" s="1" t="b">
        <f t="shared" si="20"/>
        <v>0</v>
      </c>
    </row>
    <row r="163" spans="1:16" x14ac:dyDescent="0.2">
      <c r="A163">
        <v>6797629</v>
      </c>
      <c r="B163" t="s">
        <v>369</v>
      </c>
      <c r="C163" t="s">
        <v>32</v>
      </c>
      <c r="D163" t="s">
        <v>11</v>
      </c>
      <c r="E163" s="1">
        <v>44929</v>
      </c>
      <c r="F163" t="s">
        <v>370</v>
      </c>
      <c r="G163" s="1">
        <v>44948</v>
      </c>
      <c r="H163" s="1">
        <v>44967</v>
      </c>
      <c r="I163" t="s">
        <v>43</v>
      </c>
      <c r="J163" s="1" t="b">
        <f t="shared" si="14"/>
        <v>1</v>
      </c>
      <c r="K163" s="1" t="b">
        <f t="shared" si="15"/>
        <v>0</v>
      </c>
      <c r="L163" s="1" t="b">
        <f t="shared" si="16"/>
        <v>0</v>
      </c>
      <c r="M163" s="1" t="b">
        <f t="shared" si="17"/>
        <v>0</v>
      </c>
      <c r="N163" s="1" t="b">
        <f t="shared" si="18"/>
        <v>0</v>
      </c>
      <c r="O163" s="1" t="b">
        <f t="shared" si="19"/>
        <v>1</v>
      </c>
      <c r="P163" s="1" t="b">
        <f t="shared" si="20"/>
        <v>0</v>
      </c>
    </row>
    <row r="164" spans="1:16" x14ac:dyDescent="0.2">
      <c r="A164">
        <v>6797629</v>
      </c>
      <c r="B164" t="s">
        <v>371</v>
      </c>
      <c r="C164" t="s">
        <v>32</v>
      </c>
      <c r="D164" t="s">
        <v>11</v>
      </c>
      <c r="E164" s="1">
        <v>44967</v>
      </c>
      <c r="F164" t="s">
        <v>372</v>
      </c>
      <c r="G164" s="1">
        <v>44976</v>
      </c>
      <c r="H164" s="1">
        <v>44977</v>
      </c>
      <c r="I164" t="s">
        <v>28</v>
      </c>
      <c r="J164" s="1" t="b">
        <f t="shared" si="14"/>
        <v>1</v>
      </c>
      <c r="K164" s="1" t="b">
        <f t="shared" si="15"/>
        <v>0</v>
      </c>
      <c r="L164" s="1" t="b">
        <f t="shared" si="16"/>
        <v>0</v>
      </c>
      <c r="M164" s="1" t="b">
        <f t="shared" si="17"/>
        <v>0</v>
      </c>
      <c r="N164" s="1" t="b">
        <f t="shared" si="18"/>
        <v>0</v>
      </c>
      <c r="O164" s="1" t="b">
        <f t="shared" si="19"/>
        <v>0</v>
      </c>
      <c r="P164" s="1" t="b">
        <f t="shared" si="20"/>
        <v>1</v>
      </c>
    </row>
    <row r="165" spans="1:16" x14ac:dyDescent="0.2">
      <c r="A165">
        <v>6797629</v>
      </c>
      <c r="B165" t="s">
        <v>373</v>
      </c>
      <c r="C165" t="s">
        <v>32</v>
      </c>
      <c r="D165" t="s">
        <v>11</v>
      </c>
      <c r="E165" s="1">
        <v>45070</v>
      </c>
      <c r="F165" t="s">
        <v>374</v>
      </c>
      <c r="G165" s="1">
        <v>45097</v>
      </c>
      <c r="H165" s="1">
        <v>45155</v>
      </c>
      <c r="I165" t="s">
        <v>16</v>
      </c>
      <c r="J165" s="1" t="b">
        <f t="shared" si="14"/>
        <v>1</v>
      </c>
      <c r="K165" s="1" t="b">
        <f t="shared" si="15"/>
        <v>0</v>
      </c>
      <c r="L165" s="1" t="b">
        <f t="shared" si="16"/>
        <v>0</v>
      </c>
      <c r="M165" s="1" t="b">
        <f t="shared" si="17"/>
        <v>0</v>
      </c>
      <c r="N165" s="1" t="b">
        <f t="shared" si="18"/>
        <v>1</v>
      </c>
      <c r="O165" s="1" t="b">
        <f t="shared" si="19"/>
        <v>0</v>
      </c>
      <c r="P165" s="1" t="b">
        <f t="shared" si="20"/>
        <v>0</v>
      </c>
    </row>
    <row r="166" spans="1:16" x14ac:dyDescent="0.2">
      <c r="A166">
        <v>5801541</v>
      </c>
      <c r="B166" t="s">
        <v>375</v>
      </c>
      <c r="C166" t="s">
        <v>35</v>
      </c>
      <c r="D166" t="s">
        <v>19</v>
      </c>
      <c r="E166" s="1">
        <v>44818</v>
      </c>
      <c r="F166" t="s">
        <v>376</v>
      </c>
      <c r="G166" s="1">
        <v>44840</v>
      </c>
      <c r="H166" s="1">
        <v>44889</v>
      </c>
      <c r="I166" t="s">
        <v>43</v>
      </c>
      <c r="J166" s="1" t="b">
        <f t="shared" si="14"/>
        <v>1</v>
      </c>
      <c r="K166" s="1" t="b">
        <f t="shared" si="15"/>
        <v>0</v>
      </c>
      <c r="L166" s="1" t="b">
        <f t="shared" si="16"/>
        <v>0</v>
      </c>
      <c r="M166" s="1" t="b">
        <f t="shared" si="17"/>
        <v>0</v>
      </c>
      <c r="N166" s="1" t="b">
        <f t="shared" si="18"/>
        <v>0</v>
      </c>
      <c r="O166" s="1" t="b">
        <f t="shared" si="19"/>
        <v>1</v>
      </c>
      <c r="P166" s="1" t="b">
        <f t="shared" si="20"/>
        <v>0</v>
      </c>
    </row>
    <row r="167" spans="1:16" x14ac:dyDescent="0.2">
      <c r="A167">
        <v>5801541</v>
      </c>
      <c r="B167" t="s">
        <v>377</v>
      </c>
      <c r="C167" t="s">
        <v>35</v>
      </c>
      <c r="D167" t="s">
        <v>19</v>
      </c>
      <c r="E167" s="1">
        <v>44602</v>
      </c>
      <c r="F167" t="s">
        <v>378</v>
      </c>
      <c r="G167" s="1">
        <v>44612</v>
      </c>
      <c r="H167" s="1">
        <v>44663</v>
      </c>
      <c r="I167" t="s">
        <v>43</v>
      </c>
      <c r="J167" s="1" t="b">
        <f t="shared" si="14"/>
        <v>1</v>
      </c>
      <c r="K167" s="1" t="b">
        <f t="shared" si="15"/>
        <v>0</v>
      </c>
      <c r="L167" s="1" t="b">
        <f t="shared" si="16"/>
        <v>0</v>
      </c>
      <c r="M167" s="1" t="b">
        <f t="shared" si="17"/>
        <v>0</v>
      </c>
      <c r="N167" s="1" t="b">
        <f t="shared" si="18"/>
        <v>0</v>
      </c>
      <c r="O167" s="1" t="b">
        <f t="shared" si="19"/>
        <v>1</v>
      </c>
      <c r="P167" s="1" t="b">
        <f t="shared" si="20"/>
        <v>0</v>
      </c>
    </row>
    <row r="168" spans="1:16" x14ac:dyDescent="0.2">
      <c r="A168">
        <v>5801541</v>
      </c>
      <c r="B168" t="s">
        <v>379</v>
      </c>
      <c r="C168" t="s">
        <v>35</v>
      </c>
      <c r="D168" t="s">
        <v>19</v>
      </c>
      <c r="E168" s="1">
        <v>44654</v>
      </c>
      <c r="F168" t="s">
        <v>380</v>
      </c>
      <c r="G168" s="1">
        <v>44684</v>
      </c>
      <c r="H168" s="1">
        <v>44703</v>
      </c>
      <c r="I168" t="s">
        <v>28</v>
      </c>
      <c r="J168" s="1" t="b">
        <f t="shared" si="14"/>
        <v>1</v>
      </c>
      <c r="K168" s="1" t="b">
        <f t="shared" si="15"/>
        <v>0</v>
      </c>
      <c r="L168" s="1" t="b">
        <f t="shared" si="16"/>
        <v>0</v>
      </c>
      <c r="M168" s="1" t="b">
        <f t="shared" si="17"/>
        <v>0</v>
      </c>
      <c r="N168" s="1" t="b">
        <f t="shared" si="18"/>
        <v>0</v>
      </c>
      <c r="O168" s="1" t="b">
        <f t="shared" si="19"/>
        <v>0</v>
      </c>
      <c r="P168" s="1" t="b">
        <f t="shared" si="20"/>
        <v>1</v>
      </c>
    </row>
    <row r="169" spans="1:16" x14ac:dyDescent="0.2">
      <c r="A169">
        <v>5801541</v>
      </c>
      <c r="B169" t="s">
        <v>381</v>
      </c>
      <c r="C169" t="s">
        <v>35</v>
      </c>
      <c r="D169" t="s">
        <v>19</v>
      </c>
      <c r="E169" s="1">
        <v>44697</v>
      </c>
      <c r="F169" t="s">
        <v>382</v>
      </c>
      <c r="G169" s="1">
        <v>44723</v>
      </c>
      <c r="H169" s="1">
        <v>44758</v>
      </c>
      <c r="J169" s="1" t="b">
        <f t="shared" si="14"/>
        <v>1</v>
      </c>
      <c r="K169" s="1" t="b">
        <f t="shared" si="15"/>
        <v>0</v>
      </c>
      <c r="L169" s="1" t="b">
        <f t="shared" si="16"/>
        <v>0</v>
      </c>
      <c r="M169" s="1" t="b">
        <f t="shared" si="17"/>
        <v>0</v>
      </c>
      <c r="N169" s="1" t="b">
        <f t="shared" si="18"/>
        <v>0</v>
      </c>
      <c r="O169" s="1" t="b">
        <f t="shared" si="19"/>
        <v>0</v>
      </c>
      <c r="P169" s="1" t="b">
        <f t="shared" si="20"/>
        <v>0</v>
      </c>
    </row>
    <row r="170" spans="1:16" x14ac:dyDescent="0.2">
      <c r="A170">
        <v>5801541</v>
      </c>
      <c r="B170" t="s">
        <v>383</v>
      </c>
      <c r="C170" t="s">
        <v>35</v>
      </c>
      <c r="D170" t="s">
        <v>19</v>
      </c>
      <c r="E170" s="1">
        <v>44841</v>
      </c>
      <c r="F170" t="s">
        <v>384</v>
      </c>
      <c r="G170" s="1">
        <v>44868</v>
      </c>
      <c r="H170" s="1">
        <v>44879</v>
      </c>
      <c r="I170" t="s">
        <v>28</v>
      </c>
      <c r="J170" s="1" t="b">
        <f t="shared" si="14"/>
        <v>1</v>
      </c>
      <c r="K170" s="1" t="b">
        <f t="shared" si="15"/>
        <v>0</v>
      </c>
      <c r="L170" s="1" t="b">
        <f t="shared" si="16"/>
        <v>0</v>
      </c>
      <c r="M170" s="1" t="b">
        <f t="shared" si="17"/>
        <v>0</v>
      </c>
      <c r="N170" s="1" t="b">
        <f t="shared" si="18"/>
        <v>0</v>
      </c>
      <c r="O170" s="1" t="b">
        <f t="shared" si="19"/>
        <v>0</v>
      </c>
      <c r="P170" s="1" t="b">
        <f t="shared" si="20"/>
        <v>1</v>
      </c>
    </row>
    <row r="171" spans="1:16" x14ac:dyDescent="0.2">
      <c r="A171">
        <v>5311242</v>
      </c>
      <c r="B171" t="s">
        <v>385</v>
      </c>
      <c r="C171" t="s">
        <v>310</v>
      </c>
      <c r="D171" t="s">
        <v>77</v>
      </c>
      <c r="E171" s="1">
        <v>45041</v>
      </c>
      <c r="F171" t="s">
        <v>386</v>
      </c>
      <c r="G171" s="1">
        <v>45044</v>
      </c>
      <c r="H171" s="1">
        <v>45054</v>
      </c>
      <c r="I171" t="s">
        <v>28</v>
      </c>
      <c r="J171" s="1" t="b">
        <f t="shared" si="14"/>
        <v>1</v>
      </c>
      <c r="K171" s="1" t="b">
        <f t="shared" si="15"/>
        <v>0</v>
      </c>
      <c r="L171" s="1" t="b">
        <f t="shared" si="16"/>
        <v>0</v>
      </c>
      <c r="M171" s="1" t="b">
        <f t="shared" si="17"/>
        <v>0</v>
      </c>
      <c r="N171" s="1" t="b">
        <f t="shared" si="18"/>
        <v>0</v>
      </c>
      <c r="O171" s="1" t="b">
        <f t="shared" si="19"/>
        <v>0</v>
      </c>
      <c r="P171" s="1" t="b">
        <f t="shared" si="20"/>
        <v>1</v>
      </c>
    </row>
    <row r="172" spans="1:16" x14ac:dyDescent="0.2">
      <c r="A172">
        <v>5311242</v>
      </c>
      <c r="B172" t="s">
        <v>387</v>
      </c>
      <c r="C172" t="s">
        <v>310</v>
      </c>
      <c r="D172" t="s">
        <v>77</v>
      </c>
      <c r="E172" s="1">
        <v>44968</v>
      </c>
      <c r="F172" t="s">
        <v>388</v>
      </c>
      <c r="G172" s="1">
        <v>44996</v>
      </c>
      <c r="H172" s="1">
        <v>45048</v>
      </c>
      <c r="I172" t="s">
        <v>43</v>
      </c>
      <c r="J172" s="1" t="b">
        <f t="shared" si="14"/>
        <v>1</v>
      </c>
      <c r="K172" s="1" t="b">
        <f t="shared" si="15"/>
        <v>0</v>
      </c>
      <c r="L172" s="1" t="b">
        <f t="shared" si="16"/>
        <v>0</v>
      </c>
      <c r="M172" s="1" t="b">
        <f t="shared" si="17"/>
        <v>0</v>
      </c>
      <c r="N172" s="1" t="b">
        <f t="shared" si="18"/>
        <v>0</v>
      </c>
      <c r="O172" s="1" t="b">
        <f t="shared" si="19"/>
        <v>1</v>
      </c>
      <c r="P172" s="1" t="b">
        <f t="shared" si="20"/>
        <v>0</v>
      </c>
    </row>
    <row r="173" spans="1:16" x14ac:dyDescent="0.2">
      <c r="A173">
        <v>5311242</v>
      </c>
      <c r="B173" t="s">
        <v>389</v>
      </c>
      <c r="C173" t="s">
        <v>310</v>
      </c>
      <c r="D173" t="s">
        <v>77</v>
      </c>
      <c r="E173" s="1">
        <v>44576</v>
      </c>
      <c r="F173" t="s">
        <v>390</v>
      </c>
      <c r="G173" s="1">
        <v>44585</v>
      </c>
      <c r="H173" s="1">
        <v>44620</v>
      </c>
      <c r="I173" t="s">
        <v>16</v>
      </c>
      <c r="J173" s="1" t="b">
        <f t="shared" si="14"/>
        <v>1</v>
      </c>
      <c r="K173" s="1" t="b">
        <f t="shared" si="15"/>
        <v>0</v>
      </c>
      <c r="L173" s="1" t="b">
        <f t="shared" si="16"/>
        <v>0</v>
      </c>
      <c r="M173" s="1" t="b">
        <f t="shared" si="17"/>
        <v>0</v>
      </c>
      <c r="N173" s="1" t="b">
        <f t="shared" si="18"/>
        <v>1</v>
      </c>
      <c r="O173" s="1" t="b">
        <f t="shared" si="19"/>
        <v>0</v>
      </c>
      <c r="P173" s="1" t="b">
        <f t="shared" si="20"/>
        <v>0</v>
      </c>
    </row>
    <row r="174" spans="1:16" x14ac:dyDescent="0.2">
      <c r="A174">
        <v>3073474</v>
      </c>
      <c r="B174" t="s">
        <v>391</v>
      </c>
      <c r="C174" t="s">
        <v>287</v>
      </c>
      <c r="D174" t="s">
        <v>39</v>
      </c>
      <c r="E174" s="1">
        <v>44801</v>
      </c>
      <c r="F174" t="s">
        <v>392</v>
      </c>
      <c r="G174" s="1">
        <v>44817</v>
      </c>
      <c r="H174" s="1">
        <v>44819</v>
      </c>
      <c r="I174" t="s">
        <v>28</v>
      </c>
      <c r="J174" s="1" t="b">
        <f t="shared" si="14"/>
        <v>1</v>
      </c>
      <c r="K174" s="1" t="b">
        <f t="shared" si="15"/>
        <v>0</v>
      </c>
      <c r="L174" s="1" t="b">
        <f t="shared" si="16"/>
        <v>0</v>
      </c>
      <c r="M174" s="1" t="b">
        <f t="shared" si="17"/>
        <v>0</v>
      </c>
      <c r="N174" s="1" t="b">
        <f t="shared" si="18"/>
        <v>0</v>
      </c>
      <c r="O174" s="1" t="b">
        <f t="shared" si="19"/>
        <v>0</v>
      </c>
      <c r="P174" s="1" t="b">
        <f t="shared" si="20"/>
        <v>1</v>
      </c>
    </row>
    <row r="175" spans="1:16" x14ac:dyDescent="0.2">
      <c r="A175">
        <v>3073474</v>
      </c>
      <c r="B175" t="s">
        <v>393</v>
      </c>
      <c r="C175" t="s">
        <v>287</v>
      </c>
      <c r="D175" t="s">
        <v>39</v>
      </c>
      <c r="E175" s="1">
        <v>44788</v>
      </c>
      <c r="F175" t="s">
        <v>394</v>
      </c>
      <c r="G175" s="1">
        <v>44809</v>
      </c>
      <c r="H175" s="1">
        <v>44814</v>
      </c>
      <c r="I175" t="s">
        <v>28</v>
      </c>
      <c r="J175" s="1" t="b">
        <f t="shared" si="14"/>
        <v>1</v>
      </c>
      <c r="K175" s="1" t="b">
        <f t="shared" si="15"/>
        <v>0</v>
      </c>
      <c r="L175" s="1" t="b">
        <f t="shared" si="16"/>
        <v>0</v>
      </c>
      <c r="M175" s="1" t="b">
        <f t="shared" si="17"/>
        <v>0</v>
      </c>
      <c r="N175" s="1" t="b">
        <f t="shared" si="18"/>
        <v>0</v>
      </c>
      <c r="O175" s="1" t="b">
        <f t="shared" si="19"/>
        <v>0</v>
      </c>
      <c r="P175" s="1" t="b">
        <f t="shared" si="20"/>
        <v>1</v>
      </c>
    </row>
    <row r="176" spans="1:16" x14ac:dyDescent="0.2">
      <c r="A176">
        <v>3073474</v>
      </c>
      <c r="B176" t="s">
        <v>395</v>
      </c>
      <c r="C176" t="s">
        <v>287</v>
      </c>
      <c r="D176" t="s">
        <v>39</v>
      </c>
      <c r="E176" s="1">
        <v>44871</v>
      </c>
      <c r="F176" t="s">
        <v>396</v>
      </c>
      <c r="G176" s="1">
        <v>44892</v>
      </c>
      <c r="H176" s="1">
        <v>44919</v>
      </c>
      <c r="J176" s="1" t="b">
        <f t="shared" si="14"/>
        <v>1</v>
      </c>
      <c r="K176" s="1" t="b">
        <f t="shared" si="15"/>
        <v>0</v>
      </c>
      <c r="L176" s="1" t="b">
        <f t="shared" si="16"/>
        <v>0</v>
      </c>
      <c r="M176" s="1" t="b">
        <f t="shared" si="17"/>
        <v>0</v>
      </c>
      <c r="N176" s="1" t="b">
        <f t="shared" si="18"/>
        <v>0</v>
      </c>
      <c r="O176" s="1" t="b">
        <f t="shared" si="19"/>
        <v>0</v>
      </c>
      <c r="P176" s="1" t="b">
        <f t="shared" si="20"/>
        <v>0</v>
      </c>
    </row>
    <row r="177" spans="1:16" x14ac:dyDescent="0.2">
      <c r="A177">
        <v>2957497</v>
      </c>
      <c r="B177" t="s">
        <v>397</v>
      </c>
      <c r="C177" t="s">
        <v>71</v>
      </c>
      <c r="D177" t="s">
        <v>56</v>
      </c>
      <c r="E177" s="1">
        <v>44661</v>
      </c>
      <c r="F177" t="s">
        <v>398</v>
      </c>
      <c r="G177" s="1">
        <v>44669</v>
      </c>
      <c r="I177" t="s">
        <v>25</v>
      </c>
      <c r="J177" s="1" t="b">
        <f t="shared" si="14"/>
        <v>0</v>
      </c>
      <c r="K177" s="1" t="b">
        <f t="shared" si="15"/>
        <v>0</v>
      </c>
      <c r="L177" s="1" t="b">
        <f t="shared" si="16"/>
        <v>1</v>
      </c>
      <c r="M177" s="1" t="b">
        <f t="shared" si="17"/>
        <v>0</v>
      </c>
      <c r="N177" s="1" t="b">
        <f t="shared" si="18"/>
        <v>0</v>
      </c>
      <c r="O177" s="1" t="b">
        <f t="shared" si="19"/>
        <v>0</v>
      </c>
      <c r="P177" s="1" t="b">
        <f t="shared" si="20"/>
        <v>0</v>
      </c>
    </row>
    <row r="178" spans="1:16" x14ac:dyDescent="0.2">
      <c r="A178">
        <v>3276065</v>
      </c>
      <c r="B178" t="s">
        <v>399</v>
      </c>
      <c r="C178" t="s">
        <v>59</v>
      </c>
      <c r="D178" t="s">
        <v>77</v>
      </c>
      <c r="E178" s="1">
        <v>44720</v>
      </c>
      <c r="F178" t="s">
        <v>400</v>
      </c>
      <c r="G178" s="1">
        <v>44749</v>
      </c>
      <c r="H178" s="1">
        <v>44776</v>
      </c>
      <c r="J178" s="1" t="b">
        <f t="shared" si="14"/>
        <v>1</v>
      </c>
      <c r="K178" s="1" t="b">
        <f t="shared" si="15"/>
        <v>0</v>
      </c>
      <c r="L178" s="1" t="b">
        <f t="shared" si="16"/>
        <v>0</v>
      </c>
      <c r="M178" s="1" t="b">
        <f t="shared" si="17"/>
        <v>0</v>
      </c>
      <c r="N178" s="1" t="b">
        <f t="shared" si="18"/>
        <v>0</v>
      </c>
      <c r="O178" s="1" t="b">
        <f t="shared" si="19"/>
        <v>0</v>
      </c>
      <c r="P178" s="1" t="b">
        <f t="shared" si="20"/>
        <v>0</v>
      </c>
    </row>
    <row r="179" spans="1:16" x14ac:dyDescent="0.2">
      <c r="A179">
        <v>3276065</v>
      </c>
      <c r="B179" t="s">
        <v>401</v>
      </c>
      <c r="C179" t="s">
        <v>59</v>
      </c>
      <c r="D179" t="s">
        <v>77</v>
      </c>
      <c r="E179" s="1">
        <v>44848</v>
      </c>
      <c r="F179" t="s">
        <v>402</v>
      </c>
      <c r="G179" s="1">
        <v>44850</v>
      </c>
      <c r="H179" s="1">
        <v>44895</v>
      </c>
      <c r="J179" s="1" t="b">
        <f t="shared" si="14"/>
        <v>1</v>
      </c>
      <c r="K179" s="1" t="b">
        <f t="shared" si="15"/>
        <v>0</v>
      </c>
      <c r="L179" s="1" t="b">
        <f t="shared" si="16"/>
        <v>0</v>
      </c>
      <c r="M179" s="1" t="b">
        <f t="shared" si="17"/>
        <v>0</v>
      </c>
      <c r="N179" s="1" t="b">
        <f t="shared" si="18"/>
        <v>0</v>
      </c>
      <c r="O179" s="1" t="b">
        <f t="shared" si="19"/>
        <v>0</v>
      </c>
      <c r="P179" s="1" t="b">
        <f t="shared" si="20"/>
        <v>0</v>
      </c>
    </row>
    <row r="180" spans="1:16" x14ac:dyDescent="0.2">
      <c r="A180">
        <v>3276065</v>
      </c>
      <c r="B180" t="s">
        <v>403</v>
      </c>
      <c r="C180" t="s">
        <v>59</v>
      </c>
      <c r="D180" t="s">
        <v>77</v>
      </c>
      <c r="E180" s="1">
        <v>44933</v>
      </c>
      <c r="F180" t="s">
        <v>404</v>
      </c>
      <c r="G180" s="1">
        <v>44937</v>
      </c>
      <c r="H180" s="1">
        <v>44981</v>
      </c>
      <c r="J180" s="1" t="b">
        <f t="shared" si="14"/>
        <v>1</v>
      </c>
      <c r="K180" s="1" t="b">
        <f t="shared" si="15"/>
        <v>0</v>
      </c>
      <c r="L180" s="1" t="b">
        <f t="shared" si="16"/>
        <v>0</v>
      </c>
      <c r="M180" s="1" t="b">
        <f t="shared" si="17"/>
        <v>0</v>
      </c>
      <c r="N180" s="1" t="b">
        <f t="shared" si="18"/>
        <v>0</v>
      </c>
      <c r="O180" s="1" t="b">
        <f t="shared" si="19"/>
        <v>0</v>
      </c>
      <c r="P180" s="1" t="b">
        <f t="shared" si="20"/>
        <v>0</v>
      </c>
    </row>
    <row r="181" spans="1:16" x14ac:dyDescent="0.2">
      <c r="A181">
        <v>7162857</v>
      </c>
      <c r="B181" t="s">
        <v>405</v>
      </c>
      <c r="C181" t="s">
        <v>18</v>
      </c>
      <c r="D181" t="s">
        <v>39</v>
      </c>
      <c r="E181" s="1">
        <v>45027</v>
      </c>
      <c r="F181" t="s">
        <v>406</v>
      </c>
      <c r="G181" s="1">
        <v>45030</v>
      </c>
      <c r="I181" t="s">
        <v>25</v>
      </c>
      <c r="J181" s="1" t="b">
        <f t="shared" si="14"/>
        <v>0</v>
      </c>
      <c r="K181" s="1" t="b">
        <f t="shared" si="15"/>
        <v>0</v>
      </c>
      <c r="L181" s="1" t="b">
        <f t="shared" si="16"/>
        <v>1</v>
      </c>
      <c r="M181" s="1" t="b">
        <f t="shared" si="17"/>
        <v>0</v>
      </c>
      <c r="N181" s="1" t="b">
        <f t="shared" si="18"/>
        <v>0</v>
      </c>
      <c r="O181" s="1" t="b">
        <f t="shared" si="19"/>
        <v>0</v>
      </c>
      <c r="P181" s="1" t="b">
        <f t="shared" si="20"/>
        <v>0</v>
      </c>
    </row>
    <row r="182" spans="1:16" x14ac:dyDescent="0.2">
      <c r="A182">
        <v>4558545</v>
      </c>
      <c r="B182" t="s">
        <v>407</v>
      </c>
      <c r="C182" t="s">
        <v>265</v>
      </c>
      <c r="D182" t="s">
        <v>81</v>
      </c>
      <c r="I182" t="s">
        <v>33</v>
      </c>
      <c r="J182" s="1" t="b">
        <f t="shared" si="14"/>
        <v>0</v>
      </c>
      <c r="K182" s="1" t="b">
        <f t="shared" si="15"/>
        <v>0</v>
      </c>
      <c r="L182" s="1" t="b">
        <f t="shared" si="16"/>
        <v>0</v>
      </c>
      <c r="M182" s="1" t="b">
        <f t="shared" si="17"/>
        <v>1</v>
      </c>
      <c r="N182" s="1" t="b">
        <f t="shared" si="18"/>
        <v>0</v>
      </c>
      <c r="O182" s="1" t="b">
        <f t="shared" si="19"/>
        <v>0</v>
      </c>
      <c r="P182" s="1" t="b">
        <f t="shared" si="20"/>
        <v>0</v>
      </c>
    </row>
    <row r="183" spans="1:16" x14ac:dyDescent="0.2">
      <c r="A183">
        <v>6595355</v>
      </c>
      <c r="B183" t="s">
        <v>408</v>
      </c>
      <c r="C183" t="s">
        <v>93</v>
      </c>
      <c r="D183" t="s">
        <v>187</v>
      </c>
      <c r="E183" s="1">
        <v>44774</v>
      </c>
      <c r="F183" t="s">
        <v>409</v>
      </c>
      <c r="G183" s="1">
        <v>44793</v>
      </c>
      <c r="I183" t="s">
        <v>13</v>
      </c>
      <c r="J183" s="1" t="b">
        <f t="shared" si="14"/>
        <v>0</v>
      </c>
      <c r="K183" s="1" t="b">
        <f t="shared" si="15"/>
        <v>1</v>
      </c>
      <c r="L183" s="1" t="b">
        <f t="shared" si="16"/>
        <v>0</v>
      </c>
      <c r="M183" s="1" t="b">
        <f t="shared" si="17"/>
        <v>0</v>
      </c>
      <c r="N183" s="1" t="b">
        <f t="shared" si="18"/>
        <v>0</v>
      </c>
      <c r="O183" s="1" t="b">
        <f t="shared" si="19"/>
        <v>0</v>
      </c>
      <c r="P183" s="1" t="b">
        <f t="shared" si="20"/>
        <v>0</v>
      </c>
    </row>
    <row r="184" spans="1:16" x14ac:dyDescent="0.2">
      <c r="A184">
        <v>6595355</v>
      </c>
      <c r="B184" t="s">
        <v>410</v>
      </c>
      <c r="C184" t="s">
        <v>93</v>
      </c>
      <c r="D184" t="s">
        <v>187</v>
      </c>
      <c r="E184" s="1">
        <v>44898</v>
      </c>
      <c r="F184" t="s">
        <v>411</v>
      </c>
      <c r="G184" s="1">
        <v>44923</v>
      </c>
      <c r="I184" t="s">
        <v>13</v>
      </c>
      <c r="J184" s="1" t="b">
        <f t="shared" si="14"/>
        <v>0</v>
      </c>
      <c r="K184" s="1" t="b">
        <f t="shared" si="15"/>
        <v>1</v>
      </c>
      <c r="L184" s="1" t="b">
        <f t="shared" si="16"/>
        <v>0</v>
      </c>
      <c r="M184" s="1" t="b">
        <f t="shared" si="17"/>
        <v>0</v>
      </c>
      <c r="N184" s="1" t="b">
        <f t="shared" si="18"/>
        <v>0</v>
      </c>
      <c r="O184" s="1" t="b">
        <f t="shared" si="19"/>
        <v>0</v>
      </c>
      <c r="P184" s="1" t="b">
        <f t="shared" si="20"/>
        <v>0</v>
      </c>
    </row>
    <row r="185" spans="1:16" x14ac:dyDescent="0.2">
      <c r="A185">
        <v>6595355</v>
      </c>
      <c r="B185" t="s">
        <v>412</v>
      </c>
      <c r="C185" t="s">
        <v>93</v>
      </c>
      <c r="D185" t="s">
        <v>187</v>
      </c>
      <c r="E185" s="1">
        <v>44564</v>
      </c>
      <c r="F185" t="s">
        <v>413</v>
      </c>
      <c r="G185" s="1">
        <v>44573</v>
      </c>
      <c r="I185" t="s">
        <v>13</v>
      </c>
      <c r="J185" s="1" t="b">
        <f t="shared" si="14"/>
        <v>0</v>
      </c>
      <c r="K185" s="1" t="b">
        <f t="shared" si="15"/>
        <v>1</v>
      </c>
      <c r="L185" s="1" t="b">
        <f t="shared" si="16"/>
        <v>0</v>
      </c>
      <c r="M185" s="1" t="b">
        <f t="shared" si="17"/>
        <v>0</v>
      </c>
      <c r="N185" s="1" t="b">
        <f t="shared" si="18"/>
        <v>0</v>
      </c>
      <c r="O185" s="1" t="b">
        <f t="shared" si="19"/>
        <v>0</v>
      </c>
      <c r="P185" s="1" t="b">
        <f t="shared" si="20"/>
        <v>0</v>
      </c>
    </row>
    <row r="186" spans="1:16" x14ac:dyDescent="0.2">
      <c r="A186">
        <v>6595355</v>
      </c>
      <c r="B186" t="s">
        <v>414</v>
      </c>
      <c r="C186" t="s">
        <v>93</v>
      </c>
      <c r="D186" t="s">
        <v>187</v>
      </c>
      <c r="E186" s="1">
        <v>44818</v>
      </c>
      <c r="F186" t="s">
        <v>415</v>
      </c>
      <c r="G186" s="1">
        <v>44844</v>
      </c>
      <c r="H186" s="1">
        <v>44856</v>
      </c>
      <c r="I186" t="s">
        <v>43</v>
      </c>
      <c r="J186" s="1" t="b">
        <f t="shared" si="14"/>
        <v>1</v>
      </c>
      <c r="K186" s="1" t="b">
        <f t="shared" si="15"/>
        <v>0</v>
      </c>
      <c r="L186" s="1" t="b">
        <f t="shared" si="16"/>
        <v>0</v>
      </c>
      <c r="M186" s="1" t="b">
        <f t="shared" si="17"/>
        <v>0</v>
      </c>
      <c r="N186" s="1" t="b">
        <f t="shared" si="18"/>
        <v>0</v>
      </c>
      <c r="O186" s="1" t="b">
        <f t="shared" si="19"/>
        <v>1</v>
      </c>
      <c r="P186" s="1" t="b">
        <f t="shared" si="20"/>
        <v>0</v>
      </c>
    </row>
    <row r="187" spans="1:16" x14ac:dyDescent="0.2">
      <c r="A187">
        <v>6595355</v>
      </c>
      <c r="B187" t="s">
        <v>416</v>
      </c>
      <c r="C187" t="s">
        <v>93</v>
      </c>
      <c r="D187" t="s">
        <v>187</v>
      </c>
      <c r="E187" s="1">
        <v>44696</v>
      </c>
      <c r="F187" t="s">
        <v>417</v>
      </c>
      <c r="G187" s="1">
        <v>44697</v>
      </c>
      <c r="I187" t="s">
        <v>13</v>
      </c>
      <c r="J187" s="1" t="b">
        <f t="shared" si="14"/>
        <v>0</v>
      </c>
      <c r="K187" s="1" t="b">
        <f t="shared" si="15"/>
        <v>1</v>
      </c>
      <c r="L187" s="1" t="b">
        <f t="shared" si="16"/>
        <v>0</v>
      </c>
      <c r="M187" s="1" t="b">
        <f t="shared" si="17"/>
        <v>0</v>
      </c>
      <c r="N187" s="1" t="b">
        <f t="shared" si="18"/>
        <v>0</v>
      </c>
      <c r="O187" s="1" t="b">
        <f t="shared" si="19"/>
        <v>0</v>
      </c>
      <c r="P187" s="1" t="b">
        <f t="shared" si="20"/>
        <v>0</v>
      </c>
    </row>
    <row r="188" spans="1:16" x14ac:dyDescent="0.2">
      <c r="A188">
        <v>7010308</v>
      </c>
      <c r="B188" t="s">
        <v>418</v>
      </c>
      <c r="C188" t="s">
        <v>47</v>
      </c>
      <c r="D188" t="s">
        <v>19</v>
      </c>
      <c r="E188" s="1">
        <v>44615</v>
      </c>
      <c r="F188" t="s">
        <v>419</v>
      </c>
      <c r="G188" s="1">
        <v>44620</v>
      </c>
      <c r="I188" t="s">
        <v>25</v>
      </c>
      <c r="J188" s="1" t="b">
        <f t="shared" si="14"/>
        <v>0</v>
      </c>
      <c r="K188" s="1" t="b">
        <f t="shared" si="15"/>
        <v>0</v>
      </c>
      <c r="L188" s="1" t="b">
        <f t="shared" si="16"/>
        <v>1</v>
      </c>
      <c r="M188" s="1" t="b">
        <f t="shared" si="17"/>
        <v>0</v>
      </c>
      <c r="N188" s="1" t="b">
        <f t="shared" si="18"/>
        <v>0</v>
      </c>
      <c r="O188" s="1" t="b">
        <f t="shared" si="19"/>
        <v>0</v>
      </c>
      <c r="P188" s="1" t="b">
        <f t="shared" si="20"/>
        <v>0</v>
      </c>
    </row>
    <row r="189" spans="1:16" x14ac:dyDescent="0.2">
      <c r="A189">
        <v>7010308</v>
      </c>
      <c r="B189" t="s">
        <v>420</v>
      </c>
      <c r="C189" t="s">
        <v>47</v>
      </c>
      <c r="D189" t="s">
        <v>19</v>
      </c>
      <c r="E189" s="1">
        <v>45049</v>
      </c>
      <c r="F189" t="s">
        <v>421</v>
      </c>
      <c r="G189" s="1">
        <v>45064</v>
      </c>
      <c r="H189" s="1">
        <v>45114</v>
      </c>
      <c r="I189" t="s">
        <v>16</v>
      </c>
      <c r="J189" s="1" t="b">
        <f t="shared" si="14"/>
        <v>1</v>
      </c>
      <c r="K189" s="1" t="b">
        <f t="shared" si="15"/>
        <v>0</v>
      </c>
      <c r="L189" s="1" t="b">
        <f t="shared" si="16"/>
        <v>0</v>
      </c>
      <c r="M189" s="1" t="b">
        <f t="shared" si="17"/>
        <v>0</v>
      </c>
      <c r="N189" s="1" t="b">
        <f t="shared" si="18"/>
        <v>1</v>
      </c>
      <c r="O189" s="1" t="b">
        <f t="shared" si="19"/>
        <v>0</v>
      </c>
      <c r="P189" s="1" t="b">
        <f t="shared" si="20"/>
        <v>0</v>
      </c>
    </row>
    <row r="190" spans="1:16" x14ac:dyDescent="0.2">
      <c r="A190">
        <v>7010308</v>
      </c>
      <c r="B190" t="s">
        <v>422</v>
      </c>
      <c r="C190" t="s">
        <v>47</v>
      </c>
      <c r="D190" t="s">
        <v>19</v>
      </c>
      <c r="E190" s="1">
        <v>44788</v>
      </c>
      <c r="F190" t="s">
        <v>423</v>
      </c>
      <c r="G190" s="1">
        <v>44808</v>
      </c>
      <c r="H190" s="1">
        <v>44811</v>
      </c>
      <c r="I190" t="s">
        <v>16</v>
      </c>
      <c r="J190" s="1" t="b">
        <f t="shared" si="14"/>
        <v>1</v>
      </c>
      <c r="K190" s="1" t="b">
        <f t="shared" si="15"/>
        <v>0</v>
      </c>
      <c r="L190" s="1" t="b">
        <f t="shared" si="16"/>
        <v>0</v>
      </c>
      <c r="M190" s="1" t="b">
        <f t="shared" si="17"/>
        <v>0</v>
      </c>
      <c r="N190" s="1" t="b">
        <f t="shared" si="18"/>
        <v>1</v>
      </c>
      <c r="O190" s="1" t="b">
        <f t="shared" si="19"/>
        <v>0</v>
      </c>
      <c r="P190" s="1" t="b">
        <f t="shared" si="20"/>
        <v>0</v>
      </c>
    </row>
    <row r="191" spans="1:16" x14ac:dyDescent="0.2">
      <c r="A191">
        <v>7010308</v>
      </c>
      <c r="B191" t="s">
        <v>424</v>
      </c>
      <c r="C191" t="s">
        <v>47</v>
      </c>
      <c r="D191" t="s">
        <v>19</v>
      </c>
      <c r="E191" s="1">
        <v>44593</v>
      </c>
      <c r="F191" t="s">
        <v>425</v>
      </c>
      <c r="G191" s="1">
        <v>44595</v>
      </c>
      <c r="H191" s="1">
        <v>44626</v>
      </c>
      <c r="I191" t="s">
        <v>28</v>
      </c>
      <c r="J191" s="1" t="b">
        <f t="shared" si="14"/>
        <v>1</v>
      </c>
      <c r="K191" s="1" t="b">
        <f t="shared" si="15"/>
        <v>0</v>
      </c>
      <c r="L191" s="1" t="b">
        <f t="shared" si="16"/>
        <v>0</v>
      </c>
      <c r="M191" s="1" t="b">
        <f t="shared" si="17"/>
        <v>0</v>
      </c>
      <c r="N191" s="1" t="b">
        <f t="shared" si="18"/>
        <v>0</v>
      </c>
      <c r="O191" s="1" t="b">
        <f t="shared" si="19"/>
        <v>0</v>
      </c>
      <c r="P191" s="1" t="b">
        <f t="shared" si="20"/>
        <v>1</v>
      </c>
    </row>
    <row r="192" spans="1:16" x14ac:dyDescent="0.2">
      <c r="A192">
        <v>7010308</v>
      </c>
      <c r="B192" t="s">
        <v>426</v>
      </c>
      <c r="C192" t="s">
        <v>47</v>
      </c>
      <c r="D192" t="s">
        <v>19</v>
      </c>
      <c r="E192" s="1">
        <v>45064</v>
      </c>
      <c r="F192" t="s">
        <v>427</v>
      </c>
      <c r="G192" s="1">
        <v>45087</v>
      </c>
      <c r="H192" s="1">
        <v>45146</v>
      </c>
      <c r="J192" s="1" t="b">
        <f t="shared" si="14"/>
        <v>1</v>
      </c>
      <c r="K192" s="1" t="b">
        <f t="shared" si="15"/>
        <v>0</v>
      </c>
      <c r="L192" s="1" t="b">
        <f t="shared" si="16"/>
        <v>0</v>
      </c>
      <c r="M192" s="1" t="b">
        <f t="shared" si="17"/>
        <v>0</v>
      </c>
      <c r="N192" s="1" t="b">
        <f t="shared" si="18"/>
        <v>0</v>
      </c>
      <c r="O192" s="1" t="b">
        <f t="shared" si="19"/>
        <v>0</v>
      </c>
      <c r="P192" s="1" t="b">
        <f t="shared" si="20"/>
        <v>0</v>
      </c>
    </row>
    <row r="193" spans="1:16" x14ac:dyDescent="0.2">
      <c r="A193">
        <v>8441741</v>
      </c>
      <c r="B193" t="s">
        <v>428</v>
      </c>
      <c r="C193" t="s">
        <v>76</v>
      </c>
      <c r="D193" t="s">
        <v>122</v>
      </c>
      <c r="E193" s="1">
        <v>44894</v>
      </c>
      <c r="F193" t="s">
        <v>429</v>
      </c>
      <c r="G193" s="1">
        <v>44907</v>
      </c>
      <c r="H193" s="1">
        <v>44946</v>
      </c>
      <c r="I193" t="s">
        <v>16</v>
      </c>
      <c r="J193" s="1" t="b">
        <f t="shared" si="14"/>
        <v>1</v>
      </c>
      <c r="K193" s="1" t="b">
        <f t="shared" si="15"/>
        <v>0</v>
      </c>
      <c r="L193" s="1" t="b">
        <f t="shared" si="16"/>
        <v>0</v>
      </c>
      <c r="M193" s="1" t="b">
        <f t="shared" si="17"/>
        <v>0</v>
      </c>
      <c r="N193" s="1" t="b">
        <f t="shared" si="18"/>
        <v>1</v>
      </c>
      <c r="O193" s="1" t="b">
        <f t="shared" si="19"/>
        <v>0</v>
      </c>
      <c r="P193" s="1" t="b">
        <f t="shared" si="20"/>
        <v>0</v>
      </c>
    </row>
    <row r="194" spans="1:16" x14ac:dyDescent="0.2">
      <c r="A194">
        <v>8441741</v>
      </c>
      <c r="B194" t="s">
        <v>430</v>
      </c>
      <c r="C194" t="s">
        <v>76</v>
      </c>
      <c r="D194" t="s">
        <v>122</v>
      </c>
      <c r="E194" s="1">
        <v>45002</v>
      </c>
      <c r="F194" t="s">
        <v>431</v>
      </c>
      <c r="G194" s="1">
        <v>45006</v>
      </c>
      <c r="H194" s="1">
        <v>45057</v>
      </c>
      <c r="J194" s="1" t="b">
        <f t="shared" si="14"/>
        <v>1</v>
      </c>
      <c r="K194" s="1" t="b">
        <f t="shared" si="15"/>
        <v>0</v>
      </c>
      <c r="L194" s="1" t="b">
        <f t="shared" si="16"/>
        <v>0</v>
      </c>
      <c r="M194" s="1" t="b">
        <f t="shared" si="17"/>
        <v>0</v>
      </c>
      <c r="N194" s="1" t="b">
        <f t="shared" si="18"/>
        <v>0</v>
      </c>
      <c r="O194" s="1" t="b">
        <f t="shared" si="19"/>
        <v>0</v>
      </c>
      <c r="P194" s="1" t="b">
        <f t="shared" si="20"/>
        <v>0</v>
      </c>
    </row>
    <row r="195" spans="1:16" x14ac:dyDescent="0.2">
      <c r="A195">
        <v>8441741</v>
      </c>
      <c r="B195" t="s">
        <v>432</v>
      </c>
      <c r="C195" t="s">
        <v>76</v>
      </c>
      <c r="D195" t="s">
        <v>122</v>
      </c>
      <c r="E195" s="1">
        <v>44795</v>
      </c>
      <c r="F195" t="s">
        <v>433</v>
      </c>
      <c r="G195" s="1">
        <v>44809</v>
      </c>
      <c r="H195" s="1">
        <v>44831</v>
      </c>
      <c r="I195" t="s">
        <v>43</v>
      </c>
      <c r="J195" s="1" t="b">
        <f t="shared" ref="J195:J258" si="21">AND(NOT(ISBLANK(H195)), NOT(OR(ISNUMBER(SEARCH("decline", I195)), ISNUMBER(SEARCH("rescind", I195)), ISNUMBER(SEARCH("cancel", I195)))))</f>
        <v>1</v>
      </c>
      <c r="K195" s="1" t="b">
        <f t="shared" ref="K195:K258" si="22">ISNUMBER(SEARCH("decline", I195))</f>
        <v>0</v>
      </c>
      <c r="L195" s="1" t="b">
        <f t="shared" ref="L195:L258" si="23">ISNUMBER(SEARCH("rescind", I195))</f>
        <v>0</v>
      </c>
      <c r="M195" s="1" t="b">
        <f t="shared" ref="M195:M258" si="24">ISNUMBER(SEARCH("cancel", I195))</f>
        <v>0</v>
      </c>
      <c r="N195" s="1" t="b">
        <f t="shared" ref="N195:N258" si="25">ISNUMBER(SEARCH("transfer", I195))</f>
        <v>0</v>
      </c>
      <c r="O195" s="1" t="b">
        <f t="shared" ref="O195:O258" si="26">ISNUMBER(SEARCH("promo", I195))</f>
        <v>1</v>
      </c>
      <c r="P195" s="1" t="b">
        <f t="shared" ref="P195:P258" si="27">ISNUMBER(SEARCH("new", I195))</f>
        <v>0</v>
      </c>
    </row>
    <row r="196" spans="1:16" x14ac:dyDescent="0.2">
      <c r="A196">
        <v>8608449</v>
      </c>
      <c r="B196" t="s">
        <v>434</v>
      </c>
      <c r="C196" t="s">
        <v>59</v>
      </c>
      <c r="D196" t="s">
        <v>60</v>
      </c>
      <c r="E196" s="1">
        <v>44823</v>
      </c>
      <c r="F196" t="s">
        <v>313</v>
      </c>
      <c r="G196" s="1">
        <v>44835</v>
      </c>
      <c r="I196" t="s">
        <v>25</v>
      </c>
      <c r="J196" s="1" t="b">
        <f t="shared" si="21"/>
        <v>0</v>
      </c>
      <c r="K196" s="1" t="b">
        <f t="shared" si="22"/>
        <v>0</v>
      </c>
      <c r="L196" s="1" t="b">
        <f t="shared" si="23"/>
        <v>1</v>
      </c>
      <c r="M196" s="1" t="b">
        <f t="shared" si="24"/>
        <v>0</v>
      </c>
      <c r="N196" s="1" t="b">
        <f t="shared" si="25"/>
        <v>0</v>
      </c>
      <c r="O196" s="1" t="b">
        <f t="shared" si="26"/>
        <v>0</v>
      </c>
      <c r="P196" s="1" t="b">
        <f t="shared" si="27"/>
        <v>0</v>
      </c>
    </row>
    <row r="197" spans="1:16" x14ac:dyDescent="0.2">
      <c r="A197">
        <v>3560856</v>
      </c>
      <c r="B197" t="s">
        <v>435</v>
      </c>
      <c r="C197" t="s">
        <v>167</v>
      </c>
      <c r="D197" t="s">
        <v>77</v>
      </c>
      <c r="I197" t="s">
        <v>33</v>
      </c>
      <c r="J197" s="1" t="b">
        <f t="shared" si="21"/>
        <v>0</v>
      </c>
      <c r="K197" s="1" t="b">
        <f t="shared" si="22"/>
        <v>0</v>
      </c>
      <c r="L197" s="1" t="b">
        <f t="shared" si="23"/>
        <v>0</v>
      </c>
      <c r="M197" s="1" t="b">
        <f t="shared" si="24"/>
        <v>1</v>
      </c>
      <c r="N197" s="1" t="b">
        <f t="shared" si="25"/>
        <v>0</v>
      </c>
      <c r="O197" s="1" t="b">
        <f t="shared" si="26"/>
        <v>0</v>
      </c>
      <c r="P197" s="1" t="b">
        <f t="shared" si="27"/>
        <v>0</v>
      </c>
    </row>
    <row r="198" spans="1:16" x14ac:dyDescent="0.2">
      <c r="A198">
        <v>2432176</v>
      </c>
      <c r="B198" t="s">
        <v>436</v>
      </c>
      <c r="C198" t="s">
        <v>76</v>
      </c>
      <c r="D198" t="s">
        <v>60</v>
      </c>
      <c r="E198" s="1">
        <v>44623</v>
      </c>
      <c r="F198" t="s">
        <v>437</v>
      </c>
      <c r="G198" s="1">
        <v>44642</v>
      </c>
      <c r="H198" s="1">
        <v>44678</v>
      </c>
      <c r="I198" t="s">
        <v>28</v>
      </c>
      <c r="J198" s="1" t="b">
        <f t="shared" si="21"/>
        <v>1</v>
      </c>
      <c r="K198" s="1" t="b">
        <f t="shared" si="22"/>
        <v>0</v>
      </c>
      <c r="L198" s="1" t="b">
        <f t="shared" si="23"/>
        <v>0</v>
      </c>
      <c r="M198" s="1" t="b">
        <f t="shared" si="24"/>
        <v>0</v>
      </c>
      <c r="N198" s="1" t="b">
        <f t="shared" si="25"/>
        <v>0</v>
      </c>
      <c r="O198" s="1" t="b">
        <f t="shared" si="26"/>
        <v>0</v>
      </c>
      <c r="P198" s="1" t="b">
        <f t="shared" si="27"/>
        <v>1</v>
      </c>
    </row>
    <row r="199" spans="1:16" x14ac:dyDescent="0.2">
      <c r="A199">
        <v>6530541</v>
      </c>
      <c r="B199" t="s">
        <v>438</v>
      </c>
      <c r="C199" t="s">
        <v>167</v>
      </c>
      <c r="D199" t="s">
        <v>122</v>
      </c>
      <c r="E199" s="1">
        <v>44995</v>
      </c>
      <c r="F199" t="s">
        <v>439</v>
      </c>
      <c r="G199" s="1">
        <v>45023</v>
      </c>
      <c r="I199" t="s">
        <v>25</v>
      </c>
      <c r="J199" s="1" t="b">
        <f t="shared" si="21"/>
        <v>0</v>
      </c>
      <c r="K199" s="1" t="b">
        <f t="shared" si="22"/>
        <v>0</v>
      </c>
      <c r="L199" s="1" t="b">
        <f t="shared" si="23"/>
        <v>1</v>
      </c>
      <c r="M199" s="1" t="b">
        <f t="shared" si="24"/>
        <v>0</v>
      </c>
      <c r="N199" s="1" t="b">
        <f t="shared" si="25"/>
        <v>0</v>
      </c>
      <c r="O199" s="1" t="b">
        <f t="shared" si="26"/>
        <v>0</v>
      </c>
      <c r="P199" s="1" t="b">
        <f t="shared" si="27"/>
        <v>0</v>
      </c>
    </row>
    <row r="200" spans="1:16" x14ac:dyDescent="0.2">
      <c r="A200">
        <v>6530541</v>
      </c>
      <c r="B200" t="s">
        <v>440</v>
      </c>
      <c r="C200" t="s">
        <v>167</v>
      </c>
      <c r="D200" t="s">
        <v>122</v>
      </c>
      <c r="E200" s="1">
        <v>44881</v>
      </c>
      <c r="F200" t="s">
        <v>441</v>
      </c>
      <c r="G200" s="1">
        <v>44893</v>
      </c>
      <c r="H200" s="1">
        <v>44900</v>
      </c>
      <c r="I200" t="s">
        <v>16</v>
      </c>
      <c r="J200" s="1" t="b">
        <f t="shared" si="21"/>
        <v>1</v>
      </c>
      <c r="K200" s="1" t="b">
        <f t="shared" si="22"/>
        <v>0</v>
      </c>
      <c r="L200" s="1" t="b">
        <f t="shared" si="23"/>
        <v>0</v>
      </c>
      <c r="M200" s="1" t="b">
        <f t="shared" si="24"/>
        <v>0</v>
      </c>
      <c r="N200" s="1" t="b">
        <f t="shared" si="25"/>
        <v>1</v>
      </c>
      <c r="O200" s="1" t="b">
        <f t="shared" si="26"/>
        <v>0</v>
      </c>
      <c r="P200" s="1" t="b">
        <f t="shared" si="27"/>
        <v>0</v>
      </c>
    </row>
    <row r="201" spans="1:16" x14ac:dyDescent="0.2">
      <c r="A201">
        <v>6530541</v>
      </c>
      <c r="B201" t="s">
        <v>442</v>
      </c>
      <c r="C201" t="s">
        <v>167</v>
      </c>
      <c r="D201" t="s">
        <v>122</v>
      </c>
      <c r="E201" s="1">
        <v>45055</v>
      </c>
      <c r="F201" t="s">
        <v>443</v>
      </c>
      <c r="G201" s="1">
        <v>45063</v>
      </c>
      <c r="H201" s="1">
        <v>45118</v>
      </c>
      <c r="I201" t="s">
        <v>43</v>
      </c>
      <c r="J201" s="1" t="b">
        <f t="shared" si="21"/>
        <v>1</v>
      </c>
      <c r="K201" s="1" t="b">
        <f t="shared" si="22"/>
        <v>0</v>
      </c>
      <c r="L201" s="1" t="b">
        <f t="shared" si="23"/>
        <v>0</v>
      </c>
      <c r="M201" s="1" t="b">
        <f t="shared" si="24"/>
        <v>0</v>
      </c>
      <c r="N201" s="1" t="b">
        <f t="shared" si="25"/>
        <v>0</v>
      </c>
      <c r="O201" s="1" t="b">
        <f t="shared" si="26"/>
        <v>1</v>
      </c>
      <c r="P201" s="1" t="b">
        <f t="shared" si="27"/>
        <v>0</v>
      </c>
    </row>
    <row r="202" spans="1:16" x14ac:dyDescent="0.2">
      <c r="A202">
        <v>6530541</v>
      </c>
      <c r="B202" t="s">
        <v>444</v>
      </c>
      <c r="C202" t="s">
        <v>167</v>
      </c>
      <c r="D202" t="s">
        <v>122</v>
      </c>
      <c r="E202" s="1">
        <v>44938</v>
      </c>
      <c r="F202" t="s">
        <v>445</v>
      </c>
      <c r="G202" s="1">
        <v>44942</v>
      </c>
      <c r="I202" t="s">
        <v>13</v>
      </c>
      <c r="J202" s="1" t="b">
        <f t="shared" si="21"/>
        <v>0</v>
      </c>
      <c r="K202" s="1" t="b">
        <f t="shared" si="22"/>
        <v>1</v>
      </c>
      <c r="L202" s="1" t="b">
        <f t="shared" si="23"/>
        <v>0</v>
      </c>
      <c r="M202" s="1" t="b">
        <f t="shared" si="24"/>
        <v>0</v>
      </c>
      <c r="N202" s="1" t="b">
        <f t="shared" si="25"/>
        <v>0</v>
      </c>
      <c r="O202" s="1" t="b">
        <f t="shared" si="26"/>
        <v>0</v>
      </c>
      <c r="P202" s="1" t="b">
        <f t="shared" si="27"/>
        <v>0</v>
      </c>
    </row>
    <row r="203" spans="1:16" x14ac:dyDescent="0.2">
      <c r="A203">
        <v>5673599</v>
      </c>
      <c r="B203" t="s">
        <v>446</v>
      </c>
      <c r="C203" t="s">
        <v>32</v>
      </c>
      <c r="D203" t="s">
        <v>19</v>
      </c>
      <c r="E203" s="1">
        <v>44835</v>
      </c>
      <c r="F203" t="s">
        <v>447</v>
      </c>
      <c r="G203" s="1">
        <v>44836</v>
      </c>
      <c r="H203" s="1">
        <v>44848</v>
      </c>
      <c r="I203" t="s">
        <v>16</v>
      </c>
      <c r="J203" s="1" t="b">
        <f t="shared" si="21"/>
        <v>1</v>
      </c>
      <c r="K203" s="1" t="b">
        <f t="shared" si="22"/>
        <v>0</v>
      </c>
      <c r="L203" s="1" t="b">
        <f t="shared" si="23"/>
        <v>0</v>
      </c>
      <c r="M203" s="1" t="b">
        <f t="shared" si="24"/>
        <v>0</v>
      </c>
      <c r="N203" s="1" t="b">
        <f t="shared" si="25"/>
        <v>1</v>
      </c>
      <c r="O203" s="1" t="b">
        <f t="shared" si="26"/>
        <v>0</v>
      </c>
      <c r="P203" s="1" t="b">
        <f t="shared" si="27"/>
        <v>0</v>
      </c>
    </row>
    <row r="204" spans="1:16" x14ac:dyDescent="0.2">
      <c r="A204">
        <v>5673599</v>
      </c>
      <c r="B204" t="s">
        <v>448</v>
      </c>
      <c r="C204" t="s">
        <v>32</v>
      </c>
      <c r="D204" t="s">
        <v>19</v>
      </c>
      <c r="E204" s="1">
        <v>44909</v>
      </c>
      <c r="F204" t="s">
        <v>449</v>
      </c>
      <c r="G204" s="1">
        <v>44921</v>
      </c>
      <c r="I204" t="s">
        <v>25</v>
      </c>
      <c r="J204" s="1" t="b">
        <f t="shared" si="21"/>
        <v>0</v>
      </c>
      <c r="K204" s="1" t="b">
        <f t="shared" si="22"/>
        <v>0</v>
      </c>
      <c r="L204" s="1" t="b">
        <f t="shared" si="23"/>
        <v>1</v>
      </c>
      <c r="M204" s="1" t="b">
        <f t="shared" si="24"/>
        <v>0</v>
      </c>
      <c r="N204" s="1" t="b">
        <f t="shared" si="25"/>
        <v>0</v>
      </c>
      <c r="O204" s="1" t="b">
        <f t="shared" si="26"/>
        <v>0</v>
      </c>
      <c r="P204" s="1" t="b">
        <f t="shared" si="27"/>
        <v>0</v>
      </c>
    </row>
    <row r="205" spans="1:16" x14ac:dyDescent="0.2">
      <c r="A205">
        <v>5673599</v>
      </c>
      <c r="B205" t="s">
        <v>450</v>
      </c>
      <c r="C205" t="s">
        <v>32</v>
      </c>
      <c r="D205" t="s">
        <v>19</v>
      </c>
      <c r="E205" s="1">
        <v>44972</v>
      </c>
      <c r="F205" t="s">
        <v>337</v>
      </c>
      <c r="G205" s="1">
        <v>44975</v>
      </c>
      <c r="I205" t="s">
        <v>13</v>
      </c>
      <c r="J205" s="1" t="b">
        <f t="shared" si="21"/>
        <v>0</v>
      </c>
      <c r="K205" s="1" t="b">
        <f t="shared" si="22"/>
        <v>1</v>
      </c>
      <c r="L205" s="1" t="b">
        <f t="shared" si="23"/>
        <v>0</v>
      </c>
      <c r="M205" s="1" t="b">
        <f t="shared" si="24"/>
        <v>0</v>
      </c>
      <c r="N205" s="1" t="b">
        <f t="shared" si="25"/>
        <v>0</v>
      </c>
      <c r="O205" s="1" t="b">
        <f t="shared" si="26"/>
        <v>0</v>
      </c>
      <c r="P205" s="1" t="b">
        <f t="shared" si="27"/>
        <v>0</v>
      </c>
    </row>
    <row r="206" spans="1:16" x14ac:dyDescent="0.2">
      <c r="A206">
        <v>5673599</v>
      </c>
      <c r="B206" t="s">
        <v>451</v>
      </c>
      <c r="C206" t="s">
        <v>32</v>
      </c>
      <c r="D206" t="s">
        <v>19</v>
      </c>
      <c r="E206" s="1">
        <v>44655</v>
      </c>
      <c r="F206" t="s">
        <v>452</v>
      </c>
      <c r="G206" s="1">
        <v>44679</v>
      </c>
      <c r="I206" t="s">
        <v>13</v>
      </c>
      <c r="J206" s="1" t="b">
        <f t="shared" si="21"/>
        <v>0</v>
      </c>
      <c r="K206" s="1" t="b">
        <f t="shared" si="22"/>
        <v>1</v>
      </c>
      <c r="L206" s="1" t="b">
        <f t="shared" si="23"/>
        <v>0</v>
      </c>
      <c r="M206" s="1" t="b">
        <f t="shared" si="24"/>
        <v>0</v>
      </c>
      <c r="N206" s="1" t="b">
        <f t="shared" si="25"/>
        <v>0</v>
      </c>
      <c r="O206" s="1" t="b">
        <f t="shared" si="26"/>
        <v>0</v>
      </c>
      <c r="P206" s="1" t="b">
        <f t="shared" si="27"/>
        <v>0</v>
      </c>
    </row>
    <row r="207" spans="1:16" x14ac:dyDescent="0.2">
      <c r="A207">
        <v>9900022</v>
      </c>
      <c r="B207" t="s">
        <v>453</v>
      </c>
      <c r="C207" t="s">
        <v>454</v>
      </c>
      <c r="D207" t="s">
        <v>60</v>
      </c>
      <c r="E207" s="1">
        <v>44894</v>
      </c>
      <c r="F207" t="s">
        <v>455</v>
      </c>
      <c r="G207" s="1">
        <v>44919</v>
      </c>
      <c r="H207" s="1">
        <v>44956</v>
      </c>
      <c r="I207" t="s">
        <v>43</v>
      </c>
      <c r="J207" s="1" t="b">
        <f t="shared" si="21"/>
        <v>1</v>
      </c>
      <c r="K207" s="1" t="b">
        <f t="shared" si="22"/>
        <v>0</v>
      </c>
      <c r="L207" s="1" t="b">
        <f t="shared" si="23"/>
        <v>0</v>
      </c>
      <c r="M207" s="1" t="b">
        <f t="shared" si="24"/>
        <v>0</v>
      </c>
      <c r="N207" s="1" t="b">
        <f t="shared" si="25"/>
        <v>0</v>
      </c>
      <c r="O207" s="1" t="b">
        <f t="shared" si="26"/>
        <v>1</v>
      </c>
      <c r="P207" s="1" t="b">
        <f t="shared" si="27"/>
        <v>0</v>
      </c>
    </row>
    <row r="208" spans="1:16" x14ac:dyDescent="0.2">
      <c r="A208">
        <v>9900022</v>
      </c>
      <c r="B208" t="s">
        <v>456</v>
      </c>
      <c r="C208" t="s">
        <v>454</v>
      </c>
      <c r="D208" t="s">
        <v>60</v>
      </c>
      <c r="E208" s="1">
        <v>44612</v>
      </c>
      <c r="F208" t="s">
        <v>457</v>
      </c>
      <c r="G208" s="1">
        <v>44634</v>
      </c>
      <c r="H208" s="1">
        <v>44640</v>
      </c>
      <c r="I208" t="s">
        <v>16</v>
      </c>
      <c r="J208" s="1" t="b">
        <f t="shared" si="21"/>
        <v>1</v>
      </c>
      <c r="K208" s="1" t="b">
        <f t="shared" si="22"/>
        <v>0</v>
      </c>
      <c r="L208" s="1" t="b">
        <f t="shared" si="23"/>
        <v>0</v>
      </c>
      <c r="M208" s="1" t="b">
        <f t="shared" si="24"/>
        <v>0</v>
      </c>
      <c r="N208" s="1" t="b">
        <f t="shared" si="25"/>
        <v>1</v>
      </c>
      <c r="O208" s="1" t="b">
        <f t="shared" si="26"/>
        <v>0</v>
      </c>
      <c r="P208" s="1" t="b">
        <f t="shared" si="27"/>
        <v>0</v>
      </c>
    </row>
    <row r="209" spans="1:16" x14ac:dyDescent="0.2">
      <c r="A209">
        <v>9900022</v>
      </c>
      <c r="B209" t="s">
        <v>458</v>
      </c>
      <c r="C209" t="s">
        <v>454</v>
      </c>
      <c r="D209" t="s">
        <v>60</v>
      </c>
      <c r="E209" s="1">
        <v>45059</v>
      </c>
      <c r="F209" t="s">
        <v>459</v>
      </c>
      <c r="G209" s="1">
        <v>45079</v>
      </c>
      <c r="I209" t="s">
        <v>25</v>
      </c>
      <c r="J209" s="1" t="b">
        <f t="shared" si="21"/>
        <v>0</v>
      </c>
      <c r="K209" s="1" t="b">
        <f t="shared" si="22"/>
        <v>0</v>
      </c>
      <c r="L209" s="1" t="b">
        <f t="shared" si="23"/>
        <v>1</v>
      </c>
      <c r="M209" s="1" t="b">
        <f t="shared" si="24"/>
        <v>0</v>
      </c>
      <c r="N209" s="1" t="b">
        <f t="shared" si="25"/>
        <v>0</v>
      </c>
      <c r="O209" s="1" t="b">
        <f t="shared" si="26"/>
        <v>0</v>
      </c>
      <c r="P209" s="1" t="b">
        <f t="shared" si="27"/>
        <v>0</v>
      </c>
    </row>
    <row r="210" spans="1:16" x14ac:dyDescent="0.2">
      <c r="A210">
        <v>9900022</v>
      </c>
      <c r="B210" t="s">
        <v>460</v>
      </c>
      <c r="C210" t="s">
        <v>454</v>
      </c>
      <c r="D210" t="s">
        <v>60</v>
      </c>
      <c r="E210" s="1">
        <v>45086</v>
      </c>
      <c r="F210" t="s">
        <v>461</v>
      </c>
      <c r="G210" s="1">
        <v>45090</v>
      </c>
      <c r="H210" s="1">
        <v>45113</v>
      </c>
      <c r="I210" t="s">
        <v>28</v>
      </c>
      <c r="J210" s="1" t="b">
        <f t="shared" si="21"/>
        <v>1</v>
      </c>
      <c r="K210" s="1" t="b">
        <f t="shared" si="22"/>
        <v>0</v>
      </c>
      <c r="L210" s="1" t="b">
        <f t="shared" si="23"/>
        <v>0</v>
      </c>
      <c r="M210" s="1" t="b">
        <f t="shared" si="24"/>
        <v>0</v>
      </c>
      <c r="N210" s="1" t="b">
        <f t="shared" si="25"/>
        <v>0</v>
      </c>
      <c r="O210" s="1" t="b">
        <f t="shared" si="26"/>
        <v>0</v>
      </c>
      <c r="P210" s="1" t="b">
        <f t="shared" si="27"/>
        <v>1</v>
      </c>
    </row>
    <row r="211" spans="1:16" x14ac:dyDescent="0.2">
      <c r="A211">
        <v>8212753</v>
      </c>
      <c r="B211" t="s">
        <v>462</v>
      </c>
      <c r="C211" t="s">
        <v>176</v>
      </c>
      <c r="D211" t="s">
        <v>11</v>
      </c>
      <c r="E211" s="1">
        <v>44966</v>
      </c>
      <c r="F211" t="s">
        <v>463</v>
      </c>
      <c r="G211" s="1">
        <v>44986</v>
      </c>
      <c r="H211" s="1">
        <v>44990</v>
      </c>
      <c r="I211" t="s">
        <v>28</v>
      </c>
      <c r="J211" s="1" t="b">
        <f t="shared" si="21"/>
        <v>1</v>
      </c>
      <c r="K211" s="1" t="b">
        <f t="shared" si="22"/>
        <v>0</v>
      </c>
      <c r="L211" s="1" t="b">
        <f t="shared" si="23"/>
        <v>0</v>
      </c>
      <c r="M211" s="1" t="b">
        <f t="shared" si="24"/>
        <v>0</v>
      </c>
      <c r="N211" s="1" t="b">
        <f t="shared" si="25"/>
        <v>0</v>
      </c>
      <c r="O211" s="1" t="b">
        <f t="shared" si="26"/>
        <v>0</v>
      </c>
      <c r="P211" s="1" t="b">
        <f t="shared" si="27"/>
        <v>1</v>
      </c>
    </row>
    <row r="212" spans="1:16" x14ac:dyDescent="0.2">
      <c r="A212">
        <v>8212753</v>
      </c>
      <c r="B212" t="s">
        <v>464</v>
      </c>
      <c r="C212" t="s">
        <v>176</v>
      </c>
      <c r="D212" t="s">
        <v>11</v>
      </c>
      <c r="E212" s="1">
        <v>44702</v>
      </c>
      <c r="F212" t="s">
        <v>465</v>
      </c>
      <c r="G212" s="1">
        <v>44727</v>
      </c>
      <c r="I212" t="s">
        <v>13</v>
      </c>
      <c r="J212" s="1" t="b">
        <f t="shared" si="21"/>
        <v>0</v>
      </c>
      <c r="K212" s="1" t="b">
        <f t="shared" si="22"/>
        <v>1</v>
      </c>
      <c r="L212" s="1" t="b">
        <f t="shared" si="23"/>
        <v>0</v>
      </c>
      <c r="M212" s="1" t="b">
        <f t="shared" si="24"/>
        <v>0</v>
      </c>
      <c r="N212" s="1" t="b">
        <f t="shared" si="25"/>
        <v>0</v>
      </c>
      <c r="O212" s="1" t="b">
        <f t="shared" si="26"/>
        <v>0</v>
      </c>
      <c r="P212" s="1" t="b">
        <f t="shared" si="27"/>
        <v>0</v>
      </c>
    </row>
    <row r="213" spans="1:16" x14ac:dyDescent="0.2">
      <c r="A213">
        <v>8212753</v>
      </c>
      <c r="B213" t="s">
        <v>466</v>
      </c>
      <c r="C213" t="s">
        <v>176</v>
      </c>
      <c r="D213" t="s">
        <v>11</v>
      </c>
      <c r="E213" s="1">
        <v>44569</v>
      </c>
      <c r="F213" t="s">
        <v>467</v>
      </c>
      <c r="G213" s="1">
        <v>44585</v>
      </c>
      <c r="I213" t="s">
        <v>25</v>
      </c>
      <c r="J213" s="1" t="b">
        <f t="shared" si="21"/>
        <v>0</v>
      </c>
      <c r="K213" s="1" t="b">
        <f t="shared" si="22"/>
        <v>0</v>
      </c>
      <c r="L213" s="1" t="b">
        <f t="shared" si="23"/>
        <v>1</v>
      </c>
      <c r="M213" s="1" t="b">
        <f t="shared" si="24"/>
        <v>0</v>
      </c>
      <c r="N213" s="1" t="b">
        <f t="shared" si="25"/>
        <v>0</v>
      </c>
      <c r="O213" s="1" t="b">
        <f t="shared" si="26"/>
        <v>0</v>
      </c>
      <c r="P213" s="1" t="b">
        <f t="shared" si="27"/>
        <v>0</v>
      </c>
    </row>
    <row r="214" spans="1:16" x14ac:dyDescent="0.2">
      <c r="A214">
        <v>8212753</v>
      </c>
      <c r="B214" t="s">
        <v>468</v>
      </c>
      <c r="C214" t="s">
        <v>176</v>
      </c>
      <c r="D214" t="s">
        <v>11</v>
      </c>
      <c r="E214" s="1">
        <v>45107</v>
      </c>
      <c r="F214" t="s">
        <v>469</v>
      </c>
      <c r="G214" s="1">
        <v>45130</v>
      </c>
      <c r="H214" s="1">
        <v>45145</v>
      </c>
      <c r="I214" t="s">
        <v>43</v>
      </c>
      <c r="J214" s="1" t="b">
        <f t="shared" si="21"/>
        <v>1</v>
      </c>
      <c r="K214" s="1" t="b">
        <f t="shared" si="22"/>
        <v>0</v>
      </c>
      <c r="L214" s="1" t="b">
        <f t="shared" si="23"/>
        <v>0</v>
      </c>
      <c r="M214" s="1" t="b">
        <f t="shared" si="24"/>
        <v>0</v>
      </c>
      <c r="N214" s="1" t="b">
        <f t="shared" si="25"/>
        <v>0</v>
      </c>
      <c r="O214" s="1" t="b">
        <f t="shared" si="26"/>
        <v>1</v>
      </c>
      <c r="P214" s="1" t="b">
        <f t="shared" si="27"/>
        <v>0</v>
      </c>
    </row>
    <row r="215" spans="1:16" x14ac:dyDescent="0.2">
      <c r="A215">
        <v>8212753</v>
      </c>
      <c r="B215" t="s">
        <v>470</v>
      </c>
      <c r="C215" t="s">
        <v>176</v>
      </c>
      <c r="D215" t="s">
        <v>11</v>
      </c>
      <c r="E215" s="1">
        <v>44605</v>
      </c>
      <c r="F215" t="s">
        <v>471</v>
      </c>
      <c r="G215" s="1">
        <v>44619</v>
      </c>
      <c r="H215" s="1">
        <v>44621</v>
      </c>
      <c r="I215" t="s">
        <v>28</v>
      </c>
      <c r="J215" s="1" t="b">
        <f t="shared" si="21"/>
        <v>1</v>
      </c>
      <c r="K215" s="1" t="b">
        <f t="shared" si="22"/>
        <v>0</v>
      </c>
      <c r="L215" s="1" t="b">
        <f t="shared" si="23"/>
        <v>0</v>
      </c>
      <c r="M215" s="1" t="b">
        <f t="shared" si="24"/>
        <v>0</v>
      </c>
      <c r="N215" s="1" t="b">
        <f t="shared" si="25"/>
        <v>0</v>
      </c>
      <c r="O215" s="1" t="b">
        <f t="shared" si="26"/>
        <v>0</v>
      </c>
      <c r="P215" s="1" t="b">
        <f t="shared" si="27"/>
        <v>1</v>
      </c>
    </row>
    <row r="216" spans="1:16" x14ac:dyDescent="0.2">
      <c r="A216">
        <v>8713396</v>
      </c>
      <c r="B216" t="s">
        <v>472</v>
      </c>
      <c r="C216" t="s">
        <v>310</v>
      </c>
      <c r="D216" t="s">
        <v>122</v>
      </c>
      <c r="E216" s="1">
        <v>44989</v>
      </c>
      <c r="F216" t="s">
        <v>473</v>
      </c>
      <c r="G216" s="1">
        <v>44999</v>
      </c>
      <c r="H216" s="1">
        <v>45007</v>
      </c>
      <c r="J216" s="1" t="b">
        <f t="shared" si="21"/>
        <v>1</v>
      </c>
      <c r="K216" s="1" t="b">
        <f t="shared" si="22"/>
        <v>0</v>
      </c>
      <c r="L216" s="1" t="b">
        <f t="shared" si="23"/>
        <v>0</v>
      </c>
      <c r="M216" s="1" t="b">
        <f t="shared" si="24"/>
        <v>0</v>
      </c>
      <c r="N216" s="1" t="b">
        <f t="shared" si="25"/>
        <v>0</v>
      </c>
      <c r="O216" s="1" t="b">
        <f t="shared" si="26"/>
        <v>0</v>
      </c>
      <c r="P216" s="1" t="b">
        <f t="shared" si="27"/>
        <v>0</v>
      </c>
    </row>
    <row r="217" spans="1:16" x14ac:dyDescent="0.2">
      <c r="A217">
        <v>8713396</v>
      </c>
      <c r="B217" t="s">
        <v>474</v>
      </c>
      <c r="C217" t="s">
        <v>310</v>
      </c>
      <c r="D217" t="s">
        <v>122</v>
      </c>
      <c r="E217" s="1">
        <v>45033</v>
      </c>
      <c r="F217" t="s">
        <v>475</v>
      </c>
      <c r="G217" s="1">
        <v>45060</v>
      </c>
      <c r="H217" s="1">
        <v>45105</v>
      </c>
      <c r="I217" t="s">
        <v>28</v>
      </c>
      <c r="J217" s="1" t="b">
        <f t="shared" si="21"/>
        <v>1</v>
      </c>
      <c r="K217" s="1" t="b">
        <f t="shared" si="22"/>
        <v>0</v>
      </c>
      <c r="L217" s="1" t="b">
        <f t="shared" si="23"/>
        <v>0</v>
      </c>
      <c r="M217" s="1" t="b">
        <f t="shared" si="24"/>
        <v>0</v>
      </c>
      <c r="N217" s="1" t="b">
        <f t="shared" si="25"/>
        <v>0</v>
      </c>
      <c r="O217" s="1" t="b">
        <f t="shared" si="26"/>
        <v>0</v>
      </c>
      <c r="P217" s="1" t="b">
        <f t="shared" si="27"/>
        <v>1</v>
      </c>
    </row>
    <row r="218" spans="1:16" x14ac:dyDescent="0.2">
      <c r="A218">
        <v>8713396</v>
      </c>
      <c r="B218" t="s">
        <v>476</v>
      </c>
      <c r="C218" t="s">
        <v>310</v>
      </c>
      <c r="D218" t="s">
        <v>122</v>
      </c>
      <c r="E218" s="1">
        <v>44670</v>
      </c>
      <c r="F218" t="s">
        <v>477</v>
      </c>
      <c r="G218" s="1">
        <v>44678</v>
      </c>
      <c r="H218" s="1">
        <v>44706</v>
      </c>
      <c r="I218" t="s">
        <v>16</v>
      </c>
      <c r="J218" s="1" t="b">
        <f t="shared" si="21"/>
        <v>1</v>
      </c>
      <c r="K218" s="1" t="b">
        <f t="shared" si="22"/>
        <v>0</v>
      </c>
      <c r="L218" s="1" t="b">
        <f t="shared" si="23"/>
        <v>0</v>
      </c>
      <c r="M218" s="1" t="b">
        <f t="shared" si="24"/>
        <v>0</v>
      </c>
      <c r="N218" s="1" t="b">
        <f t="shared" si="25"/>
        <v>1</v>
      </c>
      <c r="O218" s="1" t="b">
        <f t="shared" si="26"/>
        <v>0</v>
      </c>
      <c r="P218" s="1" t="b">
        <f t="shared" si="27"/>
        <v>0</v>
      </c>
    </row>
    <row r="219" spans="1:16" x14ac:dyDescent="0.2">
      <c r="A219">
        <v>7718433</v>
      </c>
      <c r="B219" t="s">
        <v>478</v>
      </c>
      <c r="C219" t="s">
        <v>80</v>
      </c>
      <c r="D219" t="s">
        <v>122</v>
      </c>
      <c r="E219" s="1">
        <v>44734</v>
      </c>
      <c r="F219" t="s">
        <v>479</v>
      </c>
      <c r="G219" s="1">
        <v>44737</v>
      </c>
      <c r="H219" s="1">
        <v>44770</v>
      </c>
      <c r="I219" t="s">
        <v>28</v>
      </c>
      <c r="J219" s="1" t="b">
        <f t="shared" si="21"/>
        <v>1</v>
      </c>
      <c r="K219" s="1" t="b">
        <f t="shared" si="22"/>
        <v>0</v>
      </c>
      <c r="L219" s="1" t="b">
        <f t="shared" si="23"/>
        <v>0</v>
      </c>
      <c r="M219" s="1" t="b">
        <f t="shared" si="24"/>
        <v>0</v>
      </c>
      <c r="N219" s="1" t="b">
        <f t="shared" si="25"/>
        <v>0</v>
      </c>
      <c r="O219" s="1" t="b">
        <f t="shared" si="26"/>
        <v>0</v>
      </c>
      <c r="P219" s="1" t="b">
        <f t="shared" si="27"/>
        <v>1</v>
      </c>
    </row>
    <row r="220" spans="1:16" x14ac:dyDescent="0.2">
      <c r="A220">
        <v>7718433</v>
      </c>
      <c r="B220" t="s">
        <v>480</v>
      </c>
      <c r="C220" t="s">
        <v>80</v>
      </c>
      <c r="D220" t="s">
        <v>122</v>
      </c>
      <c r="E220" s="1">
        <v>44919</v>
      </c>
      <c r="F220" t="s">
        <v>481</v>
      </c>
      <c r="G220" s="1">
        <v>44931</v>
      </c>
      <c r="H220" s="1">
        <v>44978</v>
      </c>
      <c r="I220" t="s">
        <v>43</v>
      </c>
      <c r="J220" s="1" t="b">
        <f t="shared" si="21"/>
        <v>1</v>
      </c>
      <c r="K220" s="1" t="b">
        <f t="shared" si="22"/>
        <v>0</v>
      </c>
      <c r="L220" s="1" t="b">
        <f t="shared" si="23"/>
        <v>0</v>
      </c>
      <c r="M220" s="1" t="b">
        <f t="shared" si="24"/>
        <v>0</v>
      </c>
      <c r="N220" s="1" t="b">
        <f t="shared" si="25"/>
        <v>0</v>
      </c>
      <c r="O220" s="1" t="b">
        <f t="shared" si="26"/>
        <v>1</v>
      </c>
      <c r="P220" s="1" t="b">
        <f t="shared" si="27"/>
        <v>0</v>
      </c>
    </row>
    <row r="221" spans="1:16" x14ac:dyDescent="0.2">
      <c r="A221">
        <v>7718433</v>
      </c>
      <c r="B221" t="s">
        <v>482</v>
      </c>
      <c r="C221" t="s">
        <v>80</v>
      </c>
      <c r="D221" t="s">
        <v>122</v>
      </c>
      <c r="E221" s="1">
        <v>44711</v>
      </c>
      <c r="F221" t="s">
        <v>483</v>
      </c>
      <c r="G221" s="1">
        <v>44720</v>
      </c>
      <c r="H221" s="1">
        <v>44733</v>
      </c>
      <c r="I221" t="s">
        <v>43</v>
      </c>
      <c r="J221" s="1" t="b">
        <f t="shared" si="21"/>
        <v>1</v>
      </c>
      <c r="K221" s="1" t="b">
        <f t="shared" si="22"/>
        <v>0</v>
      </c>
      <c r="L221" s="1" t="b">
        <f t="shared" si="23"/>
        <v>0</v>
      </c>
      <c r="M221" s="1" t="b">
        <f t="shared" si="24"/>
        <v>0</v>
      </c>
      <c r="N221" s="1" t="b">
        <f t="shared" si="25"/>
        <v>0</v>
      </c>
      <c r="O221" s="1" t="b">
        <f t="shared" si="26"/>
        <v>1</v>
      </c>
      <c r="P221" s="1" t="b">
        <f t="shared" si="27"/>
        <v>0</v>
      </c>
    </row>
    <row r="222" spans="1:16" x14ac:dyDescent="0.2">
      <c r="A222">
        <v>7718433</v>
      </c>
      <c r="B222" t="s">
        <v>484</v>
      </c>
      <c r="C222" t="s">
        <v>80</v>
      </c>
      <c r="D222" t="s">
        <v>122</v>
      </c>
      <c r="E222" s="1">
        <v>44639</v>
      </c>
      <c r="F222" t="s">
        <v>485</v>
      </c>
      <c r="G222" s="1">
        <v>44645</v>
      </c>
      <c r="I222" t="s">
        <v>13</v>
      </c>
      <c r="J222" s="1" t="b">
        <f t="shared" si="21"/>
        <v>0</v>
      </c>
      <c r="K222" s="1" t="b">
        <f t="shared" si="22"/>
        <v>1</v>
      </c>
      <c r="L222" s="1" t="b">
        <f t="shared" si="23"/>
        <v>0</v>
      </c>
      <c r="M222" s="1" t="b">
        <f t="shared" si="24"/>
        <v>0</v>
      </c>
      <c r="N222" s="1" t="b">
        <f t="shared" si="25"/>
        <v>0</v>
      </c>
      <c r="O222" s="1" t="b">
        <f t="shared" si="26"/>
        <v>0</v>
      </c>
      <c r="P222" s="1" t="b">
        <f t="shared" si="27"/>
        <v>0</v>
      </c>
    </row>
    <row r="223" spans="1:16" x14ac:dyDescent="0.2">
      <c r="A223">
        <v>9289908</v>
      </c>
      <c r="B223" t="s">
        <v>486</v>
      </c>
      <c r="C223" t="s">
        <v>287</v>
      </c>
      <c r="D223" t="s">
        <v>81</v>
      </c>
      <c r="E223" s="1">
        <v>44885</v>
      </c>
      <c r="F223" t="s">
        <v>487</v>
      </c>
      <c r="G223" s="1">
        <v>44890</v>
      </c>
      <c r="H223" s="1">
        <v>44919</v>
      </c>
      <c r="I223" t="s">
        <v>28</v>
      </c>
      <c r="J223" s="1" t="b">
        <f t="shared" si="21"/>
        <v>1</v>
      </c>
      <c r="K223" s="1" t="b">
        <f t="shared" si="22"/>
        <v>0</v>
      </c>
      <c r="L223" s="1" t="b">
        <f t="shared" si="23"/>
        <v>0</v>
      </c>
      <c r="M223" s="1" t="b">
        <f t="shared" si="24"/>
        <v>0</v>
      </c>
      <c r="N223" s="1" t="b">
        <f t="shared" si="25"/>
        <v>0</v>
      </c>
      <c r="O223" s="1" t="b">
        <f t="shared" si="26"/>
        <v>0</v>
      </c>
      <c r="P223" s="1" t="b">
        <f t="shared" si="27"/>
        <v>1</v>
      </c>
    </row>
    <row r="224" spans="1:16" x14ac:dyDescent="0.2">
      <c r="A224">
        <v>9289908</v>
      </c>
      <c r="B224" t="s">
        <v>488</v>
      </c>
      <c r="C224" t="s">
        <v>287</v>
      </c>
      <c r="D224" t="s">
        <v>81</v>
      </c>
      <c r="E224" s="1">
        <v>44872</v>
      </c>
      <c r="F224" t="s">
        <v>489</v>
      </c>
      <c r="G224" s="1">
        <v>44898</v>
      </c>
      <c r="I224" t="s">
        <v>13</v>
      </c>
      <c r="J224" s="1" t="b">
        <f t="shared" si="21"/>
        <v>0</v>
      </c>
      <c r="K224" s="1" t="b">
        <f t="shared" si="22"/>
        <v>1</v>
      </c>
      <c r="L224" s="1" t="b">
        <f t="shared" si="23"/>
        <v>0</v>
      </c>
      <c r="M224" s="1" t="b">
        <f t="shared" si="24"/>
        <v>0</v>
      </c>
      <c r="N224" s="1" t="b">
        <f t="shared" si="25"/>
        <v>0</v>
      </c>
      <c r="O224" s="1" t="b">
        <f t="shared" si="26"/>
        <v>0</v>
      </c>
      <c r="P224" s="1" t="b">
        <f t="shared" si="27"/>
        <v>0</v>
      </c>
    </row>
    <row r="225" spans="1:16" x14ac:dyDescent="0.2">
      <c r="A225">
        <v>9289908</v>
      </c>
      <c r="B225" t="s">
        <v>490</v>
      </c>
      <c r="C225" t="s">
        <v>287</v>
      </c>
      <c r="D225" t="s">
        <v>81</v>
      </c>
      <c r="E225" s="1">
        <v>45081</v>
      </c>
      <c r="F225" t="s">
        <v>491</v>
      </c>
      <c r="G225" s="1">
        <v>45084</v>
      </c>
      <c r="I225" t="s">
        <v>25</v>
      </c>
      <c r="J225" s="1" t="b">
        <f t="shared" si="21"/>
        <v>0</v>
      </c>
      <c r="K225" s="1" t="b">
        <f t="shared" si="22"/>
        <v>0</v>
      </c>
      <c r="L225" s="1" t="b">
        <f t="shared" si="23"/>
        <v>1</v>
      </c>
      <c r="M225" s="1" t="b">
        <f t="shared" si="24"/>
        <v>0</v>
      </c>
      <c r="N225" s="1" t="b">
        <f t="shared" si="25"/>
        <v>0</v>
      </c>
      <c r="O225" s="1" t="b">
        <f t="shared" si="26"/>
        <v>0</v>
      </c>
      <c r="P225" s="1" t="b">
        <f t="shared" si="27"/>
        <v>0</v>
      </c>
    </row>
    <row r="226" spans="1:16" x14ac:dyDescent="0.2">
      <c r="A226">
        <v>9289908</v>
      </c>
      <c r="B226" t="s">
        <v>492</v>
      </c>
      <c r="C226" t="s">
        <v>287</v>
      </c>
      <c r="D226" t="s">
        <v>81</v>
      </c>
      <c r="E226" s="1">
        <v>44939</v>
      </c>
      <c r="F226" t="s">
        <v>493</v>
      </c>
      <c r="G226" s="1">
        <v>44966</v>
      </c>
      <c r="H226" s="1">
        <v>44985</v>
      </c>
      <c r="J226" s="1" t="b">
        <f t="shared" si="21"/>
        <v>1</v>
      </c>
      <c r="K226" s="1" t="b">
        <f t="shared" si="22"/>
        <v>0</v>
      </c>
      <c r="L226" s="1" t="b">
        <f t="shared" si="23"/>
        <v>0</v>
      </c>
      <c r="M226" s="1" t="b">
        <f t="shared" si="24"/>
        <v>0</v>
      </c>
      <c r="N226" s="1" t="b">
        <f t="shared" si="25"/>
        <v>0</v>
      </c>
      <c r="O226" s="1" t="b">
        <f t="shared" si="26"/>
        <v>0</v>
      </c>
      <c r="P226" s="1" t="b">
        <f t="shared" si="27"/>
        <v>0</v>
      </c>
    </row>
    <row r="227" spans="1:16" x14ac:dyDescent="0.2">
      <c r="A227">
        <v>9289908</v>
      </c>
      <c r="B227" t="s">
        <v>494</v>
      </c>
      <c r="C227" t="s">
        <v>287</v>
      </c>
      <c r="D227" t="s">
        <v>81</v>
      </c>
      <c r="E227" s="1">
        <v>44654</v>
      </c>
      <c r="F227" t="s">
        <v>495</v>
      </c>
      <c r="G227" s="1">
        <v>44674</v>
      </c>
      <c r="I227" t="s">
        <v>13</v>
      </c>
      <c r="J227" s="1" t="b">
        <f t="shared" si="21"/>
        <v>0</v>
      </c>
      <c r="K227" s="1" t="b">
        <f t="shared" si="22"/>
        <v>1</v>
      </c>
      <c r="L227" s="1" t="b">
        <f t="shared" si="23"/>
        <v>0</v>
      </c>
      <c r="M227" s="1" t="b">
        <f t="shared" si="24"/>
        <v>0</v>
      </c>
      <c r="N227" s="1" t="b">
        <f t="shared" si="25"/>
        <v>0</v>
      </c>
      <c r="O227" s="1" t="b">
        <f t="shared" si="26"/>
        <v>0</v>
      </c>
      <c r="P227" s="1" t="b">
        <f t="shared" si="27"/>
        <v>0</v>
      </c>
    </row>
    <row r="228" spans="1:16" x14ac:dyDescent="0.2">
      <c r="A228">
        <v>9507186</v>
      </c>
      <c r="B228" t="s">
        <v>496</v>
      </c>
      <c r="C228" t="s">
        <v>59</v>
      </c>
      <c r="D228" t="s">
        <v>77</v>
      </c>
      <c r="E228" s="1">
        <v>44754</v>
      </c>
      <c r="F228" t="s">
        <v>497</v>
      </c>
      <c r="G228" s="1">
        <v>44765</v>
      </c>
      <c r="H228" s="1">
        <v>44804</v>
      </c>
      <c r="I228" t="s">
        <v>16</v>
      </c>
      <c r="J228" s="1" t="b">
        <f t="shared" si="21"/>
        <v>1</v>
      </c>
      <c r="K228" s="1" t="b">
        <f t="shared" si="22"/>
        <v>0</v>
      </c>
      <c r="L228" s="1" t="b">
        <f t="shared" si="23"/>
        <v>0</v>
      </c>
      <c r="M228" s="1" t="b">
        <f t="shared" si="24"/>
        <v>0</v>
      </c>
      <c r="N228" s="1" t="b">
        <f t="shared" si="25"/>
        <v>1</v>
      </c>
      <c r="O228" s="1" t="b">
        <f t="shared" si="26"/>
        <v>0</v>
      </c>
      <c r="P228" s="1" t="b">
        <f t="shared" si="27"/>
        <v>0</v>
      </c>
    </row>
    <row r="229" spans="1:16" x14ac:dyDescent="0.2">
      <c r="A229">
        <v>9507186</v>
      </c>
      <c r="B229" t="s">
        <v>498</v>
      </c>
      <c r="C229" t="s">
        <v>59</v>
      </c>
      <c r="D229" t="s">
        <v>77</v>
      </c>
      <c r="E229" s="1">
        <v>44667</v>
      </c>
      <c r="F229" t="s">
        <v>499</v>
      </c>
      <c r="G229" s="1">
        <v>44693</v>
      </c>
      <c r="H229" s="1">
        <v>44751</v>
      </c>
      <c r="I229" t="s">
        <v>43</v>
      </c>
      <c r="J229" s="1" t="b">
        <f t="shared" si="21"/>
        <v>1</v>
      </c>
      <c r="K229" s="1" t="b">
        <f t="shared" si="22"/>
        <v>0</v>
      </c>
      <c r="L229" s="1" t="b">
        <f t="shared" si="23"/>
        <v>0</v>
      </c>
      <c r="M229" s="1" t="b">
        <f t="shared" si="24"/>
        <v>0</v>
      </c>
      <c r="N229" s="1" t="b">
        <f t="shared" si="25"/>
        <v>0</v>
      </c>
      <c r="O229" s="1" t="b">
        <f t="shared" si="26"/>
        <v>1</v>
      </c>
      <c r="P229" s="1" t="b">
        <f t="shared" si="27"/>
        <v>0</v>
      </c>
    </row>
    <row r="230" spans="1:16" x14ac:dyDescent="0.2">
      <c r="A230">
        <v>9507186</v>
      </c>
      <c r="B230" t="s">
        <v>500</v>
      </c>
      <c r="C230" t="s">
        <v>59</v>
      </c>
      <c r="D230" t="s">
        <v>77</v>
      </c>
      <c r="E230" s="1">
        <v>44738</v>
      </c>
      <c r="F230" t="s">
        <v>501</v>
      </c>
      <c r="G230" s="1">
        <v>44740</v>
      </c>
      <c r="H230" s="1">
        <v>44756</v>
      </c>
      <c r="I230" t="s">
        <v>16</v>
      </c>
      <c r="J230" s="1" t="b">
        <f t="shared" si="21"/>
        <v>1</v>
      </c>
      <c r="K230" s="1" t="b">
        <f t="shared" si="22"/>
        <v>0</v>
      </c>
      <c r="L230" s="1" t="b">
        <f t="shared" si="23"/>
        <v>0</v>
      </c>
      <c r="M230" s="1" t="b">
        <f t="shared" si="24"/>
        <v>0</v>
      </c>
      <c r="N230" s="1" t="b">
        <f t="shared" si="25"/>
        <v>1</v>
      </c>
      <c r="O230" s="1" t="b">
        <f t="shared" si="26"/>
        <v>0</v>
      </c>
      <c r="P230" s="1" t="b">
        <f t="shared" si="27"/>
        <v>0</v>
      </c>
    </row>
    <row r="231" spans="1:16" x14ac:dyDescent="0.2">
      <c r="A231">
        <v>9507186</v>
      </c>
      <c r="B231" t="s">
        <v>502</v>
      </c>
      <c r="C231" t="s">
        <v>59</v>
      </c>
      <c r="D231" t="s">
        <v>77</v>
      </c>
      <c r="E231" s="1">
        <v>44724</v>
      </c>
      <c r="F231" t="s">
        <v>503</v>
      </c>
      <c r="G231" s="1">
        <v>44736</v>
      </c>
      <c r="H231" s="1">
        <v>44760</v>
      </c>
      <c r="J231" s="1" t="b">
        <f t="shared" si="21"/>
        <v>1</v>
      </c>
      <c r="K231" s="1" t="b">
        <f t="shared" si="22"/>
        <v>0</v>
      </c>
      <c r="L231" s="1" t="b">
        <f t="shared" si="23"/>
        <v>0</v>
      </c>
      <c r="M231" s="1" t="b">
        <f t="shared" si="24"/>
        <v>0</v>
      </c>
      <c r="N231" s="1" t="b">
        <f t="shared" si="25"/>
        <v>0</v>
      </c>
      <c r="O231" s="1" t="b">
        <f t="shared" si="26"/>
        <v>0</v>
      </c>
      <c r="P231" s="1" t="b">
        <f t="shared" si="27"/>
        <v>0</v>
      </c>
    </row>
    <row r="232" spans="1:16" x14ac:dyDescent="0.2">
      <c r="A232">
        <v>9507186</v>
      </c>
      <c r="B232" t="s">
        <v>504</v>
      </c>
      <c r="C232" t="s">
        <v>59</v>
      </c>
      <c r="D232" t="s">
        <v>77</v>
      </c>
      <c r="E232" s="1">
        <v>44908</v>
      </c>
      <c r="F232" t="s">
        <v>505</v>
      </c>
      <c r="G232" s="1">
        <v>44930</v>
      </c>
      <c r="H232" s="1">
        <v>44969</v>
      </c>
      <c r="J232" s="1" t="b">
        <f t="shared" si="21"/>
        <v>1</v>
      </c>
      <c r="K232" s="1" t="b">
        <f t="shared" si="22"/>
        <v>0</v>
      </c>
      <c r="L232" s="1" t="b">
        <f t="shared" si="23"/>
        <v>0</v>
      </c>
      <c r="M232" s="1" t="b">
        <f t="shared" si="24"/>
        <v>0</v>
      </c>
      <c r="N232" s="1" t="b">
        <f t="shared" si="25"/>
        <v>0</v>
      </c>
      <c r="O232" s="1" t="b">
        <f t="shared" si="26"/>
        <v>0</v>
      </c>
      <c r="P232" s="1" t="b">
        <f t="shared" si="27"/>
        <v>0</v>
      </c>
    </row>
    <row r="233" spans="1:16" x14ac:dyDescent="0.2">
      <c r="A233">
        <v>1878547</v>
      </c>
      <c r="B233" t="s">
        <v>506</v>
      </c>
      <c r="C233" t="s">
        <v>47</v>
      </c>
      <c r="D233" t="s">
        <v>39</v>
      </c>
      <c r="E233" s="1">
        <v>44957</v>
      </c>
      <c r="F233" t="s">
        <v>507</v>
      </c>
      <c r="G233" s="1">
        <v>44967</v>
      </c>
      <c r="I233" t="s">
        <v>25</v>
      </c>
      <c r="J233" s="1" t="b">
        <f t="shared" si="21"/>
        <v>0</v>
      </c>
      <c r="K233" s="1" t="b">
        <f t="shared" si="22"/>
        <v>0</v>
      </c>
      <c r="L233" s="1" t="b">
        <f t="shared" si="23"/>
        <v>1</v>
      </c>
      <c r="M233" s="1" t="b">
        <f t="shared" si="24"/>
        <v>0</v>
      </c>
      <c r="N233" s="1" t="b">
        <f t="shared" si="25"/>
        <v>0</v>
      </c>
      <c r="O233" s="1" t="b">
        <f t="shared" si="26"/>
        <v>0</v>
      </c>
      <c r="P233" s="1" t="b">
        <f t="shared" si="27"/>
        <v>0</v>
      </c>
    </row>
    <row r="234" spans="1:16" x14ac:dyDescent="0.2">
      <c r="A234">
        <v>5227787</v>
      </c>
      <c r="B234" t="s">
        <v>508</v>
      </c>
      <c r="C234" t="s">
        <v>138</v>
      </c>
      <c r="D234" t="s">
        <v>81</v>
      </c>
      <c r="E234" s="1">
        <v>44706</v>
      </c>
      <c r="F234" t="s">
        <v>509</v>
      </c>
      <c r="G234" s="1">
        <v>44736</v>
      </c>
      <c r="I234" t="s">
        <v>25</v>
      </c>
      <c r="J234" s="1" t="b">
        <f t="shared" si="21"/>
        <v>0</v>
      </c>
      <c r="K234" s="1" t="b">
        <f t="shared" si="22"/>
        <v>0</v>
      </c>
      <c r="L234" s="1" t="b">
        <f t="shared" si="23"/>
        <v>1</v>
      </c>
      <c r="M234" s="1" t="b">
        <f t="shared" si="24"/>
        <v>0</v>
      </c>
      <c r="N234" s="1" t="b">
        <f t="shared" si="25"/>
        <v>0</v>
      </c>
      <c r="O234" s="1" t="b">
        <f t="shared" si="26"/>
        <v>0</v>
      </c>
      <c r="P234" s="1" t="b">
        <f t="shared" si="27"/>
        <v>0</v>
      </c>
    </row>
    <row r="235" spans="1:16" x14ac:dyDescent="0.2">
      <c r="A235">
        <v>5227787</v>
      </c>
      <c r="B235" t="s">
        <v>510</v>
      </c>
      <c r="C235" t="s">
        <v>138</v>
      </c>
      <c r="D235" t="s">
        <v>81</v>
      </c>
      <c r="E235" s="1">
        <v>44963</v>
      </c>
      <c r="F235" t="s">
        <v>511</v>
      </c>
      <c r="G235" s="1">
        <v>44968</v>
      </c>
      <c r="I235" t="s">
        <v>25</v>
      </c>
      <c r="J235" s="1" t="b">
        <f t="shared" si="21"/>
        <v>0</v>
      </c>
      <c r="K235" s="1" t="b">
        <f t="shared" si="22"/>
        <v>0</v>
      </c>
      <c r="L235" s="1" t="b">
        <f t="shared" si="23"/>
        <v>1</v>
      </c>
      <c r="M235" s="1" t="b">
        <f t="shared" si="24"/>
        <v>0</v>
      </c>
      <c r="N235" s="1" t="b">
        <f t="shared" si="25"/>
        <v>0</v>
      </c>
      <c r="O235" s="1" t="b">
        <f t="shared" si="26"/>
        <v>0</v>
      </c>
      <c r="P235" s="1" t="b">
        <f t="shared" si="27"/>
        <v>0</v>
      </c>
    </row>
    <row r="236" spans="1:16" x14ac:dyDescent="0.2">
      <c r="A236">
        <v>2421349</v>
      </c>
      <c r="B236" t="s">
        <v>512</v>
      </c>
      <c r="C236" t="s">
        <v>110</v>
      </c>
      <c r="D236" t="s">
        <v>139</v>
      </c>
      <c r="E236" s="1">
        <v>45101</v>
      </c>
      <c r="F236" t="s">
        <v>513</v>
      </c>
      <c r="G236" s="1">
        <v>45104</v>
      </c>
      <c r="H236" s="1">
        <v>45146</v>
      </c>
      <c r="I236" t="s">
        <v>28</v>
      </c>
      <c r="J236" s="1" t="b">
        <f t="shared" si="21"/>
        <v>1</v>
      </c>
      <c r="K236" s="1" t="b">
        <f t="shared" si="22"/>
        <v>0</v>
      </c>
      <c r="L236" s="1" t="b">
        <f t="shared" si="23"/>
        <v>0</v>
      </c>
      <c r="M236" s="1" t="b">
        <f t="shared" si="24"/>
        <v>0</v>
      </c>
      <c r="N236" s="1" t="b">
        <f t="shared" si="25"/>
        <v>0</v>
      </c>
      <c r="O236" s="1" t="b">
        <f t="shared" si="26"/>
        <v>0</v>
      </c>
      <c r="P236" s="1" t="b">
        <f t="shared" si="27"/>
        <v>1</v>
      </c>
    </row>
    <row r="237" spans="1:16" x14ac:dyDescent="0.2">
      <c r="A237">
        <v>2421349</v>
      </c>
      <c r="B237" t="s">
        <v>514</v>
      </c>
      <c r="C237" t="s">
        <v>110</v>
      </c>
      <c r="D237" t="s">
        <v>139</v>
      </c>
      <c r="E237" s="1">
        <v>44878</v>
      </c>
      <c r="F237" t="s">
        <v>515</v>
      </c>
      <c r="G237" s="1">
        <v>44884</v>
      </c>
      <c r="H237" s="1">
        <v>44898</v>
      </c>
      <c r="I237" t="s">
        <v>28</v>
      </c>
      <c r="J237" s="1" t="b">
        <f t="shared" si="21"/>
        <v>1</v>
      </c>
      <c r="K237" s="1" t="b">
        <f t="shared" si="22"/>
        <v>0</v>
      </c>
      <c r="L237" s="1" t="b">
        <f t="shared" si="23"/>
        <v>0</v>
      </c>
      <c r="M237" s="1" t="b">
        <f t="shared" si="24"/>
        <v>0</v>
      </c>
      <c r="N237" s="1" t="b">
        <f t="shared" si="25"/>
        <v>0</v>
      </c>
      <c r="O237" s="1" t="b">
        <f t="shared" si="26"/>
        <v>0</v>
      </c>
      <c r="P237" s="1" t="b">
        <f t="shared" si="27"/>
        <v>1</v>
      </c>
    </row>
    <row r="238" spans="1:16" x14ac:dyDescent="0.2">
      <c r="A238">
        <v>2421349</v>
      </c>
      <c r="B238" t="s">
        <v>516</v>
      </c>
      <c r="C238" t="s">
        <v>110</v>
      </c>
      <c r="D238" t="s">
        <v>139</v>
      </c>
      <c r="E238" s="1">
        <v>44702</v>
      </c>
      <c r="F238" t="s">
        <v>517</v>
      </c>
      <c r="G238" s="1">
        <v>44707</v>
      </c>
      <c r="H238" s="1">
        <v>44712</v>
      </c>
      <c r="J238" s="1" t="b">
        <f t="shared" si="21"/>
        <v>1</v>
      </c>
      <c r="K238" s="1" t="b">
        <f t="shared" si="22"/>
        <v>0</v>
      </c>
      <c r="L238" s="1" t="b">
        <f t="shared" si="23"/>
        <v>0</v>
      </c>
      <c r="M238" s="1" t="b">
        <f t="shared" si="24"/>
        <v>0</v>
      </c>
      <c r="N238" s="1" t="b">
        <f t="shared" si="25"/>
        <v>0</v>
      </c>
      <c r="O238" s="1" t="b">
        <f t="shared" si="26"/>
        <v>0</v>
      </c>
      <c r="P238" s="1" t="b">
        <f t="shared" si="27"/>
        <v>0</v>
      </c>
    </row>
    <row r="239" spans="1:16" x14ac:dyDescent="0.2">
      <c r="A239">
        <v>2421349</v>
      </c>
      <c r="B239" t="s">
        <v>518</v>
      </c>
      <c r="C239" t="s">
        <v>110</v>
      </c>
      <c r="D239" t="s">
        <v>139</v>
      </c>
      <c r="E239" s="1">
        <v>45081</v>
      </c>
      <c r="F239" t="s">
        <v>519</v>
      </c>
      <c r="G239" s="1">
        <v>45106</v>
      </c>
      <c r="I239" t="s">
        <v>25</v>
      </c>
      <c r="J239" s="1" t="b">
        <f t="shared" si="21"/>
        <v>0</v>
      </c>
      <c r="K239" s="1" t="b">
        <f t="shared" si="22"/>
        <v>0</v>
      </c>
      <c r="L239" s="1" t="b">
        <f t="shared" si="23"/>
        <v>1</v>
      </c>
      <c r="M239" s="1" t="b">
        <f t="shared" si="24"/>
        <v>0</v>
      </c>
      <c r="N239" s="1" t="b">
        <f t="shared" si="25"/>
        <v>0</v>
      </c>
      <c r="O239" s="1" t="b">
        <f t="shared" si="26"/>
        <v>0</v>
      </c>
      <c r="P239" s="1" t="b">
        <f t="shared" si="27"/>
        <v>0</v>
      </c>
    </row>
    <row r="240" spans="1:16" x14ac:dyDescent="0.2">
      <c r="A240">
        <v>9833734</v>
      </c>
      <c r="B240" t="s">
        <v>520</v>
      </c>
      <c r="C240" t="s">
        <v>521</v>
      </c>
      <c r="D240" t="s">
        <v>39</v>
      </c>
      <c r="E240" s="1">
        <v>44728</v>
      </c>
      <c r="F240" t="s">
        <v>522</v>
      </c>
      <c r="G240" s="1">
        <v>44734</v>
      </c>
      <c r="I240" t="s">
        <v>13</v>
      </c>
      <c r="J240" s="1" t="b">
        <f t="shared" si="21"/>
        <v>0</v>
      </c>
      <c r="K240" s="1" t="b">
        <f t="shared" si="22"/>
        <v>1</v>
      </c>
      <c r="L240" s="1" t="b">
        <f t="shared" si="23"/>
        <v>0</v>
      </c>
      <c r="M240" s="1" t="b">
        <f t="shared" si="24"/>
        <v>0</v>
      </c>
      <c r="N240" s="1" t="b">
        <f t="shared" si="25"/>
        <v>0</v>
      </c>
      <c r="O240" s="1" t="b">
        <f t="shared" si="26"/>
        <v>0</v>
      </c>
      <c r="P240" s="1" t="b">
        <f t="shared" si="27"/>
        <v>0</v>
      </c>
    </row>
    <row r="241" spans="1:16" x14ac:dyDescent="0.2">
      <c r="A241">
        <v>9833734</v>
      </c>
      <c r="B241" t="s">
        <v>523</v>
      </c>
      <c r="C241" t="s">
        <v>521</v>
      </c>
      <c r="D241" t="s">
        <v>39</v>
      </c>
      <c r="E241" s="1">
        <v>44606</v>
      </c>
      <c r="F241" t="s">
        <v>524</v>
      </c>
      <c r="G241" s="1">
        <v>44620</v>
      </c>
      <c r="H241" s="1">
        <v>44644</v>
      </c>
      <c r="I241" t="s">
        <v>43</v>
      </c>
      <c r="J241" s="1" t="b">
        <f t="shared" si="21"/>
        <v>1</v>
      </c>
      <c r="K241" s="1" t="b">
        <f t="shared" si="22"/>
        <v>0</v>
      </c>
      <c r="L241" s="1" t="b">
        <f t="shared" si="23"/>
        <v>0</v>
      </c>
      <c r="M241" s="1" t="b">
        <f t="shared" si="24"/>
        <v>0</v>
      </c>
      <c r="N241" s="1" t="b">
        <f t="shared" si="25"/>
        <v>0</v>
      </c>
      <c r="O241" s="1" t="b">
        <f t="shared" si="26"/>
        <v>1</v>
      </c>
      <c r="P241" s="1" t="b">
        <f t="shared" si="27"/>
        <v>0</v>
      </c>
    </row>
    <row r="242" spans="1:16" x14ac:dyDescent="0.2">
      <c r="A242">
        <v>9833734</v>
      </c>
      <c r="B242" t="s">
        <v>525</v>
      </c>
      <c r="C242" t="s">
        <v>521</v>
      </c>
      <c r="D242" t="s">
        <v>39</v>
      </c>
      <c r="E242" s="1">
        <v>44853</v>
      </c>
      <c r="F242" t="s">
        <v>526</v>
      </c>
      <c r="G242" s="1">
        <v>44878</v>
      </c>
      <c r="H242" s="1">
        <v>44926</v>
      </c>
      <c r="I242" t="s">
        <v>43</v>
      </c>
      <c r="J242" s="1" t="b">
        <f t="shared" si="21"/>
        <v>1</v>
      </c>
      <c r="K242" s="1" t="b">
        <f t="shared" si="22"/>
        <v>0</v>
      </c>
      <c r="L242" s="1" t="b">
        <f t="shared" si="23"/>
        <v>0</v>
      </c>
      <c r="M242" s="1" t="b">
        <f t="shared" si="24"/>
        <v>0</v>
      </c>
      <c r="N242" s="1" t="b">
        <f t="shared" si="25"/>
        <v>0</v>
      </c>
      <c r="O242" s="1" t="b">
        <f t="shared" si="26"/>
        <v>1</v>
      </c>
      <c r="P242" s="1" t="b">
        <f t="shared" si="27"/>
        <v>0</v>
      </c>
    </row>
    <row r="243" spans="1:16" x14ac:dyDescent="0.2">
      <c r="A243">
        <v>9833734</v>
      </c>
      <c r="B243" t="s">
        <v>527</v>
      </c>
      <c r="C243" t="s">
        <v>521</v>
      </c>
      <c r="D243" t="s">
        <v>39</v>
      </c>
      <c r="E243" s="1">
        <v>44878</v>
      </c>
      <c r="F243" t="s">
        <v>528</v>
      </c>
      <c r="G243" s="1">
        <v>44904</v>
      </c>
      <c r="H243" s="1">
        <v>44955</v>
      </c>
      <c r="I243" t="s">
        <v>43</v>
      </c>
      <c r="J243" s="1" t="b">
        <f t="shared" si="21"/>
        <v>1</v>
      </c>
      <c r="K243" s="1" t="b">
        <f t="shared" si="22"/>
        <v>0</v>
      </c>
      <c r="L243" s="1" t="b">
        <f t="shared" si="23"/>
        <v>0</v>
      </c>
      <c r="M243" s="1" t="b">
        <f t="shared" si="24"/>
        <v>0</v>
      </c>
      <c r="N243" s="1" t="b">
        <f t="shared" si="25"/>
        <v>0</v>
      </c>
      <c r="O243" s="1" t="b">
        <f t="shared" si="26"/>
        <v>1</v>
      </c>
      <c r="P243" s="1" t="b">
        <f t="shared" si="27"/>
        <v>0</v>
      </c>
    </row>
    <row r="244" spans="1:16" x14ac:dyDescent="0.2">
      <c r="A244">
        <v>9833734</v>
      </c>
      <c r="B244" t="s">
        <v>529</v>
      </c>
      <c r="C244" t="s">
        <v>521</v>
      </c>
      <c r="D244" t="s">
        <v>39</v>
      </c>
      <c r="E244" s="1">
        <v>45013</v>
      </c>
      <c r="F244" t="s">
        <v>530</v>
      </c>
      <c r="G244" s="1">
        <v>45028</v>
      </c>
      <c r="H244" s="1">
        <v>45078</v>
      </c>
      <c r="I244" t="s">
        <v>43</v>
      </c>
      <c r="J244" s="1" t="b">
        <f t="shared" si="21"/>
        <v>1</v>
      </c>
      <c r="K244" s="1" t="b">
        <f t="shared" si="22"/>
        <v>0</v>
      </c>
      <c r="L244" s="1" t="b">
        <f t="shared" si="23"/>
        <v>0</v>
      </c>
      <c r="M244" s="1" t="b">
        <f t="shared" si="24"/>
        <v>0</v>
      </c>
      <c r="N244" s="1" t="b">
        <f t="shared" si="25"/>
        <v>0</v>
      </c>
      <c r="O244" s="1" t="b">
        <f t="shared" si="26"/>
        <v>1</v>
      </c>
      <c r="P244" s="1" t="b">
        <f t="shared" si="27"/>
        <v>0</v>
      </c>
    </row>
    <row r="245" spans="1:16" x14ac:dyDescent="0.2">
      <c r="A245">
        <v>5727345</v>
      </c>
      <c r="B245" t="s">
        <v>531</v>
      </c>
      <c r="C245" t="s">
        <v>35</v>
      </c>
      <c r="D245" t="s">
        <v>60</v>
      </c>
      <c r="E245" s="1">
        <v>44703</v>
      </c>
      <c r="F245" t="s">
        <v>532</v>
      </c>
      <c r="G245" s="1">
        <v>44731</v>
      </c>
      <c r="H245" s="1">
        <v>44748</v>
      </c>
      <c r="I245" t="s">
        <v>43</v>
      </c>
      <c r="J245" s="1" t="b">
        <f t="shared" si="21"/>
        <v>1</v>
      </c>
      <c r="K245" s="1" t="b">
        <f t="shared" si="22"/>
        <v>0</v>
      </c>
      <c r="L245" s="1" t="b">
        <f t="shared" si="23"/>
        <v>0</v>
      </c>
      <c r="M245" s="1" t="b">
        <f t="shared" si="24"/>
        <v>0</v>
      </c>
      <c r="N245" s="1" t="b">
        <f t="shared" si="25"/>
        <v>0</v>
      </c>
      <c r="O245" s="1" t="b">
        <f t="shared" si="26"/>
        <v>1</v>
      </c>
      <c r="P245" s="1" t="b">
        <f t="shared" si="27"/>
        <v>0</v>
      </c>
    </row>
    <row r="246" spans="1:16" x14ac:dyDescent="0.2">
      <c r="A246">
        <v>5727345</v>
      </c>
      <c r="B246" t="s">
        <v>533</v>
      </c>
      <c r="C246" t="s">
        <v>35</v>
      </c>
      <c r="D246" t="s">
        <v>60</v>
      </c>
      <c r="E246" s="1">
        <v>44942</v>
      </c>
      <c r="F246" t="s">
        <v>534</v>
      </c>
      <c r="G246" s="1">
        <v>44960</v>
      </c>
      <c r="I246" t="s">
        <v>13</v>
      </c>
      <c r="J246" s="1" t="b">
        <f t="shared" si="21"/>
        <v>0</v>
      </c>
      <c r="K246" s="1" t="b">
        <f t="shared" si="22"/>
        <v>1</v>
      </c>
      <c r="L246" s="1" t="b">
        <f t="shared" si="23"/>
        <v>0</v>
      </c>
      <c r="M246" s="1" t="b">
        <f t="shared" si="24"/>
        <v>0</v>
      </c>
      <c r="N246" s="1" t="b">
        <f t="shared" si="25"/>
        <v>0</v>
      </c>
      <c r="O246" s="1" t="b">
        <f t="shared" si="26"/>
        <v>0</v>
      </c>
      <c r="P246" s="1" t="b">
        <f t="shared" si="27"/>
        <v>0</v>
      </c>
    </row>
    <row r="247" spans="1:16" x14ac:dyDescent="0.2">
      <c r="A247">
        <v>5727345</v>
      </c>
      <c r="B247" t="s">
        <v>535</v>
      </c>
      <c r="C247" t="s">
        <v>35</v>
      </c>
      <c r="D247" t="s">
        <v>60</v>
      </c>
      <c r="E247" s="1">
        <v>44726</v>
      </c>
      <c r="F247" t="s">
        <v>536</v>
      </c>
      <c r="G247" s="1">
        <v>44735</v>
      </c>
      <c r="H247" s="1">
        <v>44764</v>
      </c>
      <c r="I247" t="s">
        <v>16</v>
      </c>
      <c r="J247" s="1" t="b">
        <f t="shared" si="21"/>
        <v>1</v>
      </c>
      <c r="K247" s="1" t="b">
        <f t="shared" si="22"/>
        <v>0</v>
      </c>
      <c r="L247" s="1" t="b">
        <f t="shared" si="23"/>
        <v>0</v>
      </c>
      <c r="M247" s="1" t="b">
        <f t="shared" si="24"/>
        <v>0</v>
      </c>
      <c r="N247" s="1" t="b">
        <f t="shared" si="25"/>
        <v>1</v>
      </c>
      <c r="O247" s="1" t="b">
        <f t="shared" si="26"/>
        <v>0</v>
      </c>
      <c r="P247" s="1" t="b">
        <f t="shared" si="27"/>
        <v>0</v>
      </c>
    </row>
    <row r="248" spans="1:16" x14ac:dyDescent="0.2">
      <c r="A248">
        <v>5727345</v>
      </c>
      <c r="B248" t="s">
        <v>537</v>
      </c>
      <c r="C248" t="s">
        <v>35</v>
      </c>
      <c r="D248" t="s">
        <v>60</v>
      </c>
      <c r="E248" s="1">
        <v>44655</v>
      </c>
      <c r="F248" t="s">
        <v>538</v>
      </c>
      <c r="G248" s="1">
        <v>44685</v>
      </c>
      <c r="H248" s="1">
        <v>44700</v>
      </c>
      <c r="I248" t="s">
        <v>43</v>
      </c>
      <c r="J248" s="1" t="b">
        <f t="shared" si="21"/>
        <v>1</v>
      </c>
      <c r="K248" s="1" t="b">
        <f t="shared" si="22"/>
        <v>0</v>
      </c>
      <c r="L248" s="1" t="b">
        <f t="shared" si="23"/>
        <v>0</v>
      </c>
      <c r="M248" s="1" t="b">
        <f t="shared" si="24"/>
        <v>0</v>
      </c>
      <c r="N248" s="1" t="b">
        <f t="shared" si="25"/>
        <v>0</v>
      </c>
      <c r="O248" s="1" t="b">
        <f t="shared" si="26"/>
        <v>1</v>
      </c>
      <c r="P248" s="1" t="b">
        <f t="shared" si="27"/>
        <v>0</v>
      </c>
    </row>
    <row r="249" spans="1:16" x14ac:dyDescent="0.2">
      <c r="A249">
        <v>5727345</v>
      </c>
      <c r="B249" t="s">
        <v>539</v>
      </c>
      <c r="C249" t="s">
        <v>35</v>
      </c>
      <c r="D249" t="s">
        <v>60</v>
      </c>
      <c r="E249" s="1">
        <v>44986</v>
      </c>
      <c r="F249" t="s">
        <v>540</v>
      </c>
      <c r="G249" s="1">
        <v>44988</v>
      </c>
      <c r="H249" s="1">
        <v>45014</v>
      </c>
      <c r="I249" t="s">
        <v>28</v>
      </c>
      <c r="J249" s="1" t="b">
        <f t="shared" si="21"/>
        <v>1</v>
      </c>
      <c r="K249" s="1" t="b">
        <f t="shared" si="22"/>
        <v>0</v>
      </c>
      <c r="L249" s="1" t="b">
        <f t="shared" si="23"/>
        <v>0</v>
      </c>
      <c r="M249" s="1" t="b">
        <f t="shared" si="24"/>
        <v>0</v>
      </c>
      <c r="N249" s="1" t="b">
        <f t="shared" si="25"/>
        <v>0</v>
      </c>
      <c r="O249" s="1" t="b">
        <f t="shared" si="26"/>
        <v>0</v>
      </c>
      <c r="P249" s="1" t="b">
        <f t="shared" si="27"/>
        <v>1</v>
      </c>
    </row>
    <row r="250" spans="1:16" x14ac:dyDescent="0.2">
      <c r="A250">
        <v>9422281</v>
      </c>
      <c r="B250" t="s">
        <v>541</v>
      </c>
      <c r="C250" t="s">
        <v>542</v>
      </c>
      <c r="D250" t="s">
        <v>19</v>
      </c>
      <c r="E250" s="1">
        <v>44888</v>
      </c>
      <c r="F250" t="s">
        <v>543</v>
      </c>
      <c r="G250" s="1">
        <v>44918</v>
      </c>
      <c r="H250" s="1">
        <v>44925</v>
      </c>
      <c r="I250" t="s">
        <v>28</v>
      </c>
      <c r="J250" s="1" t="b">
        <f t="shared" si="21"/>
        <v>1</v>
      </c>
      <c r="K250" s="1" t="b">
        <f t="shared" si="22"/>
        <v>0</v>
      </c>
      <c r="L250" s="1" t="b">
        <f t="shared" si="23"/>
        <v>0</v>
      </c>
      <c r="M250" s="1" t="b">
        <f t="shared" si="24"/>
        <v>0</v>
      </c>
      <c r="N250" s="1" t="b">
        <f t="shared" si="25"/>
        <v>0</v>
      </c>
      <c r="O250" s="1" t="b">
        <f t="shared" si="26"/>
        <v>0</v>
      </c>
      <c r="P250" s="1" t="b">
        <f t="shared" si="27"/>
        <v>1</v>
      </c>
    </row>
    <row r="251" spans="1:16" x14ac:dyDescent="0.2">
      <c r="A251">
        <v>9422281</v>
      </c>
      <c r="B251" t="s">
        <v>544</v>
      </c>
      <c r="C251" t="s">
        <v>542</v>
      </c>
      <c r="D251" t="s">
        <v>19</v>
      </c>
      <c r="E251" s="1">
        <v>44702</v>
      </c>
      <c r="F251" t="s">
        <v>545</v>
      </c>
      <c r="G251" s="1">
        <v>44704</v>
      </c>
      <c r="H251" s="1">
        <v>44723</v>
      </c>
      <c r="I251" t="s">
        <v>28</v>
      </c>
      <c r="J251" s="1" t="b">
        <f t="shared" si="21"/>
        <v>1</v>
      </c>
      <c r="K251" s="1" t="b">
        <f t="shared" si="22"/>
        <v>0</v>
      </c>
      <c r="L251" s="1" t="b">
        <f t="shared" si="23"/>
        <v>0</v>
      </c>
      <c r="M251" s="1" t="b">
        <f t="shared" si="24"/>
        <v>0</v>
      </c>
      <c r="N251" s="1" t="b">
        <f t="shared" si="25"/>
        <v>0</v>
      </c>
      <c r="O251" s="1" t="b">
        <f t="shared" si="26"/>
        <v>0</v>
      </c>
      <c r="P251" s="1" t="b">
        <f t="shared" si="27"/>
        <v>1</v>
      </c>
    </row>
    <row r="252" spans="1:16" x14ac:dyDescent="0.2">
      <c r="A252">
        <v>9422281</v>
      </c>
      <c r="B252" t="s">
        <v>546</v>
      </c>
      <c r="C252" t="s">
        <v>542</v>
      </c>
      <c r="D252" t="s">
        <v>19</v>
      </c>
      <c r="E252" s="1">
        <v>44704</v>
      </c>
      <c r="F252" t="s">
        <v>547</v>
      </c>
      <c r="G252" s="1">
        <v>44729</v>
      </c>
      <c r="H252" s="1">
        <v>44775</v>
      </c>
      <c r="J252" s="1" t="b">
        <f t="shared" si="21"/>
        <v>1</v>
      </c>
      <c r="K252" s="1" t="b">
        <f t="shared" si="22"/>
        <v>0</v>
      </c>
      <c r="L252" s="1" t="b">
        <f t="shared" si="23"/>
        <v>0</v>
      </c>
      <c r="M252" s="1" t="b">
        <f t="shared" si="24"/>
        <v>0</v>
      </c>
      <c r="N252" s="1" t="b">
        <f t="shared" si="25"/>
        <v>0</v>
      </c>
      <c r="O252" s="1" t="b">
        <f t="shared" si="26"/>
        <v>0</v>
      </c>
      <c r="P252" s="1" t="b">
        <f t="shared" si="27"/>
        <v>0</v>
      </c>
    </row>
    <row r="253" spans="1:16" x14ac:dyDescent="0.2">
      <c r="A253">
        <v>9422281</v>
      </c>
      <c r="B253" t="s">
        <v>548</v>
      </c>
      <c r="C253" t="s">
        <v>542</v>
      </c>
      <c r="D253" t="s">
        <v>19</v>
      </c>
      <c r="E253" s="1">
        <v>44581</v>
      </c>
      <c r="F253" t="s">
        <v>549</v>
      </c>
      <c r="G253" s="1">
        <v>44590</v>
      </c>
      <c r="H253" s="1">
        <v>44604</v>
      </c>
      <c r="I253" t="s">
        <v>16</v>
      </c>
      <c r="J253" s="1" t="b">
        <f t="shared" si="21"/>
        <v>1</v>
      </c>
      <c r="K253" s="1" t="b">
        <f t="shared" si="22"/>
        <v>0</v>
      </c>
      <c r="L253" s="1" t="b">
        <f t="shared" si="23"/>
        <v>0</v>
      </c>
      <c r="M253" s="1" t="b">
        <f t="shared" si="24"/>
        <v>0</v>
      </c>
      <c r="N253" s="1" t="b">
        <f t="shared" si="25"/>
        <v>1</v>
      </c>
      <c r="O253" s="1" t="b">
        <f t="shared" si="26"/>
        <v>0</v>
      </c>
      <c r="P253" s="1" t="b">
        <f t="shared" si="27"/>
        <v>0</v>
      </c>
    </row>
    <row r="254" spans="1:16" x14ac:dyDescent="0.2">
      <c r="A254">
        <v>3508522</v>
      </c>
      <c r="B254" t="s">
        <v>550</v>
      </c>
      <c r="C254" t="s">
        <v>18</v>
      </c>
      <c r="D254" t="s">
        <v>81</v>
      </c>
      <c r="E254" s="1">
        <v>44686</v>
      </c>
      <c r="F254" t="s">
        <v>551</v>
      </c>
      <c r="G254" s="1">
        <v>44688</v>
      </c>
      <c r="H254" s="1">
        <v>44704</v>
      </c>
      <c r="I254" t="s">
        <v>28</v>
      </c>
      <c r="J254" s="1" t="b">
        <f t="shared" si="21"/>
        <v>1</v>
      </c>
      <c r="K254" s="1" t="b">
        <f t="shared" si="22"/>
        <v>0</v>
      </c>
      <c r="L254" s="1" t="b">
        <f t="shared" si="23"/>
        <v>0</v>
      </c>
      <c r="M254" s="1" t="b">
        <f t="shared" si="24"/>
        <v>0</v>
      </c>
      <c r="N254" s="1" t="b">
        <f t="shared" si="25"/>
        <v>0</v>
      </c>
      <c r="O254" s="1" t="b">
        <f t="shared" si="26"/>
        <v>0</v>
      </c>
      <c r="P254" s="1" t="b">
        <f t="shared" si="27"/>
        <v>1</v>
      </c>
    </row>
    <row r="255" spans="1:16" x14ac:dyDescent="0.2">
      <c r="A255">
        <v>3508522</v>
      </c>
      <c r="B255" t="s">
        <v>552</v>
      </c>
      <c r="C255" t="s">
        <v>18</v>
      </c>
      <c r="D255" t="s">
        <v>81</v>
      </c>
      <c r="E255" s="1">
        <v>45073</v>
      </c>
      <c r="F255" t="s">
        <v>553</v>
      </c>
      <c r="G255" s="1">
        <v>45093</v>
      </c>
      <c r="H255" s="1">
        <v>45128</v>
      </c>
      <c r="J255" s="1" t="b">
        <f t="shared" si="21"/>
        <v>1</v>
      </c>
      <c r="K255" s="1" t="b">
        <f t="shared" si="22"/>
        <v>0</v>
      </c>
      <c r="L255" s="1" t="b">
        <f t="shared" si="23"/>
        <v>0</v>
      </c>
      <c r="M255" s="1" t="b">
        <f t="shared" si="24"/>
        <v>0</v>
      </c>
      <c r="N255" s="1" t="b">
        <f t="shared" si="25"/>
        <v>0</v>
      </c>
      <c r="O255" s="1" t="b">
        <f t="shared" si="26"/>
        <v>0</v>
      </c>
      <c r="P255" s="1" t="b">
        <f t="shared" si="27"/>
        <v>0</v>
      </c>
    </row>
    <row r="256" spans="1:16" x14ac:dyDescent="0.2">
      <c r="A256">
        <v>3508522</v>
      </c>
      <c r="B256" t="s">
        <v>554</v>
      </c>
      <c r="C256" t="s">
        <v>18</v>
      </c>
      <c r="D256" t="s">
        <v>81</v>
      </c>
      <c r="E256" s="1">
        <v>44809</v>
      </c>
      <c r="F256" t="s">
        <v>555</v>
      </c>
      <c r="G256" s="1">
        <v>44832</v>
      </c>
      <c r="I256" t="s">
        <v>13</v>
      </c>
      <c r="J256" s="1" t="b">
        <f t="shared" si="21"/>
        <v>0</v>
      </c>
      <c r="K256" s="1" t="b">
        <f t="shared" si="22"/>
        <v>1</v>
      </c>
      <c r="L256" s="1" t="b">
        <f t="shared" si="23"/>
        <v>0</v>
      </c>
      <c r="M256" s="1" t="b">
        <f t="shared" si="24"/>
        <v>0</v>
      </c>
      <c r="N256" s="1" t="b">
        <f t="shared" si="25"/>
        <v>0</v>
      </c>
      <c r="O256" s="1" t="b">
        <f t="shared" si="26"/>
        <v>0</v>
      </c>
      <c r="P256" s="1" t="b">
        <f t="shared" si="27"/>
        <v>0</v>
      </c>
    </row>
    <row r="257" spans="1:16" x14ac:dyDescent="0.2">
      <c r="A257">
        <v>3508522</v>
      </c>
      <c r="B257" t="s">
        <v>556</v>
      </c>
      <c r="C257" t="s">
        <v>18</v>
      </c>
      <c r="D257" t="s">
        <v>81</v>
      </c>
      <c r="E257" s="1">
        <v>44923</v>
      </c>
      <c r="F257" t="s">
        <v>557</v>
      </c>
      <c r="G257" s="1">
        <v>44931</v>
      </c>
      <c r="I257" t="s">
        <v>13</v>
      </c>
      <c r="J257" s="1" t="b">
        <f t="shared" si="21"/>
        <v>0</v>
      </c>
      <c r="K257" s="1" t="b">
        <f t="shared" si="22"/>
        <v>1</v>
      </c>
      <c r="L257" s="1" t="b">
        <f t="shared" si="23"/>
        <v>0</v>
      </c>
      <c r="M257" s="1" t="b">
        <f t="shared" si="24"/>
        <v>0</v>
      </c>
      <c r="N257" s="1" t="b">
        <f t="shared" si="25"/>
        <v>0</v>
      </c>
      <c r="O257" s="1" t="b">
        <f t="shared" si="26"/>
        <v>0</v>
      </c>
      <c r="P257" s="1" t="b">
        <f t="shared" si="27"/>
        <v>0</v>
      </c>
    </row>
    <row r="258" spans="1:16" x14ac:dyDescent="0.2">
      <c r="A258">
        <v>3508522</v>
      </c>
      <c r="B258" t="s">
        <v>558</v>
      </c>
      <c r="C258" t="s">
        <v>18</v>
      </c>
      <c r="D258" t="s">
        <v>81</v>
      </c>
      <c r="E258" s="1">
        <v>44649</v>
      </c>
      <c r="F258" t="s">
        <v>559</v>
      </c>
      <c r="G258" s="1">
        <v>44666</v>
      </c>
      <c r="H258" s="1">
        <v>44690</v>
      </c>
      <c r="I258" t="s">
        <v>43</v>
      </c>
      <c r="J258" s="1" t="b">
        <f t="shared" si="21"/>
        <v>1</v>
      </c>
      <c r="K258" s="1" t="b">
        <f t="shared" si="22"/>
        <v>0</v>
      </c>
      <c r="L258" s="1" t="b">
        <f t="shared" si="23"/>
        <v>0</v>
      </c>
      <c r="M258" s="1" t="b">
        <f t="shared" si="24"/>
        <v>0</v>
      </c>
      <c r="N258" s="1" t="b">
        <f t="shared" si="25"/>
        <v>0</v>
      </c>
      <c r="O258" s="1" t="b">
        <f t="shared" si="26"/>
        <v>1</v>
      </c>
      <c r="P258" s="1" t="b">
        <f t="shared" si="27"/>
        <v>0</v>
      </c>
    </row>
    <row r="259" spans="1:16" x14ac:dyDescent="0.2">
      <c r="A259">
        <v>2135470</v>
      </c>
      <c r="B259" t="s">
        <v>560</v>
      </c>
      <c r="C259" t="s">
        <v>80</v>
      </c>
      <c r="D259" t="s">
        <v>139</v>
      </c>
      <c r="E259" s="1">
        <v>45043</v>
      </c>
      <c r="F259" t="s">
        <v>561</v>
      </c>
      <c r="G259" s="1">
        <v>45045</v>
      </c>
      <c r="H259" s="1">
        <v>45086</v>
      </c>
      <c r="I259" t="s">
        <v>16</v>
      </c>
      <c r="J259" s="1" t="b">
        <f t="shared" ref="J259:J322" si="28">AND(NOT(ISBLANK(H259)), NOT(OR(ISNUMBER(SEARCH("decline", I259)), ISNUMBER(SEARCH("rescind", I259)), ISNUMBER(SEARCH("cancel", I259)))))</f>
        <v>1</v>
      </c>
      <c r="K259" s="1" t="b">
        <f t="shared" ref="K259:K322" si="29">ISNUMBER(SEARCH("decline", I259))</f>
        <v>0</v>
      </c>
      <c r="L259" s="1" t="b">
        <f t="shared" ref="L259:L322" si="30">ISNUMBER(SEARCH("rescind", I259))</f>
        <v>0</v>
      </c>
      <c r="M259" s="1" t="b">
        <f t="shared" ref="M259:M322" si="31">ISNUMBER(SEARCH("cancel", I259))</f>
        <v>0</v>
      </c>
      <c r="N259" s="1" t="b">
        <f t="shared" ref="N259:N322" si="32">ISNUMBER(SEARCH("transfer", I259))</f>
        <v>1</v>
      </c>
      <c r="O259" s="1" t="b">
        <f t="shared" ref="O259:O322" si="33">ISNUMBER(SEARCH("promo", I259))</f>
        <v>0</v>
      </c>
      <c r="P259" s="1" t="b">
        <f t="shared" ref="P259:P322" si="34">ISNUMBER(SEARCH("new", I259))</f>
        <v>0</v>
      </c>
    </row>
    <row r="260" spans="1:16" x14ac:dyDescent="0.2">
      <c r="A260">
        <v>2135470</v>
      </c>
      <c r="B260" t="s">
        <v>562</v>
      </c>
      <c r="C260" t="s">
        <v>80</v>
      </c>
      <c r="D260" t="s">
        <v>139</v>
      </c>
      <c r="E260" s="1">
        <v>44578</v>
      </c>
      <c r="F260" t="s">
        <v>563</v>
      </c>
      <c r="G260" s="1">
        <v>44590</v>
      </c>
      <c r="H260" s="1">
        <v>44641</v>
      </c>
      <c r="I260" t="s">
        <v>28</v>
      </c>
      <c r="J260" s="1" t="b">
        <f t="shared" si="28"/>
        <v>1</v>
      </c>
      <c r="K260" s="1" t="b">
        <f t="shared" si="29"/>
        <v>0</v>
      </c>
      <c r="L260" s="1" t="b">
        <f t="shared" si="30"/>
        <v>0</v>
      </c>
      <c r="M260" s="1" t="b">
        <f t="shared" si="31"/>
        <v>0</v>
      </c>
      <c r="N260" s="1" t="b">
        <f t="shared" si="32"/>
        <v>0</v>
      </c>
      <c r="O260" s="1" t="b">
        <f t="shared" si="33"/>
        <v>0</v>
      </c>
      <c r="P260" s="1" t="b">
        <f t="shared" si="34"/>
        <v>1</v>
      </c>
    </row>
    <row r="261" spans="1:16" x14ac:dyDescent="0.2">
      <c r="A261">
        <v>2135470</v>
      </c>
      <c r="B261" t="s">
        <v>564</v>
      </c>
      <c r="C261" t="s">
        <v>80</v>
      </c>
      <c r="D261" t="s">
        <v>139</v>
      </c>
      <c r="E261" s="1">
        <v>44668</v>
      </c>
      <c r="F261" t="s">
        <v>565</v>
      </c>
      <c r="G261" s="1">
        <v>44693</v>
      </c>
      <c r="I261" t="s">
        <v>13</v>
      </c>
      <c r="J261" s="1" t="b">
        <f t="shared" si="28"/>
        <v>0</v>
      </c>
      <c r="K261" s="1" t="b">
        <f t="shared" si="29"/>
        <v>1</v>
      </c>
      <c r="L261" s="1" t="b">
        <f t="shared" si="30"/>
        <v>0</v>
      </c>
      <c r="M261" s="1" t="b">
        <f t="shared" si="31"/>
        <v>0</v>
      </c>
      <c r="N261" s="1" t="b">
        <f t="shared" si="32"/>
        <v>0</v>
      </c>
      <c r="O261" s="1" t="b">
        <f t="shared" si="33"/>
        <v>0</v>
      </c>
      <c r="P261" s="1" t="b">
        <f t="shared" si="34"/>
        <v>0</v>
      </c>
    </row>
    <row r="262" spans="1:16" x14ac:dyDescent="0.2">
      <c r="A262">
        <v>2135470</v>
      </c>
      <c r="B262" t="s">
        <v>566</v>
      </c>
      <c r="C262" t="s">
        <v>80</v>
      </c>
      <c r="D262" t="s">
        <v>139</v>
      </c>
      <c r="E262" s="1">
        <v>44922</v>
      </c>
      <c r="F262" t="s">
        <v>151</v>
      </c>
      <c r="G262" s="1">
        <v>44940</v>
      </c>
      <c r="H262" s="1">
        <v>44962</v>
      </c>
      <c r="I262" t="s">
        <v>28</v>
      </c>
      <c r="J262" s="1" t="b">
        <f t="shared" si="28"/>
        <v>1</v>
      </c>
      <c r="K262" s="1" t="b">
        <f t="shared" si="29"/>
        <v>0</v>
      </c>
      <c r="L262" s="1" t="b">
        <f t="shared" si="30"/>
        <v>0</v>
      </c>
      <c r="M262" s="1" t="b">
        <f t="shared" si="31"/>
        <v>0</v>
      </c>
      <c r="N262" s="1" t="b">
        <f t="shared" si="32"/>
        <v>0</v>
      </c>
      <c r="O262" s="1" t="b">
        <f t="shared" si="33"/>
        <v>0</v>
      </c>
      <c r="P262" s="1" t="b">
        <f t="shared" si="34"/>
        <v>1</v>
      </c>
    </row>
    <row r="263" spans="1:16" x14ac:dyDescent="0.2">
      <c r="A263">
        <v>2135470</v>
      </c>
      <c r="B263" t="s">
        <v>567</v>
      </c>
      <c r="C263" t="s">
        <v>80</v>
      </c>
      <c r="D263" t="s">
        <v>139</v>
      </c>
      <c r="E263" s="1">
        <v>45037</v>
      </c>
      <c r="F263" t="s">
        <v>568</v>
      </c>
      <c r="G263" s="1">
        <v>45060</v>
      </c>
      <c r="H263" s="1">
        <v>45091</v>
      </c>
      <c r="I263" t="s">
        <v>43</v>
      </c>
      <c r="J263" s="1" t="b">
        <f t="shared" si="28"/>
        <v>1</v>
      </c>
      <c r="K263" s="1" t="b">
        <f t="shared" si="29"/>
        <v>0</v>
      </c>
      <c r="L263" s="1" t="b">
        <f t="shared" si="30"/>
        <v>0</v>
      </c>
      <c r="M263" s="1" t="b">
        <f t="shared" si="31"/>
        <v>0</v>
      </c>
      <c r="N263" s="1" t="b">
        <f t="shared" si="32"/>
        <v>0</v>
      </c>
      <c r="O263" s="1" t="b">
        <f t="shared" si="33"/>
        <v>1</v>
      </c>
      <c r="P263" s="1" t="b">
        <f t="shared" si="34"/>
        <v>0</v>
      </c>
    </row>
    <row r="264" spans="1:16" x14ac:dyDescent="0.2">
      <c r="A264">
        <v>4058117</v>
      </c>
      <c r="B264" t="s">
        <v>569</v>
      </c>
      <c r="C264" t="s">
        <v>47</v>
      </c>
      <c r="D264" t="s">
        <v>187</v>
      </c>
      <c r="E264" s="1">
        <v>44768</v>
      </c>
      <c r="F264" t="s">
        <v>570</v>
      </c>
      <c r="G264" s="1">
        <v>44770</v>
      </c>
      <c r="H264" s="1">
        <v>44821</v>
      </c>
      <c r="J264" s="1" t="b">
        <f t="shared" si="28"/>
        <v>1</v>
      </c>
      <c r="K264" s="1" t="b">
        <f t="shared" si="29"/>
        <v>0</v>
      </c>
      <c r="L264" s="1" t="b">
        <f t="shared" si="30"/>
        <v>0</v>
      </c>
      <c r="M264" s="1" t="b">
        <f t="shared" si="31"/>
        <v>0</v>
      </c>
      <c r="N264" s="1" t="b">
        <f t="shared" si="32"/>
        <v>0</v>
      </c>
      <c r="O264" s="1" t="b">
        <f t="shared" si="33"/>
        <v>0</v>
      </c>
      <c r="P264" s="1" t="b">
        <f t="shared" si="34"/>
        <v>0</v>
      </c>
    </row>
    <row r="265" spans="1:16" x14ac:dyDescent="0.2">
      <c r="A265">
        <v>4346548</v>
      </c>
      <c r="B265" t="s">
        <v>571</v>
      </c>
      <c r="C265" t="s">
        <v>131</v>
      </c>
      <c r="D265" t="s">
        <v>56</v>
      </c>
      <c r="E265" s="1">
        <v>45046</v>
      </c>
      <c r="F265" t="s">
        <v>572</v>
      </c>
      <c r="G265" s="1">
        <v>45055</v>
      </c>
      <c r="H265" s="1">
        <v>45058</v>
      </c>
      <c r="J265" s="1" t="b">
        <f t="shared" si="28"/>
        <v>1</v>
      </c>
      <c r="K265" s="1" t="b">
        <f t="shared" si="29"/>
        <v>0</v>
      </c>
      <c r="L265" s="1" t="b">
        <f t="shared" si="30"/>
        <v>0</v>
      </c>
      <c r="M265" s="1" t="b">
        <f t="shared" si="31"/>
        <v>0</v>
      </c>
      <c r="N265" s="1" t="b">
        <f t="shared" si="32"/>
        <v>0</v>
      </c>
      <c r="O265" s="1" t="b">
        <f t="shared" si="33"/>
        <v>0</v>
      </c>
      <c r="P265" s="1" t="b">
        <f t="shared" si="34"/>
        <v>0</v>
      </c>
    </row>
    <row r="266" spans="1:16" x14ac:dyDescent="0.2">
      <c r="A266">
        <v>4346548</v>
      </c>
      <c r="B266" t="s">
        <v>573</v>
      </c>
      <c r="C266" t="s">
        <v>131</v>
      </c>
      <c r="D266" t="s">
        <v>56</v>
      </c>
      <c r="E266" s="1">
        <v>44610</v>
      </c>
      <c r="F266" t="s">
        <v>574</v>
      </c>
      <c r="G266" s="1">
        <v>44638</v>
      </c>
      <c r="H266" s="1">
        <v>44680</v>
      </c>
      <c r="I266" t="s">
        <v>43</v>
      </c>
      <c r="J266" s="1" t="b">
        <f t="shared" si="28"/>
        <v>1</v>
      </c>
      <c r="K266" s="1" t="b">
        <f t="shared" si="29"/>
        <v>0</v>
      </c>
      <c r="L266" s="1" t="b">
        <f t="shared" si="30"/>
        <v>0</v>
      </c>
      <c r="M266" s="1" t="b">
        <f t="shared" si="31"/>
        <v>0</v>
      </c>
      <c r="N266" s="1" t="b">
        <f t="shared" si="32"/>
        <v>0</v>
      </c>
      <c r="O266" s="1" t="b">
        <f t="shared" si="33"/>
        <v>1</v>
      </c>
      <c r="P266" s="1" t="b">
        <f t="shared" si="34"/>
        <v>0</v>
      </c>
    </row>
    <row r="267" spans="1:16" x14ac:dyDescent="0.2">
      <c r="A267">
        <v>4346548</v>
      </c>
      <c r="B267" t="s">
        <v>575</v>
      </c>
      <c r="C267" t="s">
        <v>131</v>
      </c>
      <c r="D267" t="s">
        <v>56</v>
      </c>
      <c r="E267" s="1">
        <v>45009</v>
      </c>
      <c r="F267" t="s">
        <v>576</v>
      </c>
      <c r="G267" s="1">
        <v>45038</v>
      </c>
      <c r="H267" s="1">
        <v>45064</v>
      </c>
      <c r="I267" t="s">
        <v>16</v>
      </c>
      <c r="J267" s="1" t="b">
        <f t="shared" si="28"/>
        <v>1</v>
      </c>
      <c r="K267" s="1" t="b">
        <f t="shared" si="29"/>
        <v>0</v>
      </c>
      <c r="L267" s="1" t="b">
        <f t="shared" si="30"/>
        <v>0</v>
      </c>
      <c r="M267" s="1" t="b">
        <f t="shared" si="31"/>
        <v>0</v>
      </c>
      <c r="N267" s="1" t="b">
        <f t="shared" si="32"/>
        <v>1</v>
      </c>
      <c r="O267" s="1" t="b">
        <f t="shared" si="33"/>
        <v>0</v>
      </c>
      <c r="P267" s="1" t="b">
        <f t="shared" si="34"/>
        <v>0</v>
      </c>
    </row>
    <row r="268" spans="1:16" x14ac:dyDescent="0.2">
      <c r="A268">
        <v>8377556</v>
      </c>
      <c r="B268" t="s">
        <v>577</v>
      </c>
      <c r="C268" t="s">
        <v>131</v>
      </c>
      <c r="D268" t="s">
        <v>60</v>
      </c>
      <c r="E268" s="1">
        <v>44938</v>
      </c>
      <c r="F268" t="s">
        <v>578</v>
      </c>
      <c r="G268" s="1">
        <v>44968</v>
      </c>
      <c r="H268" s="1">
        <v>45020</v>
      </c>
      <c r="J268" s="1" t="b">
        <f t="shared" si="28"/>
        <v>1</v>
      </c>
      <c r="K268" s="1" t="b">
        <f t="shared" si="29"/>
        <v>0</v>
      </c>
      <c r="L268" s="1" t="b">
        <f t="shared" si="30"/>
        <v>0</v>
      </c>
      <c r="M268" s="1" t="b">
        <f t="shared" si="31"/>
        <v>0</v>
      </c>
      <c r="N268" s="1" t="b">
        <f t="shared" si="32"/>
        <v>0</v>
      </c>
      <c r="O268" s="1" t="b">
        <f t="shared" si="33"/>
        <v>0</v>
      </c>
      <c r="P268" s="1" t="b">
        <f t="shared" si="34"/>
        <v>0</v>
      </c>
    </row>
    <row r="269" spans="1:16" x14ac:dyDescent="0.2">
      <c r="A269">
        <v>8377556</v>
      </c>
      <c r="B269" t="s">
        <v>579</v>
      </c>
      <c r="C269" t="s">
        <v>131</v>
      </c>
      <c r="D269" t="s">
        <v>60</v>
      </c>
      <c r="E269" s="1">
        <v>44642</v>
      </c>
      <c r="F269" t="s">
        <v>580</v>
      </c>
      <c r="G269" s="1">
        <v>44656</v>
      </c>
      <c r="H269" s="1">
        <v>44695</v>
      </c>
      <c r="I269" t="s">
        <v>16</v>
      </c>
      <c r="J269" s="1" t="b">
        <f t="shared" si="28"/>
        <v>1</v>
      </c>
      <c r="K269" s="1" t="b">
        <f t="shared" si="29"/>
        <v>0</v>
      </c>
      <c r="L269" s="1" t="b">
        <f t="shared" si="30"/>
        <v>0</v>
      </c>
      <c r="M269" s="1" t="b">
        <f t="shared" si="31"/>
        <v>0</v>
      </c>
      <c r="N269" s="1" t="b">
        <f t="shared" si="32"/>
        <v>1</v>
      </c>
      <c r="O269" s="1" t="b">
        <f t="shared" si="33"/>
        <v>0</v>
      </c>
      <c r="P269" s="1" t="b">
        <f t="shared" si="34"/>
        <v>0</v>
      </c>
    </row>
    <row r="270" spans="1:16" x14ac:dyDescent="0.2">
      <c r="A270">
        <v>8377556</v>
      </c>
      <c r="B270" t="s">
        <v>581</v>
      </c>
      <c r="C270" t="s">
        <v>131</v>
      </c>
      <c r="D270" t="s">
        <v>60</v>
      </c>
      <c r="E270" s="1">
        <v>44890</v>
      </c>
      <c r="F270" t="s">
        <v>582</v>
      </c>
      <c r="G270" s="1">
        <v>44894</v>
      </c>
      <c r="H270" s="1">
        <v>44900</v>
      </c>
      <c r="I270" t="s">
        <v>43</v>
      </c>
      <c r="J270" s="1" t="b">
        <f t="shared" si="28"/>
        <v>1</v>
      </c>
      <c r="K270" s="1" t="b">
        <f t="shared" si="29"/>
        <v>0</v>
      </c>
      <c r="L270" s="1" t="b">
        <f t="shared" si="30"/>
        <v>0</v>
      </c>
      <c r="M270" s="1" t="b">
        <f t="shared" si="31"/>
        <v>0</v>
      </c>
      <c r="N270" s="1" t="b">
        <f t="shared" si="32"/>
        <v>0</v>
      </c>
      <c r="O270" s="1" t="b">
        <f t="shared" si="33"/>
        <v>1</v>
      </c>
      <c r="P270" s="1" t="b">
        <f t="shared" si="34"/>
        <v>0</v>
      </c>
    </row>
    <row r="271" spans="1:16" x14ac:dyDescent="0.2">
      <c r="A271">
        <v>6501583</v>
      </c>
      <c r="B271" t="s">
        <v>583</v>
      </c>
      <c r="C271" t="s">
        <v>167</v>
      </c>
      <c r="D271" t="s">
        <v>11</v>
      </c>
      <c r="E271" s="1">
        <v>45016</v>
      </c>
      <c r="F271" t="s">
        <v>584</v>
      </c>
      <c r="G271" s="1">
        <v>45028</v>
      </c>
      <c r="H271" s="1">
        <v>45057</v>
      </c>
      <c r="J271" s="1" t="b">
        <f t="shared" si="28"/>
        <v>1</v>
      </c>
      <c r="K271" s="1" t="b">
        <f t="shared" si="29"/>
        <v>0</v>
      </c>
      <c r="L271" s="1" t="b">
        <f t="shared" si="30"/>
        <v>0</v>
      </c>
      <c r="M271" s="1" t="b">
        <f t="shared" si="31"/>
        <v>0</v>
      </c>
      <c r="N271" s="1" t="b">
        <f t="shared" si="32"/>
        <v>0</v>
      </c>
      <c r="O271" s="1" t="b">
        <f t="shared" si="33"/>
        <v>0</v>
      </c>
      <c r="P271" s="1" t="b">
        <f t="shared" si="34"/>
        <v>0</v>
      </c>
    </row>
    <row r="272" spans="1:16" x14ac:dyDescent="0.2">
      <c r="A272">
        <v>6501583</v>
      </c>
      <c r="B272" t="s">
        <v>585</v>
      </c>
      <c r="C272" t="s">
        <v>167</v>
      </c>
      <c r="D272" t="s">
        <v>11</v>
      </c>
      <c r="E272" s="1">
        <v>44923</v>
      </c>
      <c r="F272" t="s">
        <v>586</v>
      </c>
      <c r="G272" s="1">
        <v>44943</v>
      </c>
      <c r="I272" t="s">
        <v>13</v>
      </c>
      <c r="J272" s="1" t="b">
        <f t="shared" si="28"/>
        <v>0</v>
      </c>
      <c r="K272" s="1" t="b">
        <f t="shared" si="29"/>
        <v>1</v>
      </c>
      <c r="L272" s="1" t="b">
        <f t="shared" si="30"/>
        <v>0</v>
      </c>
      <c r="M272" s="1" t="b">
        <f t="shared" si="31"/>
        <v>0</v>
      </c>
      <c r="N272" s="1" t="b">
        <f t="shared" si="32"/>
        <v>0</v>
      </c>
      <c r="O272" s="1" t="b">
        <f t="shared" si="33"/>
        <v>0</v>
      </c>
      <c r="P272" s="1" t="b">
        <f t="shared" si="34"/>
        <v>0</v>
      </c>
    </row>
    <row r="273" spans="1:16" x14ac:dyDescent="0.2">
      <c r="A273">
        <v>6501583</v>
      </c>
      <c r="B273" t="s">
        <v>587</v>
      </c>
      <c r="C273" t="s">
        <v>167</v>
      </c>
      <c r="D273" t="s">
        <v>11</v>
      </c>
      <c r="E273" s="1">
        <v>44620</v>
      </c>
      <c r="F273" t="s">
        <v>588</v>
      </c>
      <c r="G273" s="1">
        <v>44623</v>
      </c>
      <c r="H273" s="1">
        <v>44666</v>
      </c>
      <c r="I273" t="s">
        <v>28</v>
      </c>
      <c r="J273" s="1" t="b">
        <f t="shared" si="28"/>
        <v>1</v>
      </c>
      <c r="K273" s="1" t="b">
        <f t="shared" si="29"/>
        <v>0</v>
      </c>
      <c r="L273" s="1" t="b">
        <f t="shared" si="30"/>
        <v>0</v>
      </c>
      <c r="M273" s="1" t="b">
        <f t="shared" si="31"/>
        <v>0</v>
      </c>
      <c r="N273" s="1" t="b">
        <f t="shared" si="32"/>
        <v>0</v>
      </c>
      <c r="O273" s="1" t="b">
        <f t="shared" si="33"/>
        <v>0</v>
      </c>
      <c r="P273" s="1" t="b">
        <f t="shared" si="34"/>
        <v>1</v>
      </c>
    </row>
    <row r="274" spans="1:16" x14ac:dyDescent="0.2">
      <c r="A274">
        <v>7815076</v>
      </c>
      <c r="B274" t="s">
        <v>589</v>
      </c>
      <c r="C274" t="s">
        <v>542</v>
      </c>
      <c r="D274" t="s">
        <v>139</v>
      </c>
      <c r="E274" s="1">
        <v>45010</v>
      </c>
      <c r="F274" t="s">
        <v>590</v>
      </c>
      <c r="G274" s="1">
        <v>45012</v>
      </c>
      <c r="H274" s="1">
        <v>45021</v>
      </c>
      <c r="I274" t="s">
        <v>43</v>
      </c>
      <c r="J274" s="1" t="b">
        <f t="shared" si="28"/>
        <v>1</v>
      </c>
      <c r="K274" s="1" t="b">
        <f t="shared" si="29"/>
        <v>0</v>
      </c>
      <c r="L274" s="1" t="b">
        <f t="shared" si="30"/>
        <v>0</v>
      </c>
      <c r="M274" s="1" t="b">
        <f t="shared" si="31"/>
        <v>0</v>
      </c>
      <c r="N274" s="1" t="b">
        <f t="shared" si="32"/>
        <v>0</v>
      </c>
      <c r="O274" s="1" t="b">
        <f t="shared" si="33"/>
        <v>1</v>
      </c>
      <c r="P274" s="1" t="b">
        <f t="shared" si="34"/>
        <v>0</v>
      </c>
    </row>
    <row r="275" spans="1:16" x14ac:dyDescent="0.2">
      <c r="A275">
        <v>7815076</v>
      </c>
      <c r="B275" t="s">
        <v>591</v>
      </c>
      <c r="C275" t="s">
        <v>542</v>
      </c>
      <c r="D275" t="s">
        <v>139</v>
      </c>
      <c r="E275" s="1">
        <v>44937</v>
      </c>
      <c r="F275" t="s">
        <v>592</v>
      </c>
      <c r="G275" s="1">
        <v>44949</v>
      </c>
      <c r="I275" t="s">
        <v>13</v>
      </c>
      <c r="J275" s="1" t="b">
        <f t="shared" si="28"/>
        <v>0</v>
      </c>
      <c r="K275" s="1" t="b">
        <f t="shared" si="29"/>
        <v>1</v>
      </c>
      <c r="L275" s="1" t="b">
        <f t="shared" si="30"/>
        <v>0</v>
      </c>
      <c r="M275" s="1" t="b">
        <f t="shared" si="31"/>
        <v>0</v>
      </c>
      <c r="N275" s="1" t="b">
        <f t="shared" si="32"/>
        <v>0</v>
      </c>
      <c r="O275" s="1" t="b">
        <f t="shared" si="33"/>
        <v>0</v>
      </c>
      <c r="P275" s="1" t="b">
        <f t="shared" si="34"/>
        <v>0</v>
      </c>
    </row>
    <row r="276" spans="1:16" x14ac:dyDescent="0.2">
      <c r="A276">
        <v>7423230</v>
      </c>
      <c r="B276" t="s">
        <v>593</v>
      </c>
      <c r="C276" t="s">
        <v>32</v>
      </c>
      <c r="D276" t="s">
        <v>56</v>
      </c>
      <c r="E276" s="1">
        <v>44942</v>
      </c>
      <c r="F276" t="s">
        <v>594</v>
      </c>
      <c r="G276" s="1">
        <v>44957</v>
      </c>
      <c r="I276" t="s">
        <v>13</v>
      </c>
      <c r="J276" s="1" t="b">
        <f t="shared" si="28"/>
        <v>0</v>
      </c>
      <c r="K276" s="1" t="b">
        <f t="shared" si="29"/>
        <v>1</v>
      </c>
      <c r="L276" s="1" t="b">
        <f t="shared" si="30"/>
        <v>0</v>
      </c>
      <c r="M276" s="1" t="b">
        <f t="shared" si="31"/>
        <v>0</v>
      </c>
      <c r="N276" s="1" t="b">
        <f t="shared" si="32"/>
        <v>0</v>
      </c>
      <c r="O276" s="1" t="b">
        <f t="shared" si="33"/>
        <v>0</v>
      </c>
      <c r="P276" s="1" t="b">
        <f t="shared" si="34"/>
        <v>0</v>
      </c>
    </row>
    <row r="277" spans="1:16" x14ac:dyDescent="0.2">
      <c r="A277">
        <v>7423230</v>
      </c>
      <c r="B277" t="s">
        <v>595</v>
      </c>
      <c r="C277" t="s">
        <v>32</v>
      </c>
      <c r="D277" t="s">
        <v>56</v>
      </c>
      <c r="E277" s="1">
        <v>44969</v>
      </c>
      <c r="F277" t="s">
        <v>596</v>
      </c>
      <c r="G277" s="1">
        <v>44980</v>
      </c>
      <c r="H277" s="1">
        <v>45022</v>
      </c>
      <c r="I277" t="s">
        <v>43</v>
      </c>
      <c r="J277" s="1" t="b">
        <f t="shared" si="28"/>
        <v>1</v>
      </c>
      <c r="K277" s="1" t="b">
        <f t="shared" si="29"/>
        <v>0</v>
      </c>
      <c r="L277" s="1" t="b">
        <f t="shared" si="30"/>
        <v>0</v>
      </c>
      <c r="M277" s="1" t="b">
        <f t="shared" si="31"/>
        <v>0</v>
      </c>
      <c r="N277" s="1" t="b">
        <f t="shared" si="32"/>
        <v>0</v>
      </c>
      <c r="O277" s="1" t="b">
        <f t="shared" si="33"/>
        <v>1</v>
      </c>
      <c r="P277" s="1" t="b">
        <f t="shared" si="34"/>
        <v>0</v>
      </c>
    </row>
    <row r="278" spans="1:16" x14ac:dyDescent="0.2">
      <c r="A278">
        <v>7423230</v>
      </c>
      <c r="B278" t="s">
        <v>597</v>
      </c>
      <c r="C278" t="s">
        <v>32</v>
      </c>
      <c r="D278" t="s">
        <v>56</v>
      </c>
      <c r="E278" s="1">
        <v>44752</v>
      </c>
      <c r="F278" t="s">
        <v>598</v>
      </c>
      <c r="G278" s="1">
        <v>44768</v>
      </c>
      <c r="I278" t="s">
        <v>25</v>
      </c>
      <c r="J278" s="1" t="b">
        <f t="shared" si="28"/>
        <v>0</v>
      </c>
      <c r="K278" s="1" t="b">
        <f t="shared" si="29"/>
        <v>0</v>
      </c>
      <c r="L278" s="1" t="b">
        <f t="shared" si="30"/>
        <v>1</v>
      </c>
      <c r="M278" s="1" t="b">
        <f t="shared" si="31"/>
        <v>0</v>
      </c>
      <c r="N278" s="1" t="b">
        <f t="shared" si="32"/>
        <v>0</v>
      </c>
      <c r="O278" s="1" t="b">
        <f t="shared" si="33"/>
        <v>0</v>
      </c>
      <c r="P278" s="1" t="b">
        <f t="shared" si="34"/>
        <v>0</v>
      </c>
    </row>
    <row r="279" spans="1:16" x14ac:dyDescent="0.2">
      <c r="A279">
        <v>7423230</v>
      </c>
      <c r="B279" t="s">
        <v>599</v>
      </c>
      <c r="C279" t="s">
        <v>32</v>
      </c>
      <c r="D279" t="s">
        <v>56</v>
      </c>
      <c r="E279" s="1">
        <v>44828</v>
      </c>
      <c r="F279" t="s">
        <v>600</v>
      </c>
      <c r="G279" s="1">
        <v>44851</v>
      </c>
      <c r="H279" s="1">
        <v>44880</v>
      </c>
      <c r="I279" t="s">
        <v>16</v>
      </c>
      <c r="J279" s="1" t="b">
        <f t="shared" si="28"/>
        <v>1</v>
      </c>
      <c r="K279" s="1" t="b">
        <f t="shared" si="29"/>
        <v>0</v>
      </c>
      <c r="L279" s="1" t="b">
        <f t="shared" si="30"/>
        <v>0</v>
      </c>
      <c r="M279" s="1" t="b">
        <f t="shared" si="31"/>
        <v>0</v>
      </c>
      <c r="N279" s="1" t="b">
        <f t="shared" si="32"/>
        <v>1</v>
      </c>
      <c r="O279" s="1" t="b">
        <f t="shared" si="33"/>
        <v>0</v>
      </c>
      <c r="P279" s="1" t="b">
        <f t="shared" si="34"/>
        <v>0</v>
      </c>
    </row>
    <row r="280" spans="1:16" x14ac:dyDescent="0.2">
      <c r="A280">
        <v>7423230</v>
      </c>
      <c r="B280" t="s">
        <v>601</v>
      </c>
      <c r="C280" t="s">
        <v>32</v>
      </c>
      <c r="D280" t="s">
        <v>56</v>
      </c>
      <c r="E280" s="1">
        <v>45064</v>
      </c>
      <c r="F280" t="s">
        <v>602</v>
      </c>
      <c r="G280" s="1">
        <v>45071</v>
      </c>
      <c r="I280" t="s">
        <v>25</v>
      </c>
      <c r="J280" s="1" t="b">
        <f t="shared" si="28"/>
        <v>0</v>
      </c>
      <c r="K280" s="1" t="b">
        <f t="shared" si="29"/>
        <v>0</v>
      </c>
      <c r="L280" s="1" t="b">
        <f t="shared" si="30"/>
        <v>1</v>
      </c>
      <c r="M280" s="1" t="b">
        <f t="shared" si="31"/>
        <v>0</v>
      </c>
      <c r="N280" s="1" t="b">
        <f t="shared" si="32"/>
        <v>0</v>
      </c>
      <c r="O280" s="1" t="b">
        <f t="shared" si="33"/>
        <v>0</v>
      </c>
      <c r="P280" s="1" t="b">
        <f t="shared" si="34"/>
        <v>0</v>
      </c>
    </row>
    <row r="281" spans="1:16" x14ac:dyDescent="0.2">
      <c r="A281">
        <v>3057514</v>
      </c>
      <c r="B281" t="s">
        <v>603</v>
      </c>
      <c r="C281" t="s">
        <v>71</v>
      </c>
      <c r="D281" t="s">
        <v>122</v>
      </c>
      <c r="E281" s="1">
        <v>44651</v>
      </c>
      <c r="F281" t="s">
        <v>604</v>
      </c>
      <c r="G281" s="1">
        <v>44677</v>
      </c>
      <c r="I281" t="s">
        <v>13</v>
      </c>
      <c r="J281" s="1" t="b">
        <f t="shared" si="28"/>
        <v>0</v>
      </c>
      <c r="K281" s="1" t="b">
        <f t="shared" si="29"/>
        <v>1</v>
      </c>
      <c r="L281" s="1" t="b">
        <f t="shared" si="30"/>
        <v>0</v>
      </c>
      <c r="M281" s="1" t="b">
        <f t="shared" si="31"/>
        <v>0</v>
      </c>
      <c r="N281" s="1" t="b">
        <f t="shared" si="32"/>
        <v>0</v>
      </c>
      <c r="O281" s="1" t="b">
        <f t="shared" si="33"/>
        <v>0</v>
      </c>
      <c r="P281" s="1" t="b">
        <f t="shared" si="34"/>
        <v>0</v>
      </c>
    </row>
    <row r="282" spans="1:16" x14ac:dyDescent="0.2">
      <c r="A282">
        <v>3057514</v>
      </c>
      <c r="B282" t="s">
        <v>605</v>
      </c>
      <c r="C282" t="s">
        <v>71</v>
      </c>
      <c r="D282" t="s">
        <v>122</v>
      </c>
      <c r="E282" s="1">
        <v>44628</v>
      </c>
      <c r="F282" t="s">
        <v>606</v>
      </c>
      <c r="G282" s="1">
        <v>44646</v>
      </c>
      <c r="H282" s="1">
        <v>44681</v>
      </c>
      <c r="I282" t="s">
        <v>28</v>
      </c>
      <c r="J282" s="1" t="b">
        <f t="shared" si="28"/>
        <v>1</v>
      </c>
      <c r="K282" s="1" t="b">
        <f t="shared" si="29"/>
        <v>0</v>
      </c>
      <c r="L282" s="1" t="b">
        <f t="shared" si="30"/>
        <v>0</v>
      </c>
      <c r="M282" s="1" t="b">
        <f t="shared" si="31"/>
        <v>0</v>
      </c>
      <c r="N282" s="1" t="b">
        <f t="shared" si="32"/>
        <v>0</v>
      </c>
      <c r="O282" s="1" t="b">
        <f t="shared" si="33"/>
        <v>0</v>
      </c>
      <c r="P282" s="1" t="b">
        <f t="shared" si="34"/>
        <v>1</v>
      </c>
    </row>
    <row r="283" spans="1:16" x14ac:dyDescent="0.2">
      <c r="A283">
        <v>3057514</v>
      </c>
      <c r="B283" t="s">
        <v>607</v>
      </c>
      <c r="C283" t="s">
        <v>71</v>
      </c>
      <c r="D283" t="s">
        <v>122</v>
      </c>
      <c r="E283" s="1">
        <v>44723</v>
      </c>
      <c r="F283" t="s">
        <v>608</v>
      </c>
      <c r="G283" s="1">
        <v>44746</v>
      </c>
      <c r="I283" t="s">
        <v>25</v>
      </c>
      <c r="J283" s="1" t="b">
        <f t="shared" si="28"/>
        <v>0</v>
      </c>
      <c r="K283" s="1" t="b">
        <f t="shared" si="29"/>
        <v>0</v>
      </c>
      <c r="L283" s="1" t="b">
        <f t="shared" si="30"/>
        <v>1</v>
      </c>
      <c r="M283" s="1" t="b">
        <f t="shared" si="31"/>
        <v>0</v>
      </c>
      <c r="N283" s="1" t="b">
        <f t="shared" si="32"/>
        <v>0</v>
      </c>
      <c r="O283" s="1" t="b">
        <f t="shared" si="33"/>
        <v>0</v>
      </c>
      <c r="P283" s="1" t="b">
        <f t="shared" si="34"/>
        <v>0</v>
      </c>
    </row>
    <row r="284" spans="1:16" x14ac:dyDescent="0.2">
      <c r="A284">
        <v>3057514</v>
      </c>
      <c r="B284" t="s">
        <v>609</v>
      </c>
      <c r="C284" t="s">
        <v>71</v>
      </c>
      <c r="D284" t="s">
        <v>122</v>
      </c>
      <c r="E284" s="1">
        <v>45082</v>
      </c>
      <c r="F284" t="s">
        <v>610</v>
      </c>
      <c r="G284" s="1">
        <v>45090</v>
      </c>
      <c r="H284" s="1">
        <v>45098</v>
      </c>
      <c r="I284" t="s">
        <v>43</v>
      </c>
      <c r="J284" s="1" t="b">
        <f t="shared" si="28"/>
        <v>1</v>
      </c>
      <c r="K284" s="1" t="b">
        <f t="shared" si="29"/>
        <v>0</v>
      </c>
      <c r="L284" s="1" t="b">
        <f t="shared" si="30"/>
        <v>0</v>
      </c>
      <c r="M284" s="1" t="b">
        <f t="shared" si="31"/>
        <v>0</v>
      </c>
      <c r="N284" s="1" t="b">
        <f t="shared" si="32"/>
        <v>0</v>
      </c>
      <c r="O284" s="1" t="b">
        <f t="shared" si="33"/>
        <v>1</v>
      </c>
      <c r="P284" s="1" t="b">
        <f t="shared" si="34"/>
        <v>0</v>
      </c>
    </row>
    <row r="285" spans="1:16" x14ac:dyDescent="0.2">
      <c r="A285">
        <v>4371891</v>
      </c>
      <c r="B285" t="s">
        <v>611</v>
      </c>
      <c r="C285" t="s">
        <v>47</v>
      </c>
      <c r="D285" t="s">
        <v>187</v>
      </c>
      <c r="E285" s="1">
        <v>44939</v>
      </c>
      <c r="F285" t="s">
        <v>612</v>
      </c>
      <c r="G285" s="1">
        <v>44954</v>
      </c>
      <c r="H285" s="1">
        <v>45006</v>
      </c>
      <c r="I285" t="s">
        <v>16</v>
      </c>
      <c r="J285" s="1" t="b">
        <f t="shared" si="28"/>
        <v>1</v>
      </c>
      <c r="K285" s="1" t="b">
        <f t="shared" si="29"/>
        <v>0</v>
      </c>
      <c r="L285" s="1" t="b">
        <f t="shared" si="30"/>
        <v>0</v>
      </c>
      <c r="M285" s="1" t="b">
        <f t="shared" si="31"/>
        <v>0</v>
      </c>
      <c r="N285" s="1" t="b">
        <f t="shared" si="32"/>
        <v>1</v>
      </c>
      <c r="O285" s="1" t="b">
        <f t="shared" si="33"/>
        <v>0</v>
      </c>
      <c r="P285" s="1" t="b">
        <f t="shared" si="34"/>
        <v>0</v>
      </c>
    </row>
    <row r="286" spans="1:16" x14ac:dyDescent="0.2">
      <c r="A286">
        <v>4371891</v>
      </c>
      <c r="B286" t="s">
        <v>613</v>
      </c>
      <c r="C286" t="s">
        <v>47</v>
      </c>
      <c r="D286" t="s">
        <v>187</v>
      </c>
      <c r="E286" s="1">
        <v>44650</v>
      </c>
      <c r="F286" t="s">
        <v>614</v>
      </c>
      <c r="G286" s="1">
        <v>44653</v>
      </c>
      <c r="H286" s="1">
        <v>44673</v>
      </c>
      <c r="I286" t="s">
        <v>43</v>
      </c>
      <c r="J286" s="1" t="b">
        <f t="shared" si="28"/>
        <v>1</v>
      </c>
      <c r="K286" s="1" t="b">
        <f t="shared" si="29"/>
        <v>0</v>
      </c>
      <c r="L286" s="1" t="b">
        <f t="shared" si="30"/>
        <v>0</v>
      </c>
      <c r="M286" s="1" t="b">
        <f t="shared" si="31"/>
        <v>0</v>
      </c>
      <c r="N286" s="1" t="b">
        <f t="shared" si="32"/>
        <v>0</v>
      </c>
      <c r="O286" s="1" t="b">
        <f t="shared" si="33"/>
        <v>1</v>
      </c>
      <c r="P286" s="1" t="b">
        <f t="shared" si="34"/>
        <v>0</v>
      </c>
    </row>
    <row r="287" spans="1:16" x14ac:dyDescent="0.2">
      <c r="A287">
        <v>7680015</v>
      </c>
      <c r="B287" t="s">
        <v>615</v>
      </c>
      <c r="C287" t="s">
        <v>240</v>
      </c>
      <c r="D287" t="s">
        <v>77</v>
      </c>
      <c r="E287" s="1">
        <v>44637</v>
      </c>
      <c r="F287" t="s">
        <v>616</v>
      </c>
      <c r="G287" s="1">
        <v>44642</v>
      </c>
      <c r="H287" s="1">
        <v>44663</v>
      </c>
      <c r="J287" s="1" t="b">
        <f t="shared" si="28"/>
        <v>1</v>
      </c>
      <c r="K287" s="1" t="b">
        <f t="shared" si="29"/>
        <v>0</v>
      </c>
      <c r="L287" s="1" t="b">
        <f t="shared" si="30"/>
        <v>0</v>
      </c>
      <c r="M287" s="1" t="b">
        <f t="shared" si="31"/>
        <v>0</v>
      </c>
      <c r="N287" s="1" t="b">
        <f t="shared" si="32"/>
        <v>0</v>
      </c>
      <c r="O287" s="1" t="b">
        <f t="shared" si="33"/>
        <v>0</v>
      </c>
      <c r="P287" s="1" t="b">
        <f t="shared" si="34"/>
        <v>0</v>
      </c>
    </row>
    <row r="288" spans="1:16" x14ac:dyDescent="0.2">
      <c r="A288">
        <v>7680015</v>
      </c>
      <c r="B288" t="s">
        <v>617</v>
      </c>
      <c r="C288" t="s">
        <v>240</v>
      </c>
      <c r="D288" t="s">
        <v>77</v>
      </c>
      <c r="E288" s="1">
        <v>45091</v>
      </c>
      <c r="F288" t="s">
        <v>618</v>
      </c>
      <c r="G288" s="1">
        <v>45103</v>
      </c>
      <c r="H288" s="1">
        <v>45112</v>
      </c>
      <c r="J288" s="1" t="b">
        <f t="shared" si="28"/>
        <v>1</v>
      </c>
      <c r="K288" s="1" t="b">
        <f t="shared" si="29"/>
        <v>0</v>
      </c>
      <c r="L288" s="1" t="b">
        <f t="shared" si="30"/>
        <v>0</v>
      </c>
      <c r="M288" s="1" t="b">
        <f t="shared" si="31"/>
        <v>0</v>
      </c>
      <c r="N288" s="1" t="b">
        <f t="shared" si="32"/>
        <v>0</v>
      </c>
      <c r="O288" s="1" t="b">
        <f t="shared" si="33"/>
        <v>0</v>
      </c>
      <c r="P288" s="1" t="b">
        <f t="shared" si="34"/>
        <v>0</v>
      </c>
    </row>
    <row r="289" spans="1:16" x14ac:dyDescent="0.2">
      <c r="A289">
        <v>7680015</v>
      </c>
      <c r="B289" t="s">
        <v>619</v>
      </c>
      <c r="C289" t="s">
        <v>240</v>
      </c>
      <c r="D289" t="s">
        <v>77</v>
      </c>
      <c r="E289" s="1">
        <v>45005</v>
      </c>
      <c r="F289" t="s">
        <v>620</v>
      </c>
      <c r="G289" s="1">
        <v>45022</v>
      </c>
      <c r="H289" s="1">
        <v>45081</v>
      </c>
      <c r="I289" t="s">
        <v>43</v>
      </c>
      <c r="J289" s="1" t="b">
        <f t="shared" si="28"/>
        <v>1</v>
      </c>
      <c r="K289" s="1" t="b">
        <f t="shared" si="29"/>
        <v>0</v>
      </c>
      <c r="L289" s="1" t="b">
        <f t="shared" si="30"/>
        <v>0</v>
      </c>
      <c r="M289" s="1" t="b">
        <f t="shared" si="31"/>
        <v>0</v>
      </c>
      <c r="N289" s="1" t="b">
        <f t="shared" si="32"/>
        <v>0</v>
      </c>
      <c r="O289" s="1" t="b">
        <f t="shared" si="33"/>
        <v>1</v>
      </c>
      <c r="P289" s="1" t="b">
        <f t="shared" si="34"/>
        <v>0</v>
      </c>
    </row>
    <row r="290" spans="1:16" x14ac:dyDescent="0.2">
      <c r="A290">
        <v>7680015</v>
      </c>
      <c r="B290" t="s">
        <v>621</v>
      </c>
      <c r="C290" t="s">
        <v>240</v>
      </c>
      <c r="D290" t="s">
        <v>77</v>
      </c>
      <c r="E290" s="1">
        <v>44873</v>
      </c>
      <c r="F290" t="s">
        <v>622</v>
      </c>
      <c r="G290" s="1">
        <v>44879</v>
      </c>
      <c r="H290" s="1">
        <v>44890</v>
      </c>
      <c r="I290" t="s">
        <v>16</v>
      </c>
      <c r="J290" s="1" t="b">
        <f t="shared" si="28"/>
        <v>1</v>
      </c>
      <c r="K290" s="1" t="b">
        <f t="shared" si="29"/>
        <v>0</v>
      </c>
      <c r="L290" s="1" t="b">
        <f t="shared" si="30"/>
        <v>0</v>
      </c>
      <c r="M290" s="1" t="b">
        <f t="shared" si="31"/>
        <v>0</v>
      </c>
      <c r="N290" s="1" t="b">
        <f t="shared" si="32"/>
        <v>1</v>
      </c>
      <c r="O290" s="1" t="b">
        <f t="shared" si="33"/>
        <v>0</v>
      </c>
      <c r="P290" s="1" t="b">
        <f t="shared" si="34"/>
        <v>0</v>
      </c>
    </row>
    <row r="291" spans="1:16" x14ac:dyDescent="0.2">
      <c r="A291">
        <v>7680015</v>
      </c>
      <c r="B291" t="s">
        <v>623</v>
      </c>
      <c r="C291" t="s">
        <v>240</v>
      </c>
      <c r="D291" t="s">
        <v>77</v>
      </c>
      <c r="E291" s="1">
        <v>44852</v>
      </c>
      <c r="F291" t="s">
        <v>624</v>
      </c>
      <c r="G291" s="1">
        <v>44880</v>
      </c>
      <c r="H291" s="1">
        <v>44886</v>
      </c>
      <c r="I291" t="s">
        <v>43</v>
      </c>
      <c r="J291" s="1" t="b">
        <f t="shared" si="28"/>
        <v>1</v>
      </c>
      <c r="K291" s="1" t="b">
        <f t="shared" si="29"/>
        <v>0</v>
      </c>
      <c r="L291" s="1" t="b">
        <f t="shared" si="30"/>
        <v>0</v>
      </c>
      <c r="M291" s="1" t="b">
        <f t="shared" si="31"/>
        <v>0</v>
      </c>
      <c r="N291" s="1" t="b">
        <f t="shared" si="32"/>
        <v>0</v>
      </c>
      <c r="O291" s="1" t="b">
        <f t="shared" si="33"/>
        <v>1</v>
      </c>
      <c r="P291" s="1" t="b">
        <f t="shared" si="34"/>
        <v>0</v>
      </c>
    </row>
    <row r="292" spans="1:16" x14ac:dyDescent="0.2">
      <c r="A292">
        <v>5204459</v>
      </c>
      <c r="B292" t="s">
        <v>625</v>
      </c>
      <c r="C292" t="s">
        <v>454</v>
      </c>
      <c r="D292" t="s">
        <v>139</v>
      </c>
      <c r="E292" s="1">
        <v>44657</v>
      </c>
      <c r="F292" t="s">
        <v>626</v>
      </c>
      <c r="G292" s="1">
        <v>44674</v>
      </c>
      <c r="I292" t="s">
        <v>13</v>
      </c>
      <c r="J292" s="1" t="b">
        <f t="shared" si="28"/>
        <v>0</v>
      </c>
      <c r="K292" s="1" t="b">
        <f t="shared" si="29"/>
        <v>1</v>
      </c>
      <c r="L292" s="1" t="b">
        <f t="shared" si="30"/>
        <v>0</v>
      </c>
      <c r="M292" s="1" t="b">
        <f t="shared" si="31"/>
        <v>0</v>
      </c>
      <c r="N292" s="1" t="b">
        <f t="shared" si="32"/>
        <v>0</v>
      </c>
      <c r="O292" s="1" t="b">
        <f t="shared" si="33"/>
        <v>0</v>
      </c>
      <c r="P292" s="1" t="b">
        <f t="shared" si="34"/>
        <v>0</v>
      </c>
    </row>
    <row r="293" spans="1:16" x14ac:dyDescent="0.2">
      <c r="A293">
        <v>5204459</v>
      </c>
      <c r="B293" t="s">
        <v>627</v>
      </c>
      <c r="C293" t="s">
        <v>454</v>
      </c>
      <c r="D293" t="s">
        <v>139</v>
      </c>
      <c r="E293" s="1">
        <v>44907</v>
      </c>
      <c r="F293" t="s">
        <v>628</v>
      </c>
      <c r="G293" s="1">
        <v>44934</v>
      </c>
      <c r="H293" s="1">
        <v>44994</v>
      </c>
      <c r="I293" t="s">
        <v>43</v>
      </c>
      <c r="J293" s="1" t="b">
        <f t="shared" si="28"/>
        <v>1</v>
      </c>
      <c r="K293" s="1" t="b">
        <f t="shared" si="29"/>
        <v>0</v>
      </c>
      <c r="L293" s="1" t="b">
        <f t="shared" si="30"/>
        <v>0</v>
      </c>
      <c r="M293" s="1" t="b">
        <f t="shared" si="31"/>
        <v>0</v>
      </c>
      <c r="N293" s="1" t="b">
        <f t="shared" si="32"/>
        <v>0</v>
      </c>
      <c r="O293" s="1" t="b">
        <f t="shared" si="33"/>
        <v>1</v>
      </c>
      <c r="P293" s="1" t="b">
        <f t="shared" si="34"/>
        <v>0</v>
      </c>
    </row>
    <row r="294" spans="1:16" x14ac:dyDescent="0.2">
      <c r="A294">
        <v>5204459</v>
      </c>
      <c r="B294" t="s">
        <v>629</v>
      </c>
      <c r="C294" t="s">
        <v>454</v>
      </c>
      <c r="D294" t="s">
        <v>139</v>
      </c>
      <c r="E294" s="1">
        <v>44833</v>
      </c>
      <c r="F294" t="s">
        <v>630</v>
      </c>
      <c r="G294" s="1">
        <v>44854</v>
      </c>
      <c r="H294" s="1">
        <v>44868</v>
      </c>
      <c r="I294" t="s">
        <v>16</v>
      </c>
      <c r="J294" s="1" t="b">
        <f t="shared" si="28"/>
        <v>1</v>
      </c>
      <c r="K294" s="1" t="b">
        <f t="shared" si="29"/>
        <v>0</v>
      </c>
      <c r="L294" s="1" t="b">
        <f t="shared" si="30"/>
        <v>0</v>
      </c>
      <c r="M294" s="1" t="b">
        <f t="shared" si="31"/>
        <v>0</v>
      </c>
      <c r="N294" s="1" t="b">
        <f t="shared" si="32"/>
        <v>1</v>
      </c>
      <c r="O294" s="1" t="b">
        <f t="shared" si="33"/>
        <v>0</v>
      </c>
      <c r="P294" s="1" t="b">
        <f t="shared" si="34"/>
        <v>0</v>
      </c>
    </row>
    <row r="295" spans="1:16" x14ac:dyDescent="0.2">
      <c r="A295">
        <v>7989166</v>
      </c>
      <c r="B295" t="s">
        <v>631</v>
      </c>
      <c r="C295" t="s">
        <v>121</v>
      </c>
      <c r="D295" t="s">
        <v>56</v>
      </c>
      <c r="E295" s="1">
        <v>45056</v>
      </c>
      <c r="F295" t="s">
        <v>632</v>
      </c>
      <c r="G295" s="1">
        <v>45064</v>
      </c>
      <c r="H295" s="1">
        <v>45116</v>
      </c>
      <c r="I295" t="s">
        <v>28</v>
      </c>
      <c r="J295" s="1" t="b">
        <f t="shared" si="28"/>
        <v>1</v>
      </c>
      <c r="K295" s="1" t="b">
        <f t="shared" si="29"/>
        <v>0</v>
      </c>
      <c r="L295" s="1" t="b">
        <f t="shared" si="30"/>
        <v>0</v>
      </c>
      <c r="M295" s="1" t="b">
        <f t="shared" si="31"/>
        <v>0</v>
      </c>
      <c r="N295" s="1" t="b">
        <f t="shared" si="32"/>
        <v>0</v>
      </c>
      <c r="O295" s="1" t="b">
        <f t="shared" si="33"/>
        <v>0</v>
      </c>
      <c r="P295" s="1" t="b">
        <f t="shared" si="34"/>
        <v>1</v>
      </c>
    </row>
    <row r="296" spans="1:16" x14ac:dyDescent="0.2">
      <c r="A296">
        <v>7989166</v>
      </c>
      <c r="B296" t="s">
        <v>633</v>
      </c>
      <c r="C296" t="s">
        <v>121</v>
      </c>
      <c r="D296" t="s">
        <v>56</v>
      </c>
      <c r="E296" s="1">
        <v>44636</v>
      </c>
      <c r="F296" t="s">
        <v>634</v>
      </c>
      <c r="G296" s="1">
        <v>44659</v>
      </c>
      <c r="H296" s="1">
        <v>44663</v>
      </c>
      <c r="J296" s="1" t="b">
        <f t="shared" si="28"/>
        <v>1</v>
      </c>
      <c r="K296" s="1" t="b">
        <f t="shared" si="29"/>
        <v>0</v>
      </c>
      <c r="L296" s="1" t="b">
        <f t="shared" si="30"/>
        <v>0</v>
      </c>
      <c r="M296" s="1" t="b">
        <f t="shared" si="31"/>
        <v>0</v>
      </c>
      <c r="N296" s="1" t="b">
        <f t="shared" si="32"/>
        <v>0</v>
      </c>
      <c r="O296" s="1" t="b">
        <f t="shared" si="33"/>
        <v>0</v>
      </c>
      <c r="P296" s="1" t="b">
        <f t="shared" si="34"/>
        <v>0</v>
      </c>
    </row>
    <row r="297" spans="1:16" x14ac:dyDescent="0.2">
      <c r="A297">
        <v>7989166</v>
      </c>
      <c r="B297" t="s">
        <v>635</v>
      </c>
      <c r="C297" t="s">
        <v>121</v>
      </c>
      <c r="D297" t="s">
        <v>56</v>
      </c>
      <c r="E297" s="1">
        <v>45037</v>
      </c>
      <c r="F297" t="s">
        <v>636</v>
      </c>
      <c r="G297" s="1">
        <v>45044</v>
      </c>
      <c r="I297" t="s">
        <v>13</v>
      </c>
      <c r="J297" s="1" t="b">
        <f t="shared" si="28"/>
        <v>0</v>
      </c>
      <c r="K297" s="1" t="b">
        <f t="shared" si="29"/>
        <v>1</v>
      </c>
      <c r="L297" s="1" t="b">
        <f t="shared" si="30"/>
        <v>0</v>
      </c>
      <c r="M297" s="1" t="b">
        <f t="shared" si="31"/>
        <v>0</v>
      </c>
      <c r="N297" s="1" t="b">
        <f t="shared" si="32"/>
        <v>0</v>
      </c>
      <c r="O297" s="1" t="b">
        <f t="shared" si="33"/>
        <v>0</v>
      </c>
      <c r="P297" s="1" t="b">
        <f t="shared" si="34"/>
        <v>0</v>
      </c>
    </row>
    <row r="298" spans="1:16" x14ac:dyDescent="0.2">
      <c r="A298">
        <v>7989166</v>
      </c>
      <c r="B298" t="s">
        <v>637</v>
      </c>
      <c r="C298" t="s">
        <v>121</v>
      </c>
      <c r="D298" t="s">
        <v>56</v>
      </c>
      <c r="E298" s="1">
        <v>44888</v>
      </c>
      <c r="F298" t="s">
        <v>638</v>
      </c>
      <c r="G298" s="1">
        <v>44912</v>
      </c>
      <c r="H298" s="1">
        <v>44968</v>
      </c>
      <c r="I298" t="s">
        <v>43</v>
      </c>
      <c r="J298" s="1" t="b">
        <f t="shared" si="28"/>
        <v>1</v>
      </c>
      <c r="K298" s="1" t="b">
        <f t="shared" si="29"/>
        <v>0</v>
      </c>
      <c r="L298" s="1" t="b">
        <f t="shared" si="30"/>
        <v>0</v>
      </c>
      <c r="M298" s="1" t="b">
        <f t="shared" si="31"/>
        <v>0</v>
      </c>
      <c r="N298" s="1" t="b">
        <f t="shared" si="32"/>
        <v>0</v>
      </c>
      <c r="O298" s="1" t="b">
        <f t="shared" si="33"/>
        <v>1</v>
      </c>
      <c r="P298" s="1" t="b">
        <f t="shared" si="34"/>
        <v>0</v>
      </c>
    </row>
    <row r="299" spans="1:16" x14ac:dyDescent="0.2">
      <c r="A299">
        <v>6794356</v>
      </c>
      <c r="B299" t="s">
        <v>639</v>
      </c>
      <c r="C299" t="s">
        <v>59</v>
      </c>
      <c r="D299" t="s">
        <v>187</v>
      </c>
      <c r="E299" s="1">
        <v>45039</v>
      </c>
      <c r="F299" t="s">
        <v>640</v>
      </c>
      <c r="G299" s="1">
        <v>45043</v>
      </c>
      <c r="H299" s="1">
        <v>45061</v>
      </c>
      <c r="I299" t="s">
        <v>16</v>
      </c>
      <c r="J299" s="1" t="b">
        <f t="shared" si="28"/>
        <v>1</v>
      </c>
      <c r="K299" s="1" t="b">
        <f t="shared" si="29"/>
        <v>0</v>
      </c>
      <c r="L299" s="1" t="b">
        <f t="shared" si="30"/>
        <v>0</v>
      </c>
      <c r="M299" s="1" t="b">
        <f t="shared" si="31"/>
        <v>0</v>
      </c>
      <c r="N299" s="1" t="b">
        <f t="shared" si="32"/>
        <v>1</v>
      </c>
      <c r="O299" s="1" t="b">
        <f t="shared" si="33"/>
        <v>0</v>
      </c>
      <c r="P299" s="1" t="b">
        <f t="shared" si="34"/>
        <v>0</v>
      </c>
    </row>
    <row r="300" spans="1:16" x14ac:dyDescent="0.2">
      <c r="A300">
        <v>6794356</v>
      </c>
      <c r="B300" t="s">
        <v>641</v>
      </c>
      <c r="C300" t="s">
        <v>59</v>
      </c>
      <c r="D300" t="s">
        <v>187</v>
      </c>
      <c r="E300" s="1">
        <v>44859</v>
      </c>
      <c r="F300" t="s">
        <v>642</v>
      </c>
      <c r="G300" s="1">
        <v>44872</v>
      </c>
      <c r="H300" s="1">
        <v>44928</v>
      </c>
      <c r="I300" t="s">
        <v>43</v>
      </c>
      <c r="J300" s="1" t="b">
        <f t="shared" si="28"/>
        <v>1</v>
      </c>
      <c r="K300" s="1" t="b">
        <f t="shared" si="29"/>
        <v>0</v>
      </c>
      <c r="L300" s="1" t="b">
        <f t="shared" si="30"/>
        <v>0</v>
      </c>
      <c r="M300" s="1" t="b">
        <f t="shared" si="31"/>
        <v>0</v>
      </c>
      <c r="N300" s="1" t="b">
        <f t="shared" si="32"/>
        <v>0</v>
      </c>
      <c r="O300" s="1" t="b">
        <f t="shared" si="33"/>
        <v>1</v>
      </c>
      <c r="P300" s="1" t="b">
        <f t="shared" si="34"/>
        <v>0</v>
      </c>
    </row>
    <row r="301" spans="1:16" x14ac:dyDescent="0.2">
      <c r="A301">
        <v>6794356</v>
      </c>
      <c r="B301" t="s">
        <v>643</v>
      </c>
      <c r="C301" t="s">
        <v>59</v>
      </c>
      <c r="D301" t="s">
        <v>187</v>
      </c>
      <c r="E301" s="1">
        <v>44725</v>
      </c>
      <c r="F301" t="s">
        <v>644</v>
      </c>
      <c r="G301" s="1">
        <v>44752</v>
      </c>
      <c r="H301" s="1">
        <v>44773</v>
      </c>
      <c r="I301" t="s">
        <v>43</v>
      </c>
      <c r="J301" s="1" t="b">
        <f t="shared" si="28"/>
        <v>1</v>
      </c>
      <c r="K301" s="1" t="b">
        <f t="shared" si="29"/>
        <v>0</v>
      </c>
      <c r="L301" s="1" t="b">
        <f t="shared" si="30"/>
        <v>0</v>
      </c>
      <c r="M301" s="1" t="b">
        <f t="shared" si="31"/>
        <v>0</v>
      </c>
      <c r="N301" s="1" t="b">
        <f t="shared" si="32"/>
        <v>0</v>
      </c>
      <c r="O301" s="1" t="b">
        <f t="shared" si="33"/>
        <v>1</v>
      </c>
      <c r="P301" s="1" t="b">
        <f t="shared" si="34"/>
        <v>0</v>
      </c>
    </row>
    <row r="302" spans="1:16" x14ac:dyDescent="0.2">
      <c r="A302">
        <v>6246485</v>
      </c>
      <c r="B302" t="s">
        <v>645</v>
      </c>
      <c r="C302" t="s">
        <v>454</v>
      </c>
      <c r="D302" t="s">
        <v>187</v>
      </c>
      <c r="E302" s="1">
        <v>44877</v>
      </c>
      <c r="F302" t="s">
        <v>646</v>
      </c>
      <c r="G302" s="1">
        <v>44893</v>
      </c>
      <c r="H302" s="1">
        <v>44895</v>
      </c>
      <c r="J302" s="1" t="b">
        <f t="shared" si="28"/>
        <v>1</v>
      </c>
      <c r="K302" s="1" t="b">
        <f t="shared" si="29"/>
        <v>0</v>
      </c>
      <c r="L302" s="1" t="b">
        <f t="shared" si="30"/>
        <v>0</v>
      </c>
      <c r="M302" s="1" t="b">
        <f t="shared" si="31"/>
        <v>0</v>
      </c>
      <c r="N302" s="1" t="b">
        <f t="shared" si="32"/>
        <v>0</v>
      </c>
      <c r="O302" s="1" t="b">
        <f t="shared" si="33"/>
        <v>0</v>
      </c>
      <c r="P302" s="1" t="b">
        <f t="shared" si="34"/>
        <v>0</v>
      </c>
    </row>
    <row r="303" spans="1:16" x14ac:dyDescent="0.2">
      <c r="A303">
        <v>6246485</v>
      </c>
      <c r="B303" t="s">
        <v>647</v>
      </c>
      <c r="C303" t="s">
        <v>454</v>
      </c>
      <c r="D303" t="s">
        <v>187</v>
      </c>
      <c r="E303" s="1">
        <v>45030</v>
      </c>
      <c r="F303" t="s">
        <v>648</v>
      </c>
      <c r="G303" s="1">
        <v>45038</v>
      </c>
      <c r="I303" t="s">
        <v>13</v>
      </c>
      <c r="J303" s="1" t="b">
        <f t="shared" si="28"/>
        <v>0</v>
      </c>
      <c r="K303" s="1" t="b">
        <f t="shared" si="29"/>
        <v>1</v>
      </c>
      <c r="L303" s="1" t="b">
        <f t="shared" si="30"/>
        <v>0</v>
      </c>
      <c r="M303" s="1" t="b">
        <f t="shared" si="31"/>
        <v>0</v>
      </c>
      <c r="N303" s="1" t="b">
        <f t="shared" si="32"/>
        <v>0</v>
      </c>
      <c r="O303" s="1" t="b">
        <f t="shared" si="33"/>
        <v>0</v>
      </c>
      <c r="P303" s="1" t="b">
        <f t="shared" si="34"/>
        <v>0</v>
      </c>
    </row>
    <row r="304" spans="1:16" x14ac:dyDescent="0.2">
      <c r="A304">
        <v>6246485</v>
      </c>
      <c r="B304" t="s">
        <v>649</v>
      </c>
      <c r="C304" t="s">
        <v>454</v>
      </c>
      <c r="D304" t="s">
        <v>187</v>
      </c>
      <c r="E304" s="1">
        <v>44613</v>
      </c>
      <c r="F304" t="s">
        <v>650</v>
      </c>
      <c r="G304" s="1">
        <v>44623</v>
      </c>
      <c r="I304" t="s">
        <v>25</v>
      </c>
      <c r="J304" s="1" t="b">
        <f t="shared" si="28"/>
        <v>0</v>
      </c>
      <c r="K304" s="1" t="b">
        <f t="shared" si="29"/>
        <v>0</v>
      </c>
      <c r="L304" s="1" t="b">
        <f t="shared" si="30"/>
        <v>1</v>
      </c>
      <c r="M304" s="1" t="b">
        <f t="shared" si="31"/>
        <v>0</v>
      </c>
      <c r="N304" s="1" t="b">
        <f t="shared" si="32"/>
        <v>0</v>
      </c>
      <c r="O304" s="1" t="b">
        <f t="shared" si="33"/>
        <v>0</v>
      </c>
      <c r="P304" s="1" t="b">
        <f t="shared" si="34"/>
        <v>0</v>
      </c>
    </row>
    <row r="305" spans="1:16" x14ac:dyDescent="0.2">
      <c r="A305">
        <v>6246485</v>
      </c>
      <c r="B305" t="s">
        <v>651</v>
      </c>
      <c r="C305" t="s">
        <v>454</v>
      </c>
      <c r="D305" t="s">
        <v>187</v>
      </c>
      <c r="E305" s="1">
        <v>44570</v>
      </c>
      <c r="F305" t="s">
        <v>652</v>
      </c>
      <c r="G305" s="1">
        <v>44598</v>
      </c>
      <c r="H305" s="1">
        <v>44605</v>
      </c>
      <c r="J305" s="1" t="b">
        <f t="shared" si="28"/>
        <v>1</v>
      </c>
      <c r="K305" s="1" t="b">
        <f t="shared" si="29"/>
        <v>0</v>
      </c>
      <c r="L305" s="1" t="b">
        <f t="shared" si="30"/>
        <v>0</v>
      </c>
      <c r="M305" s="1" t="b">
        <f t="shared" si="31"/>
        <v>0</v>
      </c>
      <c r="N305" s="1" t="b">
        <f t="shared" si="32"/>
        <v>0</v>
      </c>
      <c r="O305" s="1" t="b">
        <f t="shared" si="33"/>
        <v>0</v>
      </c>
      <c r="P305" s="1" t="b">
        <f t="shared" si="34"/>
        <v>0</v>
      </c>
    </row>
    <row r="306" spans="1:16" x14ac:dyDescent="0.2">
      <c r="A306">
        <v>8229768</v>
      </c>
      <c r="B306" t="s">
        <v>653</v>
      </c>
      <c r="C306" t="s">
        <v>71</v>
      </c>
      <c r="D306" t="s">
        <v>11</v>
      </c>
      <c r="E306" s="1">
        <v>44614</v>
      </c>
      <c r="F306" t="s">
        <v>654</v>
      </c>
      <c r="G306" s="1">
        <v>44633</v>
      </c>
      <c r="H306" s="1">
        <v>44669</v>
      </c>
      <c r="I306" t="s">
        <v>28</v>
      </c>
      <c r="J306" s="1" t="b">
        <f t="shared" si="28"/>
        <v>1</v>
      </c>
      <c r="K306" s="1" t="b">
        <f t="shared" si="29"/>
        <v>0</v>
      </c>
      <c r="L306" s="1" t="b">
        <f t="shared" si="30"/>
        <v>0</v>
      </c>
      <c r="M306" s="1" t="b">
        <f t="shared" si="31"/>
        <v>0</v>
      </c>
      <c r="N306" s="1" t="b">
        <f t="shared" si="32"/>
        <v>0</v>
      </c>
      <c r="O306" s="1" t="b">
        <f t="shared" si="33"/>
        <v>0</v>
      </c>
      <c r="P306" s="1" t="b">
        <f t="shared" si="34"/>
        <v>1</v>
      </c>
    </row>
    <row r="307" spans="1:16" x14ac:dyDescent="0.2">
      <c r="A307">
        <v>8229768</v>
      </c>
      <c r="B307" t="s">
        <v>655</v>
      </c>
      <c r="C307" t="s">
        <v>71</v>
      </c>
      <c r="D307" t="s">
        <v>11</v>
      </c>
      <c r="E307" s="1">
        <v>44637</v>
      </c>
      <c r="F307" t="s">
        <v>656</v>
      </c>
      <c r="G307" s="1">
        <v>44650</v>
      </c>
      <c r="I307" t="s">
        <v>13</v>
      </c>
      <c r="J307" s="1" t="b">
        <f t="shared" si="28"/>
        <v>0</v>
      </c>
      <c r="K307" s="1" t="b">
        <f t="shared" si="29"/>
        <v>1</v>
      </c>
      <c r="L307" s="1" t="b">
        <f t="shared" si="30"/>
        <v>0</v>
      </c>
      <c r="M307" s="1" t="b">
        <f t="shared" si="31"/>
        <v>0</v>
      </c>
      <c r="N307" s="1" t="b">
        <f t="shared" si="32"/>
        <v>0</v>
      </c>
      <c r="O307" s="1" t="b">
        <f t="shared" si="33"/>
        <v>0</v>
      </c>
      <c r="P307" s="1" t="b">
        <f t="shared" si="34"/>
        <v>0</v>
      </c>
    </row>
    <row r="308" spans="1:16" x14ac:dyDescent="0.2">
      <c r="A308">
        <v>8229768</v>
      </c>
      <c r="B308" t="s">
        <v>657</v>
      </c>
      <c r="C308" t="s">
        <v>71</v>
      </c>
      <c r="D308" t="s">
        <v>11</v>
      </c>
      <c r="E308" s="1">
        <v>44683</v>
      </c>
      <c r="F308" t="s">
        <v>658</v>
      </c>
      <c r="G308" s="1">
        <v>44688</v>
      </c>
      <c r="H308" s="1">
        <v>44695</v>
      </c>
      <c r="I308" t="s">
        <v>28</v>
      </c>
      <c r="J308" s="1" t="b">
        <f t="shared" si="28"/>
        <v>1</v>
      </c>
      <c r="K308" s="1" t="b">
        <f t="shared" si="29"/>
        <v>0</v>
      </c>
      <c r="L308" s="1" t="b">
        <f t="shared" si="30"/>
        <v>0</v>
      </c>
      <c r="M308" s="1" t="b">
        <f t="shared" si="31"/>
        <v>0</v>
      </c>
      <c r="N308" s="1" t="b">
        <f t="shared" si="32"/>
        <v>0</v>
      </c>
      <c r="O308" s="1" t="b">
        <f t="shared" si="33"/>
        <v>0</v>
      </c>
      <c r="P308" s="1" t="b">
        <f t="shared" si="34"/>
        <v>1</v>
      </c>
    </row>
    <row r="309" spans="1:16" x14ac:dyDescent="0.2">
      <c r="A309">
        <v>7608607</v>
      </c>
      <c r="B309" t="s">
        <v>659</v>
      </c>
      <c r="C309" t="s">
        <v>542</v>
      </c>
      <c r="D309" t="s">
        <v>39</v>
      </c>
      <c r="E309" s="1">
        <v>45083</v>
      </c>
      <c r="F309" t="s">
        <v>660</v>
      </c>
      <c r="G309" s="1">
        <v>45096</v>
      </c>
      <c r="H309" s="1">
        <v>45129</v>
      </c>
      <c r="I309" t="s">
        <v>43</v>
      </c>
      <c r="J309" s="1" t="b">
        <f t="shared" si="28"/>
        <v>1</v>
      </c>
      <c r="K309" s="1" t="b">
        <f t="shared" si="29"/>
        <v>0</v>
      </c>
      <c r="L309" s="1" t="b">
        <f t="shared" si="30"/>
        <v>0</v>
      </c>
      <c r="M309" s="1" t="b">
        <f t="shared" si="31"/>
        <v>0</v>
      </c>
      <c r="N309" s="1" t="b">
        <f t="shared" si="32"/>
        <v>0</v>
      </c>
      <c r="O309" s="1" t="b">
        <f t="shared" si="33"/>
        <v>1</v>
      </c>
      <c r="P309" s="1" t="b">
        <f t="shared" si="34"/>
        <v>0</v>
      </c>
    </row>
    <row r="310" spans="1:16" x14ac:dyDescent="0.2">
      <c r="A310">
        <v>7608607</v>
      </c>
      <c r="B310" t="s">
        <v>661</v>
      </c>
      <c r="C310" t="s">
        <v>542</v>
      </c>
      <c r="D310" t="s">
        <v>39</v>
      </c>
      <c r="E310" s="1">
        <v>44903</v>
      </c>
      <c r="F310" t="s">
        <v>662</v>
      </c>
      <c r="G310" s="1">
        <v>44929</v>
      </c>
      <c r="I310" t="s">
        <v>13</v>
      </c>
      <c r="J310" s="1" t="b">
        <f t="shared" si="28"/>
        <v>0</v>
      </c>
      <c r="K310" s="1" t="b">
        <f t="shared" si="29"/>
        <v>1</v>
      </c>
      <c r="L310" s="1" t="b">
        <f t="shared" si="30"/>
        <v>0</v>
      </c>
      <c r="M310" s="1" t="b">
        <f t="shared" si="31"/>
        <v>0</v>
      </c>
      <c r="N310" s="1" t="b">
        <f t="shared" si="32"/>
        <v>0</v>
      </c>
      <c r="O310" s="1" t="b">
        <f t="shared" si="33"/>
        <v>0</v>
      </c>
      <c r="P310" s="1" t="b">
        <f t="shared" si="34"/>
        <v>0</v>
      </c>
    </row>
    <row r="311" spans="1:16" x14ac:dyDescent="0.2">
      <c r="A311">
        <v>7608607</v>
      </c>
      <c r="B311" t="s">
        <v>663</v>
      </c>
      <c r="C311" t="s">
        <v>542</v>
      </c>
      <c r="D311" t="s">
        <v>39</v>
      </c>
      <c r="E311" s="1">
        <v>45089</v>
      </c>
      <c r="F311" t="s">
        <v>664</v>
      </c>
      <c r="G311" s="1">
        <v>45094</v>
      </c>
      <c r="H311" s="1">
        <v>45115</v>
      </c>
      <c r="J311" s="1" t="b">
        <f t="shared" si="28"/>
        <v>1</v>
      </c>
      <c r="K311" s="1" t="b">
        <f t="shared" si="29"/>
        <v>0</v>
      </c>
      <c r="L311" s="1" t="b">
        <f t="shared" si="30"/>
        <v>0</v>
      </c>
      <c r="M311" s="1" t="b">
        <f t="shared" si="31"/>
        <v>0</v>
      </c>
      <c r="N311" s="1" t="b">
        <f t="shared" si="32"/>
        <v>0</v>
      </c>
      <c r="O311" s="1" t="b">
        <f t="shared" si="33"/>
        <v>0</v>
      </c>
      <c r="P311" s="1" t="b">
        <f t="shared" si="34"/>
        <v>0</v>
      </c>
    </row>
    <row r="312" spans="1:16" x14ac:dyDescent="0.2">
      <c r="A312">
        <v>7608607</v>
      </c>
      <c r="B312" t="s">
        <v>665</v>
      </c>
      <c r="C312" t="s">
        <v>542</v>
      </c>
      <c r="D312" t="s">
        <v>39</v>
      </c>
      <c r="E312" s="1">
        <v>44868</v>
      </c>
      <c r="F312" t="s">
        <v>666</v>
      </c>
      <c r="G312" s="1">
        <v>44887</v>
      </c>
      <c r="H312" s="1">
        <v>44909</v>
      </c>
      <c r="I312" t="s">
        <v>28</v>
      </c>
      <c r="J312" s="1" t="b">
        <f t="shared" si="28"/>
        <v>1</v>
      </c>
      <c r="K312" s="1" t="b">
        <f t="shared" si="29"/>
        <v>0</v>
      </c>
      <c r="L312" s="1" t="b">
        <f t="shared" si="30"/>
        <v>0</v>
      </c>
      <c r="M312" s="1" t="b">
        <f t="shared" si="31"/>
        <v>0</v>
      </c>
      <c r="N312" s="1" t="b">
        <f t="shared" si="32"/>
        <v>0</v>
      </c>
      <c r="O312" s="1" t="b">
        <f t="shared" si="33"/>
        <v>0</v>
      </c>
      <c r="P312" s="1" t="b">
        <f t="shared" si="34"/>
        <v>1</v>
      </c>
    </row>
    <row r="313" spans="1:16" x14ac:dyDescent="0.2">
      <c r="A313">
        <v>7608607</v>
      </c>
      <c r="B313" t="s">
        <v>667</v>
      </c>
      <c r="C313" t="s">
        <v>542</v>
      </c>
      <c r="D313" t="s">
        <v>39</v>
      </c>
      <c r="E313" s="1">
        <v>44868</v>
      </c>
      <c r="F313" t="s">
        <v>668</v>
      </c>
      <c r="G313" s="1">
        <v>44884</v>
      </c>
      <c r="H313" s="1">
        <v>44937</v>
      </c>
      <c r="J313" s="1" t="b">
        <f t="shared" si="28"/>
        <v>1</v>
      </c>
      <c r="K313" s="1" t="b">
        <f t="shared" si="29"/>
        <v>0</v>
      </c>
      <c r="L313" s="1" t="b">
        <f t="shared" si="30"/>
        <v>0</v>
      </c>
      <c r="M313" s="1" t="b">
        <f t="shared" si="31"/>
        <v>0</v>
      </c>
      <c r="N313" s="1" t="b">
        <f t="shared" si="32"/>
        <v>0</v>
      </c>
      <c r="O313" s="1" t="b">
        <f t="shared" si="33"/>
        <v>0</v>
      </c>
      <c r="P313" s="1" t="b">
        <f t="shared" si="34"/>
        <v>0</v>
      </c>
    </row>
    <row r="314" spans="1:16" x14ac:dyDescent="0.2">
      <c r="A314">
        <v>1279121</v>
      </c>
      <c r="B314" t="s">
        <v>669</v>
      </c>
      <c r="C314" t="s">
        <v>542</v>
      </c>
      <c r="D314" t="s">
        <v>39</v>
      </c>
      <c r="E314" s="1">
        <v>44589</v>
      </c>
      <c r="F314" t="s">
        <v>670</v>
      </c>
      <c r="G314" s="1">
        <v>44609</v>
      </c>
      <c r="H314" s="1">
        <v>44640</v>
      </c>
      <c r="I314" t="s">
        <v>28</v>
      </c>
      <c r="J314" s="1" t="b">
        <f t="shared" si="28"/>
        <v>1</v>
      </c>
      <c r="K314" s="1" t="b">
        <f t="shared" si="29"/>
        <v>0</v>
      </c>
      <c r="L314" s="1" t="b">
        <f t="shared" si="30"/>
        <v>0</v>
      </c>
      <c r="M314" s="1" t="b">
        <f t="shared" si="31"/>
        <v>0</v>
      </c>
      <c r="N314" s="1" t="b">
        <f t="shared" si="32"/>
        <v>0</v>
      </c>
      <c r="O314" s="1" t="b">
        <f t="shared" si="33"/>
        <v>0</v>
      </c>
      <c r="P314" s="1" t="b">
        <f t="shared" si="34"/>
        <v>1</v>
      </c>
    </row>
    <row r="315" spans="1:16" x14ac:dyDescent="0.2">
      <c r="A315">
        <v>5454861</v>
      </c>
      <c r="B315" t="s">
        <v>671</v>
      </c>
      <c r="C315" t="s">
        <v>265</v>
      </c>
      <c r="D315" t="s">
        <v>81</v>
      </c>
      <c r="E315" s="1">
        <v>45053</v>
      </c>
      <c r="F315" t="s">
        <v>672</v>
      </c>
      <c r="G315" s="1">
        <v>45059</v>
      </c>
      <c r="I315" t="s">
        <v>13</v>
      </c>
      <c r="J315" s="1" t="b">
        <f t="shared" si="28"/>
        <v>0</v>
      </c>
      <c r="K315" s="1" t="b">
        <f t="shared" si="29"/>
        <v>1</v>
      </c>
      <c r="L315" s="1" t="b">
        <f t="shared" si="30"/>
        <v>0</v>
      </c>
      <c r="M315" s="1" t="b">
        <f t="shared" si="31"/>
        <v>0</v>
      </c>
      <c r="N315" s="1" t="b">
        <f t="shared" si="32"/>
        <v>0</v>
      </c>
      <c r="O315" s="1" t="b">
        <f t="shared" si="33"/>
        <v>0</v>
      </c>
      <c r="P315" s="1" t="b">
        <f t="shared" si="34"/>
        <v>0</v>
      </c>
    </row>
    <row r="316" spans="1:16" x14ac:dyDescent="0.2">
      <c r="A316">
        <v>5454861</v>
      </c>
      <c r="B316" t="s">
        <v>673</v>
      </c>
      <c r="C316" t="s">
        <v>265</v>
      </c>
      <c r="D316" t="s">
        <v>81</v>
      </c>
      <c r="E316" s="1">
        <v>44810</v>
      </c>
      <c r="F316" t="s">
        <v>674</v>
      </c>
      <c r="G316" s="1">
        <v>44812</v>
      </c>
      <c r="H316" s="1">
        <v>44849</v>
      </c>
      <c r="J316" s="1" t="b">
        <f t="shared" si="28"/>
        <v>1</v>
      </c>
      <c r="K316" s="1" t="b">
        <f t="shared" si="29"/>
        <v>0</v>
      </c>
      <c r="L316" s="1" t="b">
        <f t="shared" si="30"/>
        <v>0</v>
      </c>
      <c r="M316" s="1" t="b">
        <f t="shared" si="31"/>
        <v>0</v>
      </c>
      <c r="N316" s="1" t="b">
        <f t="shared" si="32"/>
        <v>0</v>
      </c>
      <c r="O316" s="1" t="b">
        <f t="shared" si="33"/>
        <v>0</v>
      </c>
      <c r="P316" s="1" t="b">
        <f t="shared" si="34"/>
        <v>0</v>
      </c>
    </row>
    <row r="317" spans="1:16" x14ac:dyDescent="0.2">
      <c r="A317">
        <v>5454861</v>
      </c>
      <c r="B317" t="s">
        <v>675</v>
      </c>
      <c r="C317" t="s">
        <v>265</v>
      </c>
      <c r="D317" t="s">
        <v>81</v>
      </c>
      <c r="E317" s="1">
        <v>45013</v>
      </c>
      <c r="F317" t="s">
        <v>676</v>
      </c>
      <c r="G317" s="1">
        <v>45024</v>
      </c>
      <c r="H317" s="1">
        <v>45051</v>
      </c>
      <c r="I317" t="s">
        <v>16</v>
      </c>
      <c r="J317" s="1" t="b">
        <f t="shared" si="28"/>
        <v>1</v>
      </c>
      <c r="K317" s="1" t="b">
        <f t="shared" si="29"/>
        <v>0</v>
      </c>
      <c r="L317" s="1" t="b">
        <f t="shared" si="30"/>
        <v>0</v>
      </c>
      <c r="M317" s="1" t="b">
        <f t="shared" si="31"/>
        <v>0</v>
      </c>
      <c r="N317" s="1" t="b">
        <f t="shared" si="32"/>
        <v>1</v>
      </c>
      <c r="O317" s="1" t="b">
        <f t="shared" si="33"/>
        <v>0</v>
      </c>
      <c r="P317" s="1" t="b">
        <f t="shared" si="34"/>
        <v>0</v>
      </c>
    </row>
    <row r="318" spans="1:16" x14ac:dyDescent="0.2">
      <c r="A318">
        <v>5454861</v>
      </c>
      <c r="B318" t="s">
        <v>677</v>
      </c>
      <c r="C318" t="s">
        <v>265</v>
      </c>
      <c r="D318" t="s">
        <v>81</v>
      </c>
      <c r="E318" s="1">
        <v>44982</v>
      </c>
      <c r="F318" t="s">
        <v>678</v>
      </c>
      <c r="G318" s="1">
        <v>44999</v>
      </c>
      <c r="I318" t="s">
        <v>13</v>
      </c>
      <c r="J318" s="1" t="b">
        <f t="shared" si="28"/>
        <v>0</v>
      </c>
      <c r="K318" s="1" t="b">
        <f t="shared" si="29"/>
        <v>1</v>
      </c>
      <c r="L318" s="1" t="b">
        <f t="shared" si="30"/>
        <v>0</v>
      </c>
      <c r="M318" s="1" t="b">
        <f t="shared" si="31"/>
        <v>0</v>
      </c>
      <c r="N318" s="1" t="b">
        <f t="shared" si="32"/>
        <v>0</v>
      </c>
      <c r="O318" s="1" t="b">
        <f t="shared" si="33"/>
        <v>0</v>
      </c>
      <c r="P318" s="1" t="b">
        <f t="shared" si="34"/>
        <v>0</v>
      </c>
    </row>
    <row r="319" spans="1:16" x14ac:dyDescent="0.2">
      <c r="A319">
        <v>5454861</v>
      </c>
      <c r="B319" t="s">
        <v>679</v>
      </c>
      <c r="C319" t="s">
        <v>265</v>
      </c>
      <c r="D319" t="s">
        <v>81</v>
      </c>
      <c r="E319" s="1">
        <v>44625</v>
      </c>
      <c r="F319" t="s">
        <v>495</v>
      </c>
      <c r="G319" s="1">
        <v>44648</v>
      </c>
      <c r="H319" s="1">
        <v>44657</v>
      </c>
      <c r="J319" s="1" t="b">
        <f t="shared" si="28"/>
        <v>1</v>
      </c>
      <c r="K319" s="1" t="b">
        <f t="shared" si="29"/>
        <v>0</v>
      </c>
      <c r="L319" s="1" t="b">
        <f t="shared" si="30"/>
        <v>0</v>
      </c>
      <c r="M319" s="1" t="b">
        <f t="shared" si="31"/>
        <v>0</v>
      </c>
      <c r="N319" s="1" t="b">
        <f t="shared" si="32"/>
        <v>0</v>
      </c>
      <c r="O319" s="1" t="b">
        <f t="shared" si="33"/>
        <v>0</v>
      </c>
      <c r="P319" s="1" t="b">
        <f t="shared" si="34"/>
        <v>0</v>
      </c>
    </row>
    <row r="320" spans="1:16" x14ac:dyDescent="0.2">
      <c r="A320">
        <v>9702060</v>
      </c>
      <c r="B320" t="s">
        <v>680</v>
      </c>
      <c r="C320" t="s">
        <v>454</v>
      </c>
      <c r="D320" t="s">
        <v>139</v>
      </c>
      <c r="E320" s="1">
        <v>44883</v>
      </c>
      <c r="F320" t="s">
        <v>681</v>
      </c>
      <c r="G320" s="1">
        <v>44889</v>
      </c>
      <c r="H320" s="1">
        <v>44919</v>
      </c>
      <c r="J320" s="1" t="b">
        <f t="shared" si="28"/>
        <v>1</v>
      </c>
      <c r="K320" s="1" t="b">
        <f t="shared" si="29"/>
        <v>0</v>
      </c>
      <c r="L320" s="1" t="b">
        <f t="shared" si="30"/>
        <v>0</v>
      </c>
      <c r="M320" s="1" t="b">
        <f t="shared" si="31"/>
        <v>0</v>
      </c>
      <c r="N320" s="1" t="b">
        <f t="shared" si="32"/>
        <v>0</v>
      </c>
      <c r="O320" s="1" t="b">
        <f t="shared" si="33"/>
        <v>0</v>
      </c>
      <c r="P320" s="1" t="b">
        <f t="shared" si="34"/>
        <v>0</v>
      </c>
    </row>
    <row r="321" spans="1:16" x14ac:dyDescent="0.2">
      <c r="A321">
        <v>9702060</v>
      </c>
      <c r="B321" t="s">
        <v>682</v>
      </c>
      <c r="C321" t="s">
        <v>454</v>
      </c>
      <c r="D321" t="s">
        <v>139</v>
      </c>
      <c r="E321" s="1">
        <v>44832</v>
      </c>
      <c r="F321" t="s">
        <v>683</v>
      </c>
      <c r="G321" s="1">
        <v>44852</v>
      </c>
      <c r="H321" s="1">
        <v>44883</v>
      </c>
      <c r="I321" t="s">
        <v>28</v>
      </c>
      <c r="J321" s="1" t="b">
        <f t="shared" si="28"/>
        <v>1</v>
      </c>
      <c r="K321" s="1" t="b">
        <f t="shared" si="29"/>
        <v>0</v>
      </c>
      <c r="L321" s="1" t="b">
        <f t="shared" si="30"/>
        <v>0</v>
      </c>
      <c r="M321" s="1" t="b">
        <f t="shared" si="31"/>
        <v>0</v>
      </c>
      <c r="N321" s="1" t="b">
        <f t="shared" si="32"/>
        <v>0</v>
      </c>
      <c r="O321" s="1" t="b">
        <f t="shared" si="33"/>
        <v>0</v>
      </c>
      <c r="P321" s="1" t="b">
        <f t="shared" si="34"/>
        <v>1</v>
      </c>
    </row>
    <row r="322" spans="1:16" x14ac:dyDescent="0.2">
      <c r="A322">
        <v>9702060</v>
      </c>
      <c r="B322" t="s">
        <v>684</v>
      </c>
      <c r="C322" t="s">
        <v>454</v>
      </c>
      <c r="D322" t="s">
        <v>139</v>
      </c>
      <c r="E322" s="1">
        <v>44867</v>
      </c>
      <c r="F322" t="s">
        <v>685</v>
      </c>
      <c r="G322" s="1">
        <v>44875</v>
      </c>
      <c r="I322" t="s">
        <v>13</v>
      </c>
      <c r="J322" s="1" t="b">
        <f t="shared" si="28"/>
        <v>0</v>
      </c>
      <c r="K322" s="1" t="b">
        <f t="shared" si="29"/>
        <v>1</v>
      </c>
      <c r="L322" s="1" t="b">
        <f t="shared" si="30"/>
        <v>0</v>
      </c>
      <c r="M322" s="1" t="b">
        <f t="shared" si="31"/>
        <v>0</v>
      </c>
      <c r="N322" s="1" t="b">
        <f t="shared" si="32"/>
        <v>0</v>
      </c>
      <c r="O322" s="1" t="b">
        <f t="shared" si="33"/>
        <v>0</v>
      </c>
      <c r="P322" s="1" t="b">
        <f t="shared" si="34"/>
        <v>0</v>
      </c>
    </row>
    <row r="323" spans="1:16" x14ac:dyDescent="0.2">
      <c r="A323">
        <v>5993143</v>
      </c>
      <c r="B323" t="s">
        <v>686</v>
      </c>
      <c r="C323" t="s">
        <v>35</v>
      </c>
      <c r="D323" t="s">
        <v>11</v>
      </c>
      <c r="E323" s="1">
        <v>44919</v>
      </c>
      <c r="F323" t="s">
        <v>687</v>
      </c>
      <c r="G323" s="1">
        <v>44937</v>
      </c>
      <c r="H323" s="1">
        <v>44997</v>
      </c>
      <c r="J323" s="1" t="b">
        <f t="shared" ref="J323:J386" si="35">AND(NOT(ISBLANK(H323)), NOT(OR(ISNUMBER(SEARCH("decline", I323)), ISNUMBER(SEARCH("rescind", I323)), ISNUMBER(SEARCH("cancel", I323)))))</f>
        <v>1</v>
      </c>
      <c r="K323" s="1" t="b">
        <f t="shared" ref="K323:K386" si="36">ISNUMBER(SEARCH("decline", I323))</f>
        <v>0</v>
      </c>
      <c r="L323" s="1" t="b">
        <f t="shared" ref="L323:L386" si="37">ISNUMBER(SEARCH("rescind", I323))</f>
        <v>0</v>
      </c>
      <c r="M323" s="1" t="b">
        <f t="shared" ref="M323:M386" si="38">ISNUMBER(SEARCH("cancel", I323))</f>
        <v>0</v>
      </c>
      <c r="N323" s="1" t="b">
        <f t="shared" ref="N323:N386" si="39">ISNUMBER(SEARCH("transfer", I323))</f>
        <v>0</v>
      </c>
      <c r="O323" s="1" t="b">
        <f t="shared" ref="O323:O386" si="40">ISNUMBER(SEARCH("promo", I323))</f>
        <v>0</v>
      </c>
      <c r="P323" s="1" t="b">
        <f t="shared" ref="P323:P386" si="41">ISNUMBER(SEARCH("new", I323))</f>
        <v>0</v>
      </c>
    </row>
    <row r="324" spans="1:16" x14ac:dyDescent="0.2">
      <c r="A324">
        <v>5993143</v>
      </c>
      <c r="B324" t="s">
        <v>688</v>
      </c>
      <c r="C324" t="s">
        <v>35</v>
      </c>
      <c r="D324" t="s">
        <v>11</v>
      </c>
      <c r="E324" s="1">
        <v>44950</v>
      </c>
      <c r="F324" t="s">
        <v>689</v>
      </c>
      <c r="G324" s="1">
        <v>44979</v>
      </c>
      <c r="H324" s="1">
        <v>45005</v>
      </c>
      <c r="I324" t="s">
        <v>28</v>
      </c>
      <c r="J324" s="1" t="b">
        <f t="shared" si="35"/>
        <v>1</v>
      </c>
      <c r="K324" s="1" t="b">
        <f t="shared" si="36"/>
        <v>0</v>
      </c>
      <c r="L324" s="1" t="b">
        <f t="shared" si="37"/>
        <v>0</v>
      </c>
      <c r="M324" s="1" t="b">
        <f t="shared" si="38"/>
        <v>0</v>
      </c>
      <c r="N324" s="1" t="b">
        <f t="shared" si="39"/>
        <v>0</v>
      </c>
      <c r="O324" s="1" t="b">
        <f t="shared" si="40"/>
        <v>0</v>
      </c>
      <c r="P324" s="1" t="b">
        <f t="shared" si="41"/>
        <v>1</v>
      </c>
    </row>
    <row r="325" spans="1:16" x14ac:dyDescent="0.2">
      <c r="A325">
        <v>6790398</v>
      </c>
      <c r="B325" t="s">
        <v>690</v>
      </c>
      <c r="C325" t="s">
        <v>35</v>
      </c>
      <c r="D325" t="s">
        <v>187</v>
      </c>
      <c r="E325" s="1">
        <v>44840</v>
      </c>
      <c r="F325" t="s">
        <v>691</v>
      </c>
      <c r="G325" s="1">
        <v>44845</v>
      </c>
      <c r="I325" t="s">
        <v>13</v>
      </c>
      <c r="J325" s="1" t="b">
        <f t="shared" si="35"/>
        <v>0</v>
      </c>
      <c r="K325" s="1" t="b">
        <f t="shared" si="36"/>
        <v>1</v>
      </c>
      <c r="L325" s="1" t="b">
        <f t="shared" si="37"/>
        <v>0</v>
      </c>
      <c r="M325" s="1" t="b">
        <f t="shared" si="38"/>
        <v>0</v>
      </c>
      <c r="N325" s="1" t="b">
        <f t="shared" si="39"/>
        <v>0</v>
      </c>
      <c r="O325" s="1" t="b">
        <f t="shared" si="40"/>
        <v>0</v>
      </c>
      <c r="P325" s="1" t="b">
        <f t="shared" si="41"/>
        <v>0</v>
      </c>
    </row>
    <row r="326" spans="1:16" x14ac:dyDescent="0.2">
      <c r="A326">
        <v>6790398</v>
      </c>
      <c r="B326" t="s">
        <v>692</v>
      </c>
      <c r="C326" t="s">
        <v>35</v>
      </c>
      <c r="D326" t="s">
        <v>187</v>
      </c>
      <c r="E326" s="1">
        <v>44824</v>
      </c>
      <c r="F326" t="s">
        <v>693</v>
      </c>
      <c r="G326" s="1">
        <v>44848</v>
      </c>
      <c r="H326" s="1">
        <v>44879</v>
      </c>
      <c r="I326" t="s">
        <v>16</v>
      </c>
      <c r="J326" s="1" t="b">
        <f t="shared" si="35"/>
        <v>1</v>
      </c>
      <c r="K326" s="1" t="b">
        <f t="shared" si="36"/>
        <v>0</v>
      </c>
      <c r="L326" s="1" t="b">
        <f t="shared" si="37"/>
        <v>0</v>
      </c>
      <c r="M326" s="1" t="b">
        <f t="shared" si="38"/>
        <v>0</v>
      </c>
      <c r="N326" s="1" t="b">
        <f t="shared" si="39"/>
        <v>1</v>
      </c>
      <c r="O326" s="1" t="b">
        <f t="shared" si="40"/>
        <v>0</v>
      </c>
      <c r="P326" s="1" t="b">
        <f t="shared" si="41"/>
        <v>0</v>
      </c>
    </row>
    <row r="327" spans="1:16" x14ac:dyDescent="0.2">
      <c r="A327">
        <v>6790398</v>
      </c>
      <c r="B327" t="s">
        <v>694</v>
      </c>
      <c r="C327" t="s">
        <v>35</v>
      </c>
      <c r="D327" t="s">
        <v>187</v>
      </c>
      <c r="E327" s="1">
        <v>44839</v>
      </c>
      <c r="F327" t="s">
        <v>572</v>
      </c>
      <c r="G327" s="1">
        <v>44869</v>
      </c>
      <c r="I327" t="s">
        <v>25</v>
      </c>
      <c r="J327" s="1" t="b">
        <f t="shared" si="35"/>
        <v>0</v>
      </c>
      <c r="K327" s="1" t="b">
        <f t="shared" si="36"/>
        <v>0</v>
      </c>
      <c r="L327" s="1" t="b">
        <f t="shared" si="37"/>
        <v>1</v>
      </c>
      <c r="M327" s="1" t="b">
        <f t="shared" si="38"/>
        <v>0</v>
      </c>
      <c r="N327" s="1" t="b">
        <f t="shared" si="39"/>
        <v>0</v>
      </c>
      <c r="O327" s="1" t="b">
        <f t="shared" si="40"/>
        <v>0</v>
      </c>
      <c r="P327" s="1" t="b">
        <f t="shared" si="41"/>
        <v>0</v>
      </c>
    </row>
    <row r="328" spans="1:16" x14ac:dyDescent="0.2">
      <c r="A328">
        <v>2832517</v>
      </c>
      <c r="B328" t="s">
        <v>695</v>
      </c>
      <c r="C328" t="s">
        <v>121</v>
      </c>
      <c r="D328" t="s">
        <v>81</v>
      </c>
      <c r="E328" s="1">
        <v>45105</v>
      </c>
      <c r="F328" t="s">
        <v>696</v>
      </c>
      <c r="G328" s="1">
        <v>45113</v>
      </c>
      <c r="I328" t="s">
        <v>13</v>
      </c>
      <c r="J328" s="1" t="b">
        <f t="shared" si="35"/>
        <v>0</v>
      </c>
      <c r="K328" s="1" t="b">
        <f t="shared" si="36"/>
        <v>1</v>
      </c>
      <c r="L328" s="1" t="b">
        <f t="shared" si="37"/>
        <v>0</v>
      </c>
      <c r="M328" s="1" t="b">
        <f t="shared" si="38"/>
        <v>0</v>
      </c>
      <c r="N328" s="1" t="b">
        <f t="shared" si="39"/>
        <v>0</v>
      </c>
      <c r="O328" s="1" t="b">
        <f t="shared" si="40"/>
        <v>0</v>
      </c>
      <c r="P328" s="1" t="b">
        <f t="shared" si="41"/>
        <v>0</v>
      </c>
    </row>
    <row r="329" spans="1:16" x14ac:dyDescent="0.2">
      <c r="A329">
        <v>2832517</v>
      </c>
      <c r="B329" t="s">
        <v>697</v>
      </c>
      <c r="C329" t="s">
        <v>121</v>
      </c>
      <c r="D329" t="s">
        <v>81</v>
      </c>
      <c r="E329" s="1">
        <v>44900</v>
      </c>
      <c r="F329" t="s">
        <v>698</v>
      </c>
      <c r="G329" s="1">
        <v>44923</v>
      </c>
      <c r="H329" s="1">
        <v>44954</v>
      </c>
      <c r="I329" t="s">
        <v>16</v>
      </c>
      <c r="J329" s="1" t="b">
        <f t="shared" si="35"/>
        <v>1</v>
      </c>
      <c r="K329" s="1" t="b">
        <f t="shared" si="36"/>
        <v>0</v>
      </c>
      <c r="L329" s="1" t="b">
        <f t="shared" si="37"/>
        <v>0</v>
      </c>
      <c r="M329" s="1" t="b">
        <f t="shared" si="38"/>
        <v>0</v>
      </c>
      <c r="N329" s="1" t="b">
        <f t="shared" si="39"/>
        <v>1</v>
      </c>
      <c r="O329" s="1" t="b">
        <f t="shared" si="40"/>
        <v>0</v>
      </c>
      <c r="P329" s="1" t="b">
        <f t="shared" si="41"/>
        <v>0</v>
      </c>
    </row>
    <row r="330" spans="1:16" x14ac:dyDescent="0.2">
      <c r="A330">
        <v>2686863</v>
      </c>
      <c r="B330" t="s">
        <v>699</v>
      </c>
      <c r="C330" t="s">
        <v>167</v>
      </c>
      <c r="D330" t="s">
        <v>187</v>
      </c>
      <c r="E330" s="1">
        <v>45049</v>
      </c>
      <c r="F330" t="s">
        <v>700</v>
      </c>
      <c r="G330" s="1">
        <v>45065</v>
      </c>
      <c r="H330" s="1">
        <v>45107</v>
      </c>
      <c r="I330" t="s">
        <v>43</v>
      </c>
      <c r="J330" s="1" t="b">
        <f t="shared" si="35"/>
        <v>1</v>
      </c>
      <c r="K330" s="1" t="b">
        <f t="shared" si="36"/>
        <v>0</v>
      </c>
      <c r="L330" s="1" t="b">
        <f t="shared" si="37"/>
        <v>0</v>
      </c>
      <c r="M330" s="1" t="b">
        <f t="shared" si="38"/>
        <v>0</v>
      </c>
      <c r="N330" s="1" t="b">
        <f t="shared" si="39"/>
        <v>0</v>
      </c>
      <c r="O330" s="1" t="b">
        <f t="shared" si="40"/>
        <v>1</v>
      </c>
      <c r="P330" s="1" t="b">
        <f t="shared" si="41"/>
        <v>0</v>
      </c>
    </row>
    <row r="331" spans="1:16" x14ac:dyDescent="0.2">
      <c r="A331">
        <v>4346315</v>
      </c>
      <c r="B331" t="s">
        <v>701</v>
      </c>
      <c r="C331" t="s">
        <v>35</v>
      </c>
      <c r="D331" t="s">
        <v>11</v>
      </c>
      <c r="E331" s="1">
        <v>44653</v>
      </c>
      <c r="F331" t="s">
        <v>702</v>
      </c>
      <c r="G331" s="1">
        <v>44674</v>
      </c>
      <c r="I331" t="s">
        <v>13</v>
      </c>
      <c r="J331" s="1" t="b">
        <f t="shared" si="35"/>
        <v>0</v>
      </c>
      <c r="K331" s="1" t="b">
        <f t="shared" si="36"/>
        <v>1</v>
      </c>
      <c r="L331" s="1" t="b">
        <f t="shared" si="37"/>
        <v>0</v>
      </c>
      <c r="M331" s="1" t="b">
        <f t="shared" si="38"/>
        <v>0</v>
      </c>
      <c r="N331" s="1" t="b">
        <f t="shared" si="39"/>
        <v>0</v>
      </c>
      <c r="O331" s="1" t="b">
        <f t="shared" si="40"/>
        <v>0</v>
      </c>
      <c r="P331" s="1" t="b">
        <f t="shared" si="41"/>
        <v>0</v>
      </c>
    </row>
    <row r="332" spans="1:16" x14ac:dyDescent="0.2">
      <c r="A332">
        <v>4346315</v>
      </c>
      <c r="B332" t="s">
        <v>703</v>
      </c>
      <c r="C332" t="s">
        <v>35</v>
      </c>
      <c r="D332" t="s">
        <v>11</v>
      </c>
      <c r="E332" s="1">
        <v>44741</v>
      </c>
      <c r="F332" t="s">
        <v>704</v>
      </c>
      <c r="G332" s="1">
        <v>44755</v>
      </c>
      <c r="H332" s="1">
        <v>44812</v>
      </c>
      <c r="I332" t="s">
        <v>16</v>
      </c>
      <c r="J332" s="1" t="b">
        <f t="shared" si="35"/>
        <v>1</v>
      </c>
      <c r="K332" s="1" t="b">
        <f t="shared" si="36"/>
        <v>0</v>
      </c>
      <c r="L332" s="1" t="b">
        <f t="shared" si="37"/>
        <v>0</v>
      </c>
      <c r="M332" s="1" t="b">
        <f t="shared" si="38"/>
        <v>0</v>
      </c>
      <c r="N332" s="1" t="b">
        <f t="shared" si="39"/>
        <v>1</v>
      </c>
      <c r="O332" s="1" t="b">
        <f t="shared" si="40"/>
        <v>0</v>
      </c>
      <c r="P332" s="1" t="b">
        <f t="shared" si="41"/>
        <v>0</v>
      </c>
    </row>
    <row r="333" spans="1:16" x14ac:dyDescent="0.2">
      <c r="A333">
        <v>4346315</v>
      </c>
      <c r="B333" t="s">
        <v>705</v>
      </c>
      <c r="C333" t="s">
        <v>35</v>
      </c>
      <c r="D333" t="s">
        <v>11</v>
      </c>
      <c r="E333" s="1">
        <v>45069</v>
      </c>
      <c r="F333" t="s">
        <v>706</v>
      </c>
      <c r="G333" s="1">
        <v>45075</v>
      </c>
      <c r="H333" s="1">
        <v>45135</v>
      </c>
      <c r="I333" t="s">
        <v>16</v>
      </c>
      <c r="J333" s="1" t="b">
        <f t="shared" si="35"/>
        <v>1</v>
      </c>
      <c r="K333" s="1" t="b">
        <f t="shared" si="36"/>
        <v>0</v>
      </c>
      <c r="L333" s="1" t="b">
        <f t="shared" si="37"/>
        <v>0</v>
      </c>
      <c r="M333" s="1" t="b">
        <f t="shared" si="38"/>
        <v>0</v>
      </c>
      <c r="N333" s="1" t="b">
        <f t="shared" si="39"/>
        <v>1</v>
      </c>
      <c r="O333" s="1" t="b">
        <f t="shared" si="40"/>
        <v>0</v>
      </c>
      <c r="P333" s="1" t="b">
        <f t="shared" si="41"/>
        <v>0</v>
      </c>
    </row>
    <row r="334" spans="1:16" x14ac:dyDescent="0.2">
      <c r="A334">
        <v>5856449</v>
      </c>
      <c r="B334" t="s">
        <v>707</v>
      </c>
      <c r="C334" t="s">
        <v>131</v>
      </c>
      <c r="D334" t="s">
        <v>56</v>
      </c>
      <c r="E334" s="1">
        <v>44905</v>
      </c>
      <c r="F334" t="s">
        <v>708</v>
      </c>
      <c r="G334" s="1">
        <v>44915</v>
      </c>
      <c r="I334" t="s">
        <v>13</v>
      </c>
      <c r="J334" s="1" t="b">
        <f t="shared" si="35"/>
        <v>0</v>
      </c>
      <c r="K334" s="1" t="b">
        <f t="shared" si="36"/>
        <v>1</v>
      </c>
      <c r="L334" s="1" t="b">
        <f t="shared" si="37"/>
        <v>0</v>
      </c>
      <c r="M334" s="1" t="b">
        <f t="shared" si="38"/>
        <v>0</v>
      </c>
      <c r="N334" s="1" t="b">
        <f t="shared" si="39"/>
        <v>0</v>
      </c>
      <c r="O334" s="1" t="b">
        <f t="shared" si="40"/>
        <v>0</v>
      </c>
      <c r="P334" s="1" t="b">
        <f t="shared" si="41"/>
        <v>0</v>
      </c>
    </row>
    <row r="335" spans="1:16" x14ac:dyDescent="0.2">
      <c r="A335">
        <v>8622712</v>
      </c>
      <c r="B335" t="s">
        <v>709</v>
      </c>
      <c r="C335" t="s">
        <v>265</v>
      </c>
      <c r="D335" t="s">
        <v>139</v>
      </c>
      <c r="E335" s="1">
        <v>45041</v>
      </c>
      <c r="F335" t="s">
        <v>710</v>
      </c>
      <c r="G335" s="1">
        <v>45050</v>
      </c>
      <c r="H335" s="1">
        <v>45063</v>
      </c>
      <c r="I335" t="s">
        <v>43</v>
      </c>
      <c r="J335" s="1" t="b">
        <f t="shared" si="35"/>
        <v>1</v>
      </c>
      <c r="K335" s="1" t="b">
        <f t="shared" si="36"/>
        <v>0</v>
      </c>
      <c r="L335" s="1" t="b">
        <f t="shared" si="37"/>
        <v>0</v>
      </c>
      <c r="M335" s="1" t="b">
        <f t="shared" si="38"/>
        <v>0</v>
      </c>
      <c r="N335" s="1" t="b">
        <f t="shared" si="39"/>
        <v>0</v>
      </c>
      <c r="O335" s="1" t="b">
        <f t="shared" si="40"/>
        <v>1</v>
      </c>
      <c r="P335" s="1" t="b">
        <f t="shared" si="41"/>
        <v>0</v>
      </c>
    </row>
    <row r="336" spans="1:16" x14ac:dyDescent="0.2">
      <c r="A336">
        <v>8622712</v>
      </c>
      <c r="B336" t="s">
        <v>711</v>
      </c>
      <c r="C336" t="s">
        <v>265</v>
      </c>
      <c r="D336" t="s">
        <v>139</v>
      </c>
      <c r="E336" s="1">
        <v>45031</v>
      </c>
      <c r="F336" t="s">
        <v>712</v>
      </c>
      <c r="G336" s="1">
        <v>45052</v>
      </c>
      <c r="H336" s="1">
        <v>45069</v>
      </c>
      <c r="I336" t="s">
        <v>28</v>
      </c>
      <c r="J336" s="1" t="b">
        <f t="shared" si="35"/>
        <v>1</v>
      </c>
      <c r="K336" s="1" t="b">
        <f t="shared" si="36"/>
        <v>0</v>
      </c>
      <c r="L336" s="1" t="b">
        <f t="shared" si="37"/>
        <v>0</v>
      </c>
      <c r="M336" s="1" t="b">
        <f t="shared" si="38"/>
        <v>0</v>
      </c>
      <c r="N336" s="1" t="b">
        <f t="shared" si="39"/>
        <v>0</v>
      </c>
      <c r="O336" s="1" t="b">
        <f t="shared" si="40"/>
        <v>0</v>
      </c>
      <c r="P336" s="1" t="b">
        <f t="shared" si="41"/>
        <v>1</v>
      </c>
    </row>
    <row r="337" spans="1:16" x14ac:dyDescent="0.2">
      <c r="A337">
        <v>8622712</v>
      </c>
      <c r="B337" t="s">
        <v>713</v>
      </c>
      <c r="C337" t="s">
        <v>265</v>
      </c>
      <c r="D337" t="s">
        <v>139</v>
      </c>
      <c r="E337" s="1">
        <v>44864</v>
      </c>
      <c r="F337" t="s">
        <v>714</v>
      </c>
      <c r="G337" s="1">
        <v>44883</v>
      </c>
      <c r="H337" s="1">
        <v>44927</v>
      </c>
      <c r="I337" t="s">
        <v>16</v>
      </c>
      <c r="J337" s="1" t="b">
        <f t="shared" si="35"/>
        <v>1</v>
      </c>
      <c r="K337" s="1" t="b">
        <f t="shared" si="36"/>
        <v>0</v>
      </c>
      <c r="L337" s="1" t="b">
        <f t="shared" si="37"/>
        <v>0</v>
      </c>
      <c r="M337" s="1" t="b">
        <f t="shared" si="38"/>
        <v>0</v>
      </c>
      <c r="N337" s="1" t="b">
        <f t="shared" si="39"/>
        <v>1</v>
      </c>
      <c r="O337" s="1" t="b">
        <f t="shared" si="40"/>
        <v>0</v>
      </c>
      <c r="P337" s="1" t="b">
        <f t="shared" si="41"/>
        <v>0</v>
      </c>
    </row>
    <row r="338" spans="1:16" x14ac:dyDescent="0.2">
      <c r="A338">
        <v>8622712</v>
      </c>
      <c r="B338" t="s">
        <v>715</v>
      </c>
      <c r="C338" t="s">
        <v>265</v>
      </c>
      <c r="D338" t="s">
        <v>139</v>
      </c>
      <c r="E338" s="1">
        <v>44977</v>
      </c>
      <c r="F338" t="s">
        <v>716</v>
      </c>
      <c r="G338" s="1">
        <v>45004</v>
      </c>
      <c r="H338" s="1">
        <v>45032</v>
      </c>
      <c r="I338" t="s">
        <v>43</v>
      </c>
      <c r="J338" s="1" t="b">
        <f t="shared" si="35"/>
        <v>1</v>
      </c>
      <c r="K338" s="1" t="b">
        <f t="shared" si="36"/>
        <v>0</v>
      </c>
      <c r="L338" s="1" t="b">
        <f t="shared" si="37"/>
        <v>0</v>
      </c>
      <c r="M338" s="1" t="b">
        <f t="shared" si="38"/>
        <v>0</v>
      </c>
      <c r="N338" s="1" t="b">
        <f t="shared" si="39"/>
        <v>0</v>
      </c>
      <c r="O338" s="1" t="b">
        <f t="shared" si="40"/>
        <v>1</v>
      </c>
      <c r="P338" s="1" t="b">
        <f t="shared" si="41"/>
        <v>0</v>
      </c>
    </row>
    <row r="339" spans="1:16" x14ac:dyDescent="0.2">
      <c r="A339">
        <v>8622712</v>
      </c>
      <c r="B339" t="s">
        <v>717</v>
      </c>
      <c r="C339" t="s">
        <v>265</v>
      </c>
      <c r="D339" t="s">
        <v>139</v>
      </c>
      <c r="E339" s="1">
        <v>44659</v>
      </c>
      <c r="F339" t="s">
        <v>718</v>
      </c>
      <c r="G339" s="1">
        <v>44665</v>
      </c>
      <c r="H339" s="1">
        <v>44674</v>
      </c>
      <c r="I339" t="s">
        <v>16</v>
      </c>
      <c r="J339" s="1" t="b">
        <f t="shared" si="35"/>
        <v>1</v>
      </c>
      <c r="K339" s="1" t="b">
        <f t="shared" si="36"/>
        <v>0</v>
      </c>
      <c r="L339" s="1" t="b">
        <f t="shared" si="37"/>
        <v>0</v>
      </c>
      <c r="M339" s="1" t="b">
        <f t="shared" si="38"/>
        <v>0</v>
      </c>
      <c r="N339" s="1" t="b">
        <f t="shared" si="39"/>
        <v>1</v>
      </c>
      <c r="O339" s="1" t="b">
        <f t="shared" si="40"/>
        <v>0</v>
      </c>
      <c r="P339" s="1" t="b">
        <f t="shared" si="41"/>
        <v>0</v>
      </c>
    </row>
    <row r="340" spans="1:16" x14ac:dyDescent="0.2">
      <c r="A340">
        <v>9010350</v>
      </c>
      <c r="B340" t="s">
        <v>719</v>
      </c>
      <c r="C340" t="s">
        <v>720</v>
      </c>
      <c r="D340" t="s">
        <v>19</v>
      </c>
      <c r="E340" s="1">
        <v>44835</v>
      </c>
      <c r="F340" t="s">
        <v>721</v>
      </c>
      <c r="G340" s="1">
        <v>44846</v>
      </c>
      <c r="I340" t="s">
        <v>13</v>
      </c>
      <c r="J340" s="1" t="b">
        <f t="shared" si="35"/>
        <v>0</v>
      </c>
      <c r="K340" s="1" t="b">
        <f t="shared" si="36"/>
        <v>1</v>
      </c>
      <c r="L340" s="1" t="b">
        <f t="shared" si="37"/>
        <v>0</v>
      </c>
      <c r="M340" s="1" t="b">
        <f t="shared" si="38"/>
        <v>0</v>
      </c>
      <c r="N340" s="1" t="b">
        <f t="shared" si="39"/>
        <v>0</v>
      </c>
      <c r="O340" s="1" t="b">
        <f t="shared" si="40"/>
        <v>0</v>
      </c>
      <c r="P340" s="1" t="b">
        <f t="shared" si="41"/>
        <v>0</v>
      </c>
    </row>
    <row r="341" spans="1:16" x14ac:dyDescent="0.2">
      <c r="A341">
        <v>6065810</v>
      </c>
      <c r="B341" t="s">
        <v>722</v>
      </c>
      <c r="C341" t="s">
        <v>32</v>
      </c>
      <c r="D341" t="s">
        <v>81</v>
      </c>
      <c r="E341" s="1">
        <v>44803</v>
      </c>
      <c r="F341" t="s">
        <v>723</v>
      </c>
      <c r="G341" s="1">
        <v>44805</v>
      </c>
      <c r="I341" t="s">
        <v>13</v>
      </c>
      <c r="J341" s="1" t="b">
        <f t="shared" si="35"/>
        <v>0</v>
      </c>
      <c r="K341" s="1" t="b">
        <f t="shared" si="36"/>
        <v>1</v>
      </c>
      <c r="L341" s="1" t="b">
        <f t="shared" si="37"/>
        <v>0</v>
      </c>
      <c r="M341" s="1" t="b">
        <f t="shared" si="38"/>
        <v>0</v>
      </c>
      <c r="N341" s="1" t="b">
        <f t="shared" si="39"/>
        <v>0</v>
      </c>
      <c r="O341" s="1" t="b">
        <f t="shared" si="40"/>
        <v>0</v>
      </c>
      <c r="P341" s="1" t="b">
        <f t="shared" si="41"/>
        <v>0</v>
      </c>
    </row>
    <row r="342" spans="1:16" x14ac:dyDescent="0.2">
      <c r="A342">
        <v>2983483</v>
      </c>
      <c r="B342" t="s">
        <v>724</v>
      </c>
      <c r="C342" t="s">
        <v>287</v>
      </c>
      <c r="D342" t="s">
        <v>11</v>
      </c>
      <c r="E342" s="1">
        <v>44864</v>
      </c>
      <c r="F342" t="s">
        <v>725</v>
      </c>
      <c r="G342" s="1">
        <v>44876</v>
      </c>
      <c r="H342" s="1">
        <v>44916</v>
      </c>
      <c r="I342" t="s">
        <v>28</v>
      </c>
      <c r="J342" s="1" t="b">
        <f t="shared" si="35"/>
        <v>1</v>
      </c>
      <c r="K342" s="1" t="b">
        <f t="shared" si="36"/>
        <v>0</v>
      </c>
      <c r="L342" s="1" t="b">
        <f t="shared" si="37"/>
        <v>0</v>
      </c>
      <c r="M342" s="1" t="b">
        <f t="shared" si="38"/>
        <v>0</v>
      </c>
      <c r="N342" s="1" t="b">
        <f t="shared" si="39"/>
        <v>0</v>
      </c>
      <c r="O342" s="1" t="b">
        <f t="shared" si="40"/>
        <v>0</v>
      </c>
      <c r="P342" s="1" t="b">
        <f t="shared" si="41"/>
        <v>1</v>
      </c>
    </row>
    <row r="343" spans="1:16" x14ac:dyDescent="0.2">
      <c r="A343">
        <v>2983483</v>
      </c>
      <c r="B343" t="s">
        <v>726</v>
      </c>
      <c r="C343" t="s">
        <v>287</v>
      </c>
      <c r="D343" t="s">
        <v>11</v>
      </c>
      <c r="E343" s="1">
        <v>44718</v>
      </c>
      <c r="F343" t="s">
        <v>238</v>
      </c>
      <c r="G343" s="1">
        <v>44733</v>
      </c>
      <c r="I343" t="s">
        <v>25</v>
      </c>
      <c r="J343" s="1" t="b">
        <f t="shared" si="35"/>
        <v>0</v>
      </c>
      <c r="K343" s="1" t="b">
        <f t="shared" si="36"/>
        <v>0</v>
      </c>
      <c r="L343" s="1" t="b">
        <f t="shared" si="37"/>
        <v>1</v>
      </c>
      <c r="M343" s="1" t="b">
        <f t="shared" si="38"/>
        <v>0</v>
      </c>
      <c r="N343" s="1" t="b">
        <f t="shared" si="39"/>
        <v>0</v>
      </c>
      <c r="O343" s="1" t="b">
        <f t="shared" si="40"/>
        <v>0</v>
      </c>
      <c r="P343" s="1" t="b">
        <f t="shared" si="41"/>
        <v>0</v>
      </c>
    </row>
    <row r="344" spans="1:16" x14ac:dyDescent="0.2">
      <c r="A344">
        <v>7268384</v>
      </c>
      <c r="B344" t="s">
        <v>727</v>
      </c>
      <c r="C344" t="s">
        <v>315</v>
      </c>
      <c r="D344" t="s">
        <v>139</v>
      </c>
      <c r="E344" s="1">
        <v>44645</v>
      </c>
      <c r="F344" t="s">
        <v>728</v>
      </c>
      <c r="G344" s="1">
        <v>44662</v>
      </c>
      <c r="H344" s="1">
        <v>44691</v>
      </c>
      <c r="I344" t="s">
        <v>43</v>
      </c>
      <c r="J344" s="1" t="b">
        <f t="shared" si="35"/>
        <v>1</v>
      </c>
      <c r="K344" s="1" t="b">
        <f t="shared" si="36"/>
        <v>0</v>
      </c>
      <c r="L344" s="1" t="b">
        <f t="shared" si="37"/>
        <v>0</v>
      </c>
      <c r="M344" s="1" t="b">
        <f t="shared" si="38"/>
        <v>0</v>
      </c>
      <c r="N344" s="1" t="b">
        <f t="shared" si="39"/>
        <v>0</v>
      </c>
      <c r="O344" s="1" t="b">
        <f t="shared" si="40"/>
        <v>1</v>
      </c>
      <c r="P344" s="1" t="b">
        <f t="shared" si="41"/>
        <v>0</v>
      </c>
    </row>
    <row r="345" spans="1:16" x14ac:dyDescent="0.2">
      <c r="A345">
        <v>7268384</v>
      </c>
      <c r="B345" t="s">
        <v>729</v>
      </c>
      <c r="C345" t="s">
        <v>315</v>
      </c>
      <c r="D345" t="s">
        <v>139</v>
      </c>
      <c r="E345" s="1">
        <v>44676</v>
      </c>
      <c r="F345" t="s">
        <v>730</v>
      </c>
      <c r="G345" s="1">
        <v>44678</v>
      </c>
      <c r="H345" s="1">
        <v>44732</v>
      </c>
      <c r="I345" t="s">
        <v>28</v>
      </c>
      <c r="J345" s="1" t="b">
        <f t="shared" si="35"/>
        <v>1</v>
      </c>
      <c r="K345" s="1" t="b">
        <f t="shared" si="36"/>
        <v>0</v>
      </c>
      <c r="L345" s="1" t="b">
        <f t="shared" si="37"/>
        <v>0</v>
      </c>
      <c r="M345" s="1" t="b">
        <f t="shared" si="38"/>
        <v>0</v>
      </c>
      <c r="N345" s="1" t="b">
        <f t="shared" si="39"/>
        <v>0</v>
      </c>
      <c r="O345" s="1" t="b">
        <f t="shared" si="40"/>
        <v>0</v>
      </c>
      <c r="P345" s="1" t="b">
        <f t="shared" si="41"/>
        <v>1</v>
      </c>
    </row>
    <row r="346" spans="1:16" x14ac:dyDescent="0.2">
      <c r="A346">
        <v>7268384</v>
      </c>
      <c r="B346" t="s">
        <v>731</v>
      </c>
      <c r="C346" t="s">
        <v>315</v>
      </c>
      <c r="D346" t="s">
        <v>139</v>
      </c>
      <c r="E346" s="1">
        <v>44715</v>
      </c>
      <c r="F346" t="s">
        <v>732</v>
      </c>
      <c r="G346" s="1">
        <v>44721</v>
      </c>
      <c r="H346" s="1">
        <v>44742</v>
      </c>
      <c r="I346" t="s">
        <v>43</v>
      </c>
      <c r="J346" s="1" t="b">
        <f t="shared" si="35"/>
        <v>1</v>
      </c>
      <c r="K346" s="1" t="b">
        <f t="shared" si="36"/>
        <v>0</v>
      </c>
      <c r="L346" s="1" t="b">
        <f t="shared" si="37"/>
        <v>0</v>
      </c>
      <c r="M346" s="1" t="b">
        <f t="shared" si="38"/>
        <v>0</v>
      </c>
      <c r="N346" s="1" t="b">
        <f t="shared" si="39"/>
        <v>0</v>
      </c>
      <c r="O346" s="1" t="b">
        <f t="shared" si="40"/>
        <v>1</v>
      </c>
      <c r="P346" s="1" t="b">
        <f t="shared" si="41"/>
        <v>0</v>
      </c>
    </row>
    <row r="347" spans="1:16" x14ac:dyDescent="0.2">
      <c r="A347">
        <v>7268384</v>
      </c>
      <c r="B347" t="s">
        <v>733</v>
      </c>
      <c r="C347" t="s">
        <v>315</v>
      </c>
      <c r="D347" t="s">
        <v>139</v>
      </c>
      <c r="E347" s="1">
        <v>44772</v>
      </c>
      <c r="F347" t="s">
        <v>734</v>
      </c>
      <c r="G347" s="1">
        <v>44795</v>
      </c>
      <c r="H347" s="1">
        <v>44833</v>
      </c>
      <c r="J347" s="1" t="b">
        <f t="shared" si="35"/>
        <v>1</v>
      </c>
      <c r="K347" s="1" t="b">
        <f t="shared" si="36"/>
        <v>0</v>
      </c>
      <c r="L347" s="1" t="b">
        <f t="shared" si="37"/>
        <v>0</v>
      </c>
      <c r="M347" s="1" t="b">
        <f t="shared" si="38"/>
        <v>0</v>
      </c>
      <c r="N347" s="1" t="b">
        <f t="shared" si="39"/>
        <v>0</v>
      </c>
      <c r="O347" s="1" t="b">
        <f t="shared" si="40"/>
        <v>0</v>
      </c>
      <c r="P347" s="1" t="b">
        <f t="shared" si="41"/>
        <v>0</v>
      </c>
    </row>
    <row r="348" spans="1:16" x14ac:dyDescent="0.2">
      <c r="A348">
        <v>9201172</v>
      </c>
      <c r="B348" t="s">
        <v>735</v>
      </c>
      <c r="C348" t="s">
        <v>76</v>
      </c>
      <c r="D348" t="s">
        <v>139</v>
      </c>
      <c r="E348" s="1">
        <v>44987</v>
      </c>
      <c r="F348" t="s">
        <v>736</v>
      </c>
      <c r="G348" s="1">
        <v>45002</v>
      </c>
      <c r="H348" s="1">
        <v>45039</v>
      </c>
      <c r="J348" s="1" t="b">
        <f t="shared" si="35"/>
        <v>1</v>
      </c>
      <c r="K348" s="1" t="b">
        <f t="shared" si="36"/>
        <v>0</v>
      </c>
      <c r="L348" s="1" t="b">
        <f t="shared" si="37"/>
        <v>0</v>
      </c>
      <c r="M348" s="1" t="b">
        <f t="shared" si="38"/>
        <v>0</v>
      </c>
      <c r="N348" s="1" t="b">
        <f t="shared" si="39"/>
        <v>0</v>
      </c>
      <c r="O348" s="1" t="b">
        <f t="shared" si="40"/>
        <v>0</v>
      </c>
      <c r="P348" s="1" t="b">
        <f t="shared" si="41"/>
        <v>0</v>
      </c>
    </row>
    <row r="349" spans="1:16" x14ac:dyDescent="0.2">
      <c r="A349">
        <v>9201172</v>
      </c>
      <c r="B349" t="s">
        <v>737</v>
      </c>
      <c r="C349" t="s">
        <v>76</v>
      </c>
      <c r="D349" t="s">
        <v>139</v>
      </c>
      <c r="E349" s="1">
        <v>44877</v>
      </c>
      <c r="F349" t="s">
        <v>618</v>
      </c>
      <c r="G349" s="1">
        <v>44901</v>
      </c>
      <c r="I349" t="s">
        <v>13</v>
      </c>
      <c r="J349" s="1" t="b">
        <f t="shared" si="35"/>
        <v>0</v>
      </c>
      <c r="K349" s="1" t="b">
        <f t="shared" si="36"/>
        <v>1</v>
      </c>
      <c r="L349" s="1" t="b">
        <f t="shared" si="37"/>
        <v>0</v>
      </c>
      <c r="M349" s="1" t="b">
        <f t="shared" si="38"/>
        <v>0</v>
      </c>
      <c r="N349" s="1" t="b">
        <f t="shared" si="39"/>
        <v>0</v>
      </c>
      <c r="O349" s="1" t="b">
        <f t="shared" si="40"/>
        <v>0</v>
      </c>
      <c r="P349" s="1" t="b">
        <f t="shared" si="41"/>
        <v>0</v>
      </c>
    </row>
    <row r="350" spans="1:16" x14ac:dyDescent="0.2">
      <c r="A350">
        <v>9201172</v>
      </c>
      <c r="B350" t="s">
        <v>738</v>
      </c>
      <c r="C350" t="s">
        <v>76</v>
      </c>
      <c r="D350" t="s">
        <v>139</v>
      </c>
      <c r="E350" s="1">
        <v>44565</v>
      </c>
      <c r="F350" t="s">
        <v>739</v>
      </c>
      <c r="G350" s="1">
        <v>44589</v>
      </c>
      <c r="I350" t="s">
        <v>13</v>
      </c>
      <c r="J350" s="1" t="b">
        <f t="shared" si="35"/>
        <v>0</v>
      </c>
      <c r="K350" s="1" t="b">
        <f t="shared" si="36"/>
        <v>1</v>
      </c>
      <c r="L350" s="1" t="b">
        <f t="shared" si="37"/>
        <v>0</v>
      </c>
      <c r="M350" s="1" t="b">
        <f t="shared" si="38"/>
        <v>0</v>
      </c>
      <c r="N350" s="1" t="b">
        <f t="shared" si="39"/>
        <v>0</v>
      </c>
      <c r="O350" s="1" t="b">
        <f t="shared" si="40"/>
        <v>0</v>
      </c>
      <c r="P350" s="1" t="b">
        <f t="shared" si="41"/>
        <v>0</v>
      </c>
    </row>
    <row r="351" spans="1:16" x14ac:dyDescent="0.2">
      <c r="A351">
        <v>9201172</v>
      </c>
      <c r="B351" t="s">
        <v>740</v>
      </c>
      <c r="C351" t="s">
        <v>76</v>
      </c>
      <c r="D351" t="s">
        <v>139</v>
      </c>
      <c r="E351" s="1">
        <v>44995</v>
      </c>
      <c r="F351" t="s">
        <v>741</v>
      </c>
      <c r="G351" s="1">
        <v>45007</v>
      </c>
      <c r="I351" t="s">
        <v>25</v>
      </c>
      <c r="J351" s="1" t="b">
        <f t="shared" si="35"/>
        <v>0</v>
      </c>
      <c r="K351" s="1" t="b">
        <f t="shared" si="36"/>
        <v>0</v>
      </c>
      <c r="L351" s="1" t="b">
        <f t="shared" si="37"/>
        <v>1</v>
      </c>
      <c r="M351" s="1" t="b">
        <f t="shared" si="38"/>
        <v>0</v>
      </c>
      <c r="N351" s="1" t="b">
        <f t="shared" si="39"/>
        <v>0</v>
      </c>
      <c r="O351" s="1" t="b">
        <f t="shared" si="40"/>
        <v>0</v>
      </c>
      <c r="P351" s="1" t="b">
        <f t="shared" si="41"/>
        <v>0</v>
      </c>
    </row>
    <row r="352" spans="1:16" x14ac:dyDescent="0.2">
      <c r="A352">
        <v>2069713</v>
      </c>
      <c r="B352" t="s">
        <v>742</v>
      </c>
      <c r="C352" t="s">
        <v>18</v>
      </c>
      <c r="D352" t="s">
        <v>56</v>
      </c>
      <c r="E352" s="1">
        <v>44980</v>
      </c>
      <c r="F352" t="s">
        <v>570</v>
      </c>
      <c r="G352" s="1">
        <v>44986</v>
      </c>
      <c r="H352" s="1">
        <v>45036</v>
      </c>
      <c r="J352" s="1" t="b">
        <f t="shared" si="35"/>
        <v>1</v>
      </c>
      <c r="K352" s="1" t="b">
        <f t="shared" si="36"/>
        <v>0</v>
      </c>
      <c r="L352" s="1" t="b">
        <f t="shared" si="37"/>
        <v>0</v>
      </c>
      <c r="M352" s="1" t="b">
        <f t="shared" si="38"/>
        <v>0</v>
      </c>
      <c r="N352" s="1" t="b">
        <f t="shared" si="39"/>
        <v>0</v>
      </c>
      <c r="O352" s="1" t="b">
        <f t="shared" si="40"/>
        <v>0</v>
      </c>
      <c r="P352" s="1" t="b">
        <f t="shared" si="41"/>
        <v>0</v>
      </c>
    </row>
    <row r="353" spans="1:16" x14ac:dyDescent="0.2">
      <c r="A353">
        <v>3272119</v>
      </c>
      <c r="B353" t="s">
        <v>743</v>
      </c>
      <c r="C353" t="s">
        <v>35</v>
      </c>
      <c r="D353" t="s">
        <v>60</v>
      </c>
      <c r="E353" s="1">
        <v>44948</v>
      </c>
      <c r="F353" t="s">
        <v>744</v>
      </c>
      <c r="G353" s="1">
        <v>44961</v>
      </c>
      <c r="H353" s="1">
        <v>44967</v>
      </c>
      <c r="J353" s="1" t="b">
        <f t="shared" si="35"/>
        <v>1</v>
      </c>
      <c r="K353" s="1" t="b">
        <f t="shared" si="36"/>
        <v>0</v>
      </c>
      <c r="L353" s="1" t="b">
        <f t="shared" si="37"/>
        <v>0</v>
      </c>
      <c r="M353" s="1" t="b">
        <f t="shared" si="38"/>
        <v>0</v>
      </c>
      <c r="N353" s="1" t="b">
        <f t="shared" si="39"/>
        <v>0</v>
      </c>
      <c r="O353" s="1" t="b">
        <f t="shared" si="40"/>
        <v>0</v>
      </c>
      <c r="P353" s="1" t="b">
        <f t="shared" si="41"/>
        <v>0</v>
      </c>
    </row>
    <row r="354" spans="1:16" x14ac:dyDescent="0.2">
      <c r="A354">
        <v>3272119</v>
      </c>
      <c r="B354" t="s">
        <v>745</v>
      </c>
      <c r="C354" t="s">
        <v>35</v>
      </c>
      <c r="D354" t="s">
        <v>60</v>
      </c>
      <c r="E354" s="1">
        <v>44918</v>
      </c>
      <c r="F354" t="s">
        <v>746</v>
      </c>
      <c r="G354" s="1">
        <v>44922</v>
      </c>
      <c r="H354" s="1">
        <v>44934</v>
      </c>
      <c r="I354" t="s">
        <v>43</v>
      </c>
      <c r="J354" s="1" t="b">
        <f t="shared" si="35"/>
        <v>1</v>
      </c>
      <c r="K354" s="1" t="b">
        <f t="shared" si="36"/>
        <v>0</v>
      </c>
      <c r="L354" s="1" t="b">
        <f t="shared" si="37"/>
        <v>0</v>
      </c>
      <c r="M354" s="1" t="b">
        <f t="shared" si="38"/>
        <v>0</v>
      </c>
      <c r="N354" s="1" t="b">
        <f t="shared" si="39"/>
        <v>0</v>
      </c>
      <c r="O354" s="1" t="b">
        <f t="shared" si="40"/>
        <v>1</v>
      </c>
      <c r="P354" s="1" t="b">
        <f t="shared" si="41"/>
        <v>0</v>
      </c>
    </row>
    <row r="355" spans="1:16" x14ac:dyDescent="0.2">
      <c r="A355">
        <v>3272119</v>
      </c>
      <c r="B355" t="s">
        <v>747</v>
      </c>
      <c r="C355" t="s">
        <v>35</v>
      </c>
      <c r="D355" t="s">
        <v>60</v>
      </c>
      <c r="E355" s="1">
        <v>44790</v>
      </c>
      <c r="F355" t="s">
        <v>748</v>
      </c>
      <c r="G355" s="1">
        <v>44817</v>
      </c>
      <c r="H355" s="1">
        <v>44818</v>
      </c>
      <c r="J355" s="1" t="b">
        <f t="shared" si="35"/>
        <v>1</v>
      </c>
      <c r="K355" s="1" t="b">
        <f t="shared" si="36"/>
        <v>0</v>
      </c>
      <c r="L355" s="1" t="b">
        <f t="shared" si="37"/>
        <v>0</v>
      </c>
      <c r="M355" s="1" t="b">
        <f t="shared" si="38"/>
        <v>0</v>
      </c>
      <c r="N355" s="1" t="b">
        <f t="shared" si="39"/>
        <v>0</v>
      </c>
      <c r="O355" s="1" t="b">
        <f t="shared" si="40"/>
        <v>0</v>
      </c>
      <c r="P355" s="1" t="b">
        <f t="shared" si="41"/>
        <v>0</v>
      </c>
    </row>
    <row r="356" spans="1:16" x14ac:dyDescent="0.2">
      <c r="A356">
        <v>1381435</v>
      </c>
      <c r="B356" t="s">
        <v>749</v>
      </c>
      <c r="C356" t="s">
        <v>110</v>
      </c>
      <c r="D356" t="s">
        <v>77</v>
      </c>
      <c r="E356" s="1">
        <v>44815</v>
      </c>
      <c r="F356" t="s">
        <v>750</v>
      </c>
      <c r="G356" s="1">
        <v>44830</v>
      </c>
      <c r="H356" s="1">
        <v>44853</v>
      </c>
      <c r="J356" s="1" t="b">
        <f t="shared" si="35"/>
        <v>1</v>
      </c>
      <c r="K356" s="1" t="b">
        <f t="shared" si="36"/>
        <v>0</v>
      </c>
      <c r="L356" s="1" t="b">
        <f t="shared" si="37"/>
        <v>0</v>
      </c>
      <c r="M356" s="1" t="b">
        <f t="shared" si="38"/>
        <v>0</v>
      </c>
      <c r="N356" s="1" t="b">
        <f t="shared" si="39"/>
        <v>0</v>
      </c>
      <c r="O356" s="1" t="b">
        <f t="shared" si="40"/>
        <v>0</v>
      </c>
      <c r="P356" s="1" t="b">
        <f t="shared" si="41"/>
        <v>0</v>
      </c>
    </row>
    <row r="357" spans="1:16" x14ac:dyDescent="0.2">
      <c r="A357">
        <v>1381435</v>
      </c>
      <c r="B357" t="s">
        <v>751</v>
      </c>
      <c r="C357" t="s">
        <v>110</v>
      </c>
      <c r="D357" t="s">
        <v>77</v>
      </c>
      <c r="E357" s="1">
        <v>44677</v>
      </c>
      <c r="F357" t="s">
        <v>752</v>
      </c>
      <c r="G357" s="1">
        <v>44679</v>
      </c>
      <c r="I357" t="s">
        <v>13</v>
      </c>
      <c r="J357" s="1" t="b">
        <f t="shared" si="35"/>
        <v>0</v>
      </c>
      <c r="K357" s="1" t="b">
        <f t="shared" si="36"/>
        <v>1</v>
      </c>
      <c r="L357" s="1" t="b">
        <f t="shared" si="37"/>
        <v>0</v>
      </c>
      <c r="M357" s="1" t="b">
        <f t="shared" si="38"/>
        <v>0</v>
      </c>
      <c r="N357" s="1" t="b">
        <f t="shared" si="39"/>
        <v>0</v>
      </c>
      <c r="O357" s="1" t="b">
        <f t="shared" si="40"/>
        <v>0</v>
      </c>
      <c r="P357" s="1" t="b">
        <f t="shared" si="41"/>
        <v>0</v>
      </c>
    </row>
    <row r="358" spans="1:16" x14ac:dyDescent="0.2">
      <c r="A358">
        <v>1381435</v>
      </c>
      <c r="B358" t="s">
        <v>753</v>
      </c>
      <c r="C358" t="s">
        <v>110</v>
      </c>
      <c r="D358" t="s">
        <v>77</v>
      </c>
      <c r="E358" s="1">
        <v>44578</v>
      </c>
      <c r="F358" t="s">
        <v>754</v>
      </c>
      <c r="G358" s="1">
        <v>44586</v>
      </c>
      <c r="H358" s="1">
        <v>44600</v>
      </c>
      <c r="J358" s="1" t="b">
        <f t="shared" si="35"/>
        <v>1</v>
      </c>
      <c r="K358" s="1" t="b">
        <f t="shared" si="36"/>
        <v>0</v>
      </c>
      <c r="L358" s="1" t="b">
        <f t="shared" si="37"/>
        <v>0</v>
      </c>
      <c r="M358" s="1" t="b">
        <f t="shared" si="38"/>
        <v>0</v>
      </c>
      <c r="N358" s="1" t="b">
        <f t="shared" si="39"/>
        <v>0</v>
      </c>
      <c r="O358" s="1" t="b">
        <f t="shared" si="40"/>
        <v>0</v>
      </c>
      <c r="P358" s="1" t="b">
        <f t="shared" si="41"/>
        <v>0</v>
      </c>
    </row>
    <row r="359" spans="1:16" x14ac:dyDescent="0.2">
      <c r="A359">
        <v>1381435</v>
      </c>
      <c r="B359" t="s">
        <v>755</v>
      </c>
      <c r="C359" t="s">
        <v>110</v>
      </c>
      <c r="D359" t="s">
        <v>77</v>
      </c>
      <c r="E359" s="1">
        <v>45019</v>
      </c>
      <c r="F359" t="s">
        <v>756</v>
      </c>
      <c r="G359" s="1">
        <v>45039</v>
      </c>
      <c r="I359" t="s">
        <v>13</v>
      </c>
      <c r="J359" s="1" t="b">
        <f t="shared" si="35"/>
        <v>0</v>
      </c>
      <c r="K359" s="1" t="b">
        <f t="shared" si="36"/>
        <v>1</v>
      </c>
      <c r="L359" s="1" t="b">
        <f t="shared" si="37"/>
        <v>0</v>
      </c>
      <c r="M359" s="1" t="b">
        <f t="shared" si="38"/>
        <v>0</v>
      </c>
      <c r="N359" s="1" t="b">
        <f t="shared" si="39"/>
        <v>0</v>
      </c>
      <c r="O359" s="1" t="b">
        <f t="shared" si="40"/>
        <v>0</v>
      </c>
      <c r="P359" s="1" t="b">
        <f t="shared" si="41"/>
        <v>0</v>
      </c>
    </row>
    <row r="360" spans="1:16" x14ac:dyDescent="0.2">
      <c r="A360">
        <v>1381435</v>
      </c>
      <c r="B360" t="s">
        <v>757</v>
      </c>
      <c r="C360" t="s">
        <v>110</v>
      </c>
      <c r="D360" t="s">
        <v>77</v>
      </c>
      <c r="E360" s="1">
        <v>44607</v>
      </c>
      <c r="F360" t="s">
        <v>758</v>
      </c>
      <c r="G360" s="1">
        <v>44620</v>
      </c>
      <c r="H360" s="1">
        <v>44649</v>
      </c>
      <c r="I360" t="s">
        <v>16</v>
      </c>
      <c r="J360" s="1" t="b">
        <f t="shared" si="35"/>
        <v>1</v>
      </c>
      <c r="K360" s="1" t="b">
        <f t="shared" si="36"/>
        <v>0</v>
      </c>
      <c r="L360" s="1" t="b">
        <f t="shared" si="37"/>
        <v>0</v>
      </c>
      <c r="M360" s="1" t="b">
        <f t="shared" si="38"/>
        <v>0</v>
      </c>
      <c r="N360" s="1" t="b">
        <f t="shared" si="39"/>
        <v>1</v>
      </c>
      <c r="O360" s="1" t="b">
        <f t="shared" si="40"/>
        <v>0</v>
      </c>
      <c r="P360" s="1" t="b">
        <f t="shared" si="41"/>
        <v>0</v>
      </c>
    </row>
    <row r="361" spans="1:16" x14ac:dyDescent="0.2">
      <c r="A361">
        <v>4931560</v>
      </c>
      <c r="B361" t="s">
        <v>759</v>
      </c>
      <c r="C361" t="s">
        <v>18</v>
      </c>
      <c r="D361" t="s">
        <v>19</v>
      </c>
      <c r="E361" s="1">
        <v>44888</v>
      </c>
      <c r="F361" t="s">
        <v>266</v>
      </c>
      <c r="G361" s="1">
        <v>44907</v>
      </c>
      <c r="I361" t="s">
        <v>13</v>
      </c>
      <c r="J361" s="1" t="b">
        <f t="shared" si="35"/>
        <v>0</v>
      </c>
      <c r="K361" s="1" t="b">
        <f t="shared" si="36"/>
        <v>1</v>
      </c>
      <c r="L361" s="1" t="b">
        <f t="shared" si="37"/>
        <v>0</v>
      </c>
      <c r="M361" s="1" t="b">
        <f t="shared" si="38"/>
        <v>0</v>
      </c>
      <c r="N361" s="1" t="b">
        <f t="shared" si="39"/>
        <v>0</v>
      </c>
      <c r="O361" s="1" t="b">
        <f t="shared" si="40"/>
        <v>0</v>
      </c>
      <c r="P361" s="1" t="b">
        <f t="shared" si="41"/>
        <v>0</v>
      </c>
    </row>
    <row r="362" spans="1:16" x14ac:dyDescent="0.2">
      <c r="A362">
        <v>6379867</v>
      </c>
      <c r="B362" t="s">
        <v>760</v>
      </c>
      <c r="C362" t="s">
        <v>93</v>
      </c>
      <c r="D362" t="s">
        <v>11</v>
      </c>
      <c r="E362" s="1">
        <v>44843</v>
      </c>
      <c r="F362" t="s">
        <v>761</v>
      </c>
      <c r="G362" s="1">
        <v>44845</v>
      </c>
      <c r="H362" s="1">
        <v>44881</v>
      </c>
      <c r="I362" t="s">
        <v>43</v>
      </c>
      <c r="J362" s="1" t="b">
        <f t="shared" si="35"/>
        <v>1</v>
      </c>
      <c r="K362" s="1" t="b">
        <f t="shared" si="36"/>
        <v>0</v>
      </c>
      <c r="L362" s="1" t="b">
        <f t="shared" si="37"/>
        <v>0</v>
      </c>
      <c r="M362" s="1" t="b">
        <f t="shared" si="38"/>
        <v>0</v>
      </c>
      <c r="N362" s="1" t="b">
        <f t="shared" si="39"/>
        <v>0</v>
      </c>
      <c r="O362" s="1" t="b">
        <f t="shared" si="40"/>
        <v>1</v>
      </c>
      <c r="P362" s="1" t="b">
        <f t="shared" si="41"/>
        <v>0</v>
      </c>
    </row>
    <row r="363" spans="1:16" x14ac:dyDescent="0.2">
      <c r="A363">
        <v>6379867</v>
      </c>
      <c r="B363" t="s">
        <v>762</v>
      </c>
      <c r="C363" t="s">
        <v>93</v>
      </c>
      <c r="D363" t="s">
        <v>11</v>
      </c>
      <c r="E363" s="1">
        <v>44999</v>
      </c>
      <c r="F363" t="s">
        <v>763</v>
      </c>
      <c r="G363" s="1">
        <v>45017</v>
      </c>
      <c r="H363" s="1">
        <v>45049</v>
      </c>
      <c r="I363" t="s">
        <v>43</v>
      </c>
      <c r="J363" s="1" t="b">
        <f t="shared" si="35"/>
        <v>1</v>
      </c>
      <c r="K363" s="1" t="b">
        <f t="shared" si="36"/>
        <v>0</v>
      </c>
      <c r="L363" s="1" t="b">
        <f t="shared" si="37"/>
        <v>0</v>
      </c>
      <c r="M363" s="1" t="b">
        <f t="shared" si="38"/>
        <v>0</v>
      </c>
      <c r="N363" s="1" t="b">
        <f t="shared" si="39"/>
        <v>0</v>
      </c>
      <c r="O363" s="1" t="b">
        <f t="shared" si="40"/>
        <v>1</v>
      </c>
      <c r="P363" s="1" t="b">
        <f t="shared" si="41"/>
        <v>0</v>
      </c>
    </row>
    <row r="364" spans="1:16" x14ac:dyDescent="0.2">
      <c r="A364">
        <v>1786584</v>
      </c>
      <c r="B364" t="s">
        <v>764</v>
      </c>
      <c r="C364" t="s">
        <v>542</v>
      </c>
      <c r="D364" t="s">
        <v>60</v>
      </c>
      <c r="E364" s="1">
        <v>44714</v>
      </c>
      <c r="F364" t="s">
        <v>216</v>
      </c>
      <c r="G364" s="1">
        <v>44724</v>
      </c>
      <c r="I364" t="s">
        <v>25</v>
      </c>
      <c r="J364" s="1" t="b">
        <f t="shared" si="35"/>
        <v>0</v>
      </c>
      <c r="K364" s="1" t="b">
        <f t="shared" si="36"/>
        <v>0</v>
      </c>
      <c r="L364" s="1" t="b">
        <f t="shared" si="37"/>
        <v>1</v>
      </c>
      <c r="M364" s="1" t="b">
        <f t="shared" si="38"/>
        <v>0</v>
      </c>
      <c r="N364" s="1" t="b">
        <f t="shared" si="39"/>
        <v>0</v>
      </c>
      <c r="O364" s="1" t="b">
        <f t="shared" si="40"/>
        <v>0</v>
      </c>
      <c r="P364" s="1" t="b">
        <f t="shared" si="41"/>
        <v>0</v>
      </c>
    </row>
    <row r="365" spans="1:16" x14ac:dyDescent="0.2">
      <c r="A365">
        <v>1786584</v>
      </c>
      <c r="B365" t="s">
        <v>765</v>
      </c>
      <c r="C365" t="s">
        <v>542</v>
      </c>
      <c r="D365" t="s">
        <v>60</v>
      </c>
      <c r="E365" s="1">
        <v>45046</v>
      </c>
      <c r="F365" t="s">
        <v>766</v>
      </c>
      <c r="G365" s="1">
        <v>45054</v>
      </c>
      <c r="I365" t="s">
        <v>25</v>
      </c>
      <c r="J365" s="1" t="b">
        <f t="shared" si="35"/>
        <v>0</v>
      </c>
      <c r="K365" s="1" t="b">
        <f t="shared" si="36"/>
        <v>0</v>
      </c>
      <c r="L365" s="1" t="b">
        <f t="shared" si="37"/>
        <v>1</v>
      </c>
      <c r="M365" s="1" t="b">
        <f t="shared" si="38"/>
        <v>0</v>
      </c>
      <c r="N365" s="1" t="b">
        <f t="shared" si="39"/>
        <v>0</v>
      </c>
      <c r="O365" s="1" t="b">
        <f t="shared" si="40"/>
        <v>0</v>
      </c>
      <c r="P365" s="1" t="b">
        <f t="shared" si="41"/>
        <v>0</v>
      </c>
    </row>
    <row r="366" spans="1:16" x14ac:dyDescent="0.2">
      <c r="A366">
        <v>1786584</v>
      </c>
      <c r="B366" t="s">
        <v>767</v>
      </c>
      <c r="C366" t="s">
        <v>542</v>
      </c>
      <c r="D366" t="s">
        <v>60</v>
      </c>
      <c r="E366" s="1">
        <v>44709</v>
      </c>
      <c r="F366" t="s">
        <v>768</v>
      </c>
      <c r="G366" s="1">
        <v>44735</v>
      </c>
      <c r="H366" s="1">
        <v>44765</v>
      </c>
      <c r="I366" t="s">
        <v>28</v>
      </c>
      <c r="J366" s="1" t="b">
        <f t="shared" si="35"/>
        <v>1</v>
      </c>
      <c r="K366" s="1" t="b">
        <f t="shared" si="36"/>
        <v>0</v>
      </c>
      <c r="L366" s="1" t="b">
        <f t="shared" si="37"/>
        <v>0</v>
      </c>
      <c r="M366" s="1" t="b">
        <f t="shared" si="38"/>
        <v>0</v>
      </c>
      <c r="N366" s="1" t="b">
        <f t="shared" si="39"/>
        <v>0</v>
      </c>
      <c r="O366" s="1" t="b">
        <f t="shared" si="40"/>
        <v>0</v>
      </c>
      <c r="P366" s="1" t="b">
        <f t="shared" si="41"/>
        <v>1</v>
      </c>
    </row>
    <row r="367" spans="1:16" x14ac:dyDescent="0.2">
      <c r="A367">
        <v>1786584</v>
      </c>
      <c r="B367" t="s">
        <v>769</v>
      </c>
      <c r="C367" t="s">
        <v>542</v>
      </c>
      <c r="D367" t="s">
        <v>60</v>
      </c>
      <c r="E367" s="1">
        <v>45104</v>
      </c>
      <c r="F367" t="s">
        <v>770</v>
      </c>
      <c r="G367" s="1">
        <v>45109</v>
      </c>
      <c r="H367" s="1">
        <v>45134</v>
      </c>
      <c r="J367" s="1" t="b">
        <f t="shared" si="35"/>
        <v>1</v>
      </c>
      <c r="K367" s="1" t="b">
        <f t="shared" si="36"/>
        <v>0</v>
      </c>
      <c r="L367" s="1" t="b">
        <f t="shared" si="37"/>
        <v>0</v>
      </c>
      <c r="M367" s="1" t="b">
        <f t="shared" si="38"/>
        <v>0</v>
      </c>
      <c r="N367" s="1" t="b">
        <f t="shared" si="39"/>
        <v>0</v>
      </c>
      <c r="O367" s="1" t="b">
        <f t="shared" si="40"/>
        <v>0</v>
      </c>
      <c r="P367" s="1" t="b">
        <f t="shared" si="41"/>
        <v>0</v>
      </c>
    </row>
    <row r="368" spans="1:16" x14ac:dyDescent="0.2">
      <c r="A368">
        <v>1786584</v>
      </c>
      <c r="B368" t="s">
        <v>771</v>
      </c>
      <c r="C368" t="s">
        <v>542</v>
      </c>
      <c r="D368" t="s">
        <v>60</v>
      </c>
      <c r="E368" s="1">
        <v>44642</v>
      </c>
      <c r="F368" t="s">
        <v>772</v>
      </c>
      <c r="G368" s="1">
        <v>44672</v>
      </c>
      <c r="I368" t="s">
        <v>25</v>
      </c>
      <c r="J368" s="1" t="b">
        <f t="shared" si="35"/>
        <v>0</v>
      </c>
      <c r="K368" s="1" t="b">
        <f t="shared" si="36"/>
        <v>0</v>
      </c>
      <c r="L368" s="1" t="b">
        <f t="shared" si="37"/>
        <v>1</v>
      </c>
      <c r="M368" s="1" t="b">
        <f t="shared" si="38"/>
        <v>0</v>
      </c>
      <c r="N368" s="1" t="b">
        <f t="shared" si="39"/>
        <v>0</v>
      </c>
      <c r="O368" s="1" t="b">
        <f t="shared" si="40"/>
        <v>0</v>
      </c>
      <c r="P368" s="1" t="b">
        <f t="shared" si="41"/>
        <v>0</v>
      </c>
    </row>
    <row r="369" spans="1:16" x14ac:dyDescent="0.2">
      <c r="A369">
        <v>8546170</v>
      </c>
      <c r="B369" t="s">
        <v>773</v>
      </c>
      <c r="C369" t="s">
        <v>90</v>
      </c>
      <c r="D369" t="s">
        <v>39</v>
      </c>
      <c r="E369" s="1">
        <v>44948</v>
      </c>
      <c r="F369" t="s">
        <v>774</v>
      </c>
      <c r="G369" s="1">
        <v>44970</v>
      </c>
      <c r="H369" s="1">
        <v>45009</v>
      </c>
      <c r="I369" t="s">
        <v>43</v>
      </c>
      <c r="J369" s="1" t="b">
        <f t="shared" si="35"/>
        <v>1</v>
      </c>
      <c r="K369" s="1" t="b">
        <f t="shared" si="36"/>
        <v>0</v>
      </c>
      <c r="L369" s="1" t="b">
        <f t="shared" si="37"/>
        <v>0</v>
      </c>
      <c r="M369" s="1" t="b">
        <f t="shared" si="38"/>
        <v>0</v>
      </c>
      <c r="N369" s="1" t="b">
        <f t="shared" si="39"/>
        <v>0</v>
      </c>
      <c r="O369" s="1" t="b">
        <f t="shared" si="40"/>
        <v>1</v>
      </c>
      <c r="P369" s="1" t="b">
        <f t="shared" si="41"/>
        <v>0</v>
      </c>
    </row>
    <row r="370" spans="1:16" x14ac:dyDescent="0.2">
      <c r="A370">
        <v>1663497</v>
      </c>
      <c r="B370" t="s">
        <v>775</v>
      </c>
      <c r="C370" t="s">
        <v>90</v>
      </c>
      <c r="D370" t="s">
        <v>122</v>
      </c>
      <c r="E370" s="1">
        <v>44902</v>
      </c>
      <c r="F370" t="s">
        <v>776</v>
      </c>
      <c r="G370" s="1">
        <v>44912</v>
      </c>
      <c r="H370" s="1">
        <v>44971</v>
      </c>
      <c r="I370" t="s">
        <v>43</v>
      </c>
      <c r="J370" s="1" t="b">
        <f t="shared" si="35"/>
        <v>1</v>
      </c>
      <c r="K370" s="1" t="b">
        <f t="shared" si="36"/>
        <v>0</v>
      </c>
      <c r="L370" s="1" t="b">
        <f t="shared" si="37"/>
        <v>0</v>
      </c>
      <c r="M370" s="1" t="b">
        <f t="shared" si="38"/>
        <v>0</v>
      </c>
      <c r="N370" s="1" t="b">
        <f t="shared" si="39"/>
        <v>0</v>
      </c>
      <c r="O370" s="1" t="b">
        <f t="shared" si="40"/>
        <v>1</v>
      </c>
      <c r="P370" s="1" t="b">
        <f t="shared" si="41"/>
        <v>0</v>
      </c>
    </row>
    <row r="371" spans="1:16" x14ac:dyDescent="0.2">
      <c r="A371">
        <v>1663497</v>
      </c>
      <c r="B371" t="s">
        <v>777</v>
      </c>
      <c r="C371" t="s">
        <v>90</v>
      </c>
      <c r="D371" t="s">
        <v>122</v>
      </c>
      <c r="E371" s="1">
        <v>44682</v>
      </c>
      <c r="F371" t="s">
        <v>778</v>
      </c>
      <c r="G371" s="1">
        <v>44706</v>
      </c>
      <c r="I371" t="s">
        <v>13</v>
      </c>
      <c r="J371" s="1" t="b">
        <f t="shared" si="35"/>
        <v>0</v>
      </c>
      <c r="K371" s="1" t="b">
        <f t="shared" si="36"/>
        <v>1</v>
      </c>
      <c r="L371" s="1" t="b">
        <f t="shared" si="37"/>
        <v>0</v>
      </c>
      <c r="M371" s="1" t="b">
        <f t="shared" si="38"/>
        <v>0</v>
      </c>
      <c r="N371" s="1" t="b">
        <f t="shared" si="39"/>
        <v>0</v>
      </c>
      <c r="O371" s="1" t="b">
        <f t="shared" si="40"/>
        <v>0</v>
      </c>
      <c r="P371" s="1" t="b">
        <f t="shared" si="41"/>
        <v>0</v>
      </c>
    </row>
    <row r="372" spans="1:16" x14ac:dyDescent="0.2">
      <c r="A372">
        <v>9034958</v>
      </c>
      <c r="B372" t="s">
        <v>779</v>
      </c>
      <c r="C372" t="s">
        <v>310</v>
      </c>
      <c r="D372" t="s">
        <v>19</v>
      </c>
      <c r="E372" s="1">
        <v>44891</v>
      </c>
      <c r="F372" t="s">
        <v>780</v>
      </c>
      <c r="G372" s="1">
        <v>44916</v>
      </c>
      <c r="H372" s="1">
        <v>44935</v>
      </c>
      <c r="J372" s="1" t="b">
        <f t="shared" si="35"/>
        <v>1</v>
      </c>
      <c r="K372" s="1" t="b">
        <f t="shared" si="36"/>
        <v>0</v>
      </c>
      <c r="L372" s="1" t="b">
        <f t="shared" si="37"/>
        <v>0</v>
      </c>
      <c r="M372" s="1" t="b">
        <f t="shared" si="38"/>
        <v>0</v>
      </c>
      <c r="N372" s="1" t="b">
        <f t="shared" si="39"/>
        <v>0</v>
      </c>
      <c r="O372" s="1" t="b">
        <f t="shared" si="40"/>
        <v>0</v>
      </c>
      <c r="P372" s="1" t="b">
        <f t="shared" si="41"/>
        <v>0</v>
      </c>
    </row>
    <row r="373" spans="1:16" x14ac:dyDescent="0.2">
      <c r="A373">
        <v>9034958</v>
      </c>
      <c r="B373" t="s">
        <v>781</v>
      </c>
      <c r="C373" t="s">
        <v>310</v>
      </c>
      <c r="D373" t="s">
        <v>19</v>
      </c>
      <c r="E373" s="1">
        <v>44930</v>
      </c>
      <c r="F373" t="s">
        <v>782</v>
      </c>
      <c r="G373" s="1">
        <v>44947</v>
      </c>
      <c r="H373" s="1">
        <v>45004</v>
      </c>
      <c r="I373" t="s">
        <v>28</v>
      </c>
      <c r="J373" s="1" t="b">
        <f t="shared" si="35"/>
        <v>1</v>
      </c>
      <c r="K373" s="1" t="b">
        <f t="shared" si="36"/>
        <v>0</v>
      </c>
      <c r="L373" s="1" t="b">
        <f t="shared" si="37"/>
        <v>0</v>
      </c>
      <c r="M373" s="1" t="b">
        <f t="shared" si="38"/>
        <v>0</v>
      </c>
      <c r="N373" s="1" t="b">
        <f t="shared" si="39"/>
        <v>0</v>
      </c>
      <c r="O373" s="1" t="b">
        <f t="shared" si="40"/>
        <v>0</v>
      </c>
      <c r="P373" s="1" t="b">
        <f t="shared" si="41"/>
        <v>1</v>
      </c>
    </row>
    <row r="374" spans="1:16" x14ac:dyDescent="0.2">
      <c r="A374">
        <v>9034958</v>
      </c>
      <c r="B374" t="s">
        <v>783</v>
      </c>
      <c r="C374" t="s">
        <v>310</v>
      </c>
      <c r="D374" t="s">
        <v>19</v>
      </c>
      <c r="E374" s="1">
        <v>45042</v>
      </c>
      <c r="F374" t="s">
        <v>784</v>
      </c>
      <c r="G374" s="1">
        <v>45067</v>
      </c>
      <c r="H374" s="1">
        <v>45121</v>
      </c>
      <c r="I374" t="s">
        <v>16</v>
      </c>
      <c r="J374" s="1" t="b">
        <f t="shared" si="35"/>
        <v>1</v>
      </c>
      <c r="K374" s="1" t="b">
        <f t="shared" si="36"/>
        <v>0</v>
      </c>
      <c r="L374" s="1" t="b">
        <f t="shared" si="37"/>
        <v>0</v>
      </c>
      <c r="M374" s="1" t="b">
        <f t="shared" si="38"/>
        <v>0</v>
      </c>
      <c r="N374" s="1" t="b">
        <f t="shared" si="39"/>
        <v>1</v>
      </c>
      <c r="O374" s="1" t="b">
        <f t="shared" si="40"/>
        <v>0</v>
      </c>
      <c r="P374" s="1" t="b">
        <f t="shared" si="41"/>
        <v>0</v>
      </c>
    </row>
    <row r="375" spans="1:16" x14ac:dyDescent="0.2">
      <c r="A375">
        <v>9034958</v>
      </c>
      <c r="B375" t="s">
        <v>785</v>
      </c>
      <c r="C375" t="s">
        <v>310</v>
      </c>
      <c r="D375" t="s">
        <v>19</v>
      </c>
      <c r="E375" s="1">
        <v>44985</v>
      </c>
      <c r="F375" t="s">
        <v>786</v>
      </c>
      <c r="G375" s="1">
        <v>44987</v>
      </c>
      <c r="H375" s="1">
        <v>45024</v>
      </c>
      <c r="I375" t="s">
        <v>43</v>
      </c>
      <c r="J375" s="1" t="b">
        <f t="shared" si="35"/>
        <v>1</v>
      </c>
      <c r="K375" s="1" t="b">
        <f t="shared" si="36"/>
        <v>0</v>
      </c>
      <c r="L375" s="1" t="b">
        <f t="shared" si="37"/>
        <v>0</v>
      </c>
      <c r="M375" s="1" t="b">
        <f t="shared" si="38"/>
        <v>0</v>
      </c>
      <c r="N375" s="1" t="b">
        <f t="shared" si="39"/>
        <v>0</v>
      </c>
      <c r="O375" s="1" t="b">
        <f t="shared" si="40"/>
        <v>1</v>
      </c>
      <c r="P375" s="1" t="b">
        <f t="shared" si="41"/>
        <v>0</v>
      </c>
    </row>
    <row r="376" spans="1:16" x14ac:dyDescent="0.2">
      <c r="A376">
        <v>9034958</v>
      </c>
      <c r="B376" t="s">
        <v>787</v>
      </c>
      <c r="C376" t="s">
        <v>310</v>
      </c>
      <c r="D376" t="s">
        <v>19</v>
      </c>
      <c r="E376" s="1">
        <v>44989</v>
      </c>
      <c r="F376" t="s">
        <v>788</v>
      </c>
      <c r="G376" s="1">
        <v>44999</v>
      </c>
      <c r="H376" s="1">
        <v>45009</v>
      </c>
      <c r="I376" t="s">
        <v>43</v>
      </c>
      <c r="J376" s="1" t="b">
        <f t="shared" si="35"/>
        <v>1</v>
      </c>
      <c r="K376" s="1" t="b">
        <f t="shared" si="36"/>
        <v>0</v>
      </c>
      <c r="L376" s="1" t="b">
        <f t="shared" si="37"/>
        <v>0</v>
      </c>
      <c r="M376" s="1" t="b">
        <f t="shared" si="38"/>
        <v>0</v>
      </c>
      <c r="N376" s="1" t="b">
        <f t="shared" si="39"/>
        <v>0</v>
      </c>
      <c r="O376" s="1" t="b">
        <f t="shared" si="40"/>
        <v>1</v>
      </c>
      <c r="P376" s="1" t="b">
        <f t="shared" si="41"/>
        <v>0</v>
      </c>
    </row>
    <row r="377" spans="1:16" x14ac:dyDescent="0.2">
      <c r="A377">
        <v>4291551</v>
      </c>
      <c r="B377" t="s">
        <v>789</v>
      </c>
      <c r="C377" t="s">
        <v>720</v>
      </c>
      <c r="D377" t="s">
        <v>19</v>
      </c>
      <c r="E377" s="1">
        <v>44907</v>
      </c>
      <c r="F377" t="s">
        <v>790</v>
      </c>
      <c r="G377" s="1">
        <v>44916</v>
      </c>
      <c r="H377" s="1">
        <v>44965</v>
      </c>
      <c r="I377" t="s">
        <v>43</v>
      </c>
      <c r="J377" s="1" t="b">
        <f t="shared" si="35"/>
        <v>1</v>
      </c>
      <c r="K377" s="1" t="b">
        <f t="shared" si="36"/>
        <v>0</v>
      </c>
      <c r="L377" s="1" t="b">
        <f t="shared" si="37"/>
        <v>0</v>
      </c>
      <c r="M377" s="1" t="b">
        <f t="shared" si="38"/>
        <v>0</v>
      </c>
      <c r="N377" s="1" t="b">
        <f t="shared" si="39"/>
        <v>0</v>
      </c>
      <c r="O377" s="1" t="b">
        <f t="shared" si="40"/>
        <v>1</v>
      </c>
      <c r="P377" s="1" t="b">
        <f t="shared" si="41"/>
        <v>0</v>
      </c>
    </row>
    <row r="378" spans="1:16" x14ac:dyDescent="0.2">
      <c r="A378">
        <v>4291551</v>
      </c>
      <c r="B378" t="s">
        <v>791</v>
      </c>
      <c r="C378" t="s">
        <v>720</v>
      </c>
      <c r="D378" t="s">
        <v>19</v>
      </c>
      <c r="E378" s="1">
        <v>44922</v>
      </c>
      <c r="F378" t="s">
        <v>792</v>
      </c>
      <c r="G378" s="1">
        <v>44928</v>
      </c>
      <c r="H378" s="1">
        <v>44937</v>
      </c>
      <c r="J378" s="1" t="b">
        <f t="shared" si="35"/>
        <v>1</v>
      </c>
      <c r="K378" s="1" t="b">
        <f t="shared" si="36"/>
        <v>0</v>
      </c>
      <c r="L378" s="1" t="b">
        <f t="shared" si="37"/>
        <v>0</v>
      </c>
      <c r="M378" s="1" t="b">
        <f t="shared" si="38"/>
        <v>0</v>
      </c>
      <c r="N378" s="1" t="b">
        <f t="shared" si="39"/>
        <v>0</v>
      </c>
      <c r="O378" s="1" t="b">
        <f t="shared" si="40"/>
        <v>0</v>
      </c>
      <c r="P378" s="1" t="b">
        <f t="shared" si="41"/>
        <v>0</v>
      </c>
    </row>
    <row r="379" spans="1:16" x14ac:dyDescent="0.2">
      <c r="A379">
        <v>4291551</v>
      </c>
      <c r="B379" t="s">
        <v>793</v>
      </c>
      <c r="C379" t="s">
        <v>720</v>
      </c>
      <c r="D379" t="s">
        <v>19</v>
      </c>
      <c r="E379" s="1">
        <v>44622</v>
      </c>
      <c r="F379" t="s">
        <v>794</v>
      </c>
      <c r="G379" s="1">
        <v>44639</v>
      </c>
      <c r="H379" s="1">
        <v>44642</v>
      </c>
      <c r="J379" s="1" t="b">
        <f t="shared" si="35"/>
        <v>1</v>
      </c>
      <c r="K379" s="1" t="b">
        <f t="shared" si="36"/>
        <v>0</v>
      </c>
      <c r="L379" s="1" t="b">
        <f t="shared" si="37"/>
        <v>0</v>
      </c>
      <c r="M379" s="1" t="b">
        <f t="shared" si="38"/>
        <v>0</v>
      </c>
      <c r="N379" s="1" t="b">
        <f t="shared" si="39"/>
        <v>0</v>
      </c>
      <c r="O379" s="1" t="b">
        <f t="shared" si="40"/>
        <v>0</v>
      </c>
      <c r="P379" s="1" t="b">
        <f t="shared" si="41"/>
        <v>0</v>
      </c>
    </row>
    <row r="380" spans="1:16" x14ac:dyDescent="0.2">
      <c r="A380">
        <v>4291551</v>
      </c>
      <c r="B380" t="s">
        <v>795</v>
      </c>
      <c r="C380" t="s">
        <v>720</v>
      </c>
      <c r="D380" t="s">
        <v>19</v>
      </c>
      <c r="E380" s="1">
        <v>44611</v>
      </c>
      <c r="F380" t="s">
        <v>796</v>
      </c>
      <c r="G380" s="1">
        <v>44636</v>
      </c>
      <c r="H380" s="1">
        <v>44637</v>
      </c>
      <c r="I380" t="s">
        <v>16</v>
      </c>
      <c r="J380" s="1" t="b">
        <f t="shared" si="35"/>
        <v>1</v>
      </c>
      <c r="K380" s="1" t="b">
        <f t="shared" si="36"/>
        <v>0</v>
      </c>
      <c r="L380" s="1" t="b">
        <f t="shared" si="37"/>
        <v>0</v>
      </c>
      <c r="M380" s="1" t="b">
        <f t="shared" si="38"/>
        <v>0</v>
      </c>
      <c r="N380" s="1" t="b">
        <f t="shared" si="39"/>
        <v>1</v>
      </c>
      <c r="O380" s="1" t="b">
        <f t="shared" si="40"/>
        <v>0</v>
      </c>
      <c r="P380" s="1" t="b">
        <f t="shared" si="41"/>
        <v>0</v>
      </c>
    </row>
    <row r="381" spans="1:16" x14ac:dyDescent="0.2">
      <c r="A381">
        <v>7918793</v>
      </c>
      <c r="B381" t="s">
        <v>797</v>
      </c>
      <c r="C381" t="s">
        <v>71</v>
      </c>
      <c r="D381" t="s">
        <v>19</v>
      </c>
      <c r="E381" s="1">
        <v>45028</v>
      </c>
      <c r="F381" t="s">
        <v>798</v>
      </c>
      <c r="G381" s="1">
        <v>45040</v>
      </c>
      <c r="H381" s="1">
        <v>45044</v>
      </c>
      <c r="I381" t="s">
        <v>16</v>
      </c>
      <c r="J381" s="1" t="b">
        <f t="shared" si="35"/>
        <v>1</v>
      </c>
      <c r="K381" s="1" t="b">
        <f t="shared" si="36"/>
        <v>0</v>
      </c>
      <c r="L381" s="1" t="b">
        <f t="shared" si="37"/>
        <v>0</v>
      </c>
      <c r="M381" s="1" t="b">
        <f t="shared" si="38"/>
        <v>0</v>
      </c>
      <c r="N381" s="1" t="b">
        <f t="shared" si="39"/>
        <v>1</v>
      </c>
      <c r="O381" s="1" t="b">
        <f t="shared" si="40"/>
        <v>0</v>
      </c>
      <c r="P381" s="1" t="b">
        <f t="shared" si="41"/>
        <v>0</v>
      </c>
    </row>
    <row r="382" spans="1:16" x14ac:dyDescent="0.2">
      <c r="A382">
        <v>9106820</v>
      </c>
      <c r="B382" t="s">
        <v>799</v>
      </c>
      <c r="C382" t="s">
        <v>167</v>
      </c>
      <c r="D382" t="s">
        <v>77</v>
      </c>
      <c r="I382" t="s">
        <v>33</v>
      </c>
      <c r="J382" s="1" t="b">
        <f t="shared" si="35"/>
        <v>0</v>
      </c>
      <c r="K382" s="1" t="b">
        <f t="shared" si="36"/>
        <v>0</v>
      </c>
      <c r="L382" s="1" t="b">
        <f t="shared" si="37"/>
        <v>0</v>
      </c>
      <c r="M382" s="1" t="b">
        <f t="shared" si="38"/>
        <v>1</v>
      </c>
      <c r="N382" s="1" t="b">
        <f t="shared" si="39"/>
        <v>0</v>
      </c>
      <c r="O382" s="1" t="b">
        <f t="shared" si="40"/>
        <v>0</v>
      </c>
      <c r="P382" s="1" t="b">
        <f t="shared" si="41"/>
        <v>0</v>
      </c>
    </row>
    <row r="383" spans="1:16" x14ac:dyDescent="0.2">
      <c r="A383">
        <v>7901115</v>
      </c>
      <c r="B383" t="s">
        <v>800</v>
      </c>
      <c r="C383" t="s">
        <v>10</v>
      </c>
      <c r="D383" t="s">
        <v>56</v>
      </c>
      <c r="E383" s="1">
        <v>45002</v>
      </c>
      <c r="F383" t="s">
        <v>801</v>
      </c>
      <c r="G383" s="1">
        <v>45028</v>
      </c>
      <c r="H383" s="1">
        <v>45087</v>
      </c>
      <c r="I383" t="s">
        <v>28</v>
      </c>
      <c r="J383" s="1" t="b">
        <f t="shared" si="35"/>
        <v>1</v>
      </c>
      <c r="K383" s="1" t="b">
        <f t="shared" si="36"/>
        <v>0</v>
      </c>
      <c r="L383" s="1" t="b">
        <f t="shared" si="37"/>
        <v>0</v>
      </c>
      <c r="M383" s="1" t="b">
        <f t="shared" si="38"/>
        <v>0</v>
      </c>
      <c r="N383" s="1" t="b">
        <f t="shared" si="39"/>
        <v>0</v>
      </c>
      <c r="O383" s="1" t="b">
        <f t="shared" si="40"/>
        <v>0</v>
      </c>
      <c r="P383" s="1" t="b">
        <f t="shared" si="41"/>
        <v>1</v>
      </c>
    </row>
    <row r="384" spans="1:16" x14ac:dyDescent="0.2">
      <c r="A384">
        <v>7901115</v>
      </c>
      <c r="B384" t="s">
        <v>802</v>
      </c>
      <c r="C384" t="s">
        <v>10</v>
      </c>
      <c r="D384" t="s">
        <v>56</v>
      </c>
      <c r="E384" s="1">
        <v>45098</v>
      </c>
      <c r="F384" t="s">
        <v>803</v>
      </c>
      <c r="G384" s="1">
        <v>45103</v>
      </c>
      <c r="I384" t="s">
        <v>13</v>
      </c>
      <c r="J384" s="1" t="b">
        <f t="shared" si="35"/>
        <v>0</v>
      </c>
      <c r="K384" s="1" t="b">
        <f t="shared" si="36"/>
        <v>1</v>
      </c>
      <c r="L384" s="1" t="b">
        <f t="shared" si="37"/>
        <v>0</v>
      </c>
      <c r="M384" s="1" t="b">
        <f t="shared" si="38"/>
        <v>0</v>
      </c>
      <c r="N384" s="1" t="b">
        <f t="shared" si="39"/>
        <v>0</v>
      </c>
      <c r="O384" s="1" t="b">
        <f t="shared" si="40"/>
        <v>0</v>
      </c>
      <c r="P384" s="1" t="b">
        <f t="shared" si="41"/>
        <v>0</v>
      </c>
    </row>
    <row r="385" spans="1:16" x14ac:dyDescent="0.2">
      <c r="A385">
        <v>7901115</v>
      </c>
      <c r="B385" t="s">
        <v>804</v>
      </c>
      <c r="C385" t="s">
        <v>10</v>
      </c>
      <c r="D385" t="s">
        <v>56</v>
      </c>
      <c r="E385" s="1">
        <v>44820</v>
      </c>
      <c r="F385" t="s">
        <v>805</v>
      </c>
      <c r="G385" s="1">
        <v>44847</v>
      </c>
      <c r="I385" t="s">
        <v>25</v>
      </c>
      <c r="J385" s="1" t="b">
        <f t="shared" si="35"/>
        <v>0</v>
      </c>
      <c r="K385" s="1" t="b">
        <f t="shared" si="36"/>
        <v>0</v>
      </c>
      <c r="L385" s="1" t="b">
        <f t="shared" si="37"/>
        <v>1</v>
      </c>
      <c r="M385" s="1" t="b">
        <f t="shared" si="38"/>
        <v>0</v>
      </c>
      <c r="N385" s="1" t="b">
        <f t="shared" si="39"/>
        <v>0</v>
      </c>
      <c r="O385" s="1" t="b">
        <f t="shared" si="40"/>
        <v>0</v>
      </c>
      <c r="P385" s="1" t="b">
        <f t="shared" si="41"/>
        <v>0</v>
      </c>
    </row>
    <row r="386" spans="1:16" x14ac:dyDescent="0.2">
      <c r="A386">
        <v>7901115</v>
      </c>
      <c r="B386" t="s">
        <v>806</v>
      </c>
      <c r="C386" t="s">
        <v>10</v>
      </c>
      <c r="D386" t="s">
        <v>56</v>
      </c>
      <c r="E386" s="1">
        <v>44977</v>
      </c>
      <c r="F386" t="s">
        <v>807</v>
      </c>
      <c r="G386" s="1">
        <v>44992</v>
      </c>
      <c r="H386" s="1">
        <v>45029</v>
      </c>
      <c r="J386" s="1" t="b">
        <f t="shared" si="35"/>
        <v>1</v>
      </c>
      <c r="K386" s="1" t="b">
        <f t="shared" si="36"/>
        <v>0</v>
      </c>
      <c r="L386" s="1" t="b">
        <f t="shared" si="37"/>
        <v>0</v>
      </c>
      <c r="M386" s="1" t="b">
        <f t="shared" si="38"/>
        <v>0</v>
      </c>
      <c r="N386" s="1" t="b">
        <f t="shared" si="39"/>
        <v>0</v>
      </c>
      <c r="O386" s="1" t="b">
        <f t="shared" si="40"/>
        <v>0</v>
      </c>
      <c r="P386" s="1" t="b">
        <f t="shared" si="41"/>
        <v>0</v>
      </c>
    </row>
    <row r="387" spans="1:16" x14ac:dyDescent="0.2">
      <c r="A387">
        <v>7901115</v>
      </c>
      <c r="B387" t="s">
        <v>808</v>
      </c>
      <c r="C387" t="s">
        <v>10</v>
      </c>
      <c r="D387" t="s">
        <v>56</v>
      </c>
      <c r="E387" s="1">
        <v>44869</v>
      </c>
      <c r="F387" t="s">
        <v>809</v>
      </c>
      <c r="G387" s="1">
        <v>44891</v>
      </c>
      <c r="I387" t="s">
        <v>25</v>
      </c>
      <c r="J387" s="1" t="b">
        <f t="shared" ref="J387:J450" si="42">AND(NOT(ISBLANK(H387)), NOT(OR(ISNUMBER(SEARCH("decline", I387)), ISNUMBER(SEARCH("rescind", I387)), ISNUMBER(SEARCH("cancel", I387)))))</f>
        <v>0</v>
      </c>
      <c r="K387" s="1" t="b">
        <f t="shared" ref="K387:K450" si="43">ISNUMBER(SEARCH("decline", I387))</f>
        <v>0</v>
      </c>
      <c r="L387" s="1" t="b">
        <f t="shared" ref="L387:L450" si="44">ISNUMBER(SEARCH("rescind", I387))</f>
        <v>1</v>
      </c>
      <c r="M387" s="1" t="b">
        <f t="shared" ref="M387:M450" si="45">ISNUMBER(SEARCH("cancel", I387))</f>
        <v>0</v>
      </c>
      <c r="N387" s="1" t="b">
        <f t="shared" ref="N387:N450" si="46">ISNUMBER(SEARCH("transfer", I387))</f>
        <v>0</v>
      </c>
      <c r="O387" s="1" t="b">
        <f t="shared" ref="O387:O450" si="47">ISNUMBER(SEARCH("promo", I387))</f>
        <v>0</v>
      </c>
      <c r="P387" s="1" t="b">
        <f t="shared" ref="P387:P450" si="48">ISNUMBER(SEARCH("new", I387))</f>
        <v>0</v>
      </c>
    </row>
    <row r="388" spans="1:16" x14ac:dyDescent="0.2">
      <c r="A388">
        <v>2352527</v>
      </c>
      <c r="B388" t="s">
        <v>810</v>
      </c>
      <c r="C388" t="s">
        <v>265</v>
      </c>
      <c r="D388" t="s">
        <v>56</v>
      </c>
      <c r="E388" s="1">
        <v>44619</v>
      </c>
      <c r="F388" t="s">
        <v>811</v>
      </c>
      <c r="G388" s="1">
        <v>44640</v>
      </c>
      <c r="H388" s="1">
        <v>44641</v>
      </c>
      <c r="J388" s="1" t="b">
        <f t="shared" si="42"/>
        <v>1</v>
      </c>
      <c r="K388" s="1" t="b">
        <f t="shared" si="43"/>
        <v>0</v>
      </c>
      <c r="L388" s="1" t="b">
        <f t="shared" si="44"/>
        <v>0</v>
      </c>
      <c r="M388" s="1" t="b">
        <f t="shared" si="45"/>
        <v>0</v>
      </c>
      <c r="N388" s="1" t="b">
        <f t="shared" si="46"/>
        <v>0</v>
      </c>
      <c r="O388" s="1" t="b">
        <f t="shared" si="47"/>
        <v>0</v>
      </c>
      <c r="P388" s="1" t="b">
        <f t="shared" si="48"/>
        <v>0</v>
      </c>
    </row>
    <row r="389" spans="1:16" x14ac:dyDescent="0.2">
      <c r="A389">
        <v>3875339</v>
      </c>
      <c r="B389" t="s">
        <v>812</v>
      </c>
      <c r="C389" t="s">
        <v>76</v>
      </c>
      <c r="D389" t="s">
        <v>77</v>
      </c>
      <c r="E389" s="1">
        <v>44659</v>
      </c>
      <c r="F389" t="s">
        <v>813</v>
      </c>
      <c r="G389" s="1">
        <v>44688</v>
      </c>
      <c r="H389" s="1">
        <v>44722</v>
      </c>
      <c r="I389" t="s">
        <v>28</v>
      </c>
      <c r="J389" s="1" t="b">
        <f t="shared" si="42"/>
        <v>1</v>
      </c>
      <c r="K389" s="1" t="b">
        <f t="shared" si="43"/>
        <v>0</v>
      </c>
      <c r="L389" s="1" t="b">
        <f t="shared" si="44"/>
        <v>0</v>
      </c>
      <c r="M389" s="1" t="b">
        <f t="shared" si="45"/>
        <v>0</v>
      </c>
      <c r="N389" s="1" t="b">
        <f t="shared" si="46"/>
        <v>0</v>
      </c>
      <c r="O389" s="1" t="b">
        <f t="shared" si="47"/>
        <v>0</v>
      </c>
      <c r="P389" s="1" t="b">
        <f t="shared" si="48"/>
        <v>1</v>
      </c>
    </row>
    <row r="390" spans="1:16" x14ac:dyDescent="0.2">
      <c r="A390">
        <v>3875339</v>
      </c>
      <c r="B390" t="s">
        <v>814</v>
      </c>
      <c r="C390" t="s">
        <v>76</v>
      </c>
      <c r="D390" t="s">
        <v>77</v>
      </c>
      <c r="E390" s="1">
        <v>45048</v>
      </c>
      <c r="F390" t="s">
        <v>815</v>
      </c>
      <c r="G390" s="1">
        <v>45057</v>
      </c>
      <c r="H390" s="1">
        <v>45060</v>
      </c>
      <c r="I390" t="s">
        <v>43</v>
      </c>
      <c r="J390" s="1" t="b">
        <f t="shared" si="42"/>
        <v>1</v>
      </c>
      <c r="K390" s="1" t="b">
        <f t="shared" si="43"/>
        <v>0</v>
      </c>
      <c r="L390" s="1" t="b">
        <f t="shared" si="44"/>
        <v>0</v>
      </c>
      <c r="M390" s="1" t="b">
        <f t="shared" si="45"/>
        <v>0</v>
      </c>
      <c r="N390" s="1" t="b">
        <f t="shared" si="46"/>
        <v>0</v>
      </c>
      <c r="O390" s="1" t="b">
        <f t="shared" si="47"/>
        <v>1</v>
      </c>
      <c r="P390" s="1" t="b">
        <f t="shared" si="48"/>
        <v>0</v>
      </c>
    </row>
    <row r="391" spans="1:16" x14ac:dyDescent="0.2">
      <c r="A391">
        <v>3875339</v>
      </c>
      <c r="B391" t="s">
        <v>816</v>
      </c>
      <c r="C391" t="s">
        <v>76</v>
      </c>
      <c r="D391" t="s">
        <v>77</v>
      </c>
      <c r="E391" s="1">
        <v>44595</v>
      </c>
      <c r="F391" t="s">
        <v>817</v>
      </c>
      <c r="G391" s="1">
        <v>44601</v>
      </c>
      <c r="H391" s="1">
        <v>44661</v>
      </c>
      <c r="I391" t="s">
        <v>28</v>
      </c>
      <c r="J391" s="1" t="b">
        <f t="shared" si="42"/>
        <v>1</v>
      </c>
      <c r="K391" s="1" t="b">
        <f t="shared" si="43"/>
        <v>0</v>
      </c>
      <c r="L391" s="1" t="b">
        <f t="shared" si="44"/>
        <v>0</v>
      </c>
      <c r="M391" s="1" t="b">
        <f t="shared" si="45"/>
        <v>0</v>
      </c>
      <c r="N391" s="1" t="b">
        <f t="shared" si="46"/>
        <v>0</v>
      </c>
      <c r="O391" s="1" t="b">
        <f t="shared" si="47"/>
        <v>0</v>
      </c>
      <c r="P391" s="1" t="b">
        <f t="shared" si="48"/>
        <v>1</v>
      </c>
    </row>
    <row r="392" spans="1:16" x14ac:dyDescent="0.2">
      <c r="A392">
        <v>3875339</v>
      </c>
      <c r="B392" t="s">
        <v>818</v>
      </c>
      <c r="C392" t="s">
        <v>76</v>
      </c>
      <c r="D392" t="s">
        <v>77</v>
      </c>
      <c r="E392" s="1">
        <v>44709</v>
      </c>
      <c r="F392" t="s">
        <v>819</v>
      </c>
      <c r="G392" s="1">
        <v>44734</v>
      </c>
      <c r="H392" s="1">
        <v>44787</v>
      </c>
      <c r="I392" t="s">
        <v>16</v>
      </c>
      <c r="J392" s="1" t="b">
        <f t="shared" si="42"/>
        <v>1</v>
      </c>
      <c r="K392" s="1" t="b">
        <f t="shared" si="43"/>
        <v>0</v>
      </c>
      <c r="L392" s="1" t="b">
        <f t="shared" si="44"/>
        <v>0</v>
      </c>
      <c r="M392" s="1" t="b">
        <f t="shared" si="45"/>
        <v>0</v>
      </c>
      <c r="N392" s="1" t="b">
        <f t="shared" si="46"/>
        <v>1</v>
      </c>
      <c r="O392" s="1" t="b">
        <f t="shared" si="47"/>
        <v>0</v>
      </c>
      <c r="P392" s="1" t="b">
        <f t="shared" si="48"/>
        <v>0</v>
      </c>
    </row>
    <row r="393" spans="1:16" x14ac:dyDescent="0.2">
      <c r="A393">
        <v>7682298</v>
      </c>
      <c r="B393" t="s">
        <v>820</v>
      </c>
      <c r="C393" t="s">
        <v>310</v>
      </c>
      <c r="D393" t="s">
        <v>122</v>
      </c>
      <c r="E393" s="1">
        <v>44960</v>
      </c>
      <c r="F393" t="s">
        <v>821</v>
      </c>
      <c r="G393" s="1">
        <v>44982</v>
      </c>
      <c r="I393" t="s">
        <v>13</v>
      </c>
      <c r="J393" s="1" t="b">
        <f t="shared" si="42"/>
        <v>0</v>
      </c>
      <c r="K393" s="1" t="b">
        <f t="shared" si="43"/>
        <v>1</v>
      </c>
      <c r="L393" s="1" t="b">
        <f t="shared" si="44"/>
        <v>0</v>
      </c>
      <c r="M393" s="1" t="b">
        <f t="shared" si="45"/>
        <v>0</v>
      </c>
      <c r="N393" s="1" t="b">
        <f t="shared" si="46"/>
        <v>0</v>
      </c>
      <c r="O393" s="1" t="b">
        <f t="shared" si="47"/>
        <v>0</v>
      </c>
      <c r="P393" s="1" t="b">
        <f t="shared" si="48"/>
        <v>0</v>
      </c>
    </row>
    <row r="394" spans="1:16" x14ac:dyDescent="0.2">
      <c r="A394">
        <v>7682298</v>
      </c>
      <c r="B394" t="s">
        <v>822</v>
      </c>
      <c r="C394" t="s">
        <v>310</v>
      </c>
      <c r="D394" t="s">
        <v>122</v>
      </c>
      <c r="E394" s="1">
        <v>44705</v>
      </c>
      <c r="F394" t="s">
        <v>823</v>
      </c>
      <c r="G394" s="1">
        <v>44731</v>
      </c>
      <c r="H394" s="1">
        <v>44776</v>
      </c>
      <c r="I394" t="s">
        <v>28</v>
      </c>
      <c r="J394" s="1" t="b">
        <f t="shared" si="42"/>
        <v>1</v>
      </c>
      <c r="K394" s="1" t="b">
        <f t="shared" si="43"/>
        <v>0</v>
      </c>
      <c r="L394" s="1" t="b">
        <f t="shared" si="44"/>
        <v>0</v>
      </c>
      <c r="M394" s="1" t="b">
        <f t="shared" si="45"/>
        <v>0</v>
      </c>
      <c r="N394" s="1" t="b">
        <f t="shared" si="46"/>
        <v>0</v>
      </c>
      <c r="O394" s="1" t="b">
        <f t="shared" si="47"/>
        <v>0</v>
      </c>
      <c r="P394" s="1" t="b">
        <f t="shared" si="48"/>
        <v>1</v>
      </c>
    </row>
    <row r="395" spans="1:16" x14ac:dyDescent="0.2">
      <c r="A395">
        <v>7682298</v>
      </c>
      <c r="B395" t="s">
        <v>824</v>
      </c>
      <c r="C395" t="s">
        <v>310</v>
      </c>
      <c r="D395" t="s">
        <v>122</v>
      </c>
      <c r="E395" s="1">
        <v>45009</v>
      </c>
      <c r="F395" t="s">
        <v>825</v>
      </c>
      <c r="G395" s="1">
        <v>45017</v>
      </c>
      <c r="H395" s="1">
        <v>45071</v>
      </c>
      <c r="I395" t="s">
        <v>28</v>
      </c>
      <c r="J395" s="1" t="b">
        <f t="shared" si="42"/>
        <v>1</v>
      </c>
      <c r="K395" s="1" t="b">
        <f t="shared" si="43"/>
        <v>0</v>
      </c>
      <c r="L395" s="1" t="b">
        <f t="shared" si="44"/>
        <v>0</v>
      </c>
      <c r="M395" s="1" t="b">
        <f t="shared" si="45"/>
        <v>0</v>
      </c>
      <c r="N395" s="1" t="b">
        <f t="shared" si="46"/>
        <v>0</v>
      </c>
      <c r="O395" s="1" t="b">
        <f t="shared" si="47"/>
        <v>0</v>
      </c>
      <c r="P395" s="1" t="b">
        <f t="shared" si="48"/>
        <v>1</v>
      </c>
    </row>
    <row r="396" spans="1:16" x14ac:dyDescent="0.2">
      <c r="A396">
        <v>2275374</v>
      </c>
      <c r="B396" t="s">
        <v>826</v>
      </c>
      <c r="C396" t="s">
        <v>720</v>
      </c>
      <c r="D396" t="s">
        <v>81</v>
      </c>
      <c r="E396" s="1">
        <v>44592</v>
      </c>
      <c r="F396" t="s">
        <v>827</v>
      </c>
      <c r="G396" s="1">
        <v>44613</v>
      </c>
      <c r="H396" s="1">
        <v>44631</v>
      </c>
      <c r="J396" s="1" t="b">
        <f t="shared" si="42"/>
        <v>1</v>
      </c>
      <c r="K396" s="1" t="b">
        <f t="shared" si="43"/>
        <v>0</v>
      </c>
      <c r="L396" s="1" t="b">
        <f t="shared" si="44"/>
        <v>0</v>
      </c>
      <c r="M396" s="1" t="b">
        <f t="shared" si="45"/>
        <v>0</v>
      </c>
      <c r="N396" s="1" t="b">
        <f t="shared" si="46"/>
        <v>0</v>
      </c>
      <c r="O396" s="1" t="b">
        <f t="shared" si="47"/>
        <v>0</v>
      </c>
      <c r="P396" s="1" t="b">
        <f t="shared" si="48"/>
        <v>0</v>
      </c>
    </row>
    <row r="397" spans="1:16" x14ac:dyDescent="0.2">
      <c r="A397">
        <v>2275374</v>
      </c>
      <c r="B397" t="s">
        <v>828</v>
      </c>
      <c r="C397" t="s">
        <v>720</v>
      </c>
      <c r="D397" t="s">
        <v>81</v>
      </c>
      <c r="E397" s="1">
        <v>44926</v>
      </c>
      <c r="F397" t="s">
        <v>829</v>
      </c>
      <c r="G397" s="1">
        <v>44944</v>
      </c>
      <c r="H397" s="1">
        <v>44969</v>
      </c>
      <c r="J397" s="1" t="b">
        <f t="shared" si="42"/>
        <v>1</v>
      </c>
      <c r="K397" s="1" t="b">
        <f t="shared" si="43"/>
        <v>0</v>
      </c>
      <c r="L397" s="1" t="b">
        <f t="shared" si="44"/>
        <v>0</v>
      </c>
      <c r="M397" s="1" t="b">
        <f t="shared" si="45"/>
        <v>0</v>
      </c>
      <c r="N397" s="1" t="b">
        <f t="shared" si="46"/>
        <v>0</v>
      </c>
      <c r="O397" s="1" t="b">
        <f t="shared" si="47"/>
        <v>0</v>
      </c>
      <c r="P397" s="1" t="b">
        <f t="shared" si="48"/>
        <v>0</v>
      </c>
    </row>
    <row r="398" spans="1:16" x14ac:dyDescent="0.2">
      <c r="A398">
        <v>2275374</v>
      </c>
      <c r="B398" t="s">
        <v>830</v>
      </c>
      <c r="C398" t="s">
        <v>720</v>
      </c>
      <c r="D398" t="s">
        <v>81</v>
      </c>
      <c r="E398" s="1">
        <v>44864</v>
      </c>
      <c r="F398" t="s">
        <v>831</v>
      </c>
      <c r="G398" s="1">
        <v>44890</v>
      </c>
      <c r="H398" s="1">
        <v>44906</v>
      </c>
      <c r="J398" s="1" t="b">
        <f t="shared" si="42"/>
        <v>1</v>
      </c>
      <c r="K398" s="1" t="b">
        <f t="shared" si="43"/>
        <v>0</v>
      </c>
      <c r="L398" s="1" t="b">
        <f t="shared" si="44"/>
        <v>0</v>
      </c>
      <c r="M398" s="1" t="b">
        <f t="shared" si="45"/>
        <v>0</v>
      </c>
      <c r="N398" s="1" t="b">
        <f t="shared" si="46"/>
        <v>0</v>
      </c>
      <c r="O398" s="1" t="b">
        <f t="shared" si="47"/>
        <v>0</v>
      </c>
      <c r="P398" s="1" t="b">
        <f t="shared" si="48"/>
        <v>0</v>
      </c>
    </row>
    <row r="399" spans="1:16" x14ac:dyDescent="0.2">
      <c r="A399">
        <v>2275374</v>
      </c>
      <c r="B399" t="s">
        <v>832</v>
      </c>
      <c r="C399" t="s">
        <v>720</v>
      </c>
      <c r="D399" t="s">
        <v>81</v>
      </c>
      <c r="E399" s="1">
        <v>44951</v>
      </c>
      <c r="F399" t="s">
        <v>833</v>
      </c>
      <c r="G399" s="1">
        <v>44974</v>
      </c>
      <c r="H399" s="1">
        <v>45025</v>
      </c>
      <c r="I399" t="s">
        <v>16</v>
      </c>
      <c r="J399" s="1" t="b">
        <f t="shared" si="42"/>
        <v>1</v>
      </c>
      <c r="K399" s="1" t="b">
        <f t="shared" si="43"/>
        <v>0</v>
      </c>
      <c r="L399" s="1" t="b">
        <f t="shared" si="44"/>
        <v>0</v>
      </c>
      <c r="M399" s="1" t="b">
        <f t="shared" si="45"/>
        <v>0</v>
      </c>
      <c r="N399" s="1" t="b">
        <f t="shared" si="46"/>
        <v>1</v>
      </c>
      <c r="O399" s="1" t="b">
        <f t="shared" si="47"/>
        <v>0</v>
      </c>
      <c r="P399" s="1" t="b">
        <f t="shared" si="48"/>
        <v>0</v>
      </c>
    </row>
    <row r="400" spans="1:16" x14ac:dyDescent="0.2">
      <c r="A400">
        <v>2275374</v>
      </c>
      <c r="B400" t="s">
        <v>834</v>
      </c>
      <c r="C400" t="s">
        <v>720</v>
      </c>
      <c r="D400" t="s">
        <v>81</v>
      </c>
      <c r="E400" s="1">
        <v>44671</v>
      </c>
      <c r="F400" t="s">
        <v>835</v>
      </c>
      <c r="G400" s="1">
        <v>44674</v>
      </c>
      <c r="H400" s="1">
        <v>44675</v>
      </c>
      <c r="J400" s="1" t="b">
        <f t="shared" si="42"/>
        <v>1</v>
      </c>
      <c r="K400" s="1" t="b">
        <f t="shared" si="43"/>
        <v>0</v>
      </c>
      <c r="L400" s="1" t="b">
        <f t="shared" si="44"/>
        <v>0</v>
      </c>
      <c r="M400" s="1" t="b">
        <f t="shared" si="45"/>
        <v>0</v>
      </c>
      <c r="N400" s="1" t="b">
        <f t="shared" si="46"/>
        <v>0</v>
      </c>
      <c r="O400" s="1" t="b">
        <f t="shared" si="47"/>
        <v>0</v>
      </c>
      <c r="P400" s="1" t="b">
        <f t="shared" si="48"/>
        <v>0</v>
      </c>
    </row>
    <row r="401" spans="1:16" x14ac:dyDescent="0.2">
      <c r="A401">
        <v>6171869</v>
      </c>
      <c r="B401" t="s">
        <v>836</v>
      </c>
      <c r="C401" t="s">
        <v>287</v>
      </c>
      <c r="D401" t="s">
        <v>39</v>
      </c>
      <c r="E401" s="1">
        <v>45003</v>
      </c>
      <c r="F401" t="s">
        <v>837</v>
      </c>
      <c r="G401" s="1">
        <v>45018</v>
      </c>
      <c r="I401" t="s">
        <v>13</v>
      </c>
      <c r="J401" s="1" t="b">
        <f t="shared" si="42"/>
        <v>0</v>
      </c>
      <c r="K401" s="1" t="b">
        <f t="shared" si="43"/>
        <v>1</v>
      </c>
      <c r="L401" s="1" t="b">
        <f t="shared" si="44"/>
        <v>0</v>
      </c>
      <c r="M401" s="1" t="b">
        <f t="shared" si="45"/>
        <v>0</v>
      </c>
      <c r="N401" s="1" t="b">
        <f t="shared" si="46"/>
        <v>0</v>
      </c>
      <c r="O401" s="1" t="b">
        <f t="shared" si="47"/>
        <v>0</v>
      </c>
      <c r="P401" s="1" t="b">
        <f t="shared" si="48"/>
        <v>0</v>
      </c>
    </row>
    <row r="402" spans="1:16" x14ac:dyDescent="0.2">
      <c r="A402">
        <v>6171869</v>
      </c>
      <c r="B402" t="s">
        <v>838</v>
      </c>
      <c r="C402" t="s">
        <v>287</v>
      </c>
      <c r="D402" t="s">
        <v>39</v>
      </c>
      <c r="E402" s="1">
        <v>44653</v>
      </c>
      <c r="F402" t="s">
        <v>839</v>
      </c>
      <c r="G402" s="1">
        <v>44665</v>
      </c>
      <c r="H402" s="1">
        <v>44701</v>
      </c>
      <c r="J402" s="1" t="b">
        <f t="shared" si="42"/>
        <v>1</v>
      </c>
      <c r="K402" s="1" t="b">
        <f t="shared" si="43"/>
        <v>0</v>
      </c>
      <c r="L402" s="1" t="b">
        <f t="shared" si="44"/>
        <v>0</v>
      </c>
      <c r="M402" s="1" t="b">
        <f t="shared" si="45"/>
        <v>0</v>
      </c>
      <c r="N402" s="1" t="b">
        <f t="shared" si="46"/>
        <v>0</v>
      </c>
      <c r="O402" s="1" t="b">
        <f t="shared" si="47"/>
        <v>0</v>
      </c>
      <c r="P402" s="1" t="b">
        <f t="shared" si="48"/>
        <v>0</v>
      </c>
    </row>
    <row r="403" spans="1:16" x14ac:dyDescent="0.2">
      <c r="A403">
        <v>6171869</v>
      </c>
      <c r="B403" t="s">
        <v>840</v>
      </c>
      <c r="C403" t="s">
        <v>287</v>
      </c>
      <c r="D403" t="s">
        <v>39</v>
      </c>
      <c r="E403" s="1">
        <v>44894</v>
      </c>
      <c r="F403" t="s">
        <v>841</v>
      </c>
      <c r="G403" s="1">
        <v>44922</v>
      </c>
      <c r="I403" t="s">
        <v>13</v>
      </c>
      <c r="J403" s="1" t="b">
        <f t="shared" si="42"/>
        <v>0</v>
      </c>
      <c r="K403" s="1" t="b">
        <f t="shared" si="43"/>
        <v>1</v>
      </c>
      <c r="L403" s="1" t="b">
        <f t="shared" si="44"/>
        <v>0</v>
      </c>
      <c r="M403" s="1" t="b">
        <f t="shared" si="45"/>
        <v>0</v>
      </c>
      <c r="N403" s="1" t="b">
        <f t="shared" si="46"/>
        <v>0</v>
      </c>
      <c r="O403" s="1" t="b">
        <f t="shared" si="47"/>
        <v>0</v>
      </c>
      <c r="P403" s="1" t="b">
        <f t="shared" si="48"/>
        <v>0</v>
      </c>
    </row>
    <row r="404" spans="1:16" x14ac:dyDescent="0.2">
      <c r="A404">
        <v>7463219</v>
      </c>
      <c r="B404" t="s">
        <v>842</v>
      </c>
      <c r="C404" t="s">
        <v>10</v>
      </c>
      <c r="D404" t="s">
        <v>11</v>
      </c>
      <c r="E404" s="1">
        <v>44810</v>
      </c>
      <c r="F404" t="s">
        <v>843</v>
      </c>
      <c r="G404" s="1">
        <v>44829</v>
      </c>
      <c r="I404" t="s">
        <v>25</v>
      </c>
      <c r="J404" s="1" t="b">
        <f t="shared" si="42"/>
        <v>0</v>
      </c>
      <c r="K404" s="1" t="b">
        <f t="shared" si="43"/>
        <v>0</v>
      </c>
      <c r="L404" s="1" t="b">
        <f t="shared" si="44"/>
        <v>1</v>
      </c>
      <c r="M404" s="1" t="b">
        <f t="shared" si="45"/>
        <v>0</v>
      </c>
      <c r="N404" s="1" t="b">
        <f t="shared" si="46"/>
        <v>0</v>
      </c>
      <c r="O404" s="1" t="b">
        <f t="shared" si="47"/>
        <v>0</v>
      </c>
      <c r="P404" s="1" t="b">
        <f t="shared" si="48"/>
        <v>0</v>
      </c>
    </row>
    <row r="405" spans="1:16" x14ac:dyDescent="0.2">
      <c r="A405">
        <v>7463219</v>
      </c>
      <c r="B405" t="s">
        <v>844</v>
      </c>
      <c r="C405" t="s">
        <v>10</v>
      </c>
      <c r="D405" t="s">
        <v>11</v>
      </c>
      <c r="E405" s="1">
        <v>44837</v>
      </c>
      <c r="F405" t="s">
        <v>845</v>
      </c>
      <c r="G405" s="1">
        <v>44847</v>
      </c>
      <c r="H405" s="1">
        <v>44865</v>
      </c>
      <c r="J405" s="1" t="b">
        <f t="shared" si="42"/>
        <v>1</v>
      </c>
      <c r="K405" s="1" t="b">
        <f t="shared" si="43"/>
        <v>0</v>
      </c>
      <c r="L405" s="1" t="b">
        <f t="shared" si="44"/>
        <v>0</v>
      </c>
      <c r="M405" s="1" t="b">
        <f t="shared" si="45"/>
        <v>0</v>
      </c>
      <c r="N405" s="1" t="b">
        <f t="shared" si="46"/>
        <v>0</v>
      </c>
      <c r="O405" s="1" t="b">
        <f t="shared" si="47"/>
        <v>0</v>
      </c>
      <c r="P405" s="1" t="b">
        <f t="shared" si="48"/>
        <v>0</v>
      </c>
    </row>
    <row r="406" spans="1:16" x14ac:dyDescent="0.2">
      <c r="A406">
        <v>7463219</v>
      </c>
      <c r="B406" t="s">
        <v>846</v>
      </c>
      <c r="C406" t="s">
        <v>10</v>
      </c>
      <c r="D406" t="s">
        <v>11</v>
      </c>
      <c r="E406" s="1">
        <v>44844</v>
      </c>
      <c r="F406" t="s">
        <v>847</v>
      </c>
      <c r="G406" s="1">
        <v>44858</v>
      </c>
      <c r="H406" s="1">
        <v>44878</v>
      </c>
      <c r="I406" t="s">
        <v>16</v>
      </c>
      <c r="J406" s="1" t="b">
        <f t="shared" si="42"/>
        <v>1</v>
      </c>
      <c r="K406" s="1" t="b">
        <f t="shared" si="43"/>
        <v>0</v>
      </c>
      <c r="L406" s="1" t="b">
        <f t="shared" si="44"/>
        <v>0</v>
      </c>
      <c r="M406" s="1" t="b">
        <f t="shared" si="45"/>
        <v>0</v>
      </c>
      <c r="N406" s="1" t="b">
        <f t="shared" si="46"/>
        <v>1</v>
      </c>
      <c r="O406" s="1" t="b">
        <f t="shared" si="47"/>
        <v>0</v>
      </c>
      <c r="P406" s="1" t="b">
        <f t="shared" si="48"/>
        <v>0</v>
      </c>
    </row>
    <row r="407" spans="1:16" x14ac:dyDescent="0.2">
      <c r="A407">
        <v>7463219</v>
      </c>
      <c r="B407" t="s">
        <v>848</v>
      </c>
      <c r="C407" t="s">
        <v>10</v>
      </c>
      <c r="D407" t="s">
        <v>11</v>
      </c>
      <c r="E407" s="1">
        <v>44814</v>
      </c>
      <c r="F407" t="s">
        <v>849</v>
      </c>
      <c r="G407" s="1">
        <v>44838</v>
      </c>
      <c r="H407" s="1">
        <v>44879</v>
      </c>
      <c r="I407" t="s">
        <v>16</v>
      </c>
      <c r="J407" s="1" t="b">
        <f t="shared" si="42"/>
        <v>1</v>
      </c>
      <c r="K407" s="1" t="b">
        <f t="shared" si="43"/>
        <v>0</v>
      </c>
      <c r="L407" s="1" t="b">
        <f t="shared" si="44"/>
        <v>0</v>
      </c>
      <c r="M407" s="1" t="b">
        <f t="shared" si="45"/>
        <v>0</v>
      </c>
      <c r="N407" s="1" t="b">
        <f t="shared" si="46"/>
        <v>1</v>
      </c>
      <c r="O407" s="1" t="b">
        <f t="shared" si="47"/>
        <v>0</v>
      </c>
      <c r="P407" s="1" t="b">
        <f t="shared" si="48"/>
        <v>0</v>
      </c>
    </row>
    <row r="408" spans="1:16" x14ac:dyDescent="0.2">
      <c r="A408">
        <v>9318184</v>
      </c>
      <c r="B408" t="s">
        <v>850</v>
      </c>
      <c r="C408" t="s">
        <v>121</v>
      </c>
      <c r="D408" t="s">
        <v>81</v>
      </c>
      <c r="E408" s="1">
        <v>44967</v>
      </c>
      <c r="F408" t="s">
        <v>851</v>
      </c>
      <c r="G408" s="1">
        <v>44978</v>
      </c>
      <c r="H408" s="1">
        <v>45032</v>
      </c>
      <c r="I408" t="s">
        <v>43</v>
      </c>
      <c r="J408" s="1" t="b">
        <f t="shared" si="42"/>
        <v>1</v>
      </c>
      <c r="K408" s="1" t="b">
        <f t="shared" si="43"/>
        <v>0</v>
      </c>
      <c r="L408" s="1" t="b">
        <f t="shared" si="44"/>
        <v>0</v>
      </c>
      <c r="M408" s="1" t="b">
        <f t="shared" si="45"/>
        <v>0</v>
      </c>
      <c r="N408" s="1" t="b">
        <f t="shared" si="46"/>
        <v>0</v>
      </c>
      <c r="O408" s="1" t="b">
        <f t="shared" si="47"/>
        <v>1</v>
      </c>
      <c r="P408" s="1" t="b">
        <f t="shared" si="48"/>
        <v>0</v>
      </c>
    </row>
    <row r="409" spans="1:16" x14ac:dyDescent="0.2">
      <c r="A409">
        <v>9318184</v>
      </c>
      <c r="B409" t="s">
        <v>852</v>
      </c>
      <c r="C409" t="s">
        <v>121</v>
      </c>
      <c r="D409" t="s">
        <v>81</v>
      </c>
      <c r="E409" s="1">
        <v>45002</v>
      </c>
      <c r="F409" t="s">
        <v>853</v>
      </c>
      <c r="G409" s="1">
        <v>45029</v>
      </c>
      <c r="H409" s="1">
        <v>45082</v>
      </c>
      <c r="I409" t="s">
        <v>28</v>
      </c>
      <c r="J409" s="1" t="b">
        <f t="shared" si="42"/>
        <v>1</v>
      </c>
      <c r="K409" s="1" t="b">
        <f t="shared" si="43"/>
        <v>0</v>
      </c>
      <c r="L409" s="1" t="b">
        <f t="shared" si="44"/>
        <v>0</v>
      </c>
      <c r="M409" s="1" t="b">
        <f t="shared" si="45"/>
        <v>0</v>
      </c>
      <c r="N409" s="1" t="b">
        <f t="shared" si="46"/>
        <v>0</v>
      </c>
      <c r="O409" s="1" t="b">
        <f t="shared" si="47"/>
        <v>0</v>
      </c>
      <c r="P409" s="1" t="b">
        <f t="shared" si="48"/>
        <v>1</v>
      </c>
    </row>
    <row r="410" spans="1:16" x14ac:dyDescent="0.2">
      <c r="A410">
        <v>3283789</v>
      </c>
      <c r="B410" t="s">
        <v>854</v>
      </c>
      <c r="C410" t="s">
        <v>110</v>
      </c>
      <c r="D410" t="s">
        <v>39</v>
      </c>
      <c r="E410" s="1">
        <v>44743</v>
      </c>
      <c r="F410" t="s">
        <v>855</v>
      </c>
      <c r="G410" s="1">
        <v>44756</v>
      </c>
      <c r="H410" s="1">
        <v>44777</v>
      </c>
      <c r="I410" t="s">
        <v>43</v>
      </c>
      <c r="J410" s="1" t="b">
        <f t="shared" si="42"/>
        <v>1</v>
      </c>
      <c r="K410" s="1" t="b">
        <f t="shared" si="43"/>
        <v>0</v>
      </c>
      <c r="L410" s="1" t="b">
        <f t="shared" si="44"/>
        <v>0</v>
      </c>
      <c r="M410" s="1" t="b">
        <f t="shared" si="45"/>
        <v>0</v>
      </c>
      <c r="N410" s="1" t="b">
        <f t="shared" si="46"/>
        <v>0</v>
      </c>
      <c r="O410" s="1" t="b">
        <f t="shared" si="47"/>
        <v>1</v>
      </c>
      <c r="P410" s="1" t="b">
        <f t="shared" si="48"/>
        <v>0</v>
      </c>
    </row>
    <row r="411" spans="1:16" x14ac:dyDescent="0.2">
      <c r="A411">
        <v>3283789</v>
      </c>
      <c r="B411" t="s">
        <v>856</v>
      </c>
      <c r="C411" t="s">
        <v>110</v>
      </c>
      <c r="D411" t="s">
        <v>39</v>
      </c>
      <c r="E411" s="1">
        <v>45064</v>
      </c>
      <c r="F411" t="s">
        <v>857</v>
      </c>
      <c r="G411" s="1">
        <v>45083</v>
      </c>
      <c r="I411" t="s">
        <v>25</v>
      </c>
      <c r="J411" s="1" t="b">
        <f t="shared" si="42"/>
        <v>0</v>
      </c>
      <c r="K411" s="1" t="b">
        <f t="shared" si="43"/>
        <v>0</v>
      </c>
      <c r="L411" s="1" t="b">
        <f t="shared" si="44"/>
        <v>1</v>
      </c>
      <c r="M411" s="1" t="b">
        <f t="shared" si="45"/>
        <v>0</v>
      </c>
      <c r="N411" s="1" t="b">
        <f t="shared" si="46"/>
        <v>0</v>
      </c>
      <c r="O411" s="1" t="b">
        <f t="shared" si="47"/>
        <v>0</v>
      </c>
      <c r="P411" s="1" t="b">
        <f t="shared" si="48"/>
        <v>0</v>
      </c>
    </row>
    <row r="412" spans="1:16" x14ac:dyDescent="0.2">
      <c r="A412">
        <v>3283789</v>
      </c>
      <c r="B412" t="s">
        <v>858</v>
      </c>
      <c r="C412" t="s">
        <v>110</v>
      </c>
      <c r="D412" t="s">
        <v>39</v>
      </c>
      <c r="E412" s="1">
        <v>44964</v>
      </c>
      <c r="F412" t="s">
        <v>36</v>
      </c>
      <c r="G412" s="1">
        <v>44976</v>
      </c>
      <c r="H412" s="1">
        <v>44984</v>
      </c>
      <c r="I412" t="s">
        <v>28</v>
      </c>
      <c r="J412" s="1" t="b">
        <f t="shared" si="42"/>
        <v>1</v>
      </c>
      <c r="K412" s="1" t="b">
        <f t="shared" si="43"/>
        <v>0</v>
      </c>
      <c r="L412" s="1" t="b">
        <f t="shared" si="44"/>
        <v>0</v>
      </c>
      <c r="M412" s="1" t="b">
        <f t="shared" si="45"/>
        <v>0</v>
      </c>
      <c r="N412" s="1" t="b">
        <f t="shared" si="46"/>
        <v>0</v>
      </c>
      <c r="O412" s="1" t="b">
        <f t="shared" si="47"/>
        <v>0</v>
      </c>
      <c r="P412" s="1" t="b">
        <f t="shared" si="48"/>
        <v>1</v>
      </c>
    </row>
    <row r="413" spans="1:16" x14ac:dyDescent="0.2">
      <c r="A413">
        <v>3283789</v>
      </c>
      <c r="B413" t="s">
        <v>859</v>
      </c>
      <c r="C413" t="s">
        <v>110</v>
      </c>
      <c r="D413" t="s">
        <v>39</v>
      </c>
      <c r="E413" s="1">
        <v>44746</v>
      </c>
      <c r="F413" t="s">
        <v>860</v>
      </c>
      <c r="G413" s="1">
        <v>44768</v>
      </c>
      <c r="H413" s="1">
        <v>44818</v>
      </c>
      <c r="I413" t="s">
        <v>43</v>
      </c>
      <c r="J413" s="1" t="b">
        <f t="shared" si="42"/>
        <v>1</v>
      </c>
      <c r="K413" s="1" t="b">
        <f t="shared" si="43"/>
        <v>0</v>
      </c>
      <c r="L413" s="1" t="b">
        <f t="shared" si="44"/>
        <v>0</v>
      </c>
      <c r="M413" s="1" t="b">
        <f t="shared" si="45"/>
        <v>0</v>
      </c>
      <c r="N413" s="1" t="b">
        <f t="shared" si="46"/>
        <v>0</v>
      </c>
      <c r="O413" s="1" t="b">
        <f t="shared" si="47"/>
        <v>1</v>
      </c>
      <c r="P413" s="1" t="b">
        <f t="shared" si="48"/>
        <v>0</v>
      </c>
    </row>
    <row r="414" spans="1:16" x14ac:dyDescent="0.2">
      <c r="A414">
        <v>3283789</v>
      </c>
      <c r="B414" t="s">
        <v>861</v>
      </c>
      <c r="C414" t="s">
        <v>110</v>
      </c>
      <c r="D414" t="s">
        <v>39</v>
      </c>
      <c r="E414" s="1">
        <v>44776</v>
      </c>
      <c r="F414" t="s">
        <v>862</v>
      </c>
      <c r="G414" s="1">
        <v>44791</v>
      </c>
      <c r="H414" s="1">
        <v>44843</v>
      </c>
      <c r="J414" s="1" t="b">
        <f t="shared" si="42"/>
        <v>1</v>
      </c>
      <c r="K414" s="1" t="b">
        <f t="shared" si="43"/>
        <v>0</v>
      </c>
      <c r="L414" s="1" t="b">
        <f t="shared" si="44"/>
        <v>0</v>
      </c>
      <c r="M414" s="1" t="b">
        <f t="shared" si="45"/>
        <v>0</v>
      </c>
      <c r="N414" s="1" t="b">
        <f t="shared" si="46"/>
        <v>0</v>
      </c>
      <c r="O414" s="1" t="b">
        <f t="shared" si="47"/>
        <v>0</v>
      </c>
      <c r="P414" s="1" t="b">
        <f t="shared" si="48"/>
        <v>0</v>
      </c>
    </row>
    <row r="415" spans="1:16" x14ac:dyDescent="0.2">
      <c r="A415">
        <v>5887726</v>
      </c>
      <c r="B415" t="s">
        <v>863</v>
      </c>
      <c r="C415" t="s">
        <v>150</v>
      </c>
      <c r="D415" t="s">
        <v>122</v>
      </c>
      <c r="E415" s="1">
        <v>44809</v>
      </c>
      <c r="F415" t="s">
        <v>69</v>
      </c>
      <c r="G415" s="1">
        <v>44818</v>
      </c>
      <c r="H415" s="1">
        <v>44861</v>
      </c>
      <c r="I415" t="s">
        <v>43</v>
      </c>
      <c r="J415" s="1" t="b">
        <f t="shared" si="42"/>
        <v>1</v>
      </c>
      <c r="K415" s="1" t="b">
        <f t="shared" si="43"/>
        <v>0</v>
      </c>
      <c r="L415" s="1" t="b">
        <f t="shared" si="44"/>
        <v>0</v>
      </c>
      <c r="M415" s="1" t="b">
        <f t="shared" si="45"/>
        <v>0</v>
      </c>
      <c r="N415" s="1" t="b">
        <f t="shared" si="46"/>
        <v>0</v>
      </c>
      <c r="O415" s="1" t="b">
        <f t="shared" si="47"/>
        <v>1</v>
      </c>
      <c r="P415" s="1" t="b">
        <f t="shared" si="48"/>
        <v>0</v>
      </c>
    </row>
    <row r="416" spans="1:16" x14ac:dyDescent="0.2">
      <c r="A416">
        <v>5887726</v>
      </c>
      <c r="B416" t="s">
        <v>864</v>
      </c>
      <c r="C416" t="s">
        <v>150</v>
      </c>
      <c r="D416" t="s">
        <v>122</v>
      </c>
      <c r="E416" s="1">
        <v>44948</v>
      </c>
      <c r="F416" t="s">
        <v>865</v>
      </c>
      <c r="G416" s="1">
        <v>44951</v>
      </c>
      <c r="I416" t="s">
        <v>13</v>
      </c>
      <c r="J416" s="1" t="b">
        <f t="shared" si="42"/>
        <v>0</v>
      </c>
      <c r="K416" s="1" t="b">
        <f t="shared" si="43"/>
        <v>1</v>
      </c>
      <c r="L416" s="1" t="b">
        <f t="shared" si="44"/>
        <v>0</v>
      </c>
      <c r="M416" s="1" t="b">
        <f t="shared" si="45"/>
        <v>0</v>
      </c>
      <c r="N416" s="1" t="b">
        <f t="shared" si="46"/>
        <v>0</v>
      </c>
      <c r="O416" s="1" t="b">
        <f t="shared" si="47"/>
        <v>0</v>
      </c>
      <c r="P416" s="1" t="b">
        <f t="shared" si="48"/>
        <v>0</v>
      </c>
    </row>
    <row r="417" spans="1:16" x14ac:dyDescent="0.2">
      <c r="A417">
        <v>5887726</v>
      </c>
      <c r="B417" t="s">
        <v>866</v>
      </c>
      <c r="C417" t="s">
        <v>150</v>
      </c>
      <c r="D417" t="s">
        <v>122</v>
      </c>
      <c r="E417" s="1">
        <v>45080</v>
      </c>
      <c r="F417" t="s">
        <v>867</v>
      </c>
      <c r="G417" s="1">
        <v>45110</v>
      </c>
      <c r="H417" s="1">
        <v>45169</v>
      </c>
      <c r="J417" s="1" t="b">
        <f t="shared" si="42"/>
        <v>1</v>
      </c>
      <c r="K417" s="1" t="b">
        <f t="shared" si="43"/>
        <v>0</v>
      </c>
      <c r="L417" s="1" t="b">
        <f t="shared" si="44"/>
        <v>0</v>
      </c>
      <c r="M417" s="1" t="b">
        <f t="shared" si="45"/>
        <v>0</v>
      </c>
      <c r="N417" s="1" t="b">
        <f t="shared" si="46"/>
        <v>0</v>
      </c>
      <c r="O417" s="1" t="b">
        <f t="shared" si="47"/>
        <v>0</v>
      </c>
      <c r="P417" s="1" t="b">
        <f t="shared" si="48"/>
        <v>0</v>
      </c>
    </row>
    <row r="418" spans="1:16" x14ac:dyDescent="0.2">
      <c r="A418">
        <v>5887726</v>
      </c>
      <c r="B418" t="s">
        <v>868</v>
      </c>
      <c r="C418" t="s">
        <v>150</v>
      </c>
      <c r="D418" t="s">
        <v>122</v>
      </c>
      <c r="E418" s="1">
        <v>44930</v>
      </c>
      <c r="F418" t="s">
        <v>869</v>
      </c>
      <c r="G418" s="1">
        <v>44953</v>
      </c>
      <c r="H418" s="1">
        <v>45011</v>
      </c>
      <c r="J418" s="1" t="b">
        <f t="shared" si="42"/>
        <v>1</v>
      </c>
      <c r="K418" s="1" t="b">
        <f t="shared" si="43"/>
        <v>0</v>
      </c>
      <c r="L418" s="1" t="b">
        <f t="shared" si="44"/>
        <v>0</v>
      </c>
      <c r="M418" s="1" t="b">
        <f t="shared" si="45"/>
        <v>0</v>
      </c>
      <c r="N418" s="1" t="b">
        <f t="shared" si="46"/>
        <v>0</v>
      </c>
      <c r="O418" s="1" t="b">
        <f t="shared" si="47"/>
        <v>0</v>
      </c>
      <c r="P418" s="1" t="b">
        <f t="shared" si="48"/>
        <v>0</v>
      </c>
    </row>
    <row r="419" spans="1:16" x14ac:dyDescent="0.2">
      <c r="A419">
        <v>2425760</v>
      </c>
      <c r="B419" t="s">
        <v>870</v>
      </c>
      <c r="C419" t="s">
        <v>176</v>
      </c>
      <c r="D419" t="s">
        <v>19</v>
      </c>
      <c r="E419" s="1">
        <v>44971</v>
      </c>
      <c r="F419" t="s">
        <v>871</v>
      </c>
      <c r="G419" s="1">
        <v>44996</v>
      </c>
      <c r="I419" t="s">
        <v>13</v>
      </c>
      <c r="J419" s="1" t="b">
        <f t="shared" si="42"/>
        <v>0</v>
      </c>
      <c r="K419" s="1" t="b">
        <f t="shared" si="43"/>
        <v>1</v>
      </c>
      <c r="L419" s="1" t="b">
        <f t="shared" si="44"/>
        <v>0</v>
      </c>
      <c r="M419" s="1" t="b">
        <f t="shared" si="45"/>
        <v>0</v>
      </c>
      <c r="N419" s="1" t="b">
        <f t="shared" si="46"/>
        <v>0</v>
      </c>
      <c r="O419" s="1" t="b">
        <f t="shared" si="47"/>
        <v>0</v>
      </c>
      <c r="P419" s="1" t="b">
        <f t="shared" si="48"/>
        <v>0</v>
      </c>
    </row>
    <row r="420" spans="1:16" x14ac:dyDescent="0.2">
      <c r="A420">
        <v>2425760</v>
      </c>
      <c r="B420" t="s">
        <v>872</v>
      </c>
      <c r="C420" t="s">
        <v>176</v>
      </c>
      <c r="D420" t="s">
        <v>19</v>
      </c>
      <c r="E420" s="1">
        <v>44670</v>
      </c>
      <c r="F420" t="s">
        <v>873</v>
      </c>
      <c r="G420" s="1">
        <v>44671</v>
      </c>
      <c r="I420" t="s">
        <v>25</v>
      </c>
      <c r="J420" s="1" t="b">
        <f t="shared" si="42"/>
        <v>0</v>
      </c>
      <c r="K420" s="1" t="b">
        <f t="shared" si="43"/>
        <v>0</v>
      </c>
      <c r="L420" s="1" t="b">
        <f t="shared" si="44"/>
        <v>1</v>
      </c>
      <c r="M420" s="1" t="b">
        <f t="shared" si="45"/>
        <v>0</v>
      </c>
      <c r="N420" s="1" t="b">
        <f t="shared" si="46"/>
        <v>0</v>
      </c>
      <c r="O420" s="1" t="b">
        <f t="shared" si="47"/>
        <v>0</v>
      </c>
      <c r="P420" s="1" t="b">
        <f t="shared" si="48"/>
        <v>0</v>
      </c>
    </row>
    <row r="421" spans="1:16" x14ac:dyDescent="0.2">
      <c r="A421">
        <v>2425760</v>
      </c>
      <c r="B421" t="s">
        <v>874</v>
      </c>
      <c r="C421" t="s">
        <v>176</v>
      </c>
      <c r="D421" t="s">
        <v>19</v>
      </c>
      <c r="I421" t="s">
        <v>33</v>
      </c>
      <c r="J421" s="1" t="b">
        <f t="shared" si="42"/>
        <v>0</v>
      </c>
      <c r="K421" s="1" t="b">
        <f t="shared" si="43"/>
        <v>0</v>
      </c>
      <c r="L421" s="1" t="b">
        <f t="shared" si="44"/>
        <v>0</v>
      </c>
      <c r="M421" s="1" t="b">
        <f t="shared" si="45"/>
        <v>1</v>
      </c>
      <c r="N421" s="1" t="b">
        <f t="shared" si="46"/>
        <v>0</v>
      </c>
      <c r="O421" s="1" t="b">
        <f t="shared" si="47"/>
        <v>0</v>
      </c>
      <c r="P421" s="1" t="b">
        <f t="shared" si="48"/>
        <v>0</v>
      </c>
    </row>
    <row r="422" spans="1:16" x14ac:dyDescent="0.2">
      <c r="A422">
        <v>4724560</v>
      </c>
      <c r="B422" t="s">
        <v>875</v>
      </c>
      <c r="C422" t="s">
        <v>80</v>
      </c>
      <c r="D422" t="s">
        <v>139</v>
      </c>
      <c r="E422" s="1">
        <v>44962</v>
      </c>
      <c r="F422" t="s">
        <v>594</v>
      </c>
      <c r="G422" s="1">
        <v>44977</v>
      </c>
      <c r="H422" s="1">
        <v>45027</v>
      </c>
      <c r="I422" t="s">
        <v>43</v>
      </c>
      <c r="J422" s="1" t="b">
        <f t="shared" si="42"/>
        <v>1</v>
      </c>
      <c r="K422" s="1" t="b">
        <f t="shared" si="43"/>
        <v>0</v>
      </c>
      <c r="L422" s="1" t="b">
        <f t="shared" si="44"/>
        <v>0</v>
      </c>
      <c r="M422" s="1" t="b">
        <f t="shared" si="45"/>
        <v>0</v>
      </c>
      <c r="N422" s="1" t="b">
        <f t="shared" si="46"/>
        <v>0</v>
      </c>
      <c r="O422" s="1" t="b">
        <f t="shared" si="47"/>
        <v>1</v>
      </c>
      <c r="P422" s="1" t="b">
        <f t="shared" si="48"/>
        <v>0</v>
      </c>
    </row>
    <row r="423" spans="1:16" x14ac:dyDescent="0.2">
      <c r="A423">
        <v>4724560</v>
      </c>
      <c r="B423" t="s">
        <v>876</v>
      </c>
      <c r="C423" t="s">
        <v>80</v>
      </c>
      <c r="D423" t="s">
        <v>139</v>
      </c>
      <c r="E423" s="1">
        <v>45056</v>
      </c>
      <c r="F423" t="s">
        <v>877</v>
      </c>
      <c r="G423" s="1">
        <v>45060</v>
      </c>
      <c r="H423" s="1">
        <v>45079</v>
      </c>
      <c r="I423" t="s">
        <v>43</v>
      </c>
      <c r="J423" s="1" t="b">
        <f t="shared" si="42"/>
        <v>1</v>
      </c>
      <c r="K423" s="1" t="b">
        <f t="shared" si="43"/>
        <v>0</v>
      </c>
      <c r="L423" s="1" t="b">
        <f t="shared" si="44"/>
        <v>0</v>
      </c>
      <c r="M423" s="1" t="b">
        <f t="shared" si="45"/>
        <v>0</v>
      </c>
      <c r="N423" s="1" t="b">
        <f t="shared" si="46"/>
        <v>0</v>
      </c>
      <c r="O423" s="1" t="b">
        <f t="shared" si="47"/>
        <v>1</v>
      </c>
      <c r="P423" s="1" t="b">
        <f t="shared" si="48"/>
        <v>0</v>
      </c>
    </row>
    <row r="424" spans="1:16" x14ac:dyDescent="0.2">
      <c r="A424">
        <v>4724560</v>
      </c>
      <c r="B424" t="s">
        <v>878</v>
      </c>
      <c r="C424" t="s">
        <v>80</v>
      </c>
      <c r="D424" t="s">
        <v>139</v>
      </c>
      <c r="E424" s="1">
        <v>44707</v>
      </c>
      <c r="F424" t="s">
        <v>879</v>
      </c>
      <c r="G424" s="1">
        <v>44719</v>
      </c>
      <c r="H424" s="1">
        <v>44739</v>
      </c>
      <c r="I424" t="s">
        <v>16</v>
      </c>
      <c r="J424" s="1" t="b">
        <f t="shared" si="42"/>
        <v>1</v>
      </c>
      <c r="K424" s="1" t="b">
        <f t="shared" si="43"/>
        <v>0</v>
      </c>
      <c r="L424" s="1" t="b">
        <f t="shared" si="44"/>
        <v>0</v>
      </c>
      <c r="M424" s="1" t="b">
        <f t="shared" si="45"/>
        <v>0</v>
      </c>
      <c r="N424" s="1" t="b">
        <f t="shared" si="46"/>
        <v>1</v>
      </c>
      <c r="O424" s="1" t="b">
        <f t="shared" si="47"/>
        <v>0</v>
      </c>
      <c r="P424" s="1" t="b">
        <f t="shared" si="48"/>
        <v>0</v>
      </c>
    </row>
    <row r="425" spans="1:16" x14ac:dyDescent="0.2">
      <c r="A425">
        <v>4724560</v>
      </c>
      <c r="B425" t="s">
        <v>880</v>
      </c>
      <c r="C425" t="s">
        <v>80</v>
      </c>
      <c r="D425" t="s">
        <v>139</v>
      </c>
      <c r="E425" s="1">
        <v>44918</v>
      </c>
      <c r="F425" t="s">
        <v>881</v>
      </c>
      <c r="G425" s="1">
        <v>44934</v>
      </c>
      <c r="H425" s="1">
        <v>44941</v>
      </c>
      <c r="I425" t="s">
        <v>43</v>
      </c>
      <c r="J425" s="1" t="b">
        <f t="shared" si="42"/>
        <v>1</v>
      </c>
      <c r="K425" s="1" t="b">
        <f t="shared" si="43"/>
        <v>0</v>
      </c>
      <c r="L425" s="1" t="b">
        <f t="shared" si="44"/>
        <v>0</v>
      </c>
      <c r="M425" s="1" t="b">
        <f t="shared" si="45"/>
        <v>0</v>
      </c>
      <c r="N425" s="1" t="b">
        <f t="shared" si="46"/>
        <v>0</v>
      </c>
      <c r="O425" s="1" t="b">
        <f t="shared" si="47"/>
        <v>1</v>
      </c>
      <c r="P425" s="1" t="b">
        <f t="shared" si="48"/>
        <v>0</v>
      </c>
    </row>
    <row r="426" spans="1:16" x14ac:dyDescent="0.2">
      <c r="A426">
        <v>4724560</v>
      </c>
      <c r="B426" t="s">
        <v>882</v>
      </c>
      <c r="C426" t="s">
        <v>80</v>
      </c>
      <c r="D426" t="s">
        <v>139</v>
      </c>
      <c r="E426" s="1">
        <v>44869</v>
      </c>
      <c r="F426" t="s">
        <v>883</v>
      </c>
      <c r="G426" s="1">
        <v>44871</v>
      </c>
      <c r="H426" s="1">
        <v>44923</v>
      </c>
      <c r="J426" s="1" t="b">
        <f t="shared" si="42"/>
        <v>1</v>
      </c>
      <c r="K426" s="1" t="b">
        <f t="shared" si="43"/>
        <v>0</v>
      </c>
      <c r="L426" s="1" t="b">
        <f t="shared" si="44"/>
        <v>0</v>
      </c>
      <c r="M426" s="1" t="b">
        <f t="shared" si="45"/>
        <v>0</v>
      </c>
      <c r="N426" s="1" t="b">
        <f t="shared" si="46"/>
        <v>0</v>
      </c>
      <c r="O426" s="1" t="b">
        <f t="shared" si="47"/>
        <v>0</v>
      </c>
      <c r="P426" s="1" t="b">
        <f t="shared" si="48"/>
        <v>0</v>
      </c>
    </row>
    <row r="427" spans="1:16" x14ac:dyDescent="0.2">
      <c r="A427">
        <v>2930810</v>
      </c>
      <c r="B427" t="s">
        <v>884</v>
      </c>
      <c r="C427" t="s">
        <v>10</v>
      </c>
      <c r="D427" t="s">
        <v>39</v>
      </c>
      <c r="E427" s="1">
        <v>44811</v>
      </c>
      <c r="F427" t="s">
        <v>885</v>
      </c>
      <c r="G427" s="1">
        <v>44828</v>
      </c>
      <c r="H427" s="1">
        <v>44840</v>
      </c>
      <c r="I427" t="s">
        <v>43</v>
      </c>
      <c r="J427" s="1" t="b">
        <f t="shared" si="42"/>
        <v>1</v>
      </c>
      <c r="K427" s="1" t="b">
        <f t="shared" si="43"/>
        <v>0</v>
      </c>
      <c r="L427" s="1" t="b">
        <f t="shared" si="44"/>
        <v>0</v>
      </c>
      <c r="M427" s="1" t="b">
        <f t="shared" si="45"/>
        <v>0</v>
      </c>
      <c r="N427" s="1" t="b">
        <f t="shared" si="46"/>
        <v>0</v>
      </c>
      <c r="O427" s="1" t="b">
        <f t="shared" si="47"/>
        <v>1</v>
      </c>
      <c r="P427" s="1" t="b">
        <f t="shared" si="48"/>
        <v>0</v>
      </c>
    </row>
    <row r="428" spans="1:16" x14ac:dyDescent="0.2">
      <c r="A428">
        <v>3686631</v>
      </c>
      <c r="B428" t="s">
        <v>886</v>
      </c>
      <c r="C428" t="s">
        <v>720</v>
      </c>
      <c r="D428" t="s">
        <v>139</v>
      </c>
      <c r="E428" s="1">
        <v>44750</v>
      </c>
      <c r="F428" t="s">
        <v>887</v>
      </c>
      <c r="G428" s="1">
        <v>44756</v>
      </c>
      <c r="H428" s="1">
        <v>44797</v>
      </c>
      <c r="I428" t="s">
        <v>43</v>
      </c>
      <c r="J428" s="1" t="b">
        <f t="shared" si="42"/>
        <v>1</v>
      </c>
      <c r="K428" s="1" t="b">
        <f t="shared" si="43"/>
        <v>0</v>
      </c>
      <c r="L428" s="1" t="b">
        <f t="shared" si="44"/>
        <v>0</v>
      </c>
      <c r="M428" s="1" t="b">
        <f t="shared" si="45"/>
        <v>0</v>
      </c>
      <c r="N428" s="1" t="b">
        <f t="shared" si="46"/>
        <v>0</v>
      </c>
      <c r="O428" s="1" t="b">
        <f t="shared" si="47"/>
        <v>1</v>
      </c>
      <c r="P428" s="1" t="b">
        <f t="shared" si="48"/>
        <v>0</v>
      </c>
    </row>
    <row r="429" spans="1:16" x14ac:dyDescent="0.2">
      <c r="A429">
        <v>3686631</v>
      </c>
      <c r="B429" t="s">
        <v>888</v>
      </c>
      <c r="C429" t="s">
        <v>720</v>
      </c>
      <c r="D429" t="s">
        <v>139</v>
      </c>
      <c r="E429" s="1">
        <v>44764</v>
      </c>
      <c r="F429" t="s">
        <v>234</v>
      </c>
      <c r="G429" s="1">
        <v>44779</v>
      </c>
      <c r="H429" s="1">
        <v>44817</v>
      </c>
      <c r="J429" s="1" t="b">
        <f t="shared" si="42"/>
        <v>1</v>
      </c>
      <c r="K429" s="1" t="b">
        <f t="shared" si="43"/>
        <v>0</v>
      </c>
      <c r="L429" s="1" t="b">
        <f t="shared" si="44"/>
        <v>0</v>
      </c>
      <c r="M429" s="1" t="b">
        <f t="shared" si="45"/>
        <v>0</v>
      </c>
      <c r="N429" s="1" t="b">
        <f t="shared" si="46"/>
        <v>0</v>
      </c>
      <c r="O429" s="1" t="b">
        <f t="shared" si="47"/>
        <v>0</v>
      </c>
      <c r="P429" s="1" t="b">
        <f t="shared" si="48"/>
        <v>0</v>
      </c>
    </row>
    <row r="430" spans="1:16" x14ac:dyDescent="0.2">
      <c r="A430">
        <v>3686631</v>
      </c>
      <c r="B430" t="s">
        <v>889</v>
      </c>
      <c r="C430" t="s">
        <v>720</v>
      </c>
      <c r="D430" t="s">
        <v>139</v>
      </c>
      <c r="E430" s="1">
        <v>44772</v>
      </c>
      <c r="F430" t="s">
        <v>890</v>
      </c>
      <c r="G430" s="1">
        <v>44781</v>
      </c>
      <c r="H430" s="1">
        <v>44830</v>
      </c>
      <c r="I430" t="s">
        <v>16</v>
      </c>
      <c r="J430" s="1" t="b">
        <f t="shared" si="42"/>
        <v>1</v>
      </c>
      <c r="K430" s="1" t="b">
        <f t="shared" si="43"/>
        <v>0</v>
      </c>
      <c r="L430" s="1" t="b">
        <f t="shared" si="44"/>
        <v>0</v>
      </c>
      <c r="M430" s="1" t="b">
        <f t="shared" si="45"/>
        <v>0</v>
      </c>
      <c r="N430" s="1" t="b">
        <f t="shared" si="46"/>
        <v>1</v>
      </c>
      <c r="O430" s="1" t="b">
        <f t="shared" si="47"/>
        <v>0</v>
      </c>
      <c r="P430" s="1" t="b">
        <f t="shared" si="48"/>
        <v>0</v>
      </c>
    </row>
    <row r="431" spans="1:16" x14ac:dyDescent="0.2">
      <c r="A431">
        <v>3686631</v>
      </c>
      <c r="B431" t="s">
        <v>891</v>
      </c>
      <c r="C431" t="s">
        <v>720</v>
      </c>
      <c r="D431" t="s">
        <v>139</v>
      </c>
      <c r="E431" s="1">
        <v>44753</v>
      </c>
      <c r="F431" t="s">
        <v>892</v>
      </c>
      <c r="G431" s="1">
        <v>44765</v>
      </c>
      <c r="H431" s="1">
        <v>44786</v>
      </c>
      <c r="I431" t="s">
        <v>16</v>
      </c>
      <c r="J431" s="1" t="b">
        <f t="shared" si="42"/>
        <v>1</v>
      </c>
      <c r="K431" s="1" t="b">
        <f t="shared" si="43"/>
        <v>0</v>
      </c>
      <c r="L431" s="1" t="b">
        <f t="shared" si="44"/>
        <v>0</v>
      </c>
      <c r="M431" s="1" t="b">
        <f t="shared" si="45"/>
        <v>0</v>
      </c>
      <c r="N431" s="1" t="b">
        <f t="shared" si="46"/>
        <v>1</v>
      </c>
      <c r="O431" s="1" t="b">
        <f t="shared" si="47"/>
        <v>0</v>
      </c>
      <c r="P431" s="1" t="b">
        <f t="shared" si="48"/>
        <v>0</v>
      </c>
    </row>
    <row r="432" spans="1:16" x14ac:dyDescent="0.2">
      <c r="A432">
        <v>4306357</v>
      </c>
      <c r="B432" t="s">
        <v>893</v>
      </c>
      <c r="C432" t="s">
        <v>287</v>
      </c>
      <c r="D432" t="s">
        <v>122</v>
      </c>
      <c r="E432" s="1">
        <v>44882</v>
      </c>
      <c r="F432" t="s">
        <v>894</v>
      </c>
      <c r="G432" s="1">
        <v>44902</v>
      </c>
      <c r="H432" s="1">
        <v>44927</v>
      </c>
      <c r="J432" s="1" t="b">
        <f t="shared" si="42"/>
        <v>1</v>
      </c>
      <c r="K432" s="1" t="b">
        <f t="shared" si="43"/>
        <v>0</v>
      </c>
      <c r="L432" s="1" t="b">
        <f t="shared" si="44"/>
        <v>0</v>
      </c>
      <c r="M432" s="1" t="b">
        <f t="shared" si="45"/>
        <v>0</v>
      </c>
      <c r="N432" s="1" t="b">
        <f t="shared" si="46"/>
        <v>0</v>
      </c>
      <c r="O432" s="1" t="b">
        <f t="shared" si="47"/>
        <v>0</v>
      </c>
      <c r="P432" s="1" t="b">
        <f t="shared" si="48"/>
        <v>0</v>
      </c>
    </row>
    <row r="433" spans="1:16" x14ac:dyDescent="0.2">
      <c r="A433">
        <v>4306357</v>
      </c>
      <c r="B433" t="s">
        <v>895</v>
      </c>
      <c r="C433" t="s">
        <v>287</v>
      </c>
      <c r="D433" t="s">
        <v>122</v>
      </c>
      <c r="E433" s="1">
        <v>45030</v>
      </c>
      <c r="F433" t="s">
        <v>896</v>
      </c>
      <c r="G433" s="1">
        <v>45050</v>
      </c>
      <c r="H433" s="1">
        <v>45062</v>
      </c>
      <c r="I433" t="s">
        <v>16</v>
      </c>
      <c r="J433" s="1" t="b">
        <f t="shared" si="42"/>
        <v>1</v>
      </c>
      <c r="K433" s="1" t="b">
        <f t="shared" si="43"/>
        <v>0</v>
      </c>
      <c r="L433" s="1" t="b">
        <f t="shared" si="44"/>
        <v>0</v>
      </c>
      <c r="M433" s="1" t="b">
        <f t="shared" si="45"/>
        <v>0</v>
      </c>
      <c r="N433" s="1" t="b">
        <f t="shared" si="46"/>
        <v>1</v>
      </c>
      <c r="O433" s="1" t="b">
        <f t="shared" si="47"/>
        <v>0</v>
      </c>
      <c r="P433" s="1" t="b">
        <f t="shared" si="48"/>
        <v>0</v>
      </c>
    </row>
    <row r="434" spans="1:16" x14ac:dyDescent="0.2">
      <c r="A434">
        <v>4306357</v>
      </c>
      <c r="B434" t="s">
        <v>897</v>
      </c>
      <c r="C434" t="s">
        <v>287</v>
      </c>
      <c r="D434" t="s">
        <v>122</v>
      </c>
      <c r="E434" s="1">
        <v>44648</v>
      </c>
      <c r="F434" t="s">
        <v>394</v>
      </c>
      <c r="G434" s="1">
        <v>44670</v>
      </c>
      <c r="H434" s="1">
        <v>44679</v>
      </c>
      <c r="I434" t="s">
        <v>28</v>
      </c>
      <c r="J434" s="1" t="b">
        <f t="shared" si="42"/>
        <v>1</v>
      </c>
      <c r="K434" s="1" t="b">
        <f t="shared" si="43"/>
        <v>0</v>
      </c>
      <c r="L434" s="1" t="b">
        <f t="shared" si="44"/>
        <v>0</v>
      </c>
      <c r="M434" s="1" t="b">
        <f t="shared" si="45"/>
        <v>0</v>
      </c>
      <c r="N434" s="1" t="b">
        <f t="shared" si="46"/>
        <v>0</v>
      </c>
      <c r="O434" s="1" t="b">
        <f t="shared" si="47"/>
        <v>0</v>
      </c>
      <c r="P434" s="1" t="b">
        <f t="shared" si="48"/>
        <v>1</v>
      </c>
    </row>
    <row r="435" spans="1:16" x14ac:dyDescent="0.2">
      <c r="A435">
        <v>6254384</v>
      </c>
      <c r="B435" t="s">
        <v>898</v>
      </c>
      <c r="C435" t="s">
        <v>176</v>
      </c>
      <c r="D435" t="s">
        <v>19</v>
      </c>
      <c r="E435" s="1">
        <v>44706</v>
      </c>
      <c r="F435" t="s">
        <v>723</v>
      </c>
      <c r="G435" s="1">
        <v>44723</v>
      </c>
      <c r="I435" t="s">
        <v>13</v>
      </c>
      <c r="J435" s="1" t="b">
        <f t="shared" si="42"/>
        <v>0</v>
      </c>
      <c r="K435" s="1" t="b">
        <f t="shared" si="43"/>
        <v>1</v>
      </c>
      <c r="L435" s="1" t="b">
        <f t="shared" si="44"/>
        <v>0</v>
      </c>
      <c r="M435" s="1" t="b">
        <f t="shared" si="45"/>
        <v>0</v>
      </c>
      <c r="N435" s="1" t="b">
        <f t="shared" si="46"/>
        <v>0</v>
      </c>
      <c r="O435" s="1" t="b">
        <f t="shared" si="47"/>
        <v>0</v>
      </c>
      <c r="P435" s="1" t="b">
        <f t="shared" si="48"/>
        <v>0</v>
      </c>
    </row>
    <row r="436" spans="1:16" x14ac:dyDescent="0.2">
      <c r="A436">
        <v>6254384</v>
      </c>
      <c r="B436" t="s">
        <v>899</v>
      </c>
      <c r="C436" t="s">
        <v>176</v>
      </c>
      <c r="D436" t="s">
        <v>19</v>
      </c>
      <c r="E436" s="1">
        <v>44954</v>
      </c>
      <c r="F436" t="s">
        <v>900</v>
      </c>
      <c r="G436" s="1">
        <v>44968</v>
      </c>
      <c r="I436" t="s">
        <v>25</v>
      </c>
      <c r="J436" s="1" t="b">
        <f t="shared" si="42"/>
        <v>0</v>
      </c>
      <c r="K436" s="1" t="b">
        <f t="shared" si="43"/>
        <v>0</v>
      </c>
      <c r="L436" s="1" t="b">
        <f t="shared" si="44"/>
        <v>1</v>
      </c>
      <c r="M436" s="1" t="b">
        <f t="shared" si="45"/>
        <v>0</v>
      </c>
      <c r="N436" s="1" t="b">
        <f t="shared" si="46"/>
        <v>0</v>
      </c>
      <c r="O436" s="1" t="b">
        <f t="shared" si="47"/>
        <v>0</v>
      </c>
      <c r="P436" s="1" t="b">
        <f t="shared" si="48"/>
        <v>0</v>
      </c>
    </row>
    <row r="437" spans="1:16" x14ac:dyDescent="0.2">
      <c r="A437">
        <v>6254384</v>
      </c>
      <c r="B437" t="s">
        <v>901</v>
      </c>
      <c r="C437" t="s">
        <v>176</v>
      </c>
      <c r="D437" t="s">
        <v>19</v>
      </c>
      <c r="E437" s="1">
        <v>44739</v>
      </c>
      <c r="F437" t="s">
        <v>902</v>
      </c>
      <c r="G437" s="1">
        <v>44757</v>
      </c>
      <c r="I437" t="s">
        <v>13</v>
      </c>
      <c r="J437" s="1" t="b">
        <f t="shared" si="42"/>
        <v>0</v>
      </c>
      <c r="K437" s="1" t="b">
        <f t="shared" si="43"/>
        <v>1</v>
      </c>
      <c r="L437" s="1" t="b">
        <f t="shared" si="44"/>
        <v>0</v>
      </c>
      <c r="M437" s="1" t="b">
        <f t="shared" si="45"/>
        <v>0</v>
      </c>
      <c r="N437" s="1" t="b">
        <f t="shared" si="46"/>
        <v>0</v>
      </c>
      <c r="O437" s="1" t="b">
        <f t="shared" si="47"/>
        <v>0</v>
      </c>
      <c r="P437" s="1" t="b">
        <f t="shared" si="48"/>
        <v>0</v>
      </c>
    </row>
    <row r="438" spans="1:16" x14ac:dyDescent="0.2">
      <c r="A438">
        <v>3799538</v>
      </c>
      <c r="B438" t="s">
        <v>903</v>
      </c>
      <c r="C438" t="s">
        <v>363</v>
      </c>
      <c r="D438" t="s">
        <v>11</v>
      </c>
      <c r="E438" s="1">
        <v>44616</v>
      </c>
      <c r="F438" t="s">
        <v>904</v>
      </c>
      <c r="G438" s="1">
        <v>44644</v>
      </c>
      <c r="I438" t="s">
        <v>13</v>
      </c>
      <c r="J438" s="1" t="b">
        <f t="shared" si="42"/>
        <v>0</v>
      </c>
      <c r="K438" s="1" t="b">
        <f t="shared" si="43"/>
        <v>1</v>
      </c>
      <c r="L438" s="1" t="b">
        <f t="shared" si="44"/>
        <v>0</v>
      </c>
      <c r="M438" s="1" t="b">
        <f t="shared" si="45"/>
        <v>0</v>
      </c>
      <c r="N438" s="1" t="b">
        <f t="shared" si="46"/>
        <v>0</v>
      </c>
      <c r="O438" s="1" t="b">
        <f t="shared" si="47"/>
        <v>0</v>
      </c>
      <c r="P438" s="1" t="b">
        <f t="shared" si="48"/>
        <v>0</v>
      </c>
    </row>
    <row r="439" spans="1:16" x14ac:dyDescent="0.2">
      <c r="A439">
        <v>3799538</v>
      </c>
      <c r="B439" t="s">
        <v>905</v>
      </c>
      <c r="C439" t="s">
        <v>363</v>
      </c>
      <c r="D439" t="s">
        <v>11</v>
      </c>
      <c r="E439" s="1">
        <v>44701</v>
      </c>
      <c r="F439" t="s">
        <v>906</v>
      </c>
      <c r="G439" s="1">
        <v>44708</v>
      </c>
      <c r="I439" t="s">
        <v>25</v>
      </c>
      <c r="J439" s="1" t="b">
        <f t="shared" si="42"/>
        <v>0</v>
      </c>
      <c r="K439" s="1" t="b">
        <f t="shared" si="43"/>
        <v>0</v>
      </c>
      <c r="L439" s="1" t="b">
        <f t="shared" si="44"/>
        <v>1</v>
      </c>
      <c r="M439" s="1" t="b">
        <f t="shared" si="45"/>
        <v>0</v>
      </c>
      <c r="N439" s="1" t="b">
        <f t="shared" si="46"/>
        <v>0</v>
      </c>
      <c r="O439" s="1" t="b">
        <f t="shared" si="47"/>
        <v>0</v>
      </c>
      <c r="P439" s="1" t="b">
        <f t="shared" si="48"/>
        <v>0</v>
      </c>
    </row>
    <row r="440" spans="1:16" x14ac:dyDescent="0.2">
      <c r="A440">
        <v>7441514</v>
      </c>
      <c r="B440" t="s">
        <v>907</v>
      </c>
      <c r="C440" t="s">
        <v>18</v>
      </c>
      <c r="D440" t="s">
        <v>139</v>
      </c>
      <c r="E440" s="1">
        <v>45016</v>
      </c>
      <c r="F440" t="s">
        <v>908</v>
      </c>
      <c r="G440" s="1">
        <v>45032</v>
      </c>
      <c r="H440" s="1">
        <v>45043</v>
      </c>
      <c r="J440" s="1" t="b">
        <f t="shared" si="42"/>
        <v>1</v>
      </c>
      <c r="K440" s="1" t="b">
        <f t="shared" si="43"/>
        <v>0</v>
      </c>
      <c r="L440" s="1" t="b">
        <f t="shared" si="44"/>
        <v>0</v>
      </c>
      <c r="M440" s="1" t="b">
        <f t="shared" si="45"/>
        <v>0</v>
      </c>
      <c r="N440" s="1" t="b">
        <f t="shared" si="46"/>
        <v>0</v>
      </c>
      <c r="O440" s="1" t="b">
        <f t="shared" si="47"/>
        <v>0</v>
      </c>
      <c r="P440" s="1" t="b">
        <f t="shared" si="48"/>
        <v>0</v>
      </c>
    </row>
    <row r="441" spans="1:16" x14ac:dyDescent="0.2">
      <c r="A441">
        <v>7441514</v>
      </c>
      <c r="B441" t="s">
        <v>909</v>
      </c>
      <c r="C441" t="s">
        <v>18</v>
      </c>
      <c r="D441" t="s">
        <v>139</v>
      </c>
      <c r="E441" s="1">
        <v>44787</v>
      </c>
      <c r="F441" t="s">
        <v>910</v>
      </c>
      <c r="G441" s="1">
        <v>44797</v>
      </c>
      <c r="I441" t="s">
        <v>13</v>
      </c>
      <c r="J441" s="1" t="b">
        <f t="shared" si="42"/>
        <v>0</v>
      </c>
      <c r="K441" s="1" t="b">
        <f t="shared" si="43"/>
        <v>1</v>
      </c>
      <c r="L441" s="1" t="b">
        <f t="shared" si="44"/>
        <v>0</v>
      </c>
      <c r="M441" s="1" t="b">
        <f t="shared" si="45"/>
        <v>0</v>
      </c>
      <c r="N441" s="1" t="b">
        <f t="shared" si="46"/>
        <v>0</v>
      </c>
      <c r="O441" s="1" t="b">
        <f t="shared" si="47"/>
        <v>0</v>
      </c>
      <c r="P441" s="1" t="b">
        <f t="shared" si="48"/>
        <v>0</v>
      </c>
    </row>
    <row r="442" spans="1:16" x14ac:dyDescent="0.2">
      <c r="A442">
        <v>7441514</v>
      </c>
      <c r="B442" t="s">
        <v>911</v>
      </c>
      <c r="C442" t="s">
        <v>18</v>
      </c>
      <c r="D442" t="s">
        <v>139</v>
      </c>
      <c r="E442" s="1">
        <v>44857</v>
      </c>
      <c r="F442" t="s">
        <v>912</v>
      </c>
      <c r="G442" s="1">
        <v>44863</v>
      </c>
      <c r="I442" t="s">
        <v>13</v>
      </c>
      <c r="J442" s="1" t="b">
        <f t="shared" si="42"/>
        <v>0</v>
      </c>
      <c r="K442" s="1" t="b">
        <f t="shared" si="43"/>
        <v>1</v>
      </c>
      <c r="L442" s="1" t="b">
        <f t="shared" si="44"/>
        <v>0</v>
      </c>
      <c r="M442" s="1" t="b">
        <f t="shared" si="45"/>
        <v>0</v>
      </c>
      <c r="N442" s="1" t="b">
        <f t="shared" si="46"/>
        <v>0</v>
      </c>
      <c r="O442" s="1" t="b">
        <f t="shared" si="47"/>
        <v>0</v>
      </c>
      <c r="P442" s="1" t="b">
        <f t="shared" si="48"/>
        <v>0</v>
      </c>
    </row>
    <row r="443" spans="1:16" x14ac:dyDescent="0.2">
      <c r="A443">
        <v>7441514</v>
      </c>
      <c r="B443" t="s">
        <v>913</v>
      </c>
      <c r="C443" t="s">
        <v>18</v>
      </c>
      <c r="D443" t="s">
        <v>139</v>
      </c>
      <c r="E443" s="1">
        <v>44677</v>
      </c>
      <c r="F443" t="s">
        <v>914</v>
      </c>
      <c r="G443" s="1">
        <v>44696</v>
      </c>
      <c r="H443" s="1">
        <v>44704</v>
      </c>
      <c r="J443" s="1" t="b">
        <f t="shared" si="42"/>
        <v>1</v>
      </c>
      <c r="K443" s="1" t="b">
        <f t="shared" si="43"/>
        <v>0</v>
      </c>
      <c r="L443" s="1" t="b">
        <f t="shared" si="44"/>
        <v>0</v>
      </c>
      <c r="M443" s="1" t="b">
        <f t="shared" si="45"/>
        <v>0</v>
      </c>
      <c r="N443" s="1" t="b">
        <f t="shared" si="46"/>
        <v>0</v>
      </c>
      <c r="O443" s="1" t="b">
        <f t="shared" si="47"/>
        <v>0</v>
      </c>
      <c r="P443" s="1" t="b">
        <f t="shared" si="48"/>
        <v>0</v>
      </c>
    </row>
    <row r="444" spans="1:16" x14ac:dyDescent="0.2">
      <c r="A444">
        <v>5494430</v>
      </c>
      <c r="B444" t="s">
        <v>915</v>
      </c>
      <c r="C444" t="s">
        <v>35</v>
      </c>
      <c r="D444" t="s">
        <v>139</v>
      </c>
      <c r="E444" s="1">
        <v>45013</v>
      </c>
      <c r="F444" t="s">
        <v>916</v>
      </c>
      <c r="G444" s="1">
        <v>45031</v>
      </c>
      <c r="H444" s="1">
        <v>45045</v>
      </c>
      <c r="I444" t="s">
        <v>16</v>
      </c>
      <c r="J444" s="1" t="b">
        <f t="shared" si="42"/>
        <v>1</v>
      </c>
      <c r="K444" s="1" t="b">
        <f t="shared" si="43"/>
        <v>0</v>
      </c>
      <c r="L444" s="1" t="b">
        <f t="shared" si="44"/>
        <v>0</v>
      </c>
      <c r="M444" s="1" t="b">
        <f t="shared" si="45"/>
        <v>0</v>
      </c>
      <c r="N444" s="1" t="b">
        <f t="shared" si="46"/>
        <v>1</v>
      </c>
      <c r="O444" s="1" t="b">
        <f t="shared" si="47"/>
        <v>0</v>
      </c>
      <c r="P444" s="1" t="b">
        <f t="shared" si="48"/>
        <v>0</v>
      </c>
    </row>
    <row r="445" spans="1:16" x14ac:dyDescent="0.2">
      <c r="A445">
        <v>5494430</v>
      </c>
      <c r="B445" t="s">
        <v>917</v>
      </c>
      <c r="C445" t="s">
        <v>35</v>
      </c>
      <c r="D445" t="s">
        <v>139</v>
      </c>
      <c r="E445" s="1">
        <v>44815</v>
      </c>
      <c r="F445" t="s">
        <v>918</v>
      </c>
      <c r="G445" s="1">
        <v>44825</v>
      </c>
      <c r="H445" s="1">
        <v>44881</v>
      </c>
      <c r="I445" t="s">
        <v>16</v>
      </c>
      <c r="J445" s="1" t="b">
        <f t="shared" si="42"/>
        <v>1</v>
      </c>
      <c r="K445" s="1" t="b">
        <f t="shared" si="43"/>
        <v>0</v>
      </c>
      <c r="L445" s="1" t="b">
        <f t="shared" si="44"/>
        <v>0</v>
      </c>
      <c r="M445" s="1" t="b">
        <f t="shared" si="45"/>
        <v>0</v>
      </c>
      <c r="N445" s="1" t="b">
        <f t="shared" si="46"/>
        <v>1</v>
      </c>
      <c r="O445" s="1" t="b">
        <f t="shared" si="47"/>
        <v>0</v>
      </c>
      <c r="P445" s="1" t="b">
        <f t="shared" si="48"/>
        <v>0</v>
      </c>
    </row>
    <row r="446" spans="1:16" x14ac:dyDescent="0.2">
      <c r="A446">
        <v>5494430</v>
      </c>
      <c r="B446" t="s">
        <v>919</v>
      </c>
      <c r="C446" t="s">
        <v>35</v>
      </c>
      <c r="D446" t="s">
        <v>139</v>
      </c>
      <c r="E446" s="1">
        <v>44651</v>
      </c>
      <c r="F446" t="s">
        <v>920</v>
      </c>
      <c r="G446" s="1">
        <v>44666</v>
      </c>
      <c r="H446" s="1">
        <v>44722</v>
      </c>
      <c r="J446" s="1" t="b">
        <f t="shared" si="42"/>
        <v>1</v>
      </c>
      <c r="K446" s="1" t="b">
        <f t="shared" si="43"/>
        <v>0</v>
      </c>
      <c r="L446" s="1" t="b">
        <f t="shared" si="44"/>
        <v>0</v>
      </c>
      <c r="M446" s="1" t="b">
        <f t="shared" si="45"/>
        <v>0</v>
      </c>
      <c r="N446" s="1" t="b">
        <f t="shared" si="46"/>
        <v>0</v>
      </c>
      <c r="O446" s="1" t="b">
        <f t="shared" si="47"/>
        <v>0</v>
      </c>
      <c r="P446" s="1" t="b">
        <f t="shared" si="48"/>
        <v>0</v>
      </c>
    </row>
    <row r="447" spans="1:16" x14ac:dyDescent="0.2">
      <c r="A447">
        <v>2969410</v>
      </c>
      <c r="B447" t="s">
        <v>921</v>
      </c>
      <c r="C447" t="s">
        <v>35</v>
      </c>
      <c r="D447" t="s">
        <v>19</v>
      </c>
      <c r="E447" s="1">
        <v>45000</v>
      </c>
      <c r="F447" t="s">
        <v>922</v>
      </c>
      <c r="G447" s="1">
        <v>45006</v>
      </c>
      <c r="H447" s="1">
        <v>45046</v>
      </c>
      <c r="I447" t="s">
        <v>28</v>
      </c>
      <c r="J447" s="1" t="b">
        <f t="shared" si="42"/>
        <v>1</v>
      </c>
      <c r="K447" s="1" t="b">
        <f t="shared" si="43"/>
        <v>0</v>
      </c>
      <c r="L447" s="1" t="b">
        <f t="shared" si="44"/>
        <v>0</v>
      </c>
      <c r="M447" s="1" t="b">
        <f t="shared" si="45"/>
        <v>0</v>
      </c>
      <c r="N447" s="1" t="b">
        <f t="shared" si="46"/>
        <v>0</v>
      </c>
      <c r="O447" s="1" t="b">
        <f t="shared" si="47"/>
        <v>0</v>
      </c>
      <c r="P447" s="1" t="b">
        <f t="shared" si="48"/>
        <v>1</v>
      </c>
    </row>
    <row r="448" spans="1:16" x14ac:dyDescent="0.2">
      <c r="A448">
        <v>2969410</v>
      </c>
      <c r="B448" t="s">
        <v>923</v>
      </c>
      <c r="C448" t="s">
        <v>35</v>
      </c>
      <c r="D448" t="s">
        <v>19</v>
      </c>
      <c r="E448" s="1">
        <v>44773</v>
      </c>
      <c r="F448" t="s">
        <v>924</v>
      </c>
      <c r="G448" s="1">
        <v>44799</v>
      </c>
      <c r="I448" t="s">
        <v>13</v>
      </c>
      <c r="J448" s="1" t="b">
        <f t="shared" si="42"/>
        <v>0</v>
      </c>
      <c r="K448" s="1" t="b">
        <f t="shared" si="43"/>
        <v>1</v>
      </c>
      <c r="L448" s="1" t="b">
        <f t="shared" si="44"/>
        <v>0</v>
      </c>
      <c r="M448" s="1" t="b">
        <f t="shared" si="45"/>
        <v>0</v>
      </c>
      <c r="N448" s="1" t="b">
        <f t="shared" si="46"/>
        <v>0</v>
      </c>
      <c r="O448" s="1" t="b">
        <f t="shared" si="47"/>
        <v>0</v>
      </c>
      <c r="P448" s="1" t="b">
        <f t="shared" si="48"/>
        <v>0</v>
      </c>
    </row>
    <row r="449" spans="1:16" x14ac:dyDescent="0.2">
      <c r="A449">
        <v>1995859</v>
      </c>
      <c r="B449" t="s">
        <v>925</v>
      </c>
      <c r="C449" t="s">
        <v>32</v>
      </c>
      <c r="D449" t="s">
        <v>39</v>
      </c>
      <c r="E449" s="1">
        <v>44893</v>
      </c>
      <c r="F449" t="s">
        <v>926</v>
      </c>
      <c r="G449" s="1">
        <v>44916</v>
      </c>
      <c r="I449" t="s">
        <v>13</v>
      </c>
      <c r="J449" s="1" t="b">
        <f t="shared" si="42"/>
        <v>0</v>
      </c>
      <c r="K449" s="1" t="b">
        <f t="shared" si="43"/>
        <v>1</v>
      </c>
      <c r="L449" s="1" t="b">
        <f t="shared" si="44"/>
        <v>0</v>
      </c>
      <c r="M449" s="1" t="b">
        <f t="shared" si="45"/>
        <v>0</v>
      </c>
      <c r="N449" s="1" t="b">
        <f t="shared" si="46"/>
        <v>0</v>
      </c>
      <c r="O449" s="1" t="b">
        <f t="shared" si="47"/>
        <v>0</v>
      </c>
      <c r="P449" s="1" t="b">
        <f t="shared" si="48"/>
        <v>0</v>
      </c>
    </row>
    <row r="450" spans="1:16" x14ac:dyDescent="0.2">
      <c r="A450">
        <v>1995859</v>
      </c>
      <c r="B450" t="s">
        <v>927</v>
      </c>
      <c r="C450" t="s">
        <v>32</v>
      </c>
      <c r="D450" t="s">
        <v>39</v>
      </c>
      <c r="E450" s="1">
        <v>45088</v>
      </c>
      <c r="F450" t="s">
        <v>928</v>
      </c>
      <c r="G450" s="1">
        <v>45117</v>
      </c>
      <c r="I450" t="s">
        <v>13</v>
      </c>
      <c r="J450" s="1" t="b">
        <f t="shared" si="42"/>
        <v>0</v>
      </c>
      <c r="K450" s="1" t="b">
        <f t="shared" si="43"/>
        <v>1</v>
      </c>
      <c r="L450" s="1" t="b">
        <f t="shared" si="44"/>
        <v>0</v>
      </c>
      <c r="M450" s="1" t="b">
        <f t="shared" si="45"/>
        <v>0</v>
      </c>
      <c r="N450" s="1" t="b">
        <f t="shared" si="46"/>
        <v>0</v>
      </c>
      <c r="O450" s="1" t="b">
        <f t="shared" si="47"/>
        <v>0</v>
      </c>
      <c r="P450" s="1" t="b">
        <f t="shared" si="48"/>
        <v>0</v>
      </c>
    </row>
    <row r="451" spans="1:16" x14ac:dyDescent="0.2">
      <c r="A451">
        <v>1995859</v>
      </c>
      <c r="B451" t="s">
        <v>929</v>
      </c>
      <c r="C451" t="s">
        <v>32</v>
      </c>
      <c r="D451" t="s">
        <v>39</v>
      </c>
      <c r="E451" s="1">
        <v>44983</v>
      </c>
      <c r="F451" t="s">
        <v>930</v>
      </c>
      <c r="G451" s="1">
        <v>45013</v>
      </c>
      <c r="H451" s="1">
        <v>45017</v>
      </c>
      <c r="I451" t="s">
        <v>16</v>
      </c>
      <c r="J451" s="1" t="b">
        <f t="shared" ref="J451:J514" si="49">AND(NOT(ISBLANK(H451)), NOT(OR(ISNUMBER(SEARCH("decline", I451)), ISNUMBER(SEARCH("rescind", I451)), ISNUMBER(SEARCH("cancel", I451)))))</f>
        <v>1</v>
      </c>
      <c r="K451" s="1" t="b">
        <f t="shared" ref="K451:K514" si="50">ISNUMBER(SEARCH("decline", I451))</f>
        <v>0</v>
      </c>
      <c r="L451" s="1" t="b">
        <f t="shared" ref="L451:L514" si="51">ISNUMBER(SEARCH("rescind", I451))</f>
        <v>0</v>
      </c>
      <c r="M451" s="1" t="b">
        <f t="shared" ref="M451:M514" si="52">ISNUMBER(SEARCH("cancel", I451))</f>
        <v>0</v>
      </c>
      <c r="N451" s="1" t="b">
        <f t="shared" ref="N451:N514" si="53">ISNUMBER(SEARCH("transfer", I451))</f>
        <v>1</v>
      </c>
      <c r="O451" s="1" t="b">
        <f t="shared" ref="O451:O514" si="54">ISNUMBER(SEARCH("promo", I451))</f>
        <v>0</v>
      </c>
      <c r="P451" s="1" t="b">
        <f t="shared" ref="P451:P514" si="55">ISNUMBER(SEARCH("new", I451))</f>
        <v>0</v>
      </c>
    </row>
    <row r="452" spans="1:16" x14ac:dyDescent="0.2">
      <c r="A452">
        <v>1995859</v>
      </c>
      <c r="B452" t="s">
        <v>931</v>
      </c>
      <c r="C452" t="s">
        <v>32</v>
      </c>
      <c r="D452" t="s">
        <v>39</v>
      </c>
      <c r="E452" s="1">
        <v>44697</v>
      </c>
      <c r="F452" t="s">
        <v>932</v>
      </c>
      <c r="G452" s="1">
        <v>44705</v>
      </c>
      <c r="H452" s="1">
        <v>44715</v>
      </c>
      <c r="I452" t="s">
        <v>43</v>
      </c>
      <c r="J452" s="1" t="b">
        <f t="shared" si="49"/>
        <v>1</v>
      </c>
      <c r="K452" s="1" t="b">
        <f t="shared" si="50"/>
        <v>0</v>
      </c>
      <c r="L452" s="1" t="b">
        <f t="shared" si="51"/>
        <v>0</v>
      </c>
      <c r="M452" s="1" t="b">
        <f t="shared" si="52"/>
        <v>0</v>
      </c>
      <c r="N452" s="1" t="b">
        <f t="shared" si="53"/>
        <v>0</v>
      </c>
      <c r="O452" s="1" t="b">
        <f t="shared" si="54"/>
        <v>1</v>
      </c>
      <c r="P452" s="1" t="b">
        <f t="shared" si="55"/>
        <v>0</v>
      </c>
    </row>
    <row r="453" spans="1:16" x14ac:dyDescent="0.2">
      <c r="A453">
        <v>1995859</v>
      </c>
      <c r="B453" t="s">
        <v>933</v>
      </c>
      <c r="C453" t="s">
        <v>32</v>
      </c>
      <c r="D453" t="s">
        <v>39</v>
      </c>
      <c r="E453" s="1">
        <v>44964</v>
      </c>
      <c r="F453" t="s">
        <v>934</v>
      </c>
      <c r="G453" s="1">
        <v>44980</v>
      </c>
      <c r="H453" s="1">
        <v>44990</v>
      </c>
      <c r="I453" t="s">
        <v>43</v>
      </c>
      <c r="J453" s="1" t="b">
        <f t="shared" si="49"/>
        <v>1</v>
      </c>
      <c r="K453" s="1" t="b">
        <f t="shared" si="50"/>
        <v>0</v>
      </c>
      <c r="L453" s="1" t="b">
        <f t="shared" si="51"/>
        <v>0</v>
      </c>
      <c r="M453" s="1" t="b">
        <f t="shared" si="52"/>
        <v>0</v>
      </c>
      <c r="N453" s="1" t="b">
        <f t="shared" si="53"/>
        <v>0</v>
      </c>
      <c r="O453" s="1" t="b">
        <f t="shared" si="54"/>
        <v>1</v>
      </c>
      <c r="P453" s="1" t="b">
        <f t="shared" si="55"/>
        <v>0</v>
      </c>
    </row>
    <row r="454" spans="1:16" x14ac:dyDescent="0.2">
      <c r="A454">
        <v>5508325</v>
      </c>
      <c r="B454" t="s">
        <v>935</v>
      </c>
      <c r="C454" t="s">
        <v>265</v>
      </c>
      <c r="D454" t="s">
        <v>60</v>
      </c>
      <c r="E454" s="1">
        <v>44846</v>
      </c>
      <c r="F454" t="s">
        <v>648</v>
      </c>
      <c r="G454" s="1">
        <v>44869</v>
      </c>
      <c r="H454" s="1">
        <v>44929</v>
      </c>
      <c r="I454" t="s">
        <v>16</v>
      </c>
      <c r="J454" s="1" t="b">
        <f t="shared" si="49"/>
        <v>1</v>
      </c>
      <c r="K454" s="1" t="b">
        <f t="shared" si="50"/>
        <v>0</v>
      </c>
      <c r="L454" s="1" t="b">
        <f t="shared" si="51"/>
        <v>0</v>
      </c>
      <c r="M454" s="1" t="b">
        <f t="shared" si="52"/>
        <v>0</v>
      </c>
      <c r="N454" s="1" t="b">
        <f t="shared" si="53"/>
        <v>1</v>
      </c>
      <c r="O454" s="1" t="b">
        <f t="shared" si="54"/>
        <v>0</v>
      </c>
      <c r="P454" s="1" t="b">
        <f t="shared" si="55"/>
        <v>0</v>
      </c>
    </row>
    <row r="455" spans="1:16" x14ac:dyDescent="0.2">
      <c r="A455">
        <v>5508325</v>
      </c>
      <c r="B455" t="s">
        <v>936</v>
      </c>
      <c r="C455" t="s">
        <v>265</v>
      </c>
      <c r="D455" t="s">
        <v>60</v>
      </c>
      <c r="E455" s="1">
        <v>44897</v>
      </c>
      <c r="F455" t="s">
        <v>937</v>
      </c>
      <c r="G455" s="1">
        <v>44916</v>
      </c>
      <c r="H455" s="1">
        <v>44917</v>
      </c>
      <c r="J455" s="1" t="b">
        <f t="shared" si="49"/>
        <v>1</v>
      </c>
      <c r="K455" s="1" t="b">
        <f t="shared" si="50"/>
        <v>0</v>
      </c>
      <c r="L455" s="1" t="b">
        <f t="shared" si="51"/>
        <v>0</v>
      </c>
      <c r="M455" s="1" t="b">
        <f t="shared" si="52"/>
        <v>0</v>
      </c>
      <c r="N455" s="1" t="b">
        <f t="shared" si="53"/>
        <v>0</v>
      </c>
      <c r="O455" s="1" t="b">
        <f t="shared" si="54"/>
        <v>0</v>
      </c>
      <c r="P455" s="1" t="b">
        <f t="shared" si="55"/>
        <v>0</v>
      </c>
    </row>
    <row r="456" spans="1:16" x14ac:dyDescent="0.2">
      <c r="A456">
        <v>5508325</v>
      </c>
      <c r="B456" t="s">
        <v>938</v>
      </c>
      <c r="C456" t="s">
        <v>265</v>
      </c>
      <c r="D456" t="s">
        <v>60</v>
      </c>
      <c r="E456" s="1">
        <v>44928</v>
      </c>
      <c r="F456" t="s">
        <v>939</v>
      </c>
      <c r="G456" s="1">
        <v>44956</v>
      </c>
      <c r="H456" s="1">
        <v>44961</v>
      </c>
      <c r="I456" t="s">
        <v>16</v>
      </c>
      <c r="J456" s="1" t="b">
        <f t="shared" si="49"/>
        <v>1</v>
      </c>
      <c r="K456" s="1" t="b">
        <f t="shared" si="50"/>
        <v>0</v>
      </c>
      <c r="L456" s="1" t="b">
        <f t="shared" si="51"/>
        <v>0</v>
      </c>
      <c r="M456" s="1" t="b">
        <f t="shared" si="52"/>
        <v>0</v>
      </c>
      <c r="N456" s="1" t="b">
        <f t="shared" si="53"/>
        <v>1</v>
      </c>
      <c r="O456" s="1" t="b">
        <f t="shared" si="54"/>
        <v>0</v>
      </c>
      <c r="P456" s="1" t="b">
        <f t="shared" si="55"/>
        <v>0</v>
      </c>
    </row>
    <row r="457" spans="1:16" x14ac:dyDescent="0.2">
      <c r="A457">
        <v>5508325</v>
      </c>
      <c r="B457" t="s">
        <v>940</v>
      </c>
      <c r="C457" t="s">
        <v>265</v>
      </c>
      <c r="D457" t="s">
        <v>60</v>
      </c>
      <c r="E457" s="1">
        <v>44778</v>
      </c>
      <c r="F457" t="s">
        <v>941</v>
      </c>
      <c r="G457" s="1">
        <v>44794</v>
      </c>
      <c r="H457" s="1">
        <v>44812</v>
      </c>
      <c r="J457" s="1" t="b">
        <f t="shared" si="49"/>
        <v>1</v>
      </c>
      <c r="K457" s="1" t="b">
        <f t="shared" si="50"/>
        <v>0</v>
      </c>
      <c r="L457" s="1" t="b">
        <f t="shared" si="51"/>
        <v>0</v>
      </c>
      <c r="M457" s="1" t="b">
        <f t="shared" si="52"/>
        <v>0</v>
      </c>
      <c r="N457" s="1" t="b">
        <f t="shared" si="53"/>
        <v>0</v>
      </c>
      <c r="O457" s="1" t="b">
        <f t="shared" si="54"/>
        <v>0</v>
      </c>
      <c r="P457" s="1" t="b">
        <f t="shared" si="55"/>
        <v>0</v>
      </c>
    </row>
    <row r="458" spans="1:16" x14ac:dyDescent="0.2">
      <c r="A458">
        <v>6416778</v>
      </c>
      <c r="B458" t="s">
        <v>942</v>
      </c>
      <c r="C458" t="s">
        <v>150</v>
      </c>
      <c r="D458" t="s">
        <v>11</v>
      </c>
      <c r="E458" s="1">
        <v>45058</v>
      </c>
      <c r="F458" t="s">
        <v>813</v>
      </c>
      <c r="G458" s="1">
        <v>45084</v>
      </c>
      <c r="H458" s="1">
        <v>45106</v>
      </c>
      <c r="I458" t="s">
        <v>43</v>
      </c>
      <c r="J458" s="1" t="b">
        <f t="shared" si="49"/>
        <v>1</v>
      </c>
      <c r="K458" s="1" t="b">
        <f t="shared" si="50"/>
        <v>0</v>
      </c>
      <c r="L458" s="1" t="b">
        <f t="shared" si="51"/>
        <v>0</v>
      </c>
      <c r="M458" s="1" t="b">
        <f t="shared" si="52"/>
        <v>0</v>
      </c>
      <c r="N458" s="1" t="b">
        <f t="shared" si="53"/>
        <v>0</v>
      </c>
      <c r="O458" s="1" t="b">
        <f t="shared" si="54"/>
        <v>1</v>
      </c>
      <c r="P458" s="1" t="b">
        <f t="shared" si="55"/>
        <v>0</v>
      </c>
    </row>
    <row r="459" spans="1:16" x14ac:dyDescent="0.2">
      <c r="A459">
        <v>6416778</v>
      </c>
      <c r="B459" t="s">
        <v>943</v>
      </c>
      <c r="C459" t="s">
        <v>150</v>
      </c>
      <c r="D459" t="s">
        <v>11</v>
      </c>
      <c r="E459" s="1">
        <v>45032</v>
      </c>
      <c r="F459" t="s">
        <v>944</v>
      </c>
      <c r="G459" s="1">
        <v>45033</v>
      </c>
      <c r="H459" s="1">
        <v>45041</v>
      </c>
      <c r="I459" t="s">
        <v>16</v>
      </c>
      <c r="J459" s="1" t="b">
        <f t="shared" si="49"/>
        <v>1</v>
      </c>
      <c r="K459" s="1" t="b">
        <f t="shared" si="50"/>
        <v>0</v>
      </c>
      <c r="L459" s="1" t="b">
        <f t="shared" si="51"/>
        <v>0</v>
      </c>
      <c r="M459" s="1" t="b">
        <f t="shared" si="52"/>
        <v>0</v>
      </c>
      <c r="N459" s="1" t="b">
        <f t="shared" si="53"/>
        <v>1</v>
      </c>
      <c r="O459" s="1" t="b">
        <f t="shared" si="54"/>
        <v>0</v>
      </c>
      <c r="P459" s="1" t="b">
        <f t="shared" si="55"/>
        <v>0</v>
      </c>
    </row>
    <row r="460" spans="1:16" x14ac:dyDescent="0.2">
      <c r="A460">
        <v>6416778</v>
      </c>
      <c r="B460" t="s">
        <v>945</v>
      </c>
      <c r="C460" t="s">
        <v>150</v>
      </c>
      <c r="D460" t="s">
        <v>11</v>
      </c>
      <c r="E460" s="1">
        <v>44562</v>
      </c>
      <c r="F460" t="s">
        <v>946</v>
      </c>
      <c r="G460" s="1">
        <v>44576</v>
      </c>
      <c r="H460" s="1">
        <v>44589</v>
      </c>
      <c r="I460" t="s">
        <v>43</v>
      </c>
      <c r="J460" s="1" t="b">
        <f t="shared" si="49"/>
        <v>1</v>
      </c>
      <c r="K460" s="1" t="b">
        <f t="shared" si="50"/>
        <v>0</v>
      </c>
      <c r="L460" s="1" t="b">
        <f t="shared" si="51"/>
        <v>0</v>
      </c>
      <c r="M460" s="1" t="b">
        <f t="shared" si="52"/>
        <v>0</v>
      </c>
      <c r="N460" s="1" t="b">
        <f t="shared" si="53"/>
        <v>0</v>
      </c>
      <c r="O460" s="1" t="b">
        <f t="shared" si="54"/>
        <v>1</v>
      </c>
      <c r="P460" s="1" t="b">
        <f t="shared" si="55"/>
        <v>0</v>
      </c>
    </row>
    <row r="461" spans="1:16" x14ac:dyDescent="0.2">
      <c r="A461">
        <v>3213134</v>
      </c>
      <c r="B461" t="s">
        <v>947</v>
      </c>
      <c r="C461" t="s">
        <v>131</v>
      </c>
      <c r="D461" t="s">
        <v>11</v>
      </c>
      <c r="E461" s="1">
        <v>44931</v>
      </c>
      <c r="F461" t="s">
        <v>228</v>
      </c>
      <c r="G461" s="1">
        <v>44940</v>
      </c>
      <c r="H461" s="1">
        <v>44946</v>
      </c>
      <c r="I461" t="s">
        <v>28</v>
      </c>
      <c r="J461" s="1" t="b">
        <f t="shared" si="49"/>
        <v>1</v>
      </c>
      <c r="K461" s="1" t="b">
        <f t="shared" si="50"/>
        <v>0</v>
      </c>
      <c r="L461" s="1" t="b">
        <f t="shared" si="51"/>
        <v>0</v>
      </c>
      <c r="M461" s="1" t="b">
        <f t="shared" si="52"/>
        <v>0</v>
      </c>
      <c r="N461" s="1" t="b">
        <f t="shared" si="53"/>
        <v>0</v>
      </c>
      <c r="O461" s="1" t="b">
        <f t="shared" si="54"/>
        <v>0</v>
      </c>
      <c r="P461" s="1" t="b">
        <f t="shared" si="55"/>
        <v>1</v>
      </c>
    </row>
    <row r="462" spans="1:16" x14ac:dyDescent="0.2">
      <c r="A462">
        <v>3213134</v>
      </c>
      <c r="B462" t="s">
        <v>948</v>
      </c>
      <c r="C462" t="s">
        <v>131</v>
      </c>
      <c r="D462" t="s">
        <v>11</v>
      </c>
      <c r="E462" s="1">
        <v>44874</v>
      </c>
      <c r="F462" t="s">
        <v>98</v>
      </c>
      <c r="G462" s="1">
        <v>44898</v>
      </c>
      <c r="H462" s="1">
        <v>44943</v>
      </c>
      <c r="I462" t="s">
        <v>43</v>
      </c>
      <c r="J462" s="1" t="b">
        <f t="shared" si="49"/>
        <v>1</v>
      </c>
      <c r="K462" s="1" t="b">
        <f t="shared" si="50"/>
        <v>0</v>
      </c>
      <c r="L462" s="1" t="b">
        <f t="shared" si="51"/>
        <v>0</v>
      </c>
      <c r="M462" s="1" t="b">
        <f t="shared" si="52"/>
        <v>0</v>
      </c>
      <c r="N462" s="1" t="b">
        <f t="shared" si="53"/>
        <v>0</v>
      </c>
      <c r="O462" s="1" t="b">
        <f t="shared" si="54"/>
        <v>1</v>
      </c>
      <c r="P462" s="1" t="b">
        <f t="shared" si="55"/>
        <v>0</v>
      </c>
    </row>
    <row r="463" spans="1:16" x14ac:dyDescent="0.2">
      <c r="A463">
        <v>4928281</v>
      </c>
      <c r="B463" t="s">
        <v>949</v>
      </c>
      <c r="C463" t="s">
        <v>315</v>
      </c>
      <c r="D463" t="s">
        <v>122</v>
      </c>
      <c r="I463" t="s">
        <v>33</v>
      </c>
      <c r="J463" s="1" t="b">
        <f t="shared" si="49"/>
        <v>0</v>
      </c>
      <c r="K463" s="1" t="b">
        <f t="shared" si="50"/>
        <v>0</v>
      </c>
      <c r="L463" s="1" t="b">
        <f t="shared" si="51"/>
        <v>0</v>
      </c>
      <c r="M463" s="1" t="b">
        <f t="shared" si="52"/>
        <v>1</v>
      </c>
      <c r="N463" s="1" t="b">
        <f t="shared" si="53"/>
        <v>0</v>
      </c>
      <c r="O463" s="1" t="b">
        <f t="shared" si="54"/>
        <v>0</v>
      </c>
      <c r="P463" s="1" t="b">
        <f t="shared" si="55"/>
        <v>0</v>
      </c>
    </row>
    <row r="464" spans="1:16" x14ac:dyDescent="0.2">
      <c r="A464">
        <v>8999489</v>
      </c>
      <c r="B464" t="s">
        <v>950</v>
      </c>
      <c r="C464" t="s">
        <v>76</v>
      </c>
      <c r="D464" t="s">
        <v>187</v>
      </c>
      <c r="E464" s="1">
        <v>44571</v>
      </c>
      <c r="F464" t="s">
        <v>951</v>
      </c>
      <c r="G464" s="1">
        <v>44572</v>
      </c>
      <c r="I464" t="s">
        <v>13</v>
      </c>
      <c r="J464" s="1" t="b">
        <f t="shared" si="49"/>
        <v>0</v>
      </c>
      <c r="K464" s="1" t="b">
        <f t="shared" si="50"/>
        <v>1</v>
      </c>
      <c r="L464" s="1" t="b">
        <f t="shared" si="51"/>
        <v>0</v>
      </c>
      <c r="M464" s="1" t="b">
        <f t="shared" si="52"/>
        <v>0</v>
      </c>
      <c r="N464" s="1" t="b">
        <f t="shared" si="53"/>
        <v>0</v>
      </c>
      <c r="O464" s="1" t="b">
        <f t="shared" si="54"/>
        <v>0</v>
      </c>
      <c r="P464" s="1" t="b">
        <f t="shared" si="55"/>
        <v>0</v>
      </c>
    </row>
    <row r="465" spans="1:16" x14ac:dyDescent="0.2">
      <c r="A465">
        <v>8999489</v>
      </c>
      <c r="B465" t="s">
        <v>952</v>
      </c>
      <c r="C465" t="s">
        <v>76</v>
      </c>
      <c r="D465" t="s">
        <v>187</v>
      </c>
      <c r="E465" s="1">
        <v>44697</v>
      </c>
      <c r="F465" t="s">
        <v>953</v>
      </c>
      <c r="G465" s="1">
        <v>44713</v>
      </c>
      <c r="H465" s="1">
        <v>44718</v>
      </c>
      <c r="I465" t="s">
        <v>16</v>
      </c>
      <c r="J465" s="1" t="b">
        <f t="shared" si="49"/>
        <v>1</v>
      </c>
      <c r="K465" s="1" t="b">
        <f t="shared" si="50"/>
        <v>0</v>
      </c>
      <c r="L465" s="1" t="b">
        <f t="shared" si="51"/>
        <v>0</v>
      </c>
      <c r="M465" s="1" t="b">
        <f t="shared" si="52"/>
        <v>0</v>
      </c>
      <c r="N465" s="1" t="b">
        <f t="shared" si="53"/>
        <v>1</v>
      </c>
      <c r="O465" s="1" t="b">
        <f t="shared" si="54"/>
        <v>0</v>
      </c>
      <c r="P465" s="1" t="b">
        <f t="shared" si="55"/>
        <v>0</v>
      </c>
    </row>
    <row r="466" spans="1:16" x14ac:dyDescent="0.2">
      <c r="A466">
        <v>8999489</v>
      </c>
      <c r="B466" t="s">
        <v>954</v>
      </c>
      <c r="C466" t="s">
        <v>76</v>
      </c>
      <c r="D466" t="s">
        <v>187</v>
      </c>
      <c r="E466" s="1">
        <v>44666</v>
      </c>
      <c r="F466" t="s">
        <v>843</v>
      </c>
      <c r="G466" s="1">
        <v>44670</v>
      </c>
      <c r="I466" t="s">
        <v>25</v>
      </c>
      <c r="J466" s="1" t="b">
        <f t="shared" si="49"/>
        <v>0</v>
      </c>
      <c r="K466" s="1" t="b">
        <f t="shared" si="50"/>
        <v>0</v>
      </c>
      <c r="L466" s="1" t="b">
        <f t="shared" si="51"/>
        <v>1</v>
      </c>
      <c r="M466" s="1" t="b">
        <f t="shared" si="52"/>
        <v>0</v>
      </c>
      <c r="N466" s="1" t="b">
        <f t="shared" si="53"/>
        <v>0</v>
      </c>
      <c r="O466" s="1" t="b">
        <f t="shared" si="54"/>
        <v>0</v>
      </c>
      <c r="P466" s="1" t="b">
        <f t="shared" si="55"/>
        <v>0</v>
      </c>
    </row>
    <row r="467" spans="1:16" x14ac:dyDescent="0.2">
      <c r="A467">
        <v>8999489</v>
      </c>
      <c r="B467" t="s">
        <v>955</v>
      </c>
      <c r="C467" t="s">
        <v>76</v>
      </c>
      <c r="D467" t="s">
        <v>187</v>
      </c>
      <c r="E467" s="1">
        <v>44698</v>
      </c>
      <c r="F467" t="s">
        <v>469</v>
      </c>
      <c r="G467" s="1">
        <v>44719</v>
      </c>
      <c r="H467" s="1">
        <v>44763</v>
      </c>
      <c r="I467" t="s">
        <v>28</v>
      </c>
      <c r="J467" s="1" t="b">
        <f t="shared" si="49"/>
        <v>1</v>
      </c>
      <c r="K467" s="1" t="b">
        <f t="shared" si="50"/>
        <v>0</v>
      </c>
      <c r="L467" s="1" t="b">
        <f t="shared" si="51"/>
        <v>0</v>
      </c>
      <c r="M467" s="1" t="b">
        <f t="shared" si="52"/>
        <v>0</v>
      </c>
      <c r="N467" s="1" t="b">
        <f t="shared" si="53"/>
        <v>0</v>
      </c>
      <c r="O467" s="1" t="b">
        <f t="shared" si="54"/>
        <v>0</v>
      </c>
      <c r="P467" s="1" t="b">
        <f t="shared" si="55"/>
        <v>1</v>
      </c>
    </row>
    <row r="468" spans="1:16" x14ac:dyDescent="0.2">
      <c r="A468">
        <v>8999489</v>
      </c>
      <c r="B468" t="s">
        <v>956</v>
      </c>
      <c r="C468" t="s">
        <v>76</v>
      </c>
      <c r="D468" t="s">
        <v>187</v>
      </c>
      <c r="E468" s="1">
        <v>44570</v>
      </c>
      <c r="F468" t="s">
        <v>957</v>
      </c>
      <c r="G468" s="1">
        <v>44590</v>
      </c>
      <c r="I468" t="s">
        <v>13</v>
      </c>
      <c r="J468" s="1" t="b">
        <f t="shared" si="49"/>
        <v>0</v>
      </c>
      <c r="K468" s="1" t="b">
        <f t="shared" si="50"/>
        <v>1</v>
      </c>
      <c r="L468" s="1" t="b">
        <f t="shared" si="51"/>
        <v>0</v>
      </c>
      <c r="M468" s="1" t="b">
        <f t="shared" si="52"/>
        <v>0</v>
      </c>
      <c r="N468" s="1" t="b">
        <f t="shared" si="53"/>
        <v>0</v>
      </c>
      <c r="O468" s="1" t="b">
        <f t="shared" si="54"/>
        <v>0</v>
      </c>
      <c r="P468" s="1" t="b">
        <f t="shared" si="55"/>
        <v>0</v>
      </c>
    </row>
    <row r="469" spans="1:16" x14ac:dyDescent="0.2">
      <c r="A469">
        <v>3753418</v>
      </c>
      <c r="B469" t="s">
        <v>958</v>
      </c>
      <c r="C469" t="s">
        <v>287</v>
      </c>
      <c r="D469" t="s">
        <v>39</v>
      </c>
      <c r="E469" s="1">
        <v>45015</v>
      </c>
      <c r="F469" t="s">
        <v>959</v>
      </c>
      <c r="G469" s="1">
        <v>45043</v>
      </c>
      <c r="H469" s="1">
        <v>45057</v>
      </c>
      <c r="I469" t="s">
        <v>43</v>
      </c>
      <c r="J469" s="1" t="b">
        <f t="shared" si="49"/>
        <v>1</v>
      </c>
      <c r="K469" s="1" t="b">
        <f t="shared" si="50"/>
        <v>0</v>
      </c>
      <c r="L469" s="1" t="b">
        <f t="shared" si="51"/>
        <v>0</v>
      </c>
      <c r="M469" s="1" t="b">
        <f t="shared" si="52"/>
        <v>0</v>
      </c>
      <c r="N469" s="1" t="b">
        <f t="shared" si="53"/>
        <v>0</v>
      </c>
      <c r="O469" s="1" t="b">
        <f t="shared" si="54"/>
        <v>1</v>
      </c>
      <c r="P469" s="1" t="b">
        <f t="shared" si="55"/>
        <v>0</v>
      </c>
    </row>
    <row r="470" spans="1:16" x14ac:dyDescent="0.2">
      <c r="A470">
        <v>3753418</v>
      </c>
      <c r="B470" t="s">
        <v>960</v>
      </c>
      <c r="C470" t="s">
        <v>287</v>
      </c>
      <c r="D470" t="s">
        <v>39</v>
      </c>
      <c r="E470" s="1">
        <v>44688</v>
      </c>
      <c r="F470" t="s">
        <v>961</v>
      </c>
      <c r="G470" s="1">
        <v>44707</v>
      </c>
      <c r="I470" t="s">
        <v>13</v>
      </c>
      <c r="J470" s="1" t="b">
        <f t="shared" si="49"/>
        <v>0</v>
      </c>
      <c r="K470" s="1" t="b">
        <f t="shared" si="50"/>
        <v>1</v>
      </c>
      <c r="L470" s="1" t="b">
        <f t="shared" si="51"/>
        <v>0</v>
      </c>
      <c r="M470" s="1" t="b">
        <f t="shared" si="52"/>
        <v>0</v>
      </c>
      <c r="N470" s="1" t="b">
        <f t="shared" si="53"/>
        <v>0</v>
      </c>
      <c r="O470" s="1" t="b">
        <f t="shared" si="54"/>
        <v>0</v>
      </c>
      <c r="P470" s="1" t="b">
        <f t="shared" si="55"/>
        <v>0</v>
      </c>
    </row>
    <row r="471" spans="1:16" x14ac:dyDescent="0.2">
      <c r="A471">
        <v>7442986</v>
      </c>
      <c r="B471" t="s">
        <v>962</v>
      </c>
      <c r="C471" t="s">
        <v>542</v>
      </c>
      <c r="D471" t="s">
        <v>60</v>
      </c>
      <c r="E471" s="1">
        <v>44648</v>
      </c>
      <c r="F471" t="s">
        <v>963</v>
      </c>
      <c r="G471" s="1">
        <v>44656</v>
      </c>
      <c r="H471" s="1">
        <v>44692</v>
      </c>
      <c r="I471" t="s">
        <v>43</v>
      </c>
      <c r="J471" s="1" t="b">
        <f t="shared" si="49"/>
        <v>1</v>
      </c>
      <c r="K471" s="1" t="b">
        <f t="shared" si="50"/>
        <v>0</v>
      </c>
      <c r="L471" s="1" t="b">
        <f t="shared" si="51"/>
        <v>0</v>
      </c>
      <c r="M471" s="1" t="b">
        <f t="shared" si="52"/>
        <v>0</v>
      </c>
      <c r="N471" s="1" t="b">
        <f t="shared" si="53"/>
        <v>0</v>
      </c>
      <c r="O471" s="1" t="b">
        <f t="shared" si="54"/>
        <v>1</v>
      </c>
      <c r="P471" s="1" t="b">
        <f t="shared" si="55"/>
        <v>0</v>
      </c>
    </row>
    <row r="472" spans="1:16" x14ac:dyDescent="0.2">
      <c r="A472">
        <v>7442986</v>
      </c>
      <c r="B472" t="s">
        <v>964</v>
      </c>
      <c r="C472" t="s">
        <v>542</v>
      </c>
      <c r="D472" t="s">
        <v>60</v>
      </c>
      <c r="E472" s="1">
        <v>44589</v>
      </c>
      <c r="F472" t="s">
        <v>965</v>
      </c>
      <c r="G472" s="1">
        <v>44617</v>
      </c>
      <c r="H472" s="1">
        <v>44672</v>
      </c>
      <c r="I472" t="s">
        <v>28</v>
      </c>
      <c r="J472" s="1" t="b">
        <f t="shared" si="49"/>
        <v>1</v>
      </c>
      <c r="K472" s="1" t="b">
        <f t="shared" si="50"/>
        <v>0</v>
      </c>
      <c r="L472" s="1" t="b">
        <f t="shared" si="51"/>
        <v>0</v>
      </c>
      <c r="M472" s="1" t="b">
        <f t="shared" si="52"/>
        <v>0</v>
      </c>
      <c r="N472" s="1" t="b">
        <f t="shared" si="53"/>
        <v>0</v>
      </c>
      <c r="O472" s="1" t="b">
        <f t="shared" si="54"/>
        <v>0</v>
      </c>
      <c r="P472" s="1" t="b">
        <f t="shared" si="55"/>
        <v>1</v>
      </c>
    </row>
    <row r="473" spans="1:16" x14ac:dyDescent="0.2">
      <c r="A473">
        <v>7442986</v>
      </c>
      <c r="B473" t="s">
        <v>966</v>
      </c>
      <c r="C473" t="s">
        <v>542</v>
      </c>
      <c r="D473" t="s">
        <v>60</v>
      </c>
      <c r="E473" s="1">
        <v>45083</v>
      </c>
      <c r="F473" t="s">
        <v>967</v>
      </c>
      <c r="G473" s="1">
        <v>45090</v>
      </c>
      <c r="H473" s="1">
        <v>45138</v>
      </c>
      <c r="I473" t="s">
        <v>28</v>
      </c>
      <c r="J473" s="1" t="b">
        <f t="shared" si="49"/>
        <v>1</v>
      </c>
      <c r="K473" s="1" t="b">
        <f t="shared" si="50"/>
        <v>0</v>
      </c>
      <c r="L473" s="1" t="b">
        <f t="shared" si="51"/>
        <v>0</v>
      </c>
      <c r="M473" s="1" t="b">
        <f t="shared" si="52"/>
        <v>0</v>
      </c>
      <c r="N473" s="1" t="b">
        <f t="shared" si="53"/>
        <v>0</v>
      </c>
      <c r="O473" s="1" t="b">
        <f t="shared" si="54"/>
        <v>0</v>
      </c>
      <c r="P473" s="1" t="b">
        <f t="shared" si="55"/>
        <v>1</v>
      </c>
    </row>
    <row r="474" spans="1:16" x14ac:dyDescent="0.2">
      <c r="A474">
        <v>7572491</v>
      </c>
      <c r="B474" t="s">
        <v>968</v>
      </c>
      <c r="C474" t="s">
        <v>110</v>
      </c>
      <c r="D474" t="s">
        <v>56</v>
      </c>
      <c r="E474" s="1">
        <v>44634</v>
      </c>
      <c r="F474" t="s">
        <v>969</v>
      </c>
      <c r="G474" s="1">
        <v>44651</v>
      </c>
      <c r="H474" s="1">
        <v>44708</v>
      </c>
      <c r="I474" t="s">
        <v>16</v>
      </c>
      <c r="J474" s="1" t="b">
        <f t="shared" si="49"/>
        <v>1</v>
      </c>
      <c r="K474" s="1" t="b">
        <f t="shared" si="50"/>
        <v>0</v>
      </c>
      <c r="L474" s="1" t="b">
        <f t="shared" si="51"/>
        <v>0</v>
      </c>
      <c r="M474" s="1" t="b">
        <f t="shared" si="52"/>
        <v>0</v>
      </c>
      <c r="N474" s="1" t="b">
        <f t="shared" si="53"/>
        <v>1</v>
      </c>
      <c r="O474" s="1" t="b">
        <f t="shared" si="54"/>
        <v>0</v>
      </c>
      <c r="P474" s="1" t="b">
        <f t="shared" si="55"/>
        <v>0</v>
      </c>
    </row>
    <row r="475" spans="1:16" x14ac:dyDescent="0.2">
      <c r="A475">
        <v>7572491</v>
      </c>
      <c r="B475" t="s">
        <v>970</v>
      </c>
      <c r="C475" t="s">
        <v>110</v>
      </c>
      <c r="D475" t="s">
        <v>56</v>
      </c>
      <c r="E475" s="1">
        <v>44697</v>
      </c>
      <c r="F475" t="s">
        <v>971</v>
      </c>
      <c r="G475" s="1">
        <v>44710</v>
      </c>
      <c r="H475" s="1">
        <v>44766</v>
      </c>
      <c r="I475" t="s">
        <v>28</v>
      </c>
      <c r="J475" s="1" t="b">
        <f t="shared" si="49"/>
        <v>1</v>
      </c>
      <c r="K475" s="1" t="b">
        <f t="shared" si="50"/>
        <v>0</v>
      </c>
      <c r="L475" s="1" t="b">
        <f t="shared" si="51"/>
        <v>0</v>
      </c>
      <c r="M475" s="1" t="b">
        <f t="shared" si="52"/>
        <v>0</v>
      </c>
      <c r="N475" s="1" t="b">
        <f t="shared" si="53"/>
        <v>0</v>
      </c>
      <c r="O475" s="1" t="b">
        <f t="shared" si="54"/>
        <v>0</v>
      </c>
      <c r="P475" s="1" t="b">
        <f t="shared" si="55"/>
        <v>1</v>
      </c>
    </row>
    <row r="476" spans="1:16" x14ac:dyDescent="0.2">
      <c r="A476">
        <v>8060918</v>
      </c>
      <c r="B476" t="s">
        <v>972</v>
      </c>
      <c r="C476" t="s">
        <v>542</v>
      </c>
      <c r="D476" t="s">
        <v>139</v>
      </c>
      <c r="E476" s="1">
        <v>44631</v>
      </c>
      <c r="F476" t="s">
        <v>973</v>
      </c>
      <c r="G476" s="1">
        <v>44632</v>
      </c>
      <c r="H476" s="1">
        <v>44649</v>
      </c>
      <c r="I476" t="s">
        <v>16</v>
      </c>
      <c r="J476" s="1" t="b">
        <f t="shared" si="49"/>
        <v>1</v>
      </c>
      <c r="K476" s="1" t="b">
        <f t="shared" si="50"/>
        <v>0</v>
      </c>
      <c r="L476" s="1" t="b">
        <f t="shared" si="51"/>
        <v>0</v>
      </c>
      <c r="M476" s="1" t="b">
        <f t="shared" si="52"/>
        <v>0</v>
      </c>
      <c r="N476" s="1" t="b">
        <f t="shared" si="53"/>
        <v>1</v>
      </c>
      <c r="O476" s="1" t="b">
        <f t="shared" si="54"/>
        <v>0</v>
      </c>
      <c r="P476" s="1" t="b">
        <f t="shared" si="55"/>
        <v>0</v>
      </c>
    </row>
    <row r="477" spans="1:16" x14ac:dyDescent="0.2">
      <c r="A477">
        <v>8060918</v>
      </c>
      <c r="B477" t="s">
        <v>974</v>
      </c>
      <c r="C477" t="s">
        <v>542</v>
      </c>
      <c r="D477" t="s">
        <v>139</v>
      </c>
      <c r="E477" s="1">
        <v>44969</v>
      </c>
      <c r="F477" t="s">
        <v>975</v>
      </c>
      <c r="G477" s="1">
        <v>44986</v>
      </c>
      <c r="I477" t="s">
        <v>25</v>
      </c>
      <c r="J477" s="1" t="b">
        <f t="shared" si="49"/>
        <v>0</v>
      </c>
      <c r="K477" s="1" t="b">
        <f t="shared" si="50"/>
        <v>0</v>
      </c>
      <c r="L477" s="1" t="b">
        <f t="shared" si="51"/>
        <v>1</v>
      </c>
      <c r="M477" s="1" t="b">
        <f t="shared" si="52"/>
        <v>0</v>
      </c>
      <c r="N477" s="1" t="b">
        <f t="shared" si="53"/>
        <v>0</v>
      </c>
      <c r="O477" s="1" t="b">
        <f t="shared" si="54"/>
        <v>0</v>
      </c>
      <c r="P477" s="1" t="b">
        <f t="shared" si="55"/>
        <v>0</v>
      </c>
    </row>
    <row r="478" spans="1:16" x14ac:dyDescent="0.2">
      <c r="A478">
        <v>5806467</v>
      </c>
      <c r="B478" t="s">
        <v>976</v>
      </c>
      <c r="C478" t="s">
        <v>265</v>
      </c>
      <c r="D478" t="s">
        <v>139</v>
      </c>
      <c r="E478" s="1">
        <v>44718</v>
      </c>
      <c r="F478" t="s">
        <v>977</v>
      </c>
      <c r="G478" s="1">
        <v>44727</v>
      </c>
      <c r="H478" s="1">
        <v>44733</v>
      </c>
      <c r="J478" s="1" t="b">
        <f t="shared" si="49"/>
        <v>1</v>
      </c>
      <c r="K478" s="1" t="b">
        <f t="shared" si="50"/>
        <v>0</v>
      </c>
      <c r="L478" s="1" t="b">
        <f t="shared" si="51"/>
        <v>0</v>
      </c>
      <c r="M478" s="1" t="b">
        <f t="shared" si="52"/>
        <v>0</v>
      </c>
      <c r="N478" s="1" t="b">
        <f t="shared" si="53"/>
        <v>0</v>
      </c>
      <c r="O478" s="1" t="b">
        <f t="shared" si="54"/>
        <v>0</v>
      </c>
      <c r="P478" s="1" t="b">
        <f t="shared" si="55"/>
        <v>0</v>
      </c>
    </row>
    <row r="479" spans="1:16" x14ac:dyDescent="0.2">
      <c r="A479">
        <v>5806467</v>
      </c>
      <c r="B479" t="s">
        <v>978</v>
      </c>
      <c r="C479" t="s">
        <v>265</v>
      </c>
      <c r="D479" t="s">
        <v>139</v>
      </c>
      <c r="E479" s="1">
        <v>44896</v>
      </c>
      <c r="F479" t="s">
        <v>979</v>
      </c>
      <c r="G479" s="1">
        <v>44909</v>
      </c>
      <c r="H479" s="1">
        <v>44947</v>
      </c>
      <c r="I479" t="s">
        <v>43</v>
      </c>
      <c r="J479" s="1" t="b">
        <f t="shared" si="49"/>
        <v>1</v>
      </c>
      <c r="K479" s="1" t="b">
        <f t="shared" si="50"/>
        <v>0</v>
      </c>
      <c r="L479" s="1" t="b">
        <f t="shared" si="51"/>
        <v>0</v>
      </c>
      <c r="M479" s="1" t="b">
        <f t="shared" si="52"/>
        <v>0</v>
      </c>
      <c r="N479" s="1" t="b">
        <f t="shared" si="53"/>
        <v>0</v>
      </c>
      <c r="O479" s="1" t="b">
        <f t="shared" si="54"/>
        <v>1</v>
      </c>
      <c r="P479" s="1" t="b">
        <f t="shared" si="55"/>
        <v>0</v>
      </c>
    </row>
    <row r="480" spans="1:16" x14ac:dyDescent="0.2">
      <c r="A480">
        <v>5806467</v>
      </c>
      <c r="B480" t="s">
        <v>980</v>
      </c>
      <c r="C480" t="s">
        <v>265</v>
      </c>
      <c r="D480" t="s">
        <v>139</v>
      </c>
      <c r="E480" s="1">
        <v>45009</v>
      </c>
      <c r="F480" t="s">
        <v>981</v>
      </c>
      <c r="G480" s="1">
        <v>45033</v>
      </c>
      <c r="H480" s="1">
        <v>45088</v>
      </c>
      <c r="I480" t="s">
        <v>16</v>
      </c>
      <c r="J480" s="1" t="b">
        <f t="shared" si="49"/>
        <v>1</v>
      </c>
      <c r="K480" s="1" t="b">
        <f t="shared" si="50"/>
        <v>0</v>
      </c>
      <c r="L480" s="1" t="b">
        <f t="shared" si="51"/>
        <v>0</v>
      </c>
      <c r="M480" s="1" t="b">
        <f t="shared" si="52"/>
        <v>0</v>
      </c>
      <c r="N480" s="1" t="b">
        <f t="shared" si="53"/>
        <v>1</v>
      </c>
      <c r="O480" s="1" t="b">
        <f t="shared" si="54"/>
        <v>0</v>
      </c>
      <c r="P480" s="1" t="b">
        <f t="shared" si="55"/>
        <v>0</v>
      </c>
    </row>
    <row r="481" spans="1:16" x14ac:dyDescent="0.2">
      <c r="A481">
        <v>5806467</v>
      </c>
      <c r="B481" t="s">
        <v>982</v>
      </c>
      <c r="C481" t="s">
        <v>265</v>
      </c>
      <c r="D481" t="s">
        <v>139</v>
      </c>
      <c r="E481" s="1">
        <v>45006</v>
      </c>
      <c r="F481" t="s">
        <v>983</v>
      </c>
      <c r="G481" s="1">
        <v>45010</v>
      </c>
      <c r="I481" t="s">
        <v>25</v>
      </c>
      <c r="J481" s="1" t="b">
        <f t="shared" si="49"/>
        <v>0</v>
      </c>
      <c r="K481" s="1" t="b">
        <f t="shared" si="50"/>
        <v>0</v>
      </c>
      <c r="L481" s="1" t="b">
        <f t="shared" si="51"/>
        <v>1</v>
      </c>
      <c r="M481" s="1" t="b">
        <f t="shared" si="52"/>
        <v>0</v>
      </c>
      <c r="N481" s="1" t="b">
        <f t="shared" si="53"/>
        <v>0</v>
      </c>
      <c r="O481" s="1" t="b">
        <f t="shared" si="54"/>
        <v>0</v>
      </c>
      <c r="P481" s="1" t="b">
        <f t="shared" si="55"/>
        <v>0</v>
      </c>
    </row>
    <row r="482" spans="1:16" x14ac:dyDescent="0.2">
      <c r="A482">
        <v>8606317</v>
      </c>
      <c r="B482" t="s">
        <v>984</v>
      </c>
      <c r="C482" t="s">
        <v>121</v>
      </c>
      <c r="D482" t="s">
        <v>81</v>
      </c>
      <c r="E482" s="1">
        <v>44741</v>
      </c>
      <c r="F482" t="s">
        <v>985</v>
      </c>
      <c r="G482" s="1">
        <v>44745</v>
      </c>
      <c r="I482" t="s">
        <v>25</v>
      </c>
      <c r="J482" s="1" t="b">
        <f t="shared" si="49"/>
        <v>0</v>
      </c>
      <c r="K482" s="1" t="b">
        <f t="shared" si="50"/>
        <v>0</v>
      </c>
      <c r="L482" s="1" t="b">
        <f t="shared" si="51"/>
        <v>1</v>
      </c>
      <c r="M482" s="1" t="b">
        <f t="shared" si="52"/>
        <v>0</v>
      </c>
      <c r="N482" s="1" t="b">
        <f t="shared" si="53"/>
        <v>0</v>
      </c>
      <c r="O482" s="1" t="b">
        <f t="shared" si="54"/>
        <v>0</v>
      </c>
      <c r="P482" s="1" t="b">
        <f t="shared" si="55"/>
        <v>0</v>
      </c>
    </row>
    <row r="483" spans="1:16" x14ac:dyDescent="0.2">
      <c r="A483">
        <v>1212482</v>
      </c>
      <c r="B483" t="s">
        <v>986</v>
      </c>
      <c r="C483" t="s">
        <v>240</v>
      </c>
      <c r="D483" t="s">
        <v>187</v>
      </c>
      <c r="E483" s="1">
        <v>45097</v>
      </c>
      <c r="F483" t="s">
        <v>987</v>
      </c>
      <c r="G483" s="1">
        <v>45114</v>
      </c>
      <c r="I483" t="s">
        <v>13</v>
      </c>
      <c r="J483" s="1" t="b">
        <f t="shared" si="49"/>
        <v>0</v>
      </c>
      <c r="K483" s="1" t="b">
        <f t="shared" si="50"/>
        <v>1</v>
      </c>
      <c r="L483" s="1" t="b">
        <f t="shared" si="51"/>
        <v>0</v>
      </c>
      <c r="M483" s="1" t="b">
        <f t="shared" si="52"/>
        <v>0</v>
      </c>
      <c r="N483" s="1" t="b">
        <f t="shared" si="53"/>
        <v>0</v>
      </c>
      <c r="O483" s="1" t="b">
        <f t="shared" si="54"/>
        <v>0</v>
      </c>
      <c r="P483" s="1" t="b">
        <f t="shared" si="55"/>
        <v>0</v>
      </c>
    </row>
    <row r="484" spans="1:16" x14ac:dyDescent="0.2">
      <c r="A484">
        <v>5349442</v>
      </c>
      <c r="B484" t="s">
        <v>988</v>
      </c>
      <c r="C484" t="s">
        <v>38</v>
      </c>
      <c r="D484" t="s">
        <v>39</v>
      </c>
      <c r="E484" s="1">
        <v>44682</v>
      </c>
      <c r="F484" t="s">
        <v>989</v>
      </c>
      <c r="G484" s="1">
        <v>44707</v>
      </c>
      <c r="H484" s="1">
        <v>44765</v>
      </c>
      <c r="I484" t="s">
        <v>28</v>
      </c>
      <c r="J484" s="1" t="b">
        <f t="shared" si="49"/>
        <v>1</v>
      </c>
      <c r="K484" s="1" t="b">
        <f t="shared" si="50"/>
        <v>0</v>
      </c>
      <c r="L484" s="1" t="b">
        <f t="shared" si="51"/>
        <v>0</v>
      </c>
      <c r="M484" s="1" t="b">
        <f t="shared" si="52"/>
        <v>0</v>
      </c>
      <c r="N484" s="1" t="b">
        <f t="shared" si="53"/>
        <v>0</v>
      </c>
      <c r="O484" s="1" t="b">
        <f t="shared" si="54"/>
        <v>0</v>
      </c>
      <c r="P484" s="1" t="b">
        <f t="shared" si="55"/>
        <v>1</v>
      </c>
    </row>
    <row r="485" spans="1:16" x14ac:dyDescent="0.2">
      <c r="A485">
        <v>5349442</v>
      </c>
      <c r="B485" t="s">
        <v>990</v>
      </c>
      <c r="C485" t="s">
        <v>38</v>
      </c>
      <c r="D485" t="s">
        <v>39</v>
      </c>
      <c r="E485" s="1">
        <v>44840</v>
      </c>
      <c r="F485" t="s">
        <v>991</v>
      </c>
      <c r="G485" s="1">
        <v>44857</v>
      </c>
      <c r="I485" t="s">
        <v>13</v>
      </c>
      <c r="J485" s="1" t="b">
        <f t="shared" si="49"/>
        <v>0</v>
      </c>
      <c r="K485" s="1" t="b">
        <f t="shared" si="50"/>
        <v>1</v>
      </c>
      <c r="L485" s="1" t="b">
        <f t="shared" si="51"/>
        <v>0</v>
      </c>
      <c r="M485" s="1" t="b">
        <f t="shared" si="52"/>
        <v>0</v>
      </c>
      <c r="N485" s="1" t="b">
        <f t="shared" si="53"/>
        <v>0</v>
      </c>
      <c r="O485" s="1" t="b">
        <f t="shared" si="54"/>
        <v>0</v>
      </c>
      <c r="P485" s="1" t="b">
        <f t="shared" si="55"/>
        <v>0</v>
      </c>
    </row>
    <row r="486" spans="1:16" x14ac:dyDescent="0.2">
      <c r="A486">
        <v>2071594</v>
      </c>
      <c r="B486" t="s">
        <v>992</v>
      </c>
      <c r="C486" t="s">
        <v>282</v>
      </c>
      <c r="D486" t="s">
        <v>81</v>
      </c>
      <c r="E486" s="1">
        <v>44732</v>
      </c>
      <c r="F486" t="s">
        <v>993</v>
      </c>
      <c r="G486" s="1">
        <v>44744</v>
      </c>
      <c r="H486" s="1">
        <v>44755</v>
      </c>
      <c r="I486" t="s">
        <v>28</v>
      </c>
      <c r="J486" s="1" t="b">
        <f t="shared" si="49"/>
        <v>1</v>
      </c>
      <c r="K486" s="1" t="b">
        <f t="shared" si="50"/>
        <v>0</v>
      </c>
      <c r="L486" s="1" t="b">
        <f t="shared" si="51"/>
        <v>0</v>
      </c>
      <c r="M486" s="1" t="b">
        <f t="shared" si="52"/>
        <v>0</v>
      </c>
      <c r="N486" s="1" t="b">
        <f t="shared" si="53"/>
        <v>0</v>
      </c>
      <c r="O486" s="1" t="b">
        <f t="shared" si="54"/>
        <v>0</v>
      </c>
      <c r="P486" s="1" t="b">
        <f t="shared" si="55"/>
        <v>1</v>
      </c>
    </row>
    <row r="487" spans="1:16" x14ac:dyDescent="0.2">
      <c r="A487">
        <v>5280137</v>
      </c>
      <c r="B487" t="s">
        <v>994</v>
      </c>
      <c r="C487" t="s">
        <v>35</v>
      </c>
      <c r="D487" t="s">
        <v>122</v>
      </c>
      <c r="E487" s="1">
        <v>45083</v>
      </c>
      <c r="F487" t="s">
        <v>995</v>
      </c>
      <c r="G487" s="1">
        <v>45084</v>
      </c>
      <c r="H487" s="1">
        <v>45087</v>
      </c>
      <c r="I487" t="s">
        <v>16</v>
      </c>
      <c r="J487" s="1" t="b">
        <f t="shared" si="49"/>
        <v>1</v>
      </c>
      <c r="K487" s="1" t="b">
        <f t="shared" si="50"/>
        <v>0</v>
      </c>
      <c r="L487" s="1" t="b">
        <f t="shared" si="51"/>
        <v>0</v>
      </c>
      <c r="M487" s="1" t="b">
        <f t="shared" si="52"/>
        <v>0</v>
      </c>
      <c r="N487" s="1" t="b">
        <f t="shared" si="53"/>
        <v>1</v>
      </c>
      <c r="O487" s="1" t="b">
        <f t="shared" si="54"/>
        <v>0</v>
      </c>
      <c r="P487" s="1" t="b">
        <f t="shared" si="55"/>
        <v>0</v>
      </c>
    </row>
    <row r="488" spans="1:16" x14ac:dyDescent="0.2">
      <c r="A488">
        <v>5280137</v>
      </c>
      <c r="B488" t="s">
        <v>996</v>
      </c>
      <c r="C488" t="s">
        <v>35</v>
      </c>
      <c r="D488" t="s">
        <v>122</v>
      </c>
      <c r="E488" s="1">
        <v>45045</v>
      </c>
      <c r="F488" t="s">
        <v>997</v>
      </c>
      <c r="G488" s="1">
        <v>45057</v>
      </c>
      <c r="H488" s="1">
        <v>45082</v>
      </c>
      <c r="I488" t="s">
        <v>16</v>
      </c>
      <c r="J488" s="1" t="b">
        <f t="shared" si="49"/>
        <v>1</v>
      </c>
      <c r="K488" s="1" t="b">
        <f t="shared" si="50"/>
        <v>0</v>
      </c>
      <c r="L488" s="1" t="b">
        <f t="shared" si="51"/>
        <v>0</v>
      </c>
      <c r="M488" s="1" t="b">
        <f t="shared" si="52"/>
        <v>0</v>
      </c>
      <c r="N488" s="1" t="b">
        <f t="shared" si="53"/>
        <v>1</v>
      </c>
      <c r="O488" s="1" t="b">
        <f t="shared" si="54"/>
        <v>0</v>
      </c>
      <c r="P488" s="1" t="b">
        <f t="shared" si="55"/>
        <v>0</v>
      </c>
    </row>
    <row r="489" spans="1:16" x14ac:dyDescent="0.2">
      <c r="A489">
        <v>5280137</v>
      </c>
      <c r="B489" t="s">
        <v>998</v>
      </c>
      <c r="C489" t="s">
        <v>35</v>
      </c>
      <c r="D489" t="s">
        <v>122</v>
      </c>
      <c r="E489" s="1">
        <v>44598</v>
      </c>
      <c r="F489" t="s">
        <v>999</v>
      </c>
      <c r="G489" s="1">
        <v>44616</v>
      </c>
      <c r="H489" s="1">
        <v>44668</v>
      </c>
      <c r="I489" t="s">
        <v>43</v>
      </c>
      <c r="J489" s="1" t="b">
        <f t="shared" si="49"/>
        <v>1</v>
      </c>
      <c r="K489" s="1" t="b">
        <f t="shared" si="50"/>
        <v>0</v>
      </c>
      <c r="L489" s="1" t="b">
        <f t="shared" si="51"/>
        <v>0</v>
      </c>
      <c r="M489" s="1" t="b">
        <f t="shared" si="52"/>
        <v>0</v>
      </c>
      <c r="N489" s="1" t="b">
        <f t="shared" si="53"/>
        <v>0</v>
      </c>
      <c r="O489" s="1" t="b">
        <f t="shared" si="54"/>
        <v>1</v>
      </c>
      <c r="P489" s="1" t="b">
        <f t="shared" si="55"/>
        <v>0</v>
      </c>
    </row>
    <row r="490" spans="1:16" x14ac:dyDescent="0.2">
      <c r="A490">
        <v>5280137</v>
      </c>
      <c r="B490" t="s">
        <v>1000</v>
      </c>
      <c r="C490" t="s">
        <v>35</v>
      </c>
      <c r="D490" t="s">
        <v>122</v>
      </c>
      <c r="E490" s="1">
        <v>44816</v>
      </c>
      <c r="F490" t="s">
        <v>1001</v>
      </c>
      <c r="G490" s="1">
        <v>44830</v>
      </c>
      <c r="H490" s="1">
        <v>44889</v>
      </c>
      <c r="J490" s="1" t="b">
        <f t="shared" si="49"/>
        <v>1</v>
      </c>
      <c r="K490" s="1" t="b">
        <f t="shared" si="50"/>
        <v>0</v>
      </c>
      <c r="L490" s="1" t="b">
        <f t="shared" si="51"/>
        <v>0</v>
      </c>
      <c r="M490" s="1" t="b">
        <f t="shared" si="52"/>
        <v>0</v>
      </c>
      <c r="N490" s="1" t="b">
        <f t="shared" si="53"/>
        <v>0</v>
      </c>
      <c r="O490" s="1" t="b">
        <f t="shared" si="54"/>
        <v>0</v>
      </c>
      <c r="P490" s="1" t="b">
        <f t="shared" si="55"/>
        <v>0</v>
      </c>
    </row>
    <row r="491" spans="1:16" x14ac:dyDescent="0.2">
      <c r="A491">
        <v>5280137</v>
      </c>
      <c r="B491" t="s">
        <v>1002</v>
      </c>
      <c r="C491" t="s">
        <v>35</v>
      </c>
      <c r="D491" t="s">
        <v>122</v>
      </c>
      <c r="E491" s="1">
        <v>44943</v>
      </c>
      <c r="F491" t="s">
        <v>1003</v>
      </c>
      <c r="G491" s="1">
        <v>44947</v>
      </c>
      <c r="H491" s="1">
        <v>44980</v>
      </c>
      <c r="I491" t="s">
        <v>28</v>
      </c>
      <c r="J491" s="1" t="b">
        <f t="shared" si="49"/>
        <v>1</v>
      </c>
      <c r="K491" s="1" t="b">
        <f t="shared" si="50"/>
        <v>0</v>
      </c>
      <c r="L491" s="1" t="b">
        <f t="shared" si="51"/>
        <v>0</v>
      </c>
      <c r="M491" s="1" t="b">
        <f t="shared" si="52"/>
        <v>0</v>
      </c>
      <c r="N491" s="1" t="b">
        <f t="shared" si="53"/>
        <v>0</v>
      </c>
      <c r="O491" s="1" t="b">
        <f t="shared" si="54"/>
        <v>0</v>
      </c>
      <c r="P491" s="1" t="b">
        <f t="shared" si="55"/>
        <v>1</v>
      </c>
    </row>
    <row r="492" spans="1:16" x14ac:dyDescent="0.2">
      <c r="A492">
        <v>1883692</v>
      </c>
      <c r="B492" t="s">
        <v>1004</v>
      </c>
      <c r="C492" t="s">
        <v>38</v>
      </c>
      <c r="D492" t="s">
        <v>19</v>
      </c>
      <c r="E492" s="1">
        <v>45038</v>
      </c>
      <c r="F492" t="s">
        <v>1005</v>
      </c>
      <c r="G492" s="1">
        <v>45066</v>
      </c>
      <c r="H492" s="1">
        <v>45085</v>
      </c>
      <c r="J492" s="1" t="b">
        <f t="shared" si="49"/>
        <v>1</v>
      </c>
      <c r="K492" s="1" t="b">
        <f t="shared" si="50"/>
        <v>0</v>
      </c>
      <c r="L492" s="1" t="b">
        <f t="shared" si="51"/>
        <v>0</v>
      </c>
      <c r="M492" s="1" t="b">
        <f t="shared" si="52"/>
        <v>0</v>
      </c>
      <c r="N492" s="1" t="b">
        <f t="shared" si="53"/>
        <v>0</v>
      </c>
      <c r="O492" s="1" t="b">
        <f t="shared" si="54"/>
        <v>0</v>
      </c>
      <c r="P492" s="1" t="b">
        <f t="shared" si="55"/>
        <v>0</v>
      </c>
    </row>
    <row r="493" spans="1:16" x14ac:dyDescent="0.2">
      <c r="A493">
        <v>1883692</v>
      </c>
      <c r="B493" t="s">
        <v>1006</v>
      </c>
      <c r="C493" t="s">
        <v>38</v>
      </c>
      <c r="D493" t="s">
        <v>19</v>
      </c>
      <c r="E493" s="1">
        <v>45029</v>
      </c>
      <c r="F493" t="s">
        <v>1007</v>
      </c>
      <c r="G493" s="1">
        <v>45030</v>
      </c>
      <c r="H493" s="1">
        <v>45054</v>
      </c>
      <c r="I493" t="s">
        <v>28</v>
      </c>
      <c r="J493" s="1" t="b">
        <f t="shared" si="49"/>
        <v>1</v>
      </c>
      <c r="K493" s="1" t="b">
        <f t="shared" si="50"/>
        <v>0</v>
      </c>
      <c r="L493" s="1" t="b">
        <f t="shared" si="51"/>
        <v>0</v>
      </c>
      <c r="M493" s="1" t="b">
        <f t="shared" si="52"/>
        <v>0</v>
      </c>
      <c r="N493" s="1" t="b">
        <f t="shared" si="53"/>
        <v>0</v>
      </c>
      <c r="O493" s="1" t="b">
        <f t="shared" si="54"/>
        <v>0</v>
      </c>
      <c r="P493" s="1" t="b">
        <f t="shared" si="55"/>
        <v>1</v>
      </c>
    </row>
    <row r="494" spans="1:16" x14ac:dyDescent="0.2">
      <c r="A494">
        <v>1883692</v>
      </c>
      <c r="B494" t="s">
        <v>1008</v>
      </c>
      <c r="C494" t="s">
        <v>38</v>
      </c>
      <c r="D494" t="s">
        <v>19</v>
      </c>
      <c r="E494" s="1">
        <v>44873</v>
      </c>
      <c r="F494" t="s">
        <v>1009</v>
      </c>
      <c r="G494" s="1">
        <v>44897</v>
      </c>
      <c r="I494" t="s">
        <v>25</v>
      </c>
      <c r="J494" s="1" t="b">
        <f t="shared" si="49"/>
        <v>0</v>
      </c>
      <c r="K494" s="1" t="b">
        <f t="shared" si="50"/>
        <v>0</v>
      </c>
      <c r="L494" s="1" t="b">
        <f t="shared" si="51"/>
        <v>1</v>
      </c>
      <c r="M494" s="1" t="b">
        <f t="shared" si="52"/>
        <v>0</v>
      </c>
      <c r="N494" s="1" t="b">
        <f t="shared" si="53"/>
        <v>0</v>
      </c>
      <c r="O494" s="1" t="b">
        <f t="shared" si="54"/>
        <v>0</v>
      </c>
      <c r="P494" s="1" t="b">
        <f t="shared" si="55"/>
        <v>0</v>
      </c>
    </row>
    <row r="495" spans="1:16" x14ac:dyDescent="0.2">
      <c r="A495">
        <v>1883692</v>
      </c>
      <c r="B495" t="s">
        <v>1010</v>
      </c>
      <c r="C495" t="s">
        <v>38</v>
      </c>
      <c r="D495" t="s">
        <v>19</v>
      </c>
      <c r="E495" s="1">
        <v>45067</v>
      </c>
      <c r="F495" t="s">
        <v>1011</v>
      </c>
      <c r="G495" s="1">
        <v>45092</v>
      </c>
      <c r="H495" s="1">
        <v>45142</v>
      </c>
      <c r="J495" s="1" t="b">
        <f t="shared" si="49"/>
        <v>1</v>
      </c>
      <c r="K495" s="1" t="b">
        <f t="shared" si="50"/>
        <v>0</v>
      </c>
      <c r="L495" s="1" t="b">
        <f t="shared" si="51"/>
        <v>0</v>
      </c>
      <c r="M495" s="1" t="b">
        <f t="shared" si="52"/>
        <v>0</v>
      </c>
      <c r="N495" s="1" t="b">
        <f t="shared" si="53"/>
        <v>0</v>
      </c>
      <c r="O495" s="1" t="b">
        <f t="shared" si="54"/>
        <v>0</v>
      </c>
      <c r="P495" s="1" t="b">
        <f t="shared" si="55"/>
        <v>0</v>
      </c>
    </row>
    <row r="496" spans="1:16" x14ac:dyDescent="0.2">
      <c r="A496">
        <v>1883692</v>
      </c>
      <c r="B496" t="s">
        <v>1012</v>
      </c>
      <c r="C496" t="s">
        <v>38</v>
      </c>
      <c r="D496" t="s">
        <v>19</v>
      </c>
      <c r="E496" s="1">
        <v>44813</v>
      </c>
      <c r="F496" t="s">
        <v>817</v>
      </c>
      <c r="G496" s="1">
        <v>44818</v>
      </c>
      <c r="I496" t="s">
        <v>13</v>
      </c>
      <c r="J496" s="1" t="b">
        <f t="shared" si="49"/>
        <v>0</v>
      </c>
      <c r="K496" s="1" t="b">
        <f t="shared" si="50"/>
        <v>1</v>
      </c>
      <c r="L496" s="1" t="b">
        <f t="shared" si="51"/>
        <v>0</v>
      </c>
      <c r="M496" s="1" t="b">
        <f t="shared" si="52"/>
        <v>0</v>
      </c>
      <c r="N496" s="1" t="b">
        <f t="shared" si="53"/>
        <v>0</v>
      </c>
      <c r="O496" s="1" t="b">
        <f t="shared" si="54"/>
        <v>0</v>
      </c>
      <c r="P496" s="1" t="b">
        <f t="shared" si="55"/>
        <v>0</v>
      </c>
    </row>
    <row r="497" spans="1:16" x14ac:dyDescent="0.2">
      <c r="A497">
        <v>1107003</v>
      </c>
      <c r="B497" t="s">
        <v>1013</v>
      </c>
      <c r="C497" t="s">
        <v>310</v>
      </c>
      <c r="D497" t="s">
        <v>60</v>
      </c>
      <c r="E497" s="1">
        <v>44571</v>
      </c>
      <c r="F497" t="s">
        <v>1014</v>
      </c>
      <c r="G497" s="1">
        <v>44582</v>
      </c>
      <c r="I497" t="s">
        <v>13</v>
      </c>
      <c r="J497" s="1" t="b">
        <f t="shared" si="49"/>
        <v>0</v>
      </c>
      <c r="K497" s="1" t="b">
        <f t="shared" si="50"/>
        <v>1</v>
      </c>
      <c r="L497" s="1" t="b">
        <f t="shared" si="51"/>
        <v>0</v>
      </c>
      <c r="M497" s="1" t="b">
        <f t="shared" si="52"/>
        <v>0</v>
      </c>
      <c r="N497" s="1" t="b">
        <f t="shared" si="53"/>
        <v>0</v>
      </c>
      <c r="O497" s="1" t="b">
        <f t="shared" si="54"/>
        <v>0</v>
      </c>
      <c r="P497" s="1" t="b">
        <f t="shared" si="55"/>
        <v>0</v>
      </c>
    </row>
    <row r="498" spans="1:16" x14ac:dyDescent="0.2">
      <c r="A498">
        <v>1024528</v>
      </c>
      <c r="B498" t="s">
        <v>1015</v>
      </c>
      <c r="C498" t="s">
        <v>35</v>
      </c>
      <c r="D498" t="s">
        <v>60</v>
      </c>
      <c r="E498" s="1">
        <v>44991</v>
      </c>
      <c r="F498" t="s">
        <v>1016</v>
      </c>
      <c r="G498" s="1">
        <v>45007</v>
      </c>
      <c r="I498" t="s">
        <v>13</v>
      </c>
      <c r="J498" s="1" t="b">
        <f t="shared" si="49"/>
        <v>0</v>
      </c>
      <c r="K498" s="1" t="b">
        <f t="shared" si="50"/>
        <v>1</v>
      </c>
      <c r="L498" s="1" t="b">
        <f t="shared" si="51"/>
        <v>0</v>
      </c>
      <c r="M498" s="1" t="b">
        <f t="shared" si="52"/>
        <v>0</v>
      </c>
      <c r="N498" s="1" t="b">
        <f t="shared" si="53"/>
        <v>0</v>
      </c>
      <c r="O498" s="1" t="b">
        <f t="shared" si="54"/>
        <v>0</v>
      </c>
      <c r="P498" s="1" t="b">
        <f t="shared" si="55"/>
        <v>0</v>
      </c>
    </row>
    <row r="499" spans="1:16" x14ac:dyDescent="0.2">
      <c r="A499">
        <v>1024528</v>
      </c>
      <c r="B499" t="s">
        <v>1017</v>
      </c>
      <c r="C499" t="s">
        <v>35</v>
      </c>
      <c r="D499" t="s">
        <v>60</v>
      </c>
      <c r="E499" s="1">
        <v>44657</v>
      </c>
      <c r="F499" t="s">
        <v>1018</v>
      </c>
      <c r="G499" s="1">
        <v>44659</v>
      </c>
      <c r="H499" s="1">
        <v>44718</v>
      </c>
      <c r="I499" t="s">
        <v>43</v>
      </c>
      <c r="J499" s="1" t="b">
        <f t="shared" si="49"/>
        <v>1</v>
      </c>
      <c r="K499" s="1" t="b">
        <f t="shared" si="50"/>
        <v>0</v>
      </c>
      <c r="L499" s="1" t="b">
        <f t="shared" si="51"/>
        <v>0</v>
      </c>
      <c r="M499" s="1" t="b">
        <f t="shared" si="52"/>
        <v>0</v>
      </c>
      <c r="N499" s="1" t="b">
        <f t="shared" si="53"/>
        <v>0</v>
      </c>
      <c r="O499" s="1" t="b">
        <f t="shared" si="54"/>
        <v>1</v>
      </c>
      <c r="P499" s="1" t="b">
        <f t="shared" si="55"/>
        <v>0</v>
      </c>
    </row>
    <row r="500" spans="1:16" x14ac:dyDescent="0.2">
      <c r="A500">
        <v>1024528</v>
      </c>
      <c r="B500" t="s">
        <v>1019</v>
      </c>
      <c r="C500" t="s">
        <v>35</v>
      </c>
      <c r="D500" t="s">
        <v>60</v>
      </c>
      <c r="E500" s="1">
        <v>44984</v>
      </c>
      <c r="F500" t="s">
        <v>1020</v>
      </c>
      <c r="G500" s="1">
        <v>45007</v>
      </c>
      <c r="I500" t="s">
        <v>25</v>
      </c>
      <c r="J500" s="1" t="b">
        <f t="shared" si="49"/>
        <v>0</v>
      </c>
      <c r="K500" s="1" t="b">
        <f t="shared" si="50"/>
        <v>0</v>
      </c>
      <c r="L500" s="1" t="b">
        <f t="shared" si="51"/>
        <v>1</v>
      </c>
      <c r="M500" s="1" t="b">
        <f t="shared" si="52"/>
        <v>0</v>
      </c>
      <c r="N500" s="1" t="b">
        <f t="shared" si="53"/>
        <v>0</v>
      </c>
      <c r="O500" s="1" t="b">
        <f t="shared" si="54"/>
        <v>0</v>
      </c>
      <c r="P500" s="1" t="b">
        <f t="shared" si="55"/>
        <v>0</v>
      </c>
    </row>
    <row r="501" spans="1:16" x14ac:dyDescent="0.2">
      <c r="A501">
        <v>7249378</v>
      </c>
      <c r="B501" t="s">
        <v>1021</v>
      </c>
      <c r="C501" t="s">
        <v>287</v>
      </c>
      <c r="D501" t="s">
        <v>122</v>
      </c>
      <c r="E501" s="1">
        <v>44673</v>
      </c>
      <c r="F501" t="s">
        <v>1022</v>
      </c>
      <c r="G501" s="1">
        <v>44678</v>
      </c>
      <c r="I501" t="s">
        <v>13</v>
      </c>
      <c r="J501" s="1" t="b">
        <f t="shared" si="49"/>
        <v>0</v>
      </c>
      <c r="K501" s="1" t="b">
        <f t="shared" si="50"/>
        <v>1</v>
      </c>
      <c r="L501" s="1" t="b">
        <f t="shared" si="51"/>
        <v>0</v>
      </c>
      <c r="M501" s="1" t="b">
        <f t="shared" si="52"/>
        <v>0</v>
      </c>
      <c r="N501" s="1" t="b">
        <f t="shared" si="53"/>
        <v>0</v>
      </c>
      <c r="O501" s="1" t="b">
        <f t="shared" si="54"/>
        <v>0</v>
      </c>
      <c r="P501" s="1" t="b">
        <f t="shared" si="55"/>
        <v>0</v>
      </c>
    </row>
    <row r="502" spans="1:16" x14ac:dyDescent="0.2">
      <c r="A502">
        <v>7249378</v>
      </c>
      <c r="B502" t="s">
        <v>1023</v>
      </c>
      <c r="C502" t="s">
        <v>287</v>
      </c>
      <c r="D502" t="s">
        <v>122</v>
      </c>
      <c r="E502" s="1">
        <v>44638</v>
      </c>
      <c r="F502" t="s">
        <v>1024</v>
      </c>
      <c r="G502" s="1">
        <v>44657</v>
      </c>
      <c r="I502" t="s">
        <v>13</v>
      </c>
      <c r="J502" s="1" t="b">
        <f t="shared" si="49"/>
        <v>0</v>
      </c>
      <c r="K502" s="1" t="b">
        <f t="shared" si="50"/>
        <v>1</v>
      </c>
      <c r="L502" s="1" t="b">
        <f t="shared" si="51"/>
        <v>0</v>
      </c>
      <c r="M502" s="1" t="b">
        <f t="shared" si="52"/>
        <v>0</v>
      </c>
      <c r="N502" s="1" t="b">
        <f t="shared" si="53"/>
        <v>0</v>
      </c>
      <c r="O502" s="1" t="b">
        <f t="shared" si="54"/>
        <v>0</v>
      </c>
      <c r="P502" s="1" t="b">
        <f t="shared" si="55"/>
        <v>0</v>
      </c>
    </row>
    <row r="503" spans="1:16" x14ac:dyDescent="0.2">
      <c r="A503">
        <v>7249378</v>
      </c>
      <c r="B503" t="s">
        <v>1025</v>
      </c>
      <c r="C503" t="s">
        <v>287</v>
      </c>
      <c r="D503" t="s">
        <v>122</v>
      </c>
      <c r="E503" s="1">
        <v>44804</v>
      </c>
      <c r="F503" t="s">
        <v>1026</v>
      </c>
      <c r="G503" s="1">
        <v>44814</v>
      </c>
      <c r="H503" s="1">
        <v>44831</v>
      </c>
      <c r="J503" s="1" t="b">
        <f t="shared" si="49"/>
        <v>1</v>
      </c>
      <c r="K503" s="1" t="b">
        <f t="shared" si="50"/>
        <v>0</v>
      </c>
      <c r="L503" s="1" t="b">
        <f t="shared" si="51"/>
        <v>0</v>
      </c>
      <c r="M503" s="1" t="b">
        <f t="shared" si="52"/>
        <v>0</v>
      </c>
      <c r="N503" s="1" t="b">
        <f t="shared" si="53"/>
        <v>0</v>
      </c>
      <c r="O503" s="1" t="b">
        <f t="shared" si="54"/>
        <v>0</v>
      </c>
      <c r="P503" s="1" t="b">
        <f t="shared" si="55"/>
        <v>0</v>
      </c>
    </row>
    <row r="504" spans="1:16" x14ac:dyDescent="0.2">
      <c r="A504">
        <v>7249378</v>
      </c>
      <c r="B504" t="s">
        <v>1027</v>
      </c>
      <c r="C504" t="s">
        <v>287</v>
      </c>
      <c r="D504" t="s">
        <v>122</v>
      </c>
      <c r="E504" s="1">
        <v>44896</v>
      </c>
      <c r="F504" t="s">
        <v>547</v>
      </c>
      <c r="G504" s="1">
        <v>44907</v>
      </c>
      <c r="H504" s="1">
        <v>44936</v>
      </c>
      <c r="J504" s="1" t="b">
        <f t="shared" si="49"/>
        <v>1</v>
      </c>
      <c r="K504" s="1" t="b">
        <f t="shared" si="50"/>
        <v>0</v>
      </c>
      <c r="L504" s="1" t="b">
        <f t="shared" si="51"/>
        <v>0</v>
      </c>
      <c r="M504" s="1" t="b">
        <f t="shared" si="52"/>
        <v>0</v>
      </c>
      <c r="N504" s="1" t="b">
        <f t="shared" si="53"/>
        <v>0</v>
      </c>
      <c r="O504" s="1" t="b">
        <f t="shared" si="54"/>
        <v>0</v>
      </c>
      <c r="P504" s="1" t="b">
        <f t="shared" si="55"/>
        <v>0</v>
      </c>
    </row>
    <row r="505" spans="1:16" x14ac:dyDescent="0.2">
      <c r="A505">
        <v>7249378</v>
      </c>
      <c r="B505" t="s">
        <v>1028</v>
      </c>
      <c r="C505" t="s">
        <v>287</v>
      </c>
      <c r="D505" t="s">
        <v>122</v>
      </c>
      <c r="E505" s="1">
        <v>44701</v>
      </c>
      <c r="F505" t="s">
        <v>1029</v>
      </c>
      <c r="G505" s="1">
        <v>44726</v>
      </c>
      <c r="I505" t="s">
        <v>25</v>
      </c>
      <c r="J505" s="1" t="b">
        <f t="shared" si="49"/>
        <v>0</v>
      </c>
      <c r="K505" s="1" t="b">
        <f t="shared" si="50"/>
        <v>0</v>
      </c>
      <c r="L505" s="1" t="b">
        <f t="shared" si="51"/>
        <v>1</v>
      </c>
      <c r="M505" s="1" t="b">
        <f t="shared" si="52"/>
        <v>0</v>
      </c>
      <c r="N505" s="1" t="b">
        <f t="shared" si="53"/>
        <v>0</v>
      </c>
      <c r="O505" s="1" t="b">
        <f t="shared" si="54"/>
        <v>0</v>
      </c>
      <c r="P505" s="1" t="b">
        <f t="shared" si="55"/>
        <v>0</v>
      </c>
    </row>
    <row r="506" spans="1:16" x14ac:dyDescent="0.2">
      <c r="A506">
        <v>2772642</v>
      </c>
      <c r="B506" t="s">
        <v>1030</v>
      </c>
      <c r="C506" t="s">
        <v>38</v>
      </c>
      <c r="D506" t="s">
        <v>77</v>
      </c>
      <c r="E506" s="1">
        <v>44928</v>
      </c>
      <c r="F506" t="s">
        <v>1031</v>
      </c>
      <c r="G506" s="1">
        <v>44953</v>
      </c>
      <c r="I506" t="s">
        <v>25</v>
      </c>
      <c r="J506" s="1" t="b">
        <f t="shared" si="49"/>
        <v>0</v>
      </c>
      <c r="K506" s="1" t="b">
        <f t="shared" si="50"/>
        <v>0</v>
      </c>
      <c r="L506" s="1" t="b">
        <f t="shared" si="51"/>
        <v>1</v>
      </c>
      <c r="M506" s="1" t="b">
        <f t="shared" si="52"/>
        <v>0</v>
      </c>
      <c r="N506" s="1" t="b">
        <f t="shared" si="53"/>
        <v>0</v>
      </c>
      <c r="O506" s="1" t="b">
        <f t="shared" si="54"/>
        <v>0</v>
      </c>
      <c r="P506" s="1" t="b">
        <f t="shared" si="55"/>
        <v>0</v>
      </c>
    </row>
    <row r="507" spans="1:16" x14ac:dyDescent="0.2">
      <c r="A507">
        <v>2772642</v>
      </c>
      <c r="B507" t="s">
        <v>1032</v>
      </c>
      <c r="C507" t="s">
        <v>38</v>
      </c>
      <c r="D507" t="s">
        <v>77</v>
      </c>
      <c r="E507" s="1">
        <v>44833</v>
      </c>
      <c r="F507" t="s">
        <v>634</v>
      </c>
      <c r="G507" s="1">
        <v>44861</v>
      </c>
      <c r="I507" t="s">
        <v>13</v>
      </c>
      <c r="J507" s="1" t="b">
        <f t="shared" si="49"/>
        <v>0</v>
      </c>
      <c r="K507" s="1" t="b">
        <f t="shared" si="50"/>
        <v>1</v>
      </c>
      <c r="L507" s="1" t="b">
        <f t="shared" si="51"/>
        <v>0</v>
      </c>
      <c r="M507" s="1" t="b">
        <f t="shared" si="52"/>
        <v>0</v>
      </c>
      <c r="N507" s="1" t="b">
        <f t="shared" si="53"/>
        <v>0</v>
      </c>
      <c r="O507" s="1" t="b">
        <f t="shared" si="54"/>
        <v>0</v>
      </c>
      <c r="P507" s="1" t="b">
        <f t="shared" si="55"/>
        <v>0</v>
      </c>
    </row>
    <row r="508" spans="1:16" x14ac:dyDescent="0.2">
      <c r="A508">
        <v>2772642</v>
      </c>
      <c r="B508" t="s">
        <v>1033</v>
      </c>
      <c r="C508" t="s">
        <v>38</v>
      </c>
      <c r="D508" t="s">
        <v>77</v>
      </c>
      <c r="E508" s="1">
        <v>44873</v>
      </c>
      <c r="F508" t="s">
        <v>475</v>
      </c>
      <c r="G508" s="1">
        <v>44900</v>
      </c>
      <c r="I508" t="s">
        <v>13</v>
      </c>
      <c r="J508" s="1" t="b">
        <f t="shared" si="49"/>
        <v>0</v>
      </c>
      <c r="K508" s="1" t="b">
        <f t="shared" si="50"/>
        <v>1</v>
      </c>
      <c r="L508" s="1" t="b">
        <f t="shared" si="51"/>
        <v>0</v>
      </c>
      <c r="M508" s="1" t="b">
        <f t="shared" si="52"/>
        <v>0</v>
      </c>
      <c r="N508" s="1" t="b">
        <f t="shared" si="53"/>
        <v>0</v>
      </c>
      <c r="O508" s="1" t="b">
        <f t="shared" si="54"/>
        <v>0</v>
      </c>
      <c r="P508" s="1" t="b">
        <f t="shared" si="55"/>
        <v>0</v>
      </c>
    </row>
    <row r="509" spans="1:16" x14ac:dyDescent="0.2">
      <c r="A509">
        <v>2772642</v>
      </c>
      <c r="B509" t="s">
        <v>1034</v>
      </c>
      <c r="C509" t="s">
        <v>38</v>
      </c>
      <c r="D509" t="s">
        <v>77</v>
      </c>
      <c r="E509" s="1">
        <v>44897</v>
      </c>
      <c r="F509" t="s">
        <v>1035</v>
      </c>
      <c r="G509" s="1">
        <v>44902</v>
      </c>
      <c r="H509" s="1">
        <v>44908</v>
      </c>
      <c r="I509" t="s">
        <v>16</v>
      </c>
      <c r="J509" s="1" t="b">
        <f t="shared" si="49"/>
        <v>1</v>
      </c>
      <c r="K509" s="1" t="b">
        <f t="shared" si="50"/>
        <v>0</v>
      </c>
      <c r="L509" s="1" t="b">
        <f t="shared" si="51"/>
        <v>0</v>
      </c>
      <c r="M509" s="1" t="b">
        <f t="shared" si="52"/>
        <v>0</v>
      </c>
      <c r="N509" s="1" t="b">
        <f t="shared" si="53"/>
        <v>1</v>
      </c>
      <c r="O509" s="1" t="b">
        <f t="shared" si="54"/>
        <v>0</v>
      </c>
      <c r="P509" s="1" t="b">
        <f t="shared" si="55"/>
        <v>0</v>
      </c>
    </row>
    <row r="510" spans="1:16" x14ac:dyDescent="0.2">
      <c r="A510">
        <v>5164420</v>
      </c>
      <c r="B510" t="s">
        <v>1036</v>
      </c>
      <c r="C510" t="s">
        <v>542</v>
      </c>
      <c r="D510" t="s">
        <v>60</v>
      </c>
      <c r="E510" s="1">
        <v>44638</v>
      </c>
      <c r="F510" t="s">
        <v>1037</v>
      </c>
      <c r="G510" s="1">
        <v>44639</v>
      </c>
      <c r="I510" t="s">
        <v>13</v>
      </c>
      <c r="J510" s="1" t="b">
        <f t="shared" si="49"/>
        <v>0</v>
      </c>
      <c r="K510" s="1" t="b">
        <f t="shared" si="50"/>
        <v>1</v>
      </c>
      <c r="L510" s="1" t="b">
        <f t="shared" si="51"/>
        <v>0</v>
      </c>
      <c r="M510" s="1" t="b">
        <f t="shared" si="52"/>
        <v>0</v>
      </c>
      <c r="N510" s="1" t="b">
        <f t="shared" si="53"/>
        <v>0</v>
      </c>
      <c r="O510" s="1" t="b">
        <f t="shared" si="54"/>
        <v>0</v>
      </c>
      <c r="P510" s="1" t="b">
        <f t="shared" si="55"/>
        <v>0</v>
      </c>
    </row>
    <row r="511" spans="1:16" x14ac:dyDescent="0.2">
      <c r="A511">
        <v>5164420</v>
      </c>
      <c r="B511" t="s">
        <v>1038</v>
      </c>
      <c r="C511" t="s">
        <v>542</v>
      </c>
      <c r="D511" t="s">
        <v>60</v>
      </c>
      <c r="E511" s="1">
        <v>44593</v>
      </c>
      <c r="F511" t="s">
        <v>1039</v>
      </c>
      <c r="G511" s="1">
        <v>44606</v>
      </c>
      <c r="I511" t="s">
        <v>13</v>
      </c>
      <c r="J511" s="1" t="b">
        <f t="shared" si="49"/>
        <v>0</v>
      </c>
      <c r="K511" s="1" t="b">
        <f t="shared" si="50"/>
        <v>1</v>
      </c>
      <c r="L511" s="1" t="b">
        <f t="shared" si="51"/>
        <v>0</v>
      </c>
      <c r="M511" s="1" t="b">
        <f t="shared" si="52"/>
        <v>0</v>
      </c>
      <c r="N511" s="1" t="b">
        <f t="shared" si="53"/>
        <v>0</v>
      </c>
      <c r="O511" s="1" t="b">
        <f t="shared" si="54"/>
        <v>0</v>
      </c>
      <c r="P511" s="1" t="b">
        <f t="shared" si="55"/>
        <v>0</v>
      </c>
    </row>
    <row r="512" spans="1:16" x14ac:dyDescent="0.2">
      <c r="A512">
        <v>5164420</v>
      </c>
      <c r="B512" t="s">
        <v>1040</v>
      </c>
      <c r="C512" t="s">
        <v>542</v>
      </c>
      <c r="D512" t="s">
        <v>60</v>
      </c>
      <c r="E512" s="1">
        <v>44666</v>
      </c>
      <c r="F512" t="s">
        <v>1041</v>
      </c>
      <c r="G512" s="1">
        <v>44692</v>
      </c>
      <c r="H512" s="1">
        <v>44743</v>
      </c>
      <c r="I512" t="s">
        <v>43</v>
      </c>
      <c r="J512" s="1" t="b">
        <f t="shared" si="49"/>
        <v>1</v>
      </c>
      <c r="K512" s="1" t="b">
        <f t="shared" si="50"/>
        <v>0</v>
      </c>
      <c r="L512" s="1" t="b">
        <f t="shared" si="51"/>
        <v>0</v>
      </c>
      <c r="M512" s="1" t="b">
        <f t="shared" si="52"/>
        <v>0</v>
      </c>
      <c r="N512" s="1" t="b">
        <f t="shared" si="53"/>
        <v>0</v>
      </c>
      <c r="O512" s="1" t="b">
        <f t="shared" si="54"/>
        <v>1</v>
      </c>
      <c r="P512" s="1" t="b">
        <f t="shared" si="55"/>
        <v>0</v>
      </c>
    </row>
    <row r="513" spans="1:16" x14ac:dyDescent="0.2">
      <c r="A513">
        <v>5164420</v>
      </c>
      <c r="B513" t="s">
        <v>1042</v>
      </c>
      <c r="C513" t="s">
        <v>542</v>
      </c>
      <c r="D513" t="s">
        <v>60</v>
      </c>
      <c r="E513" s="1">
        <v>44789</v>
      </c>
      <c r="F513" t="s">
        <v>1043</v>
      </c>
      <c r="G513" s="1">
        <v>44794</v>
      </c>
      <c r="I513" t="s">
        <v>13</v>
      </c>
      <c r="J513" s="1" t="b">
        <f t="shared" si="49"/>
        <v>0</v>
      </c>
      <c r="K513" s="1" t="b">
        <f t="shared" si="50"/>
        <v>1</v>
      </c>
      <c r="L513" s="1" t="b">
        <f t="shared" si="51"/>
        <v>0</v>
      </c>
      <c r="M513" s="1" t="b">
        <f t="shared" si="52"/>
        <v>0</v>
      </c>
      <c r="N513" s="1" t="b">
        <f t="shared" si="53"/>
        <v>0</v>
      </c>
      <c r="O513" s="1" t="b">
        <f t="shared" si="54"/>
        <v>0</v>
      </c>
      <c r="P513" s="1" t="b">
        <f t="shared" si="55"/>
        <v>0</v>
      </c>
    </row>
    <row r="514" spans="1:16" x14ac:dyDescent="0.2">
      <c r="A514">
        <v>5164420</v>
      </c>
      <c r="B514" t="s">
        <v>1044</v>
      </c>
      <c r="C514" t="s">
        <v>542</v>
      </c>
      <c r="D514" t="s">
        <v>60</v>
      </c>
      <c r="E514" s="1">
        <v>44648</v>
      </c>
      <c r="F514" t="s">
        <v>1045</v>
      </c>
      <c r="G514" s="1">
        <v>44667</v>
      </c>
      <c r="I514" t="s">
        <v>13</v>
      </c>
      <c r="J514" s="1" t="b">
        <f t="shared" si="49"/>
        <v>0</v>
      </c>
      <c r="K514" s="1" t="b">
        <f t="shared" si="50"/>
        <v>1</v>
      </c>
      <c r="L514" s="1" t="b">
        <f t="shared" si="51"/>
        <v>0</v>
      </c>
      <c r="M514" s="1" t="b">
        <f t="shared" si="52"/>
        <v>0</v>
      </c>
      <c r="N514" s="1" t="b">
        <f t="shared" si="53"/>
        <v>0</v>
      </c>
      <c r="O514" s="1" t="b">
        <f t="shared" si="54"/>
        <v>0</v>
      </c>
      <c r="P514" s="1" t="b">
        <f t="shared" si="55"/>
        <v>0</v>
      </c>
    </row>
    <row r="515" spans="1:16" x14ac:dyDescent="0.2">
      <c r="A515">
        <v>2081661</v>
      </c>
      <c r="B515" t="s">
        <v>1046</v>
      </c>
      <c r="C515" t="s">
        <v>454</v>
      </c>
      <c r="D515" t="s">
        <v>77</v>
      </c>
      <c r="E515" s="1">
        <v>45005</v>
      </c>
      <c r="F515" t="s">
        <v>1047</v>
      </c>
      <c r="G515" s="1">
        <v>45032</v>
      </c>
      <c r="I515" t="s">
        <v>13</v>
      </c>
      <c r="J515" s="1" t="b">
        <f t="shared" ref="J515:J578" si="56">AND(NOT(ISBLANK(H515)), NOT(OR(ISNUMBER(SEARCH("decline", I515)), ISNUMBER(SEARCH("rescind", I515)), ISNUMBER(SEARCH("cancel", I515)))))</f>
        <v>0</v>
      </c>
      <c r="K515" s="1" t="b">
        <f t="shared" ref="K515:K578" si="57">ISNUMBER(SEARCH("decline", I515))</f>
        <v>1</v>
      </c>
      <c r="L515" s="1" t="b">
        <f t="shared" ref="L515:L578" si="58">ISNUMBER(SEARCH("rescind", I515))</f>
        <v>0</v>
      </c>
      <c r="M515" s="1" t="b">
        <f t="shared" ref="M515:M578" si="59">ISNUMBER(SEARCH("cancel", I515))</f>
        <v>0</v>
      </c>
      <c r="N515" s="1" t="b">
        <f t="shared" ref="N515:N578" si="60">ISNUMBER(SEARCH("transfer", I515))</f>
        <v>0</v>
      </c>
      <c r="O515" s="1" t="b">
        <f t="shared" ref="O515:O578" si="61">ISNUMBER(SEARCH("promo", I515))</f>
        <v>0</v>
      </c>
      <c r="P515" s="1" t="b">
        <f t="shared" ref="P515:P578" si="62">ISNUMBER(SEARCH("new", I515))</f>
        <v>0</v>
      </c>
    </row>
    <row r="516" spans="1:16" x14ac:dyDescent="0.2">
      <c r="A516">
        <v>2081661</v>
      </c>
      <c r="B516" t="s">
        <v>1048</v>
      </c>
      <c r="C516" t="s">
        <v>454</v>
      </c>
      <c r="D516" t="s">
        <v>77</v>
      </c>
      <c r="E516" s="1">
        <v>45034</v>
      </c>
      <c r="F516" t="s">
        <v>1049</v>
      </c>
      <c r="G516" s="1">
        <v>45036</v>
      </c>
      <c r="H516" s="1">
        <v>45047</v>
      </c>
      <c r="I516" t="s">
        <v>28</v>
      </c>
      <c r="J516" s="1" t="b">
        <f t="shared" si="56"/>
        <v>1</v>
      </c>
      <c r="K516" s="1" t="b">
        <f t="shared" si="57"/>
        <v>0</v>
      </c>
      <c r="L516" s="1" t="b">
        <f t="shared" si="58"/>
        <v>0</v>
      </c>
      <c r="M516" s="1" t="b">
        <f t="shared" si="59"/>
        <v>0</v>
      </c>
      <c r="N516" s="1" t="b">
        <f t="shared" si="60"/>
        <v>0</v>
      </c>
      <c r="O516" s="1" t="b">
        <f t="shared" si="61"/>
        <v>0</v>
      </c>
      <c r="P516" s="1" t="b">
        <f t="shared" si="62"/>
        <v>1</v>
      </c>
    </row>
    <row r="517" spans="1:16" x14ac:dyDescent="0.2">
      <c r="A517">
        <v>7626978</v>
      </c>
      <c r="B517" t="s">
        <v>1050</v>
      </c>
      <c r="C517" t="s">
        <v>363</v>
      </c>
      <c r="D517" t="s">
        <v>56</v>
      </c>
      <c r="E517" s="1">
        <v>44753</v>
      </c>
      <c r="F517" t="s">
        <v>1051</v>
      </c>
      <c r="G517" s="1">
        <v>44762</v>
      </c>
      <c r="H517" s="1">
        <v>44780</v>
      </c>
      <c r="I517" t="s">
        <v>43</v>
      </c>
      <c r="J517" s="1" t="b">
        <f t="shared" si="56"/>
        <v>1</v>
      </c>
      <c r="K517" s="1" t="b">
        <f t="shared" si="57"/>
        <v>0</v>
      </c>
      <c r="L517" s="1" t="b">
        <f t="shared" si="58"/>
        <v>0</v>
      </c>
      <c r="M517" s="1" t="b">
        <f t="shared" si="59"/>
        <v>0</v>
      </c>
      <c r="N517" s="1" t="b">
        <f t="shared" si="60"/>
        <v>0</v>
      </c>
      <c r="O517" s="1" t="b">
        <f t="shared" si="61"/>
        <v>1</v>
      </c>
      <c r="P517" s="1" t="b">
        <f t="shared" si="62"/>
        <v>0</v>
      </c>
    </row>
    <row r="518" spans="1:16" x14ac:dyDescent="0.2">
      <c r="A518">
        <v>7626978</v>
      </c>
      <c r="B518" t="s">
        <v>1052</v>
      </c>
      <c r="C518" t="s">
        <v>363</v>
      </c>
      <c r="D518" t="s">
        <v>56</v>
      </c>
      <c r="E518" s="1">
        <v>44813</v>
      </c>
      <c r="F518" t="s">
        <v>347</v>
      </c>
      <c r="G518" s="1">
        <v>44834</v>
      </c>
      <c r="H518" s="1">
        <v>44853</v>
      </c>
      <c r="I518" t="s">
        <v>43</v>
      </c>
      <c r="J518" s="1" t="b">
        <f t="shared" si="56"/>
        <v>1</v>
      </c>
      <c r="K518" s="1" t="b">
        <f t="shared" si="57"/>
        <v>0</v>
      </c>
      <c r="L518" s="1" t="b">
        <f t="shared" si="58"/>
        <v>0</v>
      </c>
      <c r="M518" s="1" t="b">
        <f t="shared" si="59"/>
        <v>0</v>
      </c>
      <c r="N518" s="1" t="b">
        <f t="shared" si="60"/>
        <v>0</v>
      </c>
      <c r="O518" s="1" t="b">
        <f t="shared" si="61"/>
        <v>1</v>
      </c>
      <c r="P518" s="1" t="b">
        <f t="shared" si="62"/>
        <v>0</v>
      </c>
    </row>
    <row r="519" spans="1:16" x14ac:dyDescent="0.2">
      <c r="A519">
        <v>7626978</v>
      </c>
      <c r="B519" t="s">
        <v>1053</v>
      </c>
      <c r="C519" t="s">
        <v>363</v>
      </c>
      <c r="D519" t="s">
        <v>56</v>
      </c>
      <c r="E519" s="1">
        <v>44848</v>
      </c>
      <c r="F519" t="s">
        <v>1054</v>
      </c>
      <c r="G519" s="1">
        <v>44861</v>
      </c>
      <c r="H519" s="1">
        <v>44870</v>
      </c>
      <c r="J519" s="1" t="b">
        <f t="shared" si="56"/>
        <v>1</v>
      </c>
      <c r="K519" s="1" t="b">
        <f t="shared" si="57"/>
        <v>0</v>
      </c>
      <c r="L519" s="1" t="b">
        <f t="shared" si="58"/>
        <v>0</v>
      </c>
      <c r="M519" s="1" t="b">
        <f t="shared" si="59"/>
        <v>0</v>
      </c>
      <c r="N519" s="1" t="b">
        <f t="shared" si="60"/>
        <v>0</v>
      </c>
      <c r="O519" s="1" t="b">
        <f t="shared" si="61"/>
        <v>0</v>
      </c>
      <c r="P519" s="1" t="b">
        <f t="shared" si="62"/>
        <v>0</v>
      </c>
    </row>
    <row r="520" spans="1:16" x14ac:dyDescent="0.2">
      <c r="A520">
        <v>7626978</v>
      </c>
      <c r="B520" t="s">
        <v>1055</v>
      </c>
      <c r="C520" t="s">
        <v>363</v>
      </c>
      <c r="D520" t="s">
        <v>56</v>
      </c>
      <c r="E520" s="1">
        <v>44581</v>
      </c>
      <c r="F520" t="s">
        <v>1056</v>
      </c>
      <c r="G520" s="1">
        <v>44594</v>
      </c>
      <c r="H520" s="1">
        <v>44645</v>
      </c>
      <c r="I520" t="s">
        <v>43</v>
      </c>
      <c r="J520" s="1" t="b">
        <f t="shared" si="56"/>
        <v>1</v>
      </c>
      <c r="K520" s="1" t="b">
        <f t="shared" si="57"/>
        <v>0</v>
      </c>
      <c r="L520" s="1" t="b">
        <f t="shared" si="58"/>
        <v>0</v>
      </c>
      <c r="M520" s="1" t="b">
        <f t="shared" si="59"/>
        <v>0</v>
      </c>
      <c r="N520" s="1" t="b">
        <f t="shared" si="60"/>
        <v>0</v>
      </c>
      <c r="O520" s="1" t="b">
        <f t="shared" si="61"/>
        <v>1</v>
      </c>
      <c r="P520" s="1" t="b">
        <f t="shared" si="62"/>
        <v>0</v>
      </c>
    </row>
    <row r="521" spans="1:16" x14ac:dyDescent="0.2">
      <c r="A521">
        <v>7024901</v>
      </c>
      <c r="B521" t="s">
        <v>1057</v>
      </c>
      <c r="C521" t="s">
        <v>363</v>
      </c>
      <c r="D521" t="s">
        <v>139</v>
      </c>
      <c r="E521" s="1">
        <v>44891</v>
      </c>
      <c r="F521" t="s">
        <v>1058</v>
      </c>
      <c r="G521" s="1">
        <v>44904</v>
      </c>
      <c r="I521" t="s">
        <v>25</v>
      </c>
      <c r="J521" s="1" t="b">
        <f t="shared" si="56"/>
        <v>0</v>
      </c>
      <c r="K521" s="1" t="b">
        <f t="shared" si="57"/>
        <v>0</v>
      </c>
      <c r="L521" s="1" t="b">
        <f t="shared" si="58"/>
        <v>1</v>
      </c>
      <c r="M521" s="1" t="b">
        <f t="shared" si="59"/>
        <v>0</v>
      </c>
      <c r="N521" s="1" t="b">
        <f t="shared" si="60"/>
        <v>0</v>
      </c>
      <c r="O521" s="1" t="b">
        <f t="shared" si="61"/>
        <v>0</v>
      </c>
      <c r="P521" s="1" t="b">
        <f t="shared" si="62"/>
        <v>0</v>
      </c>
    </row>
    <row r="522" spans="1:16" x14ac:dyDescent="0.2">
      <c r="A522">
        <v>7024901</v>
      </c>
      <c r="B522" t="s">
        <v>1059</v>
      </c>
      <c r="C522" t="s">
        <v>363</v>
      </c>
      <c r="D522" t="s">
        <v>139</v>
      </c>
      <c r="E522" s="1">
        <v>44786</v>
      </c>
      <c r="F522" t="s">
        <v>1060</v>
      </c>
      <c r="G522" s="1">
        <v>44787</v>
      </c>
      <c r="I522" t="s">
        <v>13</v>
      </c>
      <c r="J522" s="1" t="b">
        <f t="shared" si="56"/>
        <v>0</v>
      </c>
      <c r="K522" s="1" t="b">
        <f t="shared" si="57"/>
        <v>1</v>
      </c>
      <c r="L522" s="1" t="b">
        <f t="shared" si="58"/>
        <v>0</v>
      </c>
      <c r="M522" s="1" t="b">
        <f t="shared" si="59"/>
        <v>0</v>
      </c>
      <c r="N522" s="1" t="b">
        <f t="shared" si="60"/>
        <v>0</v>
      </c>
      <c r="O522" s="1" t="b">
        <f t="shared" si="61"/>
        <v>0</v>
      </c>
      <c r="P522" s="1" t="b">
        <f t="shared" si="62"/>
        <v>0</v>
      </c>
    </row>
    <row r="523" spans="1:16" x14ac:dyDescent="0.2">
      <c r="A523">
        <v>7024901</v>
      </c>
      <c r="B523" t="s">
        <v>1061</v>
      </c>
      <c r="C523" t="s">
        <v>363</v>
      </c>
      <c r="D523" t="s">
        <v>139</v>
      </c>
      <c r="E523" s="1">
        <v>45045</v>
      </c>
      <c r="F523" t="s">
        <v>1062</v>
      </c>
      <c r="G523" s="1">
        <v>45062</v>
      </c>
      <c r="H523" s="1">
        <v>45085</v>
      </c>
      <c r="I523" t="s">
        <v>28</v>
      </c>
      <c r="J523" s="1" t="b">
        <f t="shared" si="56"/>
        <v>1</v>
      </c>
      <c r="K523" s="1" t="b">
        <f t="shared" si="57"/>
        <v>0</v>
      </c>
      <c r="L523" s="1" t="b">
        <f t="shared" si="58"/>
        <v>0</v>
      </c>
      <c r="M523" s="1" t="b">
        <f t="shared" si="59"/>
        <v>0</v>
      </c>
      <c r="N523" s="1" t="b">
        <f t="shared" si="60"/>
        <v>0</v>
      </c>
      <c r="O523" s="1" t="b">
        <f t="shared" si="61"/>
        <v>0</v>
      </c>
      <c r="P523" s="1" t="b">
        <f t="shared" si="62"/>
        <v>1</v>
      </c>
    </row>
    <row r="524" spans="1:16" x14ac:dyDescent="0.2">
      <c r="A524">
        <v>7024901</v>
      </c>
      <c r="B524" t="s">
        <v>1063</v>
      </c>
      <c r="C524" t="s">
        <v>363</v>
      </c>
      <c r="D524" t="s">
        <v>139</v>
      </c>
      <c r="E524" s="1">
        <v>44815</v>
      </c>
      <c r="F524" t="s">
        <v>1064</v>
      </c>
      <c r="G524" s="1">
        <v>44837</v>
      </c>
      <c r="H524" s="1">
        <v>44853</v>
      </c>
      <c r="I524" t="s">
        <v>43</v>
      </c>
      <c r="J524" s="1" t="b">
        <f t="shared" si="56"/>
        <v>1</v>
      </c>
      <c r="K524" s="1" t="b">
        <f t="shared" si="57"/>
        <v>0</v>
      </c>
      <c r="L524" s="1" t="b">
        <f t="shared" si="58"/>
        <v>0</v>
      </c>
      <c r="M524" s="1" t="b">
        <f t="shared" si="59"/>
        <v>0</v>
      </c>
      <c r="N524" s="1" t="b">
        <f t="shared" si="60"/>
        <v>0</v>
      </c>
      <c r="O524" s="1" t="b">
        <f t="shared" si="61"/>
        <v>1</v>
      </c>
      <c r="P524" s="1" t="b">
        <f t="shared" si="62"/>
        <v>0</v>
      </c>
    </row>
    <row r="525" spans="1:16" x14ac:dyDescent="0.2">
      <c r="A525">
        <v>5471581</v>
      </c>
      <c r="B525" t="s">
        <v>1065</v>
      </c>
      <c r="C525" t="s">
        <v>18</v>
      </c>
      <c r="D525" t="s">
        <v>56</v>
      </c>
      <c r="E525" s="1">
        <v>44739</v>
      </c>
      <c r="F525" t="s">
        <v>1066</v>
      </c>
      <c r="G525" s="1">
        <v>44745</v>
      </c>
      <c r="H525" s="1">
        <v>44761</v>
      </c>
      <c r="J525" s="1" t="b">
        <f t="shared" si="56"/>
        <v>1</v>
      </c>
      <c r="K525" s="1" t="b">
        <f t="shared" si="57"/>
        <v>0</v>
      </c>
      <c r="L525" s="1" t="b">
        <f t="shared" si="58"/>
        <v>0</v>
      </c>
      <c r="M525" s="1" t="b">
        <f t="shared" si="59"/>
        <v>0</v>
      </c>
      <c r="N525" s="1" t="b">
        <f t="shared" si="60"/>
        <v>0</v>
      </c>
      <c r="O525" s="1" t="b">
        <f t="shared" si="61"/>
        <v>0</v>
      </c>
      <c r="P525" s="1" t="b">
        <f t="shared" si="62"/>
        <v>0</v>
      </c>
    </row>
    <row r="526" spans="1:16" x14ac:dyDescent="0.2">
      <c r="A526">
        <v>5471581</v>
      </c>
      <c r="B526" t="s">
        <v>1067</v>
      </c>
      <c r="C526" t="s">
        <v>18</v>
      </c>
      <c r="D526" t="s">
        <v>56</v>
      </c>
      <c r="E526" s="1">
        <v>44590</v>
      </c>
      <c r="F526" t="s">
        <v>1068</v>
      </c>
      <c r="G526" s="1">
        <v>44613</v>
      </c>
      <c r="H526" s="1">
        <v>44658</v>
      </c>
      <c r="I526" t="s">
        <v>28</v>
      </c>
      <c r="J526" s="1" t="b">
        <f t="shared" si="56"/>
        <v>1</v>
      </c>
      <c r="K526" s="1" t="b">
        <f t="shared" si="57"/>
        <v>0</v>
      </c>
      <c r="L526" s="1" t="b">
        <f t="shared" si="58"/>
        <v>0</v>
      </c>
      <c r="M526" s="1" t="b">
        <f t="shared" si="59"/>
        <v>0</v>
      </c>
      <c r="N526" s="1" t="b">
        <f t="shared" si="60"/>
        <v>0</v>
      </c>
      <c r="O526" s="1" t="b">
        <f t="shared" si="61"/>
        <v>0</v>
      </c>
      <c r="P526" s="1" t="b">
        <f t="shared" si="62"/>
        <v>1</v>
      </c>
    </row>
    <row r="527" spans="1:16" x14ac:dyDescent="0.2">
      <c r="A527">
        <v>6900247</v>
      </c>
      <c r="B527" t="s">
        <v>1069</v>
      </c>
      <c r="C527" t="s">
        <v>32</v>
      </c>
      <c r="D527" t="s">
        <v>81</v>
      </c>
      <c r="E527" s="1">
        <v>45066</v>
      </c>
      <c r="F527" t="s">
        <v>1070</v>
      </c>
      <c r="G527" s="1">
        <v>45084</v>
      </c>
      <c r="H527" s="1">
        <v>45104</v>
      </c>
      <c r="I527" t="s">
        <v>43</v>
      </c>
      <c r="J527" s="1" t="b">
        <f t="shared" si="56"/>
        <v>1</v>
      </c>
      <c r="K527" s="1" t="b">
        <f t="shared" si="57"/>
        <v>0</v>
      </c>
      <c r="L527" s="1" t="b">
        <f t="shared" si="58"/>
        <v>0</v>
      </c>
      <c r="M527" s="1" t="b">
        <f t="shared" si="59"/>
        <v>0</v>
      </c>
      <c r="N527" s="1" t="b">
        <f t="shared" si="60"/>
        <v>0</v>
      </c>
      <c r="O527" s="1" t="b">
        <f t="shared" si="61"/>
        <v>1</v>
      </c>
      <c r="P527" s="1" t="b">
        <f t="shared" si="62"/>
        <v>0</v>
      </c>
    </row>
    <row r="528" spans="1:16" x14ac:dyDescent="0.2">
      <c r="A528">
        <v>6900247</v>
      </c>
      <c r="B528" t="s">
        <v>1071</v>
      </c>
      <c r="C528" t="s">
        <v>32</v>
      </c>
      <c r="D528" t="s">
        <v>81</v>
      </c>
      <c r="E528" s="1">
        <v>44619</v>
      </c>
      <c r="F528" t="s">
        <v>1072</v>
      </c>
      <c r="G528" s="1">
        <v>44627</v>
      </c>
      <c r="I528" t="s">
        <v>13</v>
      </c>
      <c r="J528" s="1" t="b">
        <f t="shared" si="56"/>
        <v>0</v>
      </c>
      <c r="K528" s="1" t="b">
        <f t="shared" si="57"/>
        <v>1</v>
      </c>
      <c r="L528" s="1" t="b">
        <f t="shared" si="58"/>
        <v>0</v>
      </c>
      <c r="M528" s="1" t="b">
        <f t="shared" si="59"/>
        <v>0</v>
      </c>
      <c r="N528" s="1" t="b">
        <f t="shared" si="60"/>
        <v>0</v>
      </c>
      <c r="O528" s="1" t="b">
        <f t="shared" si="61"/>
        <v>0</v>
      </c>
      <c r="P528" s="1" t="b">
        <f t="shared" si="62"/>
        <v>0</v>
      </c>
    </row>
    <row r="529" spans="1:16" x14ac:dyDescent="0.2">
      <c r="A529">
        <v>4671004</v>
      </c>
      <c r="B529" t="s">
        <v>1073</v>
      </c>
      <c r="C529" t="s">
        <v>10</v>
      </c>
      <c r="D529" t="s">
        <v>139</v>
      </c>
      <c r="E529" s="1">
        <v>44967</v>
      </c>
      <c r="F529" t="s">
        <v>1074</v>
      </c>
      <c r="G529" s="1">
        <v>44986</v>
      </c>
      <c r="I529" t="s">
        <v>13</v>
      </c>
      <c r="J529" s="1" t="b">
        <f t="shared" si="56"/>
        <v>0</v>
      </c>
      <c r="K529" s="1" t="b">
        <f t="shared" si="57"/>
        <v>1</v>
      </c>
      <c r="L529" s="1" t="b">
        <f t="shared" si="58"/>
        <v>0</v>
      </c>
      <c r="M529" s="1" t="b">
        <f t="shared" si="59"/>
        <v>0</v>
      </c>
      <c r="N529" s="1" t="b">
        <f t="shared" si="60"/>
        <v>0</v>
      </c>
      <c r="O529" s="1" t="b">
        <f t="shared" si="61"/>
        <v>0</v>
      </c>
      <c r="P529" s="1" t="b">
        <f t="shared" si="62"/>
        <v>0</v>
      </c>
    </row>
    <row r="530" spans="1:16" x14ac:dyDescent="0.2">
      <c r="A530">
        <v>4671004</v>
      </c>
      <c r="B530" t="s">
        <v>1075</v>
      </c>
      <c r="C530" t="s">
        <v>10</v>
      </c>
      <c r="D530" t="s">
        <v>139</v>
      </c>
      <c r="E530" s="1">
        <v>44910</v>
      </c>
      <c r="F530" t="s">
        <v>437</v>
      </c>
      <c r="G530" s="1">
        <v>44933</v>
      </c>
      <c r="H530" s="1">
        <v>44945</v>
      </c>
      <c r="I530" t="s">
        <v>43</v>
      </c>
      <c r="J530" s="1" t="b">
        <f t="shared" si="56"/>
        <v>1</v>
      </c>
      <c r="K530" s="1" t="b">
        <f t="shared" si="57"/>
        <v>0</v>
      </c>
      <c r="L530" s="1" t="b">
        <f t="shared" si="58"/>
        <v>0</v>
      </c>
      <c r="M530" s="1" t="b">
        <f t="shared" si="59"/>
        <v>0</v>
      </c>
      <c r="N530" s="1" t="b">
        <f t="shared" si="60"/>
        <v>0</v>
      </c>
      <c r="O530" s="1" t="b">
        <f t="shared" si="61"/>
        <v>1</v>
      </c>
      <c r="P530" s="1" t="b">
        <f t="shared" si="62"/>
        <v>0</v>
      </c>
    </row>
    <row r="531" spans="1:16" x14ac:dyDescent="0.2">
      <c r="A531">
        <v>4671004</v>
      </c>
      <c r="B531" t="s">
        <v>1076</v>
      </c>
      <c r="C531" t="s">
        <v>10</v>
      </c>
      <c r="D531" t="s">
        <v>139</v>
      </c>
      <c r="E531" s="1">
        <v>44713</v>
      </c>
      <c r="F531" t="s">
        <v>1077</v>
      </c>
      <c r="G531" s="1">
        <v>44732</v>
      </c>
      <c r="H531" s="1">
        <v>44778</v>
      </c>
      <c r="I531" t="s">
        <v>28</v>
      </c>
      <c r="J531" s="1" t="b">
        <f t="shared" si="56"/>
        <v>1</v>
      </c>
      <c r="K531" s="1" t="b">
        <f t="shared" si="57"/>
        <v>0</v>
      </c>
      <c r="L531" s="1" t="b">
        <f t="shared" si="58"/>
        <v>0</v>
      </c>
      <c r="M531" s="1" t="b">
        <f t="shared" si="59"/>
        <v>0</v>
      </c>
      <c r="N531" s="1" t="b">
        <f t="shared" si="60"/>
        <v>0</v>
      </c>
      <c r="O531" s="1" t="b">
        <f t="shared" si="61"/>
        <v>0</v>
      </c>
      <c r="P531" s="1" t="b">
        <f t="shared" si="62"/>
        <v>1</v>
      </c>
    </row>
    <row r="532" spans="1:16" x14ac:dyDescent="0.2">
      <c r="A532">
        <v>4671004</v>
      </c>
      <c r="B532" t="s">
        <v>1078</v>
      </c>
      <c r="C532" t="s">
        <v>10</v>
      </c>
      <c r="D532" t="s">
        <v>139</v>
      </c>
      <c r="E532" s="1">
        <v>44935</v>
      </c>
      <c r="F532" t="s">
        <v>1020</v>
      </c>
      <c r="G532" s="1">
        <v>44938</v>
      </c>
      <c r="H532" s="1">
        <v>44962</v>
      </c>
      <c r="I532" t="s">
        <v>16</v>
      </c>
      <c r="J532" s="1" t="b">
        <f t="shared" si="56"/>
        <v>1</v>
      </c>
      <c r="K532" s="1" t="b">
        <f t="shared" si="57"/>
        <v>0</v>
      </c>
      <c r="L532" s="1" t="b">
        <f t="shared" si="58"/>
        <v>0</v>
      </c>
      <c r="M532" s="1" t="b">
        <f t="shared" si="59"/>
        <v>0</v>
      </c>
      <c r="N532" s="1" t="b">
        <f t="shared" si="60"/>
        <v>1</v>
      </c>
      <c r="O532" s="1" t="b">
        <f t="shared" si="61"/>
        <v>0</v>
      </c>
      <c r="P532" s="1" t="b">
        <f t="shared" si="62"/>
        <v>0</v>
      </c>
    </row>
    <row r="533" spans="1:16" x14ac:dyDescent="0.2">
      <c r="A533">
        <v>2695038</v>
      </c>
      <c r="B533" t="s">
        <v>1079</v>
      </c>
      <c r="C533" t="s">
        <v>720</v>
      </c>
      <c r="D533" t="s">
        <v>11</v>
      </c>
      <c r="E533" s="1">
        <v>45009</v>
      </c>
      <c r="F533" t="s">
        <v>712</v>
      </c>
      <c r="G533" s="1">
        <v>45035</v>
      </c>
      <c r="I533" t="s">
        <v>13</v>
      </c>
      <c r="J533" s="1" t="b">
        <f t="shared" si="56"/>
        <v>0</v>
      </c>
      <c r="K533" s="1" t="b">
        <f t="shared" si="57"/>
        <v>1</v>
      </c>
      <c r="L533" s="1" t="b">
        <f t="shared" si="58"/>
        <v>0</v>
      </c>
      <c r="M533" s="1" t="b">
        <f t="shared" si="59"/>
        <v>0</v>
      </c>
      <c r="N533" s="1" t="b">
        <f t="shared" si="60"/>
        <v>0</v>
      </c>
      <c r="O533" s="1" t="b">
        <f t="shared" si="61"/>
        <v>0</v>
      </c>
      <c r="P533" s="1" t="b">
        <f t="shared" si="62"/>
        <v>0</v>
      </c>
    </row>
    <row r="534" spans="1:16" x14ac:dyDescent="0.2">
      <c r="A534">
        <v>2695038</v>
      </c>
      <c r="B534" t="s">
        <v>1080</v>
      </c>
      <c r="C534" t="s">
        <v>720</v>
      </c>
      <c r="D534" t="s">
        <v>11</v>
      </c>
      <c r="E534" s="1">
        <v>44740</v>
      </c>
      <c r="F534" t="s">
        <v>1081</v>
      </c>
      <c r="G534" s="1">
        <v>44763</v>
      </c>
      <c r="H534" s="1">
        <v>44799</v>
      </c>
      <c r="J534" s="1" t="b">
        <f t="shared" si="56"/>
        <v>1</v>
      </c>
      <c r="K534" s="1" t="b">
        <f t="shared" si="57"/>
        <v>0</v>
      </c>
      <c r="L534" s="1" t="b">
        <f t="shared" si="58"/>
        <v>0</v>
      </c>
      <c r="M534" s="1" t="b">
        <f t="shared" si="59"/>
        <v>0</v>
      </c>
      <c r="N534" s="1" t="b">
        <f t="shared" si="60"/>
        <v>0</v>
      </c>
      <c r="O534" s="1" t="b">
        <f t="shared" si="61"/>
        <v>0</v>
      </c>
      <c r="P534" s="1" t="b">
        <f t="shared" si="62"/>
        <v>0</v>
      </c>
    </row>
    <row r="535" spans="1:16" x14ac:dyDescent="0.2">
      <c r="A535">
        <v>2695038</v>
      </c>
      <c r="B535" t="s">
        <v>1082</v>
      </c>
      <c r="C535" t="s">
        <v>720</v>
      </c>
      <c r="D535" t="s">
        <v>11</v>
      </c>
      <c r="E535" s="1">
        <v>44741</v>
      </c>
      <c r="F535" t="s">
        <v>1083</v>
      </c>
      <c r="G535" s="1">
        <v>44754</v>
      </c>
      <c r="H535" s="1">
        <v>44774</v>
      </c>
      <c r="I535" t="s">
        <v>28</v>
      </c>
      <c r="J535" s="1" t="b">
        <f t="shared" si="56"/>
        <v>1</v>
      </c>
      <c r="K535" s="1" t="b">
        <f t="shared" si="57"/>
        <v>0</v>
      </c>
      <c r="L535" s="1" t="b">
        <f t="shared" si="58"/>
        <v>0</v>
      </c>
      <c r="M535" s="1" t="b">
        <f t="shared" si="59"/>
        <v>0</v>
      </c>
      <c r="N535" s="1" t="b">
        <f t="shared" si="60"/>
        <v>0</v>
      </c>
      <c r="O535" s="1" t="b">
        <f t="shared" si="61"/>
        <v>0</v>
      </c>
      <c r="P535" s="1" t="b">
        <f t="shared" si="62"/>
        <v>1</v>
      </c>
    </row>
    <row r="536" spans="1:16" x14ac:dyDescent="0.2">
      <c r="A536">
        <v>5941179</v>
      </c>
      <c r="B536" t="s">
        <v>1084</v>
      </c>
      <c r="C536" t="s">
        <v>71</v>
      </c>
      <c r="D536" t="s">
        <v>187</v>
      </c>
      <c r="E536" s="1">
        <v>44595</v>
      </c>
      <c r="F536" t="s">
        <v>341</v>
      </c>
      <c r="G536" s="1">
        <v>44601</v>
      </c>
      <c r="H536" s="1">
        <v>44640</v>
      </c>
      <c r="J536" s="1" t="b">
        <f t="shared" si="56"/>
        <v>1</v>
      </c>
      <c r="K536" s="1" t="b">
        <f t="shared" si="57"/>
        <v>0</v>
      </c>
      <c r="L536" s="1" t="b">
        <f t="shared" si="58"/>
        <v>0</v>
      </c>
      <c r="M536" s="1" t="b">
        <f t="shared" si="59"/>
        <v>0</v>
      </c>
      <c r="N536" s="1" t="b">
        <f t="shared" si="60"/>
        <v>0</v>
      </c>
      <c r="O536" s="1" t="b">
        <f t="shared" si="61"/>
        <v>0</v>
      </c>
      <c r="P536" s="1" t="b">
        <f t="shared" si="62"/>
        <v>0</v>
      </c>
    </row>
    <row r="537" spans="1:16" x14ac:dyDescent="0.2">
      <c r="A537">
        <v>6338793</v>
      </c>
      <c r="B537" t="s">
        <v>1085</v>
      </c>
      <c r="C537" t="s">
        <v>310</v>
      </c>
      <c r="D537" t="s">
        <v>81</v>
      </c>
      <c r="E537" s="1">
        <v>44706</v>
      </c>
      <c r="F537" t="s">
        <v>1086</v>
      </c>
      <c r="G537" s="1">
        <v>44717</v>
      </c>
      <c r="H537" s="1">
        <v>44765</v>
      </c>
      <c r="I537" t="s">
        <v>16</v>
      </c>
      <c r="J537" s="1" t="b">
        <f t="shared" si="56"/>
        <v>1</v>
      </c>
      <c r="K537" s="1" t="b">
        <f t="shared" si="57"/>
        <v>0</v>
      </c>
      <c r="L537" s="1" t="b">
        <f t="shared" si="58"/>
        <v>0</v>
      </c>
      <c r="M537" s="1" t="b">
        <f t="shared" si="59"/>
        <v>0</v>
      </c>
      <c r="N537" s="1" t="b">
        <f t="shared" si="60"/>
        <v>1</v>
      </c>
      <c r="O537" s="1" t="b">
        <f t="shared" si="61"/>
        <v>0</v>
      </c>
      <c r="P537" s="1" t="b">
        <f t="shared" si="62"/>
        <v>0</v>
      </c>
    </row>
    <row r="538" spans="1:16" x14ac:dyDescent="0.2">
      <c r="A538">
        <v>6338793</v>
      </c>
      <c r="B538" t="s">
        <v>1087</v>
      </c>
      <c r="C538" t="s">
        <v>310</v>
      </c>
      <c r="D538" t="s">
        <v>81</v>
      </c>
      <c r="E538" s="1">
        <v>44733</v>
      </c>
      <c r="F538" t="s">
        <v>1088</v>
      </c>
      <c r="G538" s="1">
        <v>44754</v>
      </c>
      <c r="I538" t="s">
        <v>13</v>
      </c>
      <c r="J538" s="1" t="b">
        <f t="shared" si="56"/>
        <v>0</v>
      </c>
      <c r="K538" s="1" t="b">
        <f t="shared" si="57"/>
        <v>1</v>
      </c>
      <c r="L538" s="1" t="b">
        <f t="shared" si="58"/>
        <v>0</v>
      </c>
      <c r="M538" s="1" t="b">
        <f t="shared" si="59"/>
        <v>0</v>
      </c>
      <c r="N538" s="1" t="b">
        <f t="shared" si="60"/>
        <v>0</v>
      </c>
      <c r="O538" s="1" t="b">
        <f t="shared" si="61"/>
        <v>0</v>
      </c>
      <c r="P538" s="1" t="b">
        <f t="shared" si="62"/>
        <v>0</v>
      </c>
    </row>
    <row r="539" spans="1:16" x14ac:dyDescent="0.2">
      <c r="A539">
        <v>2488575</v>
      </c>
      <c r="B539" t="s">
        <v>1089</v>
      </c>
      <c r="C539" t="s">
        <v>150</v>
      </c>
      <c r="D539" t="s">
        <v>39</v>
      </c>
      <c r="E539" s="1">
        <v>45052</v>
      </c>
      <c r="F539" t="s">
        <v>1090</v>
      </c>
      <c r="G539" s="1">
        <v>45078</v>
      </c>
      <c r="I539" t="s">
        <v>13</v>
      </c>
      <c r="J539" s="1" t="b">
        <f t="shared" si="56"/>
        <v>0</v>
      </c>
      <c r="K539" s="1" t="b">
        <f t="shared" si="57"/>
        <v>1</v>
      </c>
      <c r="L539" s="1" t="b">
        <f t="shared" si="58"/>
        <v>0</v>
      </c>
      <c r="M539" s="1" t="b">
        <f t="shared" si="59"/>
        <v>0</v>
      </c>
      <c r="N539" s="1" t="b">
        <f t="shared" si="60"/>
        <v>0</v>
      </c>
      <c r="O539" s="1" t="b">
        <f t="shared" si="61"/>
        <v>0</v>
      </c>
      <c r="P539" s="1" t="b">
        <f t="shared" si="62"/>
        <v>0</v>
      </c>
    </row>
    <row r="540" spans="1:16" x14ac:dyDescent="0.2">
      <c r="A540">
        <v>2488575</v>
      </c>
      <c r="B540" t="s">
        <v>1091</v>
      </c>
      <c r="C540" t="s">
        <v>150</v>
      </c>
      <c r="D540" t="s">
        <v>39</v>
      </c>
      <c r="E540" s="1">
        <v>44920</v>
      </c>
      <c r="F540" t="s">
        <v>1092</v>
      </c>
      <c r="G540" s="1">
        <v>44929</v>
      </c>
      <c r="I540" t="s">
        <v>13</v>
      </c>
      <c r="J540" s="1" t="b">
        <f t="shared" si="56"/>
        <v>0</v>
      </c>
      <c r="K540" s="1" t="b">
        <f t="shared" si="57"/>
        <v>1</v>
      </c>
      <c r="L540" s="1" t="b">
        <f t="shared" si="58"/>
        <v>0</v>
      </c>
      <c r="M540" s="1" t="b">
        <f t="shared" si="59"/>
        <v>0</v>
      </c>
      <c r="N540" s="1" t="b">
        <f t="shared" si="60"/>
        <v>0</v>
      </c>
      <c r="O540" s="1" t="b">
        <f t="shared" si="61"/>
        <v>0</v>
      </c>
      <c r="P540" s="1" t="b">
        <f t="shared" si="62"/>
        <v>0</v>
      </c>
    </row>
    <row r="541" spans="1:16" x14ac:dyDescent="0.2">
      <c r="A541">
        <v>2488575</v>
      </c>
      <c r="B541" t="s">
        <v>1093</v>
      </c>
      <c r="C541" t="s">
        <v>150</v>
      </c>
      <c r="D541" t="s">
        <v>39</v>
      </c>
      <c r="E541" s="1">
        <v>45010</v>
      </c>
      <c r="F541" t="s">
        <v>1094</v>
      </c>
      <c r="G541" s="1">
        <v>45034</v>
      </c>
      <c r="H541" s="1">
        <v>45061</v>
      </c>
      <c r="I541" t="s">
        <v>16</v>
      </c>
      <c r="J541" s="1" t="b">
        <f t="shared" si="56"/>
        <v>1</v>
      </c>
      <c r="K541" s="1" t="b">
        <f t="shared" si="57"/>
        <v>0</v>
      </c>
      <c r="L541" s="1" t="b">
        <f t="shared" si="58"/>
        <v>0</v>
      </c>
      <c r="M541" s="1" t="b">
        <f t="shared" si="59"/>
        <v>0</v>
      </c>
      <c r="N541" s="1" t="b">
        <f t="shared" si="60"/>
        <v>1</v>
      </c>
      <c r="O541" s="1" t="b">
        <f t="shared" si="61"/>
        <v>0</v>
      </c>
      <c r="P541" s="1" t="b">
        <f t="shared" si="62"/>
        <v>0</v>
      </c>
    </row>
    <row r="542" spans="1:16" x14ac:dyDescent="0.2">
      <c r="A542">
        <v>2488575</v>
      </c>
      <c r="B542" t="s">
        <v>1095</v>
      </c>
      <c r="C542" t="s">
        <v>150</v>
      </c>
      <c r="D542" t="s">
        <v>39</v>
      </c>
      <c r="E542" s="1">
        <v>44949</v>
      </c>
      <c r="F542" t="s">
        <v>646</v>
      </c>
      <c r="G542" s="1">
        <v>44961</v>
      </c>
      <c r="H542" s="1">
        <v>44996</v>
      </c>
      <c r="J542" s="1" t="b">
        <f t="shared" si="56"/>
        <v>1</v>
      </c>
      <c r="K542" s="1" t="b">
        <f t="shared" si="57"/>
        <v>0</v>
      </c>
      <c r="L542" s="1" t="b">
        <f t="shared" si="58"/>
        <v>0</v>
      </c>
      <c r="M542" s="1" t="b">
        <f t="shared" si="59"/>
        <v>0</v>
      </c>
      <c r="N542" s="1" t="b">
        <f t="shared" si="60"/>
        <v>0</v>
      </c>
      <c r="O542" s="1" t="b">
        <f t="shared" si="61"/>
        <v>0</v>
      </c>
      <c r="P542" s="1" t="b">
        <f t="shared" si="62"/>
        <v>0</v>
      </c>
    </row>
    <row r="543" spans="1:16" x14ac:dyDescent="0.2">
      <c r="A543">
        <v>4784650</v>
      </c>
      <c r="B543" t="s">
        <v>1096</v>
      </c>
      <c r="C543" t="s">
        <v>38</v>
      </c>
      <c r="D543" t="s">
        <v>77</v>
      </c>
      <c r="E543" s="1">
        <v>44888</v>
      </c>
      <c r="F543" t="s">
        <v>1097</v>
      </c>
      <c r="G543" s="1">
        <v>44897</v>
      </c>
      <c r="H543" s="1">
        <v>44904</v>
      </c>
      <c r="I543" t="s">
        <v>16</v>
      </c>
      <c r="J543" s="1" t="b">
        <f t="shared" si="56"/>
        <v>1</v>
      </c>
      <c r="K543" s="1" t="b">
        <f t="shared" si="57"/>
        <v>0</v>
      </c>
      <c r="L543" s="1" t="b">
        <f t="shared" si="58"/>
        <v>0</v>
      </c>
      <c r="M543" s="1" t="b">
        <f t="shared" si="59"/>
        <v>0</v>
      </c>
      <c r="N543" s="1" t="b">
        <f t="shared" si="60"/>
        <v>1</v>
      </c>
      <c r="O543" s="1" t="b">
        <f t="shared" si="61"/>
        <v>0</v>
      </c>
      <c r="P543" s="1" t="b">
        <f t="shared" si="62"/>
        <v>0</v>
      </c>
    </row>
    <row r="544" spans="1:16" x14ac:dyDescent="0.2">
      <c r="A544">
        <v>2244876</v>
      </c>
      <c r="B544" t="s">
        <v>1098</v>
      </c>
      <c r="C544" t="s">
        <v>720</v>
      </c>
      <c r="D544" t="s">
        <v>187</v>
      </c>
      <c r="E544" s="1">
        <v>44657</v>
      </c>
      <c r="F544" t="s">
        <v>1099</v>
      </c>
      <c r="G544" s="1">
        <v>44668</v>
      </c>
      <c r="I544" t="s">
        <v>13</v>
      </c>
      <c r="J544" s="1" t="b">
        <f t="shared" si="56"/>
        <v>0</v>
      </c>
      <c r="K544" s="1" t="b">
        <f t="shared" si="57"/>
        <v>1</v>
      </c>
      <c r="L544" s="1" t="b">
        <f t="shared" si="58"/>
        <v>0</v>
      </c>
      <c r="M544" s="1" t="b">
        <f t="shared" si="59"/>
        <v>0</v>
      </c>
      <c r="N544" s="1" t="b">
        <f t="shared" si="60"/>
        <v>0</v>
      </c>
      <c r="O544" s="1" t="b">
        <f t="shared" si="61"/>
        <v>0</v>
      </c>
      <c r="P544" s="1" t="b">
        <f t="shared" si="62"/>
        <v>0</v>
      </c>
    </row>
    <row r="545" spans="1:16" x14ac:dyDescent="0.2">
      <c r="A545">
        <v>2244876</v>
      </c>
      <c r="B545" t="s">
        <v>1100</v>
      </c>
      <c r="C545" t="s">
        <v>720</v>
      </c>
      <c r="D545" t="s">
        <v>187</v>
      </c>
      <c r="E545" s="1">
        <v>45003</v>
      </c>
      <c r="F545" t="s">
        <v>1101</v>
      </c>
      <c r="G545" s="1">
        <v>45024</v>
      </c>
      <c r="H545" s="1">
        <v>45035</v>
      </c>
      <c r="J545" s="1" t="b">
        <f t="shared" si="56"/>
        <v>1</v>
      </c>
      <c r="K545" s="1" t="b">
        <f t="shared" si="57"/>
        <v>0</v>
      </c>
      <c r="L545" s="1" t="b">
        <f t="shared" si="58"/>
        <v>0</v>
      </c>
      <c r="M545" s="1" t="b">
        <f t="shared" si="59"/>
        <v>0</v>
      </c>
      <c r="N545" s="1" t="b">
        <f t="shared" si="60"/>
        <v>0</v>
      </c>
      <c r="O545" s="1" t="b">
        <f t="shared" si="61"/>
        <v>0</v>
      </c>
      <c r="P545" s="1" t="b">
        <f t="shared" si="62"/>
        <v>0</v>
      </c>
    </row>
    <row r="546" spans="1:16" x14ac:dyDescent="0.2">
      <c r="A546">
        <v>2244876</v>
      </c>
      <c r="B546" t="s">
        <v>1102</v>
      </c>
      <c r="C546" t="s">
        <v>720</v>
      </c>
      <c r="D546" t="s">
        <v>187</v>
      </c>
      <c r="E546" s="1">
        <v>44665</v>
      </c>
      <c r="F546" t="s">
        <v>1103</v>
      </c>
      <c r="G546" s="1">
        <v>44676</v>
      </c>
      <c r="H546" s="1">
        <v>44690</v>
      </c>
      <c r="J546" s="1" t="b">
        <f t="shared" si="56"/>
        <v>1</v>
      </c>
      <c r="K546" s="1" t="b">
        <f t="shared" si="57"/>
        <v>0</v>
      </c>
      <c r="L546" s="1" t="b">
        <f t="shared" si="58"/>
        <v>0</v>
      </c>
      <c r="M546" s="1" t="b">
        <f t="shared" si="59"/>
        <v>0</v>
      </c>
      <c r="N546" s="1" t="b">
        <f t="shared" si="60"/>
        <v>0</v>
      </c>
      <c r="O546" s="1" t="b">
        <f t="shared" si="61"/>
        <v>0</v>
      </c>
      <c r="P546" s="1" t="b">
        <f t="shared" si="62"/>
        <v>0</v>
      </c>
    </row>
    <row r="547" spans="1:16" x14ac:dyDescent="0.2">
      <c r="A547">
        <v>2244876</v>
      </c>
      <c r="B547" t="s">
        <v>1104</v>
      </c>
      <c r="C547" t="s">
        <v>720</v>
      </c>
      <c r="D547" t="s">
        <v>187</v>
      </c>
      <c r="E547" s="1">
        <v>44833</v>
      </c>
      <c r="F547" t="s">
        <v>1105</v>
      </c>
      <c r="G547" s="1">
        <v>44855</v>
      </c>
      <c r="H547" s="1">
        <v>44874</v>
      </c>
      <c r="J547" s="1" t="b">
        <f t="shared" si="56"/>
        <v>1</v>
      </c>
      <c r="K547" s="1" t="b">
        <f t="shared" si="57"/>
        <v>0</v>
      </c>
      <c r="L547" s="1" t="b">
        <f t="shared" si="58"/>
        <v>0</v>
      </c>
      <c r="M547" s="1" t="b">
        <f t="shared" si="59"/>
        <v>0</v>
      </c>
      <c r="N547" s="1" t="b">
        <f t="shared" si="60"/>
        <v>0</v>
      </c>
      <c r="O547" s="1" t="b">
        <f t="shared" si="61"/>
        <v>0</v>
      </c>
      <c r="P547" s="1" t="b">
        <f t="shared" si="62"/>
        <v>0</v>
      </c>
    </row>
    <row r="548" spans="1:16" x14ac:dyDescent="0.2">
      <c r="A548">
        <v>5989554</v>
      </c>
      <c r="B548" t="s">
        <v>1106</v>
      </c>
      <c r="C548" t="s">
        <v>93</v>
      </c>
      <c r="D548" t="s">
        <v>122</v>
      </c>
      <c r="E548" s="1">
        <v>45064</v>
      </c>
      <c r="F548" t="s">
        <v>188</v>
      </c>
      <c r="G548" s="1">
        <v>45069</v>
      </c>
      <c r="I548" t="s">
        <v>25</v>
      </c>
      <c r="J548" s="1" t="b">
        <f t="shared" si="56"/>
        <v>0</v>
      </c>
      <c r="K548" s="1" t="b">
        <f t="shared" si="57"/>
        <v>0</v>
      </c>
      <c r="L548" s="1" t="b">
        <f t="shared" si="58"/>
        <v>1</v>
      </c>
      <c r="M548" s="1" t="b">
        <f t="shared" si="59"/>
        <v>0</v>
      </c>
      <c r="N548" s="1" t="b">
        <f t="shared" si="60"/>
        <v>0</v>
      </c>
      <c r="O548" s="1" t="b">
        <f t="shared" si="61"/>
        <v>0</v>
      </c>
      <c r="P548" s="1" t="b">
        <f t="shared" si="62"/>
        <v>0</v>
      </c>
    </row>
    <row r="549" spans="1:16" x14ac:dyDescent="0.2">
      <c r="A549">
        <v>1914439</v>
      </c>
      <c r="B549" t="s">
        <v>1107</v>
      </c>
      <c r="C549" t="s">
        <v>542</v>
      </c>
      <c r="D549" t="s">
        <v>56</v>
      </c>
      <c r="E549" s="1">
        <v>44751</v>
      </c>
      <c r="F549" t="s">
        <v>1108</v>
      </c>
      <c r="G549" s="1">
        <v>44763</v>
      </c>
      <c r="I549" t="s">
        <v>13</v>
      </c>
      <c r="J549" s="1" t="b">
        <f t="shared" si="56"/>
        <v>0</v>
      </c>
      <c r="K549" s="1" t="b">
        <f t="shared" si="57"/>
        <v>1</v>
      </c>
      <c r="L549" s="1" t="b">
        <f t="shared" si="58"/>
        <v>0</v>
      </c>
      <c r="M549" s="1" t="b">
        <f t="shared" si="59"/>
        <v>0</v>
      </c>
      <c r="N549" s="1" t="b">
        <f t="shared" si="60"/>
        <v>0</v>
      </c>
      <c r="O549" s="1" t="b">
        <f t="shared" si="61"/>
        <v>0</v>
      </c>
      <c r="P549" s="1" t="b">
        <f t="shared" si="62"/>
        <v>0</v>
      </c>
    </row>
    <row r="550" spans="1:16" x14ac:dyDescent="0.2">
      <c r="A550">
        <v>1914439</v>
      </c>
      <c r="B550" t="s">
        <v>1109</v>
      </c>
      <c r="C550" t="s">
        <v>542</v>
      </c>
      <c r="D550" t="s">
        <v>56</v>
      </c>
      <c r="E550" s="1">
        <v>44588</v>
      </c>
      <c r="F550" t="s">
        <v>1110</v>
      </c>
      <c r="G550" s="1">
        <v>44595</v>
      </c>
      <c r="H550" s="1">
        <v>44606</v>
      </c>
      <c r="J550" s="1" t="b">
        <f t="shared" si="56"/>
        <v>1</v>
      </c>
      <c r="K550" s="1" t="b">
        <f t="shared" si="57"/>
        <v>0</v>
      </c>
      <c r="L550" s="1" t="b">
        <f t="shared" si="58"/>
        <v>0</v>
      </c>
      <c r="M550" s="1" t="b">
        <f t="shared" si="59"/>
        <v>0</v>
      </c>
      <c r="N550" s="1" t="b">
        <f t="shared" si="60"/>
        <v>0</v>
      </c>
      <c r="O550" s="1" t="b">
        <f t="shared" si="61"/>
        <v>0</v>
      </c>
      <c r="P550" s="1" t="b">
        <f t="shared" si="62"/>
        <v>0</v>
      </c>
    </row>
    <row r="551" spans="1:16" x14ac:dyDescent="0.2">
      <c r="A551">
        <v>1914439</v>
      </c>
      <c r="B551" t="s">
        <v>1111</v>
      </c>
      <c r="C551" t="s">
        <v>542</v>
      </c>
      <c r="D551" t="s">
        <v>56</v>
      </c>
      <c r="E551" s="1">
        <v>44680</v>
      </c>
      <c r="F551" t="s">
        <v>1112</v>
      </c>
      <c r="G551" s="1">
        <v>44690</v>
      </c>
      <c r="H551" s="1">
        <v>44741</v>
      </c>
      <c r="I551" t="s">
        <v>16</v>
      </c>
      <c r="J551" s="1" t="b">
        <f t="shared" si="56"/>
        <v>1</v>
      </c>
      <c r="K551" s="1" t="b">
        <f t="shared" si="57"/>
        <v>0</v>
      </c>
      <c r="L551" s="1" t="b">
        <f t="shared" si="58"/>
        <v>0</v>
      </c>
      <c r="M551" s="1" t="b">
        <f t="shared" si="59"/>
        <v>0</v>
      </c>
      <c r="N551" s="1" t="b">
        <f t="shared" si="60"/>
        <v>1</v>
      </c>
      <c r="O551" s="1" t="b">
        <f t="shared" si="61"/>
        <v>0</v>
      </c>
      <c r="P551" s="1" t="b">
        <f t="shared" si="62"/>
        <v>0</v>
      </c>
    </row>
    <row r="552" spans="1:16" x14ac:dyDescent="0.2">
      <c r="A552">
        <v>1914439</v>
      </c>
      <c r="B552" t="s">
        <v>1113</v>
      </c>
      <c r="C552" t="s">
        <v>542</v>
      </c>
      <c r="D552" t="s">
        <v>56</v>
      </c>
      <c r="E552" s="1">
        <v>44833</v>
      </c>
      <c r="F552" t="s">
        <v>1114</v>
      </c>
      <c r="G552" s="1">
        <v>44836</v>
      </c>
      <c r="H552" s="1">
        <v>44878</v>
      </c>
      <c r="J552" s="1" t="b">
        <f t="shared" si="56"/>
        <v>1</v>
      </c>
      <c r="K552" s="1" t="b">
        <f t="shared" si="57"/>
        <v>0</v>
      </c>
      <c r="L552" s="1" t="b">
        <f t="shared" si="58"/>
        <v>0</v>
      </c>
      <c r="M552" s="1" t="b">
        <f t="shared" si="59"/>
        <v>0</v>
      </c>
      <c r="N552" s="1" t="b">
        <f t="shared" si="60"/>
        <v>0</v>
      </c>
      <c r="O552" s="1" t="b">
        <f t="shared" si="61"/>
        <v>0</v>
      </c>
      <c r="P552" s="1" t="b">
        <f t="shared" si="62"/>
        <v>0</v>
      </c>
    </row>
    <row r="553" spans="1:16" x14ac:dyDescent="0.2">
      <c r="A553">
        <v>7399588</v>
      </c>
      <c r="B553" t="s">
        <v>1115</v>
      </c>
      <c r="C553" t="s">
        <v>542</v>
      </c>
      <c r="D553" t="s">
        <v>187</v>
      </c>
      <c r="E553" s="1">
        <v>45097</v>
      </c>
      <c r="F553" t="s">
        <v>1116</v>
      </c>
      <c r="G553" s="1">
        <v>45111</v>
      </c>
      <c r="I553" t="s">
        <v>13</v>
      </c>
      <c r="J553" s="1" t="b">
        <f t="shared" si="56"/>
        <v>0</v>
      </c>
      <c r="K553" s="1" t="b">
        <f t="shared" si="57"/>
        <v>1</v>
      </c>
      <c r="L553" s="1" t="b">
        <f t="shared" si="58"/>
        <v>0</v>
      </c>
      <c r="M553" s="1" t="b">
        <f t="shared" si="59"/>
        <v>0</v>
      </c>
      <c r="N553" s="1" t="b">
        <f t="shared" si="60"/>
        <v>0</v>
      </c>
      <c r="O553" s="1" t="b">
        <f t="shared" si="61"/>
        <v>0</v>
      </c>
      <c r="P553" s="1" t="b">
        <f t="shared" si="62"/>
        <v>0</v>
      </c>
    </row>
    <row r="554" spans="1:16" x14ac:dyDescent="0.2">
      <c r="A554">
        <v>7399588</v>
      </c>
      <c r="B554" t="s">
        <v>1117</v>
      </c>
      <c r="C554" t="s">
        <v>542</v>
      </c>
      <c r="D554" t="s">
        <v>187</v>
      </c>
      <c r="E554" s="1">
        <v>44837</v>
      </c>
      <c r="F554" t="s">
        <v>1118</v>
      </c>
      <c r="G554" s="1">
        <v>44856</v>
      </c>
      <c r="H554" s="1">
        <v>44860</v>
      </c>
      <c r="I554" t="s">
        <v>28</v>
      </c>
      <c r="J554" s="1" t="b">
        <f t="shared" si="56"/>
        <v>1</v>
      </c>
      <c r="K554" s="1" t="b">
        <f t="shared" si="57"/>
        <v>0</v>
      </c>
      <c r="L554" s="1" t="b">
        <f t="shared" si="58"/>
        <v>0</v>
      </c>
      <c r="M554" s="1" t="b">
        <f t="shared" si="59"/>
        <v>0</v>
      </c>
      <c r="N554" s="1" t="b">
        <f t="shared" si="60"/>
        <v>0</v>
      </c>
      <c r="O554" s="1" t="b">
        <f t="shared" si="61"/>
        <v>0</v>
      </c>
      <c r="P554" s="1" t="b">
        <f t="shared" si="62"/>
        <v>1</v>
      </c>
    </row>
    <row r="555" spans="1:16" x14ac:dyDescent="0.2">
      <c r="A555">
        <v>7399588</v>
      </c>
      <c r="B555" t="s">
        <v>1119</v>
      </c>
      <c r="C555" t="s">
        <v>542</v>
      </c>
      <c r="D555" t="s">
        <v>187</v>
      </c>
      <c r="E555" s="1">
        <v>44661</v>
      </c>
      <c r="F555" t="s">
        <v>1120</v>
      </c>
      <c r="G555" s="1">
        <v>44664</v>
      </c>
      <c r="I555" t="s">
        <v>13</v>
      </c>
      <c r="J555" s="1" t="b">
        <f t="shared" si="56"/>
        <v>0</v>
      </c>
      <c r="K555" s="1" t="b">
        <f t="shared" si="57"/>
        <v>1</v>
      </c>
      <c r="L555" s="1" t="b">
        <f t="shared" si="58"/>
        <v>0</v>
      </c>
      <c r="M555" s="1" t="b">
        <f t="shared" si="59"/>
        <v>0</v>
      </c>
      <c r="N555" s="1" t="b">
        <f t="shared" si="60"/>
        <v>0</v>
      </c>
      <c r="O555" s="1" t="b">
        <f t="shared" si="61"/>
        <v>0</v>
      </c>
      <c r="P555" s="1" t="b">
        <f t="shared" si="62"/>
        <v>0</v>
      </c>
    </row>
    <row r="556" spans="1:16" x14ac:dyDescent="0.2">
      <c r="A556">
        <v>7399588</v>
      </c>
      <c r="B556" t="s">
        <v>1121</v>
      </c>
      <c r="C556" t="s">
        <v>542</v>
      </c>
      <c r="D556" t="s">
        <v>187</v>
      </c>
      <c r="E556" s="1">
        <v>44794</v>
      </c>
      <c r="F556" t="s">
        <v>1122</v>
      </c>
      <c r="G556" s="1">
        <v>44812</v>
      </c>
      <c r="H556" s="1">
        <v>44816</v>
      </c>
      <c r="J556" s="1" t="b">
        <f t="shared" si="56"/>
        <v>1</v>
      </c>
      <c r="K556" s="1" t="b">
        <f t="shared" si="57"/>
        <v>0</v>
      </c>
      <c r="L556" s="1" t="b">
        <f t="shared" si="58"/>
        <v>0</v>
      </c>
      <c r="M556" s="1" t="b">
        <f t="shared" si="59"/>
        <v>0</v>
      </c>
      <c r="N556" s="1" t="b">
        <f t="shared" si="60"/>
        <v>0</v>
      </c>
      <c r="O556" s="1" t="b">
        <f t="shared" si="61"/>
        <v>0</v>
      </c>
      <c r="P556" s="1" t="b">
        <f t="shared" si="62"/>
        <v>0</v>
      </c>
    </row>
    <row r="557" spans="1:16" x14ac:dyDescent="0.2">
      <c r="A557">
        <v>9984440</v>
      </c>
      <c r="B557" t="s">
        <v>1123</v>
      </c>
      <c r="C557" t="s">
        <v>167</v>
      </c>
      <c r="D557" t="s">
        <v>77</v>
      </c>
      <c r="E557" s="1">
        <v>44966</v>
      </c>
      <c r="F557" t="s">
        <v>1124</v>
      </c>
      <c r="G557" s="1">
        <v>44995</v>
      </c>
      <c r="H557" s="1">
        <v>45050</v>
      </c>
      <c r="J557" s="1" t="b">
        <f t="shared" si="56"/>
        <v>1</v>
      </c>
      <c r="K557" s="1" t="b">
        <f t="shared" si="57"/>
        <v>0</v>
      </c>
      <c r="L557" s="1" t="b">
        <f t="shared" si="58"/>
        <v>0</v>
      </c>
      <c r="M557" s="1" t="b">
        <f t="shared" si="59"/>
        <v>0</v>
      </c>
      <c r="N557" s="1" t="b">
        <f t="shared" si="60"/>
        <v>0</v>
      </c>
      <c r="O557" s="1" t="b">
        <f t="shared" si="61"/>
        <v>0</v>
      </c>
      <c r="P557" s="1" t="b">
        <f t="shared" si="62"/>
        <v>0</v>
      </c>
    </row>
    <row r="558" spans="1:16" x14ac:dyDescent="0.2">
      <c r="A558">
        <v>9984440</v>
      </c>
      <c r="B558" t="s">
        <v>1125</v>
      </c>
      <c r="C558" t="s">
        <v>167</v>
      </c>
      <c r="D558" t="s">
        <v>77</v>
      </c>
      <c r="E558" s="1">
        <v>45021</v>
      </c>
      <c r="F558" t="s">
        <v>1126</v>
      </c>
      <c r="G558" s="1">
        <v>45027</v>
      </c>
      <c r="H558" s="1">
        <v>45038</v>
      </c>
      <c r="I558" t="s">
        <v>43</v>
      </c>
      <c r="J558" s="1" t="b">
        <f t="shared" si="56"/>
        <v>1</v>
      </c>
      <c r="K558" s="1" t="b">
        <f t="shared" si="57"/>
        <v>0</v>
      </c>
      <c r="L558" s="1" t="b">
        <f t="shared" si="58"/>
        <v>0</v>
      </c>
      <c r="M558" s="1" t="b">
        <f t="shared" si="59"/>
        <v>0</v>
      </c>
      <c r="N558" s="1" t="b">
        <f t="shared" si="60"/>
        <v>0</v>
      </c>
      <c r="O558" s="1" t="b">
        <f t="shared" si="61"/>
        <v>1</v>
      </c>
      <c r="P558" s="1" t="b">
        <f t="shared" si="62"/>
        <v>0</v>
      </c>
    </row>
    <row r="559" spans="1:16" x14ac:dyDescent="0.2">
      <c r="A559">
        <v>9984440</v>
      </c>
      <c r="B559" t="s">
        <v>1127</v>
      </c>
      <c r="C559" t="s">
        <v>167</v>
      </c>
      <c r="D559" t="s">
        <v>77</v>
      </c>
      <c r="E559" s="1">
        <v>44995</v>
      </c>
      <c r="F559" t="s">
        <v>151</v>
      </c>
      <c r="G559" s="1">
        <v>44998</v>
      </c>
      <c r="H559" s="1">
        <v>45042</v>
      </c>
      <c r="I559" t="s">
        <v>43</v>
      </c>
      <c r="J559" s="1" t="b">
        <f t="shared" si="56"/>
        <v>1</v>
      </c>
      <c r="K559" s="1" t="b">
        <f t="shared" si="57"/>
        <v>0</v>
      </c>
      <c r="L559" s="1" t="b">
        <f t="shared" si="58"/>
        <v>0</v>
      </c>
      <c r="M559" s="1" t="b">
        <f t="shared" si="59"/>
        <v>0</v>
      </c>
      <c r="N559" s="1" t="b">
        <f t="shared" si="60"/>
        <v>0</v>
      </c>
      <c r="O559" s="1" t="b">
        <f t="shared" si="61"/>
        <v>1</v>
      </c>
      <c r="P559" s="1" t="b">
        <f t="shared" si="62"/>
        <v>0</v>
      </c>
    </row>
    <row r="560" spans="1:16" x14ac:dyDescent="0.2">
      <c r="A560">
        <v>9984440</v>
      </c>
      <c r="B560" t="s">
        <v>1128</v>
      </c>
      <c r="C560" t="s">
        <v>167</v>
      </c>
      <c r="D560" t="s">
        <v>77</v>
      </c>
      <c r="E560" s="1">
        <v>44826</v>
      </c>
      <c r="F560" t="s">
        <v>1129</v>
      </c>
      <c r="G560" s="1">
        <v>44837</v>
      </c>
      <c r="H560" s="1">
        <v>44896</v>
      </c>
      <c r="I560" t="s">
        <v>43</v>
      </c>
      <c r="J560" s="1" t="b">
        <f t="shared" si="56"/>
        <v>1</v>
      </c>
      <c r="K560" s="1" t="b">
        <f t="shared" si="57"/>
        <v>0</v>
      </c>
      <c r="L560" s="1" t="b">
        <f t="shared" si="58"/>
        <v>0</v>
      </c>
      <c r="M560" s="1" t="b">
        <f t="shared" si="59"/>
        <v>0</v>
      </c>
      <c r="N560" s="1" t="b">
        <f t="shared" si="60"/>
        <v>0</v>
      </c>
      <c r="O560" s="1" t="b">
        <f t="shared" si="61"/>
        <v>1</v>
      </c>
      <c r="P560" s="1" t="b">
        <f t="shared" si="62"/>
        <v>0</v>
      </c>
    </row>
    <row r="561" spans="1:16" x14ac:dyDescent="0.2">
      <c r="A561">
        <v>9984440</v>
      </c>
      <c r="B561" t="s">
        <v>1130</v>
      </c>
      <c r="C561" t="s">
        <v>167</v>
      </c>
      <c r="D561" t="s">
        <v>77</v>
      </c>
      <c r="E561" s="1">
        <v>44968</v>
      </c>
      <c r="F561" t="s">
        <v>1131</v>
      </c>
      <c r="G561" s="1">
        <v>44986</v>
      </c>
      <c r="H561" s="1">
        <v>45007</v>
      </c>
      <c r="I561" t="s">
        <v>16</v>
      </c>
      <c r="J561" s="1" t="b">
        <f t="shared" si="56"/>
        <v>1</v>
      </c>
      <c r="K561" s="1" t="b">
        <f t="shared" si="57"/>
        <v>0</v>
      </c>
      <c r="L561" s="1" t="b">
        <f t="shared" si="58"/>
        <v>0</v>
      </c>
      <c r="M561" s="1" t="b">
        <f t="shared" si="59"/>
        <v>0</v>
      </c>
      <c r="N561" s="1" t="b">
        <f t="shared" si="60"/>
        <v>1</v>
      </c>
      <c r="O561" s="1" t="b">
        <f t="shared" si="61"/>
        <v>0</v>
      </c>
      <c r="P561" s="1" t="b">
        <f t="shared" si="62"/>
        <v>0</v>
      </c>
    </row>
    <row r="562" spans="1:16" x14ac:dyDescent="0.2">
      <c r="A562">
        <v>5633880</v>
      </c>
      <c r="B562" t="s">
        <v>1132</v>
      </c>
      <c r="C562" t="s">
        <v>80</v>
      </c>
      <c r="D562" t="s">
        <v>77</v>
      </c>
      <c r="E562" s="1">
        <v>44715</v>
      </c>
      <c r="F562" t="s">
        <v>1133</v>
      </c>
      <c r="G562" s="1">
        <v>44720</v>
      </c>
      <c r="H562" s="1">
        <v>44757</v>
      </c>
      <c r="J562" s="1" t="b">
        <f t="shared" si="56"/>
        <v>1</v>
      </c>
      <c r="K562" s="1" t="b">
        <f t="shared" si="57"/>
        <v>0</v>
      </c>
      <c r="L562" s="1" t="b">
        <f t="shared" si="58"/>
        <v>0</v>
      </c>
      <c r="M562" s="1" t="b">
        <f t="shared" si="59"/>
        <v>0</v>
      </c>
      <c r="N562" s="1" t="b">
        <f t="shared" si="60"/>
        <v>0</v>
      </c>
      <c r="O562" s="1" t="b">
        <f t="shared" si="61"/>
        <v>0</v>
      </c>
      <c r="P562" s="1" t="b">
        <f t="shared" si="62"/>
        <v>0</v>
      </c>
    </row>
    <row r="563" spans="1:16" x14ac:dyDescent="0.2">
      <c r="A563">
        <v>2681144</v>
      </c>
      <c r="B563" t="s">
        <v>1134</v>
      </c>
      <c r="C563" t="s">
        <v>310</v>
      </c>
      <c r="D563" t="s">
        <v>122</v>
      </c>
      <c r="E563" s="1">
        <v>44914</v>
      </c>
      <c r="F563" t="s">
        <v>1135</v>
      </c>
      <c r="G563" s="1">
        <v>44943</v>
      </c>
      <c r="H563" s="1">
        <v>44970</v>
      </c>
      <c r="I563" t="s">
        <v>28</v>
      </c>
      <c r="J563" s="1" t="b">
        <f t="shared" si="56"/>
        <v>1</v>
      </c>
      <c r="K563" s="1" t="b">
        <f t="shared" si="57"/>
        <v>0</v>
      </c>
      <c r="L563" s="1" t="b">
        <f t="shared" si="58"/>
        <v>0</v>
      </c>
      <c r="M563" s="1" t="b">
        <f t="shared" si="59"/>
        <v>0</v>
      </c>
      <c r="N563" s="1" t="b">
        <f t="shared" si="60"/>
        <v>0</v>
      </c>
      <c r="O563" s="1" t="b">
        <f t="shared" si="61"/>
        <v>0</v>
      </c>
      <c r="P563" s="1" t="b">
        <f t="shared" si="62"/>
        <v>1</v>
      </c>
    </row>
    <row r="564" spans="1:16" x14ac:dyDescent="0.2">
      <c r="A564">
        <v>2681144</v>
      </c>
      <c r="B564" t="s">
        <v>1136</v>
      </c>
      <c r="C564" t="s">
        <v>310</v>
      </c>
      <c r="D564" t="s">
        <v>122</v>
      </c>
      <c r="E564" s="1">
        <v>45046</v>
      </c>
      <c r="F564" t="s">
        <v>1137</v>
      </c>
      <c r="G564" s="1">
        <v>45048</v>
      </c>
      <c r="I564" t="s">
        <v>25</v>
      </c>
      <c r="J564" s="1" t="b">
        <f t="shared" si="56"/>
        <v>0</v>
      </c>
      <c r="K564" s="1" t="b">
        <f t="shared" si="57"/>
        <v>0</v>
      </c>
      <c r="L564" s="1" t="b">
        <f t="shared" si="58"/>
        <v>1</v>
      </c>
      <c r="M564" s="1" t="b">
        <f t="shared" si="59"/>
        <v>0</v>
      </c>
      <c r="N564" s="1" t="b">
        <f t="shared" si="60"/>
        <v>0</v>
      </c>
      <c r="O564" s="1" t="b">
        <f t="shared" si="61"/>
        <v>0</v>
      </c>
      <c r="P564" s="1" t="b">
        <f t="shared" si="62"/>
        <v>0</v>
      </c>
    </row>
    <row r="565" spans="1:16" x14ac:dyDescent="0.2">
      <c r="A565">
        <v>2681144</v>
      </c>
      <c r="B565" t="s">
        <v>1138</v>
      </c>
      <c r="C565" t="s">
        <v>310</v>
      </c>
      <c r="D565" t="s">
        <v>122</v>
      </c>
      <c r="E565" s="1">
        <v>44973</v>
      </c>
      <c r="F565" t="s">
        <v>1139</v>
      </c>
      <c r="G565" s="1">
        <v>44975</v>
      </c>
      <c r="I565" t="s">
        <v>13</v>
      </c>
      <c r="J565" s="1" t="b">
        <f t="shared" si="56"/>
        <v>0</v>
      </c>
      <c r="K565" s="1" t="b">
        <f t="shared" si="57"/>
        <v>1</v>
      </c>
      <c r="L565" s="1" t="b">
        <f t="shared" si="58"/>
        <v>0</v>
      </c>
      <c r="M565" s="1" t="b">
        <f t="shared" si="59"/>
        <v>0</v>
      </c>
      <c r="N565" s="1" t="b">
        <f t="shared" si="60"/>
        <v>0</v>
      </c>
      <c r="O565" s="1" t="b">
        <f t="shared" si="61"/>
        <v>0</v>
      </c>
      <c r="P565" s="1" t="b">
        <f t="shared" si="62"/>
        <v>0</v>
      </c>
    </row>
    <row r="566" spans="1:16" x14ac:dyDescent="0.2">
      <c r="A566">
        <v>2681144</v>
      </c>
      <c r="B566" t="s">
        <v>1140</v>
      </c>
      <c r="C566" t="s">
        <v>310</v>
      </c>
      <c r="D566" t="s">
        <v>122</v>
      </c>
      <c r="E566" s="1">
        <v>44612</v>
      </c>
      <c r="F566" t="s">
        <v>1141</v>
      </c>
      <c r="G566" s="1">
        <v>44636</v>
      </c>
      <c r="H566" s="1">
        <v>44667</v>
      </c>
      <c r="I566" t="s">
        <v>28</v>
      </c>
      <c r="J566" s="1" t="b">
        <f t="shared" si="56"/>
        <v>1</v>
      </c>
      <c r="K566" s="1" t="b">
        <f t="shared" si="57"/>
        <v>0</v>
      </c>
      <c r="L566" s="1" t="b">
        <f t="shared" si="58"/>
        <v>0</v>
      </c>
      <c r="M566" s="1" t="b">
        <f t="shared" si="59"/>
        <v>0</v>
      </c>
      <c r="N566" s="1" t="b">
        <f t="shared" si="60"/>
        <v>0</v>
      </c>
      <c r="O566" s="1" t="b">
        <f t="shared" si="61"/>
        <v>0</v>
      </c>
      <c r="P566" s="1" t="b">
        <f t="shared" si="62"/>
        <v>1</v>
      </c>
    </row>
    <row r="567" spans="1:16" x14ac:dyDescent="0.2">
      <c r="A567">
        <v>2681144</v>
      </c>
      <c r="B567" t="s">
        <v>1142</v>
      </c>
      <c r="C567" t="s">
        <v>310</v>
      </c>
      <c r="D567" t="s">
        <v>122</v>
      </c>
      <c r="E567" s="1">
        <v>44872</v>
      </c>
      <c r="F567" t="s">
        <v>1143</v>
      </c>
      <c r="G567" s="1">
        <v>44882</v>
      </c>
      <c r="H567" s="1">
        <v>44900</v>
      </c>
      <c r="I567" t="s">
        <v>28</v>
      </c>
      <c r="J567" s="1" t="b">
        <f t="shared" si="56"/>
        <v>1</v>
      </c>
      <c r="K567" s="1" t="b">
        <f t="shared" si="57"/>
        <v>0</v>
      </c>
      <c r="L567" s="1" t="b">
        <f t="shared" si="58"/>
        <v>0</v>
      </c>
      <c r="M567" s="1" t="b">
        <f t="shared" si="59"/>
        <v>0</v>
      </c>
      <c r="N567" s="1" t="b">
        <f t="shared" si="60"/>
        <v>0</v>
      </c>
      <c r="O567" s="1" t="b">
        <f t="shared" si="61"/>
        <v>0</v>
      </c>
      <c r="P567" s="1" t="b">
        <f t="shared" si="62"/>
        <v>1</v>
      </c>
    </row>
    <row r="568" spans="1:16" x14ac:dyDescent="0.2">
      <c r="A568">
        <v>9248001</v>
      </c>
      <c r="B568" t="s">
        <v>1144</v>
      </c>
      <c r="C568" t="s">
        <v>90</v>
      </c>
      <c r="D568" t="s">
        <v>122</v>
      </c>
      <c r="E568" s="1">
        <v>44890</v>
      </c>
      <c r="F568" t="s">
        <v>1145</v>
      </c>
      <c r="G568" s="1">
        <v>44899</v>
      </c>
      <c r="I568" t="s">
        <v>13</v>
      </c>
      <c r="J568" s="1" t="b">
        <f t="shared" si="56"/>
        <v>0</v>
      </c>
      <c r="K568" s="1" t="b">
        <f t="shared" si="57"/>
        <v>1</v>
      </c>
      <c r="L568" s="1" t="b">
        <f t="shared" si="58"/>
        <v>0</v>
      </c>
      <c r="M568" s="1" t="b">
        <f t="shared" si="59"/>
        <v>0</v>
      </c>
      <c r="N568" s="1" t="b">
        <f t="shared" si="60"/>
        <v>0</v>
      </c>
      <c r="O568" s="1" t="b">
        <f t="shared" si="61"/>
        <v>0</v>
      </c>
      <c r="P568" s="1" t="b">
        <f t="shared" si="62"/>
        <v>0</v>
      </c>
    </row>
    <row r="569" spans="1:16" x14ac:dyDescent="0.2">
      <c r="A569">
        <v>9248001</v>
      </c>
      <c r="B569" t="s">
        <v>1146</v>
      </c>
      <c r="C569" t="s">
        <v>90</v>
      </c>
      <c r="D569" t="s">
        <v>122</v>
      </c>
      <c r="E569" s="1">
        <v>44778</v>
      </c>
      <c r="F569" t="s">
        <v>1147</v>
      </c>
      <c r="G569" s="1">
        <v>44808</v>
      </c>
      <c r="H569" s="1">
        <v>44861</v>
      </c>
      <c r="I569" t="s">
        <v>16</v>
      </c>
      <c r="J569" s="1" t="b">
        <f t="shared" si="56"/>
        <v>1</v>
      </c>
      <c r="K569" s="1" t="b">
        <f t="shared" si="57"/>
        <v>0</v>
      </c>
      <c r="L569" s="1" t="b">
        <f t="shared" si="58"/>
        <v>0</v>
      </c>
      <c r="M569" s="1" t="b">
        <f t="shared" si="59"/>
        <v>0</v>
      </c>
      <c r="N569" s="1" t="b">
        <f t="shared" si="60"/>
        <v>1</v>
      </c>
      <c r="O569" s="1" t="b">
        <f t="shared" si="61"/>
        <v>0</v>
      </c>
      <c r="P569" s="1" t="b">
        <f t="shared" si="62"/>
        <v>0</v>
      </c>
    </row>
    <row r="570" spans="1:16" x14ac:dyDescent="0.2">
      <c r="A570">
        <v>7831185</v>
      </c>
      <c r="B570" t="s">
        <v>1148</v>
      </c>
      <c r="C570" t="s">
        <v>138</v>
      </c>
      <c r="D570" t="s">
        <v>77</v>
      </c>
      <c r="E570" s="1">
        <v>44724</v>
      </c>
      <c r="F570" t="s">
        <v>1149</v>
      </c>
      <c r="G570" s="1">
        <v>44727</v>
      </c>
      <c r="H570" s="1">
        <v>44747</v>
      </c>
      <c r="I570" t="s">
        <v>16</v>
      </c>
      <c r="J570" s="1" t="b">
        <f t="shared" si="56"/>
        <v>1</v>
      </c>
      <c r="K570" s="1" t="b">
        <f t="shared" si="57"/>
        <v>0</v>
      </c>
      <c r="L570" s="1" t="b">
        <f t="shared" si="58"/>
        <v>0</v>
      </c>
      <c r="M570" s="1" t="b">
        <f t="shared" si="59"/>
        <v>0</v>
      </c>
      <c r="N570" s="1" t="b">
        <f t="shared" si="60"/>
        <v>1</v>
      </c>
      <c r="O570" s="1" t="b">
        <f t="shared" si="61"/>
        <v>0</v>
      </c>
      <c r="P570" s="1" t="b">
        <f t="shared" si="62"/>
        <v>0</v>
      </c>
    </row>
    <row r="571" spans="1:16" x14ac:dyDescent="0.2">
      <c r="A571">
        <v>7831185</v>
      </c>
      <c r="B571" t="s">
        <v>1150</v>
      </c>
      <c r="C571" t="s">
        <v>138</v>
      </c>
      <c r="D571" t="s">
        <v>77</v>
      </c>
      <c r="E571" s="1">
        <v>45098</v>
      </c>
      <c r="F571" t="s">
        <v>1151</v>
      </c>
      <c r="G571" s="1">
        <v>45127</v>
      </c>
      <c r="H571" s="1">
        <v>45164</v>
      </c>
      <c r="J571" s="1" t="b">
        <f t="shared" si="56"/>
        <v>1</v>
      </c>
      <c r="K571" s="1" t="b">
        <f t="shared" si="57"/>
        <v>0</v>
      </c>
      <c r="L571" s="1" t="b">
        <f t="shared" si="58"/>
        <v>0</v>
      </c>
      <c r="M571" s="1" t="b">
        <f t="shared" si="59"/>
        <v>0</v>
      </c>
      <c r="N571" s="1" t="b">
        <f t="shared" si="60"/>
        <v>0</v>
      </c>
      <c r="O571" s="1" t="b">
        <f t="shared" si="61"/>
        <v>0</v>
      </c>
      <c r="P571" s="1" t="b">
        <f t="shared" si="62"/>
        <v>0</v>
      </c>
    </row>
    <row r="572" spans="1:16" x14ac:dyDescent="0.2">
      <c r="A572">
        <v>7831185</v>
      </c>
      <c r="B572" t="s">
        <v>1152</v>
      </c>
      <c r="C572" t="s">
        <v>138</v>
      </c>
      <c r="D572" t="s">
        <v>77</v>
      </c>
      <c r="E572" s="1">
        <v>44767</v>
      </c>
      <c r="F572" t="s">
        <v>752</v>
      </c>
      <c r="G572" s="1">
        <v>44794</v>
      </c>
      <c r="I572" t="s">
        <v>13</v>
      </c>
      <c r="J572" s="1" t="b">
        <f t="shared" si="56"/>
        <v>0</v>
      </c>
      <c r="K572" s="1" t="b">
        <f t="shared" si="57"/>
        <v>1</v>
      </c>
      <c r="L572" s="1" t="b">
        <f t="shared" si="58"/>
        <v>0</v>
      </c>
      <c r="M572" s="1" t="b">
        <f t="shared" si="59"/>
        <v>0</v>
      </c>
      <c r="N572" s="1" t="b">
        <f t="shared" si="60"/>
        <v>0</v>
      </c>
      <c r="O572" s="1" t="b">
        <f t="shared" si="61"/>
        <v>0</v>
      </c>
      <c r="P572" s="1" t="b">
        <f t="shared" si="62"/>
        <v>0</v>
      </c>
    </row>
    <row r="573" spans="1:16" x14ac:dyDescent="0.2">
      <c r="A573">
        <v>7831185</v>
      </c>
      <c r="B573" t="s">
        <v>1153</v>
      </c>
      <c r="C573" t="s">
        <v>138</v>
      </c>
      <c r="D573" t="s">
        <v>77</v>
      </c>
      <c r="E573" s="1">
        <v>44613</v>
      </c>
      <c r="F573" t="s">
        <v>1154</v>
      </c>
      <c r="G573" s="1">
        <v>44643</v>
      </c>
      <c r="I573" t="s">
        <v>13</v>
      </c>
      <c r="J573" s="1" t="b">
        <f t="shared" si="56"/>
        <v>0</v>
      </c>
      <c r="K573" s="1" t="b">
        <f t="shared" si="57"/>
        <v>1</v>
      </c>
      <c r="L573" s="1" t="b">
        <f t="shared" si="58"/>
        <v>0</v>
      </c>
      <c r="M573" s="1" t="b">
        <f t="shared" si="59"/>
        <v>0</v>
      </c>
      <c r="N573" s="1" t="b">
        <f t="shared" si="60"/>
        <v>0</v>
      </c>
      <c r="O573" s="1" t="b">
        <f t="shared" si="61"/>
        <v>0</v>
      </c>
      <c r="P573" s="1" t="b">
        <f t="shared" si="62"/>
        <v>0</v>
      </c>
    </row>
    <row r="574" spans="1:16" x14ac:dyDescent="0.2">
      <c r="A574">
        <v>7831185</v>
      </c>
      <c r="B574" t="s">
        <v>1155</v>
      </c>
      <c r="C574" t="s">
        <v>138</v>
      </c>
      <c r="D574" t="s">
        <v>77</v>
      </c>
      <c r="E574" s="1">
        <v>45037</v>
      </c>
      <c r="F574" t="s">
        <v>1156</v>
      </c>
      <c r="G574" s="1">
        <v>45054</v>
      </c>
      <c r="H574" s="1">
        <v>45080</v>
      </c>
      <c r="I574" t="s">
        <v>43</v>
      </c>
      <c r="J574" s="1" t="b">
        <f t="shared" si="56"/>
        <v>1</v>
      </c>
      <c r="K574" s="1" t="b">
        <f t="shared" si="57"/>
        <v>0</v>
      </c>
      <c r="L574" s="1" t="b">
        <f t="shared" si="58"/>
        <v>0</v>
      </c>
      <c r="M574" s="1" t="b">
        <f t="shared" si="59"/>
        <v>0</v>
      </c>
      <c r="N574" s="1" t="b">
        <f t="shared" si="60"/>
        <v>0</v>
      </c>
      <c r="O574" s="1" t="b">
        <f t="shared" si="61"/>
        <v>1</v>
      </c>
      <c r="P574" s="1" t="b">
        <f t="shared" si="62"/>
        <v>0</v>
      </c>
    </row>
    <row r="575" spans="1:16" x14ac:dyDescent="0.2">
      <c r="A575">
        <v>3078241</v>
      </c>
      <c r="B575" t="s">
        <v>1157</v>
      </c>
      <c r="C575" t="s">
        <v>167</v>
      </c>
      <c r="D575" t="s">
        <v>56</v>
      </c>
      <c r="E575" s="1">
        <v>44743</v>
      </c>
      <c r="F575" t="s">
        <v>1158</v>
      </c>
      <c r="G575" s="1">
        <v>44771</v>
      </c>
      <c r="I575" t="s">
        <v>25</v>
      </c>
      <c r="J575" s="1" t="b">
        <f t="shared" si="56"/>
        <v>0</v>
      </c>
      <c r="K575" s="1" t="b">
        <f t="shared" si="57"/>
        <v>0</v>
      </c>
      <c r="L575" s="1" t="b">
        <f t="shared" si="58"/>
        <v>1</v>
      </c>
      <c r="M575" s="1" t="b">
        <f t="shared" si="59"/>
        <v>0</v>
      </c>
      <c r="N575" s="1" t="b">
        <f t="shared" si="60"/>
        <v>0</v>
      </c>
      <c r="O575" s="1" t="b">
        <f t="shared" si="61"/>
        <v>0</v>
      </c>
      <c r="P575" s="1" t="b">
        <f t="shared" si="62"/>
        <v>0</v>
      </c>
    </row>
    <row r="576" spans="1:16" x14ac:dyDescent="0.2">
      <c r="A576">
        <v>3078241</v>
      </c>
      <c r="B576" t="s">
        <v>1159</v>
      </c>
      <c r="C576" t="s">
        <v>167</v>
      </c>
      <c r="D576" t="s">
        <v>56</v>
      </c>
      <c r="E576" s="1">
        <v>44826</v>
      </c>
      <c r="F576" t="s">
        <v>1160</v>
      </c>
      <c r="G576" s="1">
        <v>44850</v>
      </c>
      <c r="H576" s="1">
        <v>44904</v>
      </c>
      <c r="I576" t="s">
        <v>28</v>
      </c>
      <c r="J576" s="1" t="b">
        <f t="shared" si="56"/>
        <v>1</v>
      </c>
      <c r="K576" s="1" t="b">
        <f t="shared" si="57"/>
        <v>0</v>
      </c>
      <c r="L576" s="1" t="b">
        <f t="shared" si="58"/>
        <v>0</v>
      </c>
      <c r="M576" s="1" t="b">
        <f t="shared" si="59"/>
        <v>0</v>
      </c>
      <c r="N576" s="1" t="b">
        <f t="shared" si="60"/>
        <v>0</v>
      </c>
      <c r="O576" s="1" t="b">
        <f t="shared" si="61"/>
        <v>0</v>
      </c>
      <c r="P576" s="1" t="b">
        <f t="shared" si="62"/>
        <v>1</v>
      </c>
    </row>
    <row r="577" spans="1:16" x14ac:dyDescent="0.2">
      <c r="A577">
        <v>2516524</v>
      </c>
      <c r="B577" t="s">
        <v>1161</v>
      </c>
      <c r="C577" t="s">
        <v>110</v>
      </c>
      <c r="D577" t="s">
        <v>56</v>
      </c>
      <c r="E577" s="1">
        <v>44570</v>
      </c>
      <c r="F577" t="s">
        <v>1162</v>
      </c>
      <c r="G577" s="1">
        <v>44578</v>
      </c>
      <c r="I577" t="s">
        <v>13</v>
      </c>
      <c r="J577" s="1" t="b">
        <f t="shared" si="56"/>
        <v>0</v>
      </c>
      <c r="K577" s="1" t="b">
        <f t="shared" si="57"/>
        <v>1</v>
      </c>
      <c r="L577" s="1" t="b">
        <f t="shared" si="58"/>
        <v>0</v>
      </c>
      <c r="M577" s="1" t="b">
        <f t="shared" si="59"/>
        <v>0</v>
      </c>
      <c r="N577" s="1" t="b">
        <f t="shared" si="60"/>
        <v>0</v>
      </c>
      <c r="O577" s="1" t="b">
        <f t="shared" si="61"/>
        <v>0</v>
      </c>
      <c r="P577" s="1" t="b">
        <f t="shared" si="62"/>
        <v>0</v>
      </c>
    </row>
    <row r="578" spans="1:16" x14ac:dyDescent="0.2">
      <c r="A578">
        <v>2516524</v>
      </c>
      <c r="B578" t="s">
        <v>1163</v>
      </c>
      <c r="C578" t="s">
        <v>110</v>
      </c>
      <c r="D578" t="s">
        <v>56</v>
      </c>
      <c r="E578" s="1">
        <v>44792</v>
      </c>
      <c r="F578" t="s">
        <v>1164</v>
      </c>
      <c r="G578" s="1">
        <v>44814</v>
      </c>
      <c r="H578" s="1">
        <v>44828</v>
      </c>
      <c r="I578" t="s">
        <v>43</v>
      </c>
      <c r="J578" s="1" t="b">
        <f t="shared" si="56"/>
        <v>1</v>
      </c>
      <c r="K578" s="1" t="b">
        <f t="shared" si="57"/>
        <v>0</v>
      </c>
      <c r="L578" s="1" t="b">
        <f t="shared" si="58"/>
        <v>0</v>
      </c>
      <c r="M578" s="1" t="b">
        <f t="shared" si="59"/>
        <v>0</v>
      </c>
      <c r="N578" s="1" t="b">
        <f t="shared" si="60"/>
        <v>0</v>
      </c>
      <c r="O578" s="1" t="b">
        <f t="shared" si="61"/>
        <v>1</v>
      </c>
      <c r="P578" s="1" t="b">
        <f t="shared" si="62"/>
        <v>0</v>
      </c>
    </row>
    <row r="579" spans="1:16" x14ac:dyDescent="0.2">
      <c r="A579">
        <v>2516524</v>
      </c>
      <c r="B579" t="s">
        <v>1165</v>
      </c>
      <c r="C579" t="s">
        <v>110</v>
      </c>
      <c r="D579" t="s">
        <v>56</v>
      </c>
      <c r="E579" s="1">
        <v>44582</v>
      </c>
      <c r="F579" t="s">
        <v>1166</v>
      </c>
      <c r="G579" s="1">
        <v>44610</v>
      </c>
      <c r="I579" t="s">
        <v>25</v>
      </c>
      <c r="J579" s="1" t="b">
        <f t="shared" ref="J579:J642" si="63">AND(NOT(ISBLANK(H579)), NOT(OR(ISNUMBER(SEARCH("decline", I579)), ISNUMBER(SEARCH("rescind", I579)), ISNUMBER(SEARCH("cancel", I579)))))</f>
        <v>0</v>
      </c>
      <c r="K579" s="1" t="b">
        <f t="shared" ref="K579:K642" si="64">ISNUMBER(SEARCH("decline", I579))</f>
        <v>0</v>
      </c>
      <c r="L579" s="1" t="b">
        <f t="shared" ref="L579:L642" si="65">ISNUMBER(SEARCH("rescind", I579))</f>
        <v>1</v>
      </c>
      <c r="M579" s="1" t="b">
        <f t="shared" ref="M579:M642" si="66">ISNUMBER(SEARCH("cancel", I579))</f>
        <v>0</v>
      </c>
      <c r="N579" s="1" t="b">
        <f t="shared" ref="N579:N642" si="67">ISNUMBER(SEARCH("transfer", I579))</f>
        <v>0</v>
      </c>
      <c r="O579" s="1" t="b">
        <f t="shared" ref="O579:O642" si="68">ISNUMBER(SEARCH("promo", I579))</f>
        <v>0</v>
      </c>
      <c r="P579" s="1" t="b">
        <f t="shared" ref="P579:P642" si="69">ISNUMBER(SEARCH("new", I579))</f>
        <v>0</v>
      </c>
    </row>
    <row r="580" spans="1:16" x14ac:dyDescent="0.2">
      <c r="A580">
        <v>2516524</v>
      </c>
      <c r="B580" t="s">
        <v>1167</v>
      </c>
      <c r="C580" t="s">
        <v>110</v>
      </c>
      <c r="D580" t="s">
        <v>56</v>
      </c>
      <c r="E580" s="1">
        <v>44697</v>
      </c>
      <c r="F580" t="s">
        <v>1168</v>
      </c>
      <c r="G580" s="1">
        <v>44718</v>
      </c>
      <c r="H580" s="1">
        <v>44730</v>
      </c>
      <c r="I580" t="s">
        <v>16</v>
      </c>
      <c r="J580" s="1" t="b">
        <f t="shared" si="63"/>
        <v>1</v>
      </c>
      <c r="K580" s="1" t="b">
        <f t="shared" si="64"/>
        <v>0</v>
      </c>
      <c r="L580" s="1" t="b">
        <f t="shared" si="65"/>
        <v>0</v>
      </c>
      <c r="M580" s="1" t="b">
        <f t="shared" si="66"/>
        <v>0</v>
      </c>
      <c r="N580" s="1" t="b">
        <f t="shared" si="67"/>
        <v>1</v>
      </c>
      <c r="O580" s="1" t="b">
        <f t="shared" si="68"/>
        <v>0</v>
      </c>
      <c r="P580" s="1" t="b">
        <f t="shared" si="69"/>
        <v>0</v>
      </c>
    </row>
    <row r="581" spans="1:16" x14ac:dyDescent="0.2">
      <c r="A581">
        <v>5234408</v>
      </c>
      <c r="B581" t="s">
        <v>1169</v>
      </c>
      <c r="C581" t="s">
        <v>121</v>
      </c>
      <c r="D581" t="s">
        <v>11</v>
      </c>
      <c r="E581" s="1">
        <v>45032</v>
      </c>
      <c r="F581" t="s">
        <v>27</v>
      </c>
      <c r="G581" s="1">
        <v>45041</v>
      </c>
      <c r="H581" s="1">
        <v>45055</v>
      </c>
      <c r="J581" s="1" t="b">
        <f t="shared" si="63"/>
        <v>1</v>
      </c>
      <c r="K581" s="1" t="b">
        <f t="shared" si="64"/>
        <v>0</v>
      </c>
      <c r="L581" s="1" t="b">
        <f t="shared" si="65"/>
        <v>0</v>
      </c>
      <c r="M581" s="1" t="b">
        <f t="shared" si="66"/>
        <v>0</v>
      </c>
      <c r="N581" s="1" t="b">
        <f t="shared" si="67"/>
        <v>0</v>
      </c>
      <c r="O581" s="1" t="b">
        <f t="shared" si="68"/>
        <v>0</v>
      </c>
      <c r="P581" s="1" t="b">
        <f t="shared" si="69"/>
        <v>0</v>
      </c>
    </row>
    <row r="582" spans="1:16" x14ac:dyDescent="0.2">
      <c r="A582">
        <v>5234408</v>
      </c>
      <c r="B582" t="s">
        <v>1170</v>
      </c>
      <c r="C582" t="s">
        <v>121</v>
      </c>
      <c r="D582" t="s">
        <v>11</v>
      </c>
      <c r="E582" s="1">
        <v>44569</v>
      </c>
      <c r="F582" t="s">
        <v>1171</v>
      </c>
      <c r="G582" s="1">
        <v>44586</v>
      </c>
      <c r="H582" s="1">
        <v>44629</v>
      </c>
      <c r="J582" s="1" t="b">
        <f t="shared" si="63"/>
        <v>1</v>
      </c>
      <c r="K582" s="1" t="b">
        <f t="shared" si="64"/>
        <v>0</v>
      </c>
      <c r="L582" s="1" t="b">
        <f t="shared" si="65"/>
        <v>0</v>
      </c>
      <c r="M582" s="1" t="b">
        <f t="shared" si="66"/>
        <v>0</v>
      </c>
      <c r="N582" s="1" t="b">
        <f t="shared" si="67"/>
        <v>0</v>
      </c>
      <c r="O582" s="1" t="b">
        <f t="shared" si="68"/>
        <v>0</v>
      </c>
      <c r="P582" s="1" t="b">
        <f t="shared" si="69"/>
        <v>0</v>
      </c>
    </row>
    <row r="583" spans="1:16" x14ac:dyDescent="0.2">
      <c r="A583">
        <v>5234408</v>
      </c>
      <c r="B583" t="s">
        <v>1172</v>
      </c>
      <c r="C583" t="s">
        <v>121</v>
      </c>
      <c r="D583" t="s">
        <v>11</v>
      </c>
      <c r="E583" s="1">
        <v>44851</v>
      </c>
      <c r="F583" t="s">
        <v>1173</v>
      </c>
      <c r="G583" s="1">
        <v>44861</v>
      </c>
      <c r="H583" s="1">
        <v>44905</v>
      </c>
      <c r="I583" t="s">
        <v>28</v>
      </c>
      <c r="J583" s="1" t="b">
        <f t="shared" si="63"/>
        <v>1</v>
      </c>
      <c r="K583" s="1" t="b">
        <f t="shared" si="64"/>
        <v>0</v>
      </c>
      <c r="L583" s="1" t="b">
        <f t="shared" si="65"/>
        <v>0</v>
      </c>
      <c r="M583" s="1" t="b">
        <f t="shared" si="66"/>
        <v>0</v>
      </c>
      <c r="N583" s="1" t="b">
        <f t="shared" si="67"/>
        <v>0</v>
      </c>
      <c r="O583" s="1" t="b">
        <f t="shared" si="68"/>
        <v>0</v>
      </c>
      <c r="P583" s="1" t="b">
        <f t="shared" si="69"/>
        <v>1</v>
      </c>
    </row>
    <row r="584" spans="1:16" x14ac:dyDescent="0.2">
      <c r="A584">
        <v>2813693</v>
      </c>
      <c r="B584" t="s">
        <v>1174</v>
      </c>
      <c r="C584" t="s">
        <v>363</v>
      </c>
      <c r="D584" t="s">
        <v>122</v>
      </c>
      <c r="E584" s="1">
        <v>44829</v>
      </c>
      <c r="F584" t="s">
        <v>1175</v>
      </c>
      <c r="G584" s="1">
        <v>44850</v>
      </c>
      <c r="H584" s="1">
        <v>44896</v>
      </c>
      <c r="I584" t="s">
        <v>28</v>
      </c>
      <c r="J584" s="1" t="b">
        <f t="shared" si="63"/>
        <v>1</v>
      </c>
      <c r="K584" s="1" t="b">
        <f t="shared" si="64"/>
        <v>0</v>
      </c>
      <c r="L584" s="1" t="b">
        <f t="shared" si="65"/>
        <v>0</v>
      </c>
      <c r="M584" s="1" t="b">
        <f t="shared" si="66"/>
        <v>0</v>
      </c>
      <c r="N584" s="1" t="b">
        <f t="shared" si="67"/>
        <v>0</v>
      </c>
      <c r="O584" s="1" t="b">
        <f t="shared" si="68"/>
        <v>0</v>
      </c>
      <c r="P584" s="1" t="b">
        <f t="shared" si="69"/>
        <v>1</v>
      </c>
    </row>
    <row r="585" spans="1:16" x14ac:dyDescent="0.2">
      <c r="A585">
        <v>2813693</v>
      </c>
      <c r="B585" t="s">
        <v>1176</v>
      </c>
      <c r="C585" t="s">
        <v>363</v>
      </c>
      <c r="D585" t="s">
        <v>122</v>
      </c>
      <c r="E585" s="1">
        <v>45091</v>
      </c>
      <c r="F585" t="s">
        <v>1177</v>
      </c>
      <c r="G585" s="1">
        <v>45116</v>
      </c>
      <c r="H585" s="1">
        <v>45132</v>
      </c>
      <c r="I585" t="s">
        <v>28</v>
      </c>
      <c r="J585" s="1" t="b">
        <f t="shared" si="63"/>
        <v>1</v>
      </c>
      <c r="K585" s="1" t="b">
        <f t="shared" si="64"/>
        <v>0</v>
      </c>
      <c r="L585" s="1" t="b">
        <f t="shared" si="65"/>
        <v>0</v>
      </c>
      <c r="M585" s="1" t="b">
        <f t="shared" si="66"/>
        <v>0</v>
      </c>
      <c r="N585" s="1" t="b">
        <f t="shared" si="67"/>
        <v>0</v>
      </c>
      <c r="O585" s="1" t="b">
        <f t="shared" si="68"/>
        <v>0</v>
      </c>
      <c r="P585" s="1" t="b">
        <f t="shared" si="69"/>
        <v>1</v>
      </c>
    </row>
    <row r="586" spans="1:16" x14ac:dyDescent="0.2">
      <c r="A586">
        <v>2813693</v>
      </c>
      <c r="B586" t="s">
        <v>1178</v>
      </c>
      <c r="C586" t="s">
        <v>363</v>
      </c>
      <c r="D586" t="s">
        <v>122</v>
      </c>
      <c r="E586" s="1">
        <v>44705</v>
      </c>
      <c r="F586" t="s">
        <v>1179</v>
      </c>
      <c r="G586" s="1">
        <v>44729</v>
      </c>
      <c r="H586" s="1">
        <v>44731</v>
      </c>
      <c r="J586" s="1" t="b">
        <f t="shared" si="63"/>
        <v>1</v>
      </c>
      <c r="K586" s="1" t="b">
        <f t="shared" si="64"/>
        <v>0</v>
      </c>
      <c r="L586" s="1" t="b">
        <f t="shared" si="65"/>
        <v>0</v>
      </c>
      <c r="M586" s="1" t="b">
        <f t="shared" si="66"/>
        <v>0</v>
      </c>
      <c r="N586" s="1" t="b">
        <f t="shared" si="67"/>
        <v>0</v>
      </c>
      <c r="O586" s="1" t="b">
        <f t="shared" si="68"/>
        <v>0</v>
      </c>
      <c r="P586" s="1" t="b">
        <f t="shared" si="69"/>
        <v>0</v>
      </c>
    </row>
    <row r="587" spans="1:16" x14ac:dyDescent="0.2">
      <c r="A587">
        <v>9344531</v>
      </c>
      <c r="B587" t="s">
        <v>1180</v>
      </c>
      <c r="C587" t="s">
        <v>110</v>
      </c>
      <c r="D587" t="s">
        <v>11</v>
      </c>
      <c r="E587" s="1">
        <v>44756</v>
      </c>
      <c r="F587" t="s">
        <v>1181</v>
      </c>
      <c r="G587" s="1">
        <v>44767</v>
      </c>
      <c r="H587" s="1">
        <v>44814</v>
      </c>
      <c r="I587" t="s">
        <v>16</v>
      </c>
      <c r="J587" s="1" t="b">
        <f t="shared" si="63"/>
        <v>1</v>
      </c>
      <c r="K587" s="1" t="b">
        <f t="shared" si="64"/>
        <v>0</v>
      </c>
      <c r="L587" s="1" t="b">
        <f t="shared" si="65"/>
        <v>0</v>
      </c>
      <c r="M587" s="1" t="b">
        <f t="shared" si="66"/>
        <v>0</v>
      </c>
      <c r="N587" s="1" t="b">
        <f t="shared" si="67"/>
        <v>1</v>
      </c>
      <c r="O587" s="1" t="b">
        <f t="shared" si="68"/>
        <v>0</v>
      </c>
      <c r="P587" s="1" t="b">
        <f t="shared" si="69"/>
        <v>0</v>
      </c>
    </row>
    <row r="588" spans="1:16" x14ac:dyDescent="0.2">
      <c r="A588">
        <v>9344531</v>
      </c>
      <c r="B588" t="s">
        <v>1182</v>
      </c>
      <c r="C588" t="s">
        <v>110</v>
      </c>
      <c r="D588" t="s">
        <v>11</v>
      </c>
      <c r="E588" s="1">
        <v>44929</v>
      </c>
      <c r="F588" t="s">
        <v>1183</v>
      </c>
      <c r="G588" s="1">
        <v>44946</v>
      </c>
      <c r="H588" s="1">
        <v>44966</v>
      </c>
      <c r="J588" s="1" t="b">
        <f t="shared" si="63"/>
        <v>1</v>
      </c>
      <c r="K588" s="1" t="b">
        <f t="shared" si="64"/>
        <v>0</v>
      </c>
      <c r="L588" s="1" t="b">
        <f t="shared" si="65"/>
        <v>0</v>
      </c>
      <c r="M588" s="1" t="b">
        <f t="shared" si="66"/>
        <v>0</v>
      </c>
      <c r="N588" s="1" t="b">
        <f t="shared" si="67"/>
        <v>0</v>
      </c>
      <c r="O588" s="1" t="b">
        <f t="shared" si="68"/>
        <v>0</v>
      </c>
      <c r="P588" s="1" t="b">
        <f t="shared" si="69"/>
        <v>0</v>
      </c>
    </row>
    <row r="589" spans="1:16" x14ac:dyDescent="0.2">
      <c r="A589">
        <v>9344531</v>
      </c>
      <c r="B589" t="s">
        <v>1184</v>
      </c>
      <c r="C589" t="s">
        <v>110</v>
      </c>
      <c r="D589" t="s">
        <v>11</v>
      </c>
      <c r="E589" s="1">
        <v>45044</v>
      </c>
      <c r="F589" t="s">
        <v>1185</v>
      </c>
      <c r="G589" s="1">
        <v>45049</v>
      </c>
      <c r="H589" s="1">
        <v>45097</v>
      </c>
      <c r="I589" t="s">
        <v>43</v>
      </c>
      <c r="J589" s="1" t="b">
        <f t="shared" si="63"/>
        <v>1</v>
      </c>
      <c r="K589" s="1" t="b">
        <f t="shared" si="64"/>
        <v>0</v>
      </c>
      <c r="L589" s="1" t="b">
        <f t="shared" si="65"/>
        <v>0</v>
      </c>
      <c r="M589" s="1" t="b">
        <f t="shared" si="66"/>
        <v>0</v>
      </c>
      <c r="N589" s="1" t="b">
        <f t="shared" si="67"/>
        <v>0</v>
      </c>
      <c r="O589" s="1" t="b">
        <f t="shared" si="68"/>
        <v>1</v>
      </c>
      <c r="P589" s="1" t="b">
        <f t="shared" si="69"/>
        <v>0</v>
      </c>
    </row>
    <row r="590" spans="1:16" x14ac:dyDescent="0.2">
      <c r="A590">
        <v>9344531</v>
      </c>
      <c r="B590" t="s">
        <v>1186</v>
      </c>
      <c r="C590" t="s">
        <v>110</v>
      </c>
      <c r="D590" t="s">
        <v>11</v>
      </c>
      <c r="E590" s="1">
        <v>44749</v>
      </c>
      <c r="F590" t="s">
        <v>1187</v>
      </c>
      <c r="G590" s="1">
        <v>44771</v>
      </c>
      <c r="I590" t="s">
        <v>25</v>
      </c>
      <c r="J590" s="1" t="b">
        <f t="shared" si="63"/>
        <v>0</v>
      </c>
      <c r="K590" s="1" t="b">
        <f t="shared" si="64"/>
        <v>0</v>
      </c>
      <c r="L590" s="1" t="b">
        <f t="shared" si="65"/>
        <v>1</v>
      </c>
      <c r="M590" s="1" t="b">
        <f t="shared" si="66"/>
        <v>0</v>
      </c>
      <c r="N590" s="1" t="b">
        <f t="shared" si="67"/>
        <v>0</v>
      </c>
      <c r="O590" s="1" t="b">
        <f t="shared" si="68"/>
        <v>0</v>
      </c>
      <c r="P590" s="1" t="b">
        <f t="shared" si="69"/>
        <v>0</v>
      </c>
    </row>
    <row r="591" spans="1:16" x14ac:dyDescent="0.2">
      <c r="A591">
        <v>6630978</v>
      </c>
      <c r="B591" t="s">
        <v>1188</v>
      </c>
      <c r="C591" t="s">
        <v>265</v>
      </c>
      <c r="D591" t="s">
        <v>122</v>
      </c>
      <c r="E591" s="1">
        <v>44876</v>
      </c>
      <c r="F591" t="s">
        <v>1189</v>
      </c>
      <c r="G591" s="1">
        <v>44890</v>
      </c>
      <c r="I591" t="s">
        <v>25</v>
      </c>
      <c r="J591" s="1" t="b">
        <f t="shared" si="63"/>
        <v>0</v>
      </c>
      <c r="K591" s="1" t="b">
        <f t="shared" si="64"/>
        <v>0</v>
      </c>
      <c r="L591" s="1" t="b">
        <f t="shared" si="65"/>
        <v>1</v>
      </c>
      <c r="M591" s="1" t="b">
        <f t="shared" si="66"/>
        <v>0</v>
      </c>
      <c r="N591" s="1" t="b">
        <f t="shared" si="67"/>
        <v>0</v>
      </c>
      <c r="O591" s="1" t="b">
        <f t="shared" si="68"/>
        <v>0</v>
      </c>
      <c r="P591" s="1" t="b">
        <f t="shared" si="69"/>
        <v>0</v>
      </c>
    </row>
    <row r="592" spans="1:16" x14ac:dyDescent="0.2">
      <c r="A592">
        <v>6630978</v>
      </c>
      <c r="B592" t="s">
        <v>1190</v>
      </c>
      <c r="C592" t="s">
        <v>265</v>
      </c>
      <c r="D592" t="s">
        <v>122</v>
      </c>
      <c r="E592" s="1">
        <v>44863</v>
      </c>
      <c r="F592" t="s">
        <v>849</v>
      </c>
      <c r="G592" s="1">
        <v>44878</v>
      </c>
      <c r="H592" s="1">
        <v>44933</v>
      </c>
      <c r="I592" t="s">
        <v>28</v>
      </c>
      <c r="J592" s="1" t="b">
        <f t="shared" si="63"/>
        <v>1</v>
      </c>
      <c r="K592" s="1" t="b">
        <f t="shared" si="64"/>
        <v>0</v>
      </c>
      <c r="L592" s="1" t="b">
        <f t="shared" si="65"/>
        <v>0</v>
      </c>
      <c r="M592" s="1" t="b">
        <f t="shared" si="66"/>
        <v>0</v>
      </c>
      <c r="N592" s="1" t="b">
        <f t="shared" si="67"/>
        <v>0</v>
      </c>
      <c r="O592" s="1" t="b">
        <f t="shared" si="68"/>
        <v>0</v>
      </c>
      <c r="P592" s="1" t="b">
        <f t="shared" si="69"/>
        <v>1</v>
      </c>
    </row>
    <row r="593" spans="1:16" x14ac:dyDescent="0.2">
      <c r="A593">
        <v>2976045</v>
      </c>
      <c r="B593" t="s">
        <v>1191</v>
      </c>
      <c r="C593" t="s">
        <v>363</v>
      </c>
      <c r="D593" t="s">
        <v>56</v>
      </c>
      <c r="E593" s="1">
        <v>44761</v>
      </c>
      <c r="F593" t="s">
        <v>1192</v>
      </c>
      <c r="G593" s="1">
        <v>44778</v>
      </c>
      <c r="H593" s="1">
        <v>44786</v>
      </c>
      <c r="I593" t="s">
        <v>16</v>
      </c>
      <c r="J593" s="1" t="b">
        <f t="shared" si="63"/>
        <v>1</v>
      </c>
      <c r="K593" s="1" t="b">
        <f t="shared" si="64"/>
        <v>0</v>
      </c>
      <c r="L593" s="1" t="b">
        <f t="shared" si="65"/>
        <v>0</v>
      </c>
      <c r="M593" s="1" t="b">
        <f t="shared" si="66"/>
        <v>0</v>
      </c>
      <c r="N593" s="1" t="b">
        <f t="shared" si="67"/>
        <v>1</v>
      </c>
      <c r="O593" s="1" t="b">
        <f t="shared" si="68"/>
        <v>0</v>
      </c>
      <c r="P593" s="1" t="b">
        <f t="shared" si="69"/>
        <v>0</v>
      </c>
    </row>
    <row r="594" spans="1:16" x14ac:dyDescent="0.2">
      <c r="A594">
        <v>2976045</v>
      </c>
      <c r="B594" t="s">
        <v>1193</v>
      </c>
      <c r="C594" t="s">
        <v>363</v>
      </c>
      <c r="D594" t="s">
        <v>56</v>
      </c>
      <c r="E594" s="1">
        <v>44985</v>
      </c>
      <c r="F594" t="s">
        <v>1194</v>
      </c>
      <c r="G594" s="1">
        <v>44987</v>
      </c>
      <c r="H594" s="1">
        <v>45043</v>
      </c>
      <c r="J594" s="1" t="b">
        <f t="shared" si="63"/>
        <v>1</v>
      </c>
      <c r="K594" s="1" t="b">
        <f t="shared" si="64"/>
        <v>0</v>
      </c>
      <c r="L594" s="1" t="b">
        <f t="shared" si="65"/>
        <v>0</v>
      </c>
      <c r="M594" s="1" t="b">
        <f t="shared" si="66"/>
        <v>0</v>
      </c>
      <c r="N594" s="1" t="b">
        <f t="shared" si="67"/>
        <v>0</v>
      </c>
      <c r="O594" s="1" t="b">
        <f t="shared" si="68"/>
        <v>0</v>
      </c>
      <c r="P594" s="1" t="b">
        <f t="shared" si="69"/>
        <v>0</v>
      </c>
    </row>
    <row r="595" spans="1:16" x14ac:dyDescent="0.2">
      <c r="A595">
        <v>2976045</v>
      </c>
      <c r="B595" t="s">
        <v>1195</v>
      </c>
      <c r="C595" t="s">
        <v>363</v>
      </c>
      <c r="D595" t="s">
        <v>56</v>
      </c>
      <c r="E595" s="1">
        <v>44981</v>
      </c>
      <c r="F595" t="s">
        <v>1196</v>
      </c>
      <c r="G595" s="1">
        <v>45000</v>
      </c>
      <c r="H595" s="1">
        <v>45058</v>
      </c>
      <c r="I595" t="s">
        <v>43</v>
      </c>
      <c r="J595" s="1" t="b">
        <f t="shared" si="63"/>
        <v>1</v>
      </c>
      <c r="K595" s="1" t="b">
        <f t="shared" si="64"/>
        <v>0</v>
      </c>
      <c r="L595" s="1" t="b">
        <f t="shared" si="65"/>
        <v>0</v>
      </c>
      <c r="M595" s="1" t="b">
        <f t="shared" si="66"/>
        <v>0</v>
      </c>
      <c r="N595" s="1" t="b">
        <f t="shared" si="67"/>
        <v>0</v>
      </c>
      <c r="O595" s="1" t="b">
        <f t="shared" si="68"/>
        <v>1</v>
      </c>
      <c r="P595" s="1" t="b">
        <f t="shared" si="69"/>
        <v>0</v>
      </c>
    </row>
    <row r="596" spans="1:16" x14ac:dyDescent="0.2">
      <c r="A596">
        <v>2976045</v>
      </c>
      <c r="B596" t="s">
        <v>1197</v>
      </c>
      <c r="C596" t="s">
        <v>363</v>
      </c>
      <c r="D596" t="s">
        <v>56</v>
      </c>
      <c r="E596" s="1">
        <v>44746</v>
      </c>
      <c r="F596" t="s">
        <v>1198</v>
      </c>
      <c r="G596" s="1">
        <v>44771</v>
      </c>
      <c r="H596" s="1">
        <v>44777</v>
      </c>
      <c r="J596" s="1" t="b">
        <f t="shared" si="63"/>
        <v>1</v>
      </c>
      <c r="K596" s="1" t="b">
        <f t="shared" si="64"/>
        <v>0</v>
      </c>
      <c r="L596" s="1" t="b">
        <f t="shared" si="65"/>
        <v>0</v>
      </c>
      <c r="M596" s="1" t="b">
        <f t="shared" si="66"/>
        <v>0</v>
      </c>
      <c r="N596" s="1" t="b">
        <f t="shared" si="67"/>
        <v>0</v>
      </c>
      <c r="O596" s="1" t="b">
        <f t="shared" si="68"/>
        <v>0</v>
      </c>
      <c r="P596" s="1" t="b">
        <f t="shared" si="69"/>
        <v>0</v>
      </c>
    </row>
    <row r="597" spans="1:16" x14ac:dyDescent="0.2">
      <c r="A597">
        <v>2976045</v>
      </c>
      <c r="B597" t="s">
        <v>1199</v>
      </c>
      <c r="C597" t="s">
        <v>363</v>
      </c>
      <c r="D597" t="s">
        <v>56</v>
      </c>
      <c r="E597" s="1">
        <v>44621</v>
      </c>
      <c r="F597" t="s">
        <v>353</v>
      </c>
      <c r="G597" s="1">
        <v>44622</v>
      </c>
      <c r="H597" s="1">
        <v>44651</v>
      </c>
      <c r="I597" t="s">
        <v>43</v>
      </c>
      <c r="J597" s="1" t="b">
        <f t="shared" si="63"/>
        <v>1</v>
      </c>
      <c r="K597" s="1" t="b">
        <f t="shared" si="64"/>
        <v>0</v>
      </c>
      <c r="L597" s="1" t="b">
        <f t="shared" si="65"/>
        <v>0</v>
      </c>
      <c r="M597" s="1" t="b">
        <f t="shared" si="66"/>
        <v>0</v>
      </c>
      <c r="N597" s="1" t="b">
        <f t="shared" si="67"/>
        <v>0</v>
      </c>
      <c r="O597" s="1" t="b">
        <f t="shared" si="68"/>
        <v>1</v>
      </c>
      <c r="P597" s="1" t="b">
        <f t="shared" si="69"/>
        <v>0</v>
      </c>
    </row>
    <row r="598" spans="1:16" x14ac:dyDescent="0.2">
      <c r="A598">
        <v>5589036</v>
      </c>
      <c r="B598" t="s">
        <v>1200</v>
      </c>
      <c r="C598" t="s">
        <v>454</v>
      </c>
      <c r="D598" t="s">
        <v>187</v>
      </c>
      <c r="E598" s="1">
        <v>44652</v>
      </c>
      <c r="F598" t="s">
        <v>1201</v>
      </c>
      <c r="G598" s="1">
        <v>44657</v>
      </c>
      <c r="H598" s="1">
        <v>44697</v>
      </c>
      <c r="J598" s="1" t="b">
        <f t="shared" si="63"/>
        <v>1</v>
      </c>
      <c r="K598" s="1" t="b">
        <f t="shared" si="64"/>
        <v>0</v>
      </c>
      <c r="L598" s="1" t="b">
        <f t="shared" si="65"/>
        <v>0</v>
      </c>
      <c r="M598" s="1" t="b">
        <f t="shared" si="66"/>
        <v>0</v>
      </c>
      <c r="N598" s="1" t="b">
        <f t="shared" si="67"/>
        <v>0</v>
      </c>
      <c r="O598" s="1" t="b">
        <f t="shared" si="68"/>
        <v>0</v>
      </c>
      <c r="P598" s="1" t="b">
        <f t="shared" si="69"/>
        <v>0</v>
      </c>
    </row>
    <row r="599" spans="1:16" x14ac:dyDescent="0.2">
      <c r="A599">
        <v>5589036</v>
      </c>
      <c r="B599" t="s">
        <v>1202</v>
      </c>
      <c r="C599" t="s">
        <v>454</v>
      </c>
      <c r="D599" t="s">
        <v>187</v>
      </c>
      <c r="E599" s="1">
        <v>45050</v>
      </c>
      <c r="F599" t="s">
        <v>1203</v>
      </c>
      <c r="G599" s="1">
        <v>45063</v>
      </c>
      <c r="H599" s="1">
        <v>45064</v>
      </c>
      <c r="J599" s="1" t="b">
        <f t="shared" si="63"/>
        <v>1</v>
      </c>
      <c r="K599" s="1" t="b">
        <f t="shared" si="64"/>
        <v>0</v>
      </c>
      <c r="L599" s="1" t="b">
        <f t="shared" si="65"/>
        <v>0</v>
      </c>
      <c r="M599" s="1" t="b">
        <f t="shared" si="66"/>
        <v>0</v>
      </c>
      <c r="N599" s="1" t="b">
        <f t="shared" si="67"/>
        <v>0</v>
      </c>
      <c r="O599" s="1" t="b">
        <f t="shared" si="68"/>
        <v>0</v>
      </c>
      <c r="P599" s="1" t="b">
        <f t="shared" si="69"/>
        <v>0</v>
      </c>
    </row>
    <row r="600" spans="1:16" x14ac:dyDescent="0.2">
      <c r="A600">
        <v>5589036</v>
      </c>
      <c r="B600" t="s">
        <v>1204</v>
      </c>
      <c r="C600" t="s">
        <v>454</v>
      </c>
      <c r="D600" t="s">
        <v>187</v>
      </c>
      <c r="E600" s="1">
        <v>44944</v>
      </c>
      <c r="F600" t="s">
        <v>1205</v>
      </c>
      <c r="G600" s="1">
        <v>44945</v>
      </c>
      <c r="I600" t="s">
        <v>13</v>
      </c>
      <c r="J600" s="1" t="b">
        <f t="shared" si="63"/>
        <v>0</v>
      </c>
      <c r="K600" s="1" t="b">
        <f t="shared" si="64"/>
        <v>1</v>
      </c>
      <c r="L600" s="1" t="b">
        <f t="shared" si="65"/>
        <v>0</v>
      </c>
      <c r="M600" s="1" t="b">
        <f t="shared" si="66"/>
        <v>0</v>
      </c>
      <c r="N600" s="1" t="b">
        <f t="shared" si="67"/>
        <v>0</v>
      </c>
      <c r="O600" s="1" t="b">
        <f t="shared" si="68"/>
        <v>0</v>
      </c>
      <c r="P600" s="1" t="b">
        <f t="shared" si="69"/>
        <v>0</v>
      </c>
    </row>
    <row r="601" spans="1:16" x14ac:dyDescent="0.2">
      <c r="A601">
        <v>5589036</v>
      </c>
      <c r="B601" t="s">
        <v>1206</v>
      </c>
      <c r="C601" t="s">
        <v>454</v>
      </c>
      <c r="D601" t="s">
        <v>187</v>
      </c>
      <c r="E601" s="1">
        <v>44566</v>
      </c>
      <c r="F601" t="s">
        <v>1207</v>
      </c>
      <c r="G601" s="1">
        <v>44587</v>
      </c>
      <c r="H601" s="1">
        <v>44634</v>
      </c>
      <c r="I601" t="s">
        <v>43</v>
      </c>
      <c r="J601" s="1" t="b">
        <f t="shared" si="63"/>
        <v>1</v>
      </c>
      <c r="K601" s="1" t="b">
        <f t="shared" si="64"/>
        <v>0</v>
      </c>
      <c r="L601" s="1" t="b">
        <f t="shared" si="65"/>
        <v>0</v>
      </c>
      <c r="M601" s="1" t="b">
        <f t="shared" si="66"/>
        <v>0</v>
      </c>
      <c r="N601" s="1" t="b">
        <f t="shared" si="67"/>
        <v>0</v>
      </c>
      <c r="O601" s="1" t="b">
        <f t="shared" si="68"/>
        <v>1</v>
      </c>
      <c r="P601" s="1" t="b">
        <f t="shared" si="69"/>
        <v>0</v>
      </c>
    </row>
    <row r="602" spans="1:16" x14ac:dyDescent="0.2">
      <c r="A602">
        <v>5589036</v>
      </c>
      <c r="B602" t="s">
        <v>1208</v>
      </c>
      <c r="C602" t="s">
        <v>454</v>
      </c>
      <c r="D602" t="s">
        <v>187</v>
      </c>
      <c r="E602" s="1">
        <v>44914</v>
      </c>
      <c r="F602" t="s">
        <v>1209</v>
      </c>
      <c r="G602" s="1">
        <v>44924</v>
      </c>
      <c r="I602" t="s">
        <v>25</v>
      </c>
      <c r="J602" s="1" t="b">
        <f t="shared" si="63"/>
        <v>0</v>
      </c>
      <c r="K602" s="1" t="b">
        <f t="shared" si="64"/>
        <v>0</v>
      </c>
      <c r="L602" s="1" t="b">
        <f t="shared" si="65"/>
        <v>1</v>
      </c>
      <c r="M602" s="1" t="b">
        <f t="shared" si="66"/>
        <v>0</v>
      </c>
      <c r="N602" s="1" t="b">
        <f t="shared" si="67"/>
        <v>0</v>
      </c>
      <c r="O602" s="1" t="b">
        <f t="shared" si="68"/>
        <v>0</v>
      </c>
      <c r="P602" s="1" t="b">
        <f t="shared" si="69"/>
        <v>0</v>
      </c>
    </row>
    <row r="603" spans="1:16" x14ac:dyDescent="0.2">
      <c r="A603">
        <v>3163099</v>
      </c>
      <c r="B603" t="s">
        <v>1210</v>
      </c>
      <c r="C603" t="s">
        <v>176</v>
      </c>
      <c r="D603" t="s">
        <v>60</v>
      </c>
      <c r="E603" s="1">
        <v>44608</v>
      </c>
      <c r="F603" t="s">
        <v>1211</v>
      </c>
      <c r="G603" s="1">
        <v>44618</v>
      </c>
      <c r="H603" s="1">
        <v>44637</v>
      </c>
      <c r="I603" t="s">
        <v>43</v>
      </c>
      <c r="J603" s="1" t="b">
        <f t="shared" si="63"/>
        <v>1</v>
      </c>
      <c r="K603" s="1" t="b">
        <f t="shared" si="64"/>
        <v>0</v>
      </c>
      <c r="L603" s="1" t="b">
        <f t="shared" si="65"/>
        <v>0</v>
      </c>
      <c r="M603" s="1" t="b">
        <f t="shared" si="66"/>
        <v>0</v>
      </c>
      <c r="N603" s="1" t="b">
        <f t="shared" si="67"/>
        <v>0</v>
      </c>
      <c r="O603" s="1" t="b">
        <f t="shared" si="68"/>
        <v>1</v>
      </c>
      <c r="P603" s="1" t="b">
        <f t="shared" si="69"/>
        <v>0</v>
      </c>
    </row>
    <row r="604" spans="1:16" x14ac:dyDescent="0.2">
      <c r="A604">
        <v>3163099</v>
      </c>
      <c r="B604" t="s">
        <v>1212</v>
      </c>
      <c r="C604" t="s">
        <v>176</v>
      </c>
      <c r="D604" t="s">
        <v>60</v>
      </c>
      <c r="E604" s="1">
        <v>44699</v>
      </c>
      <c r="F604" t="s">
        <v>1213</v>
      </c>
      <c r="G604" s="1">
        <v>44710</v>
      </c>
      <c r="H604" s="1">
        <v>44768</v>
      </c>
      <c r="I604" t="s">
        <v>28</v>
      </c>
      <c r="J604" s="1" t="b">
        <f t="shared" si="63"/>
        <v>1</v>
      </c>
      <c r="K604" s="1" t="b">
        <f t="shared" si="64"/>
        <v>0</v>
      </c>
      <c r="L604" s="1" t="b">
        <f t="shared" si="65"/>
        <v>0</v>
      </c>
      <c r="M604" s="1" t="b">
        <f t="shared" si="66"/>
        <v>0</v>
      </c>
      <c r="N604" s="1" t="b">
        <f t="shared" si="67"/>
        <v>0</v>
      </c>
      <c r="O604" s="1" t="b">
        <f t="shared" si="68"/>
        <v>0</v>
      </c>
      <c r="P604" s="1" t="b">
        <f t="shared" si="69"/>
        <v>1</v>
      </c>
    </row>
    <row r="605" spans="1:16" x14ac:dyDescent="0.2">
      <c r="A605">
        <v>3163099</v>
      </c>
      <c r="B605" t="s">
        <v>1214</v>
      </c>
      <c r="C605" t="s">
        <v>176</v>
      </c>
      <c r="D605" t="s">
        <v>60</v>
      </c>
      <c r="E605" s="1">
        <v>44975</v>
      </c>
      <c r="F605" t="s">
        <v>1215</v>
      </c>
      <c r="G605" s="1">
        <v>44976</v>
      </c>
      <c r="H605" s="1">
        <v>44991</v>
      </c>
      <c r="I605" t="s">
        <v>43</v>
      </c>
      <c r="J605" s="1" t="b">
        <f t="shared" si="63"/>
        <v>1</v>
      </c>
      <c r="K605" s="1" t="b">
        <f t="shared" si="64"/>
        <v>0</v>
      </c>
      <c r="L605" s="1" t="b">
        <f t="shared" si="65"/>
        <v>0</v>
      </c>
      <c r="M605" s="1" t="b">
        <f t="shared" si="66"/>
        <v>0</v>
      </c>
      <c r="N605" s="1" t="b">
        <f t="shared" si="67"/>
        <v>0</v>
      </c>
      <c r="O605" s="1" t="b">
        <f t="shared" si="68"/>
        <v>1</v>
      </c>
      <c r="P605" s="1" t="b">
        <f t="shared" si="69"/>
        <v>0</v>
      </c>
    </row>
    <row r="606" spans="1:16" x14ac:dyDescent="0.2">
      <c r="A606">
        <v>3163099</v>
      </c>
      <c r="B606" t="s">
        <v>1216</v>
      </c>
      <c r="C606" t="s">
        <v>176</v>
      </c>
      <c r="D606" t="s">
        <v>60</v>
      </c>
      <c r="E606" s="1">
        <v>44584</v>
      </c>
      <c r="F606" t="s">
        <v>1217</v>
      </c>
      <c r="G606" s="1">
        <v>44603</v>
      </c>
      <c r="I606" t="s">
        <v>25</v>
      </c>
      <c r="J606" s="1" t="b">
        <f t="shared" si="63"/>
        <v>0</v>
      </c>
      <c r="K606" s="1" t="b">
        <f t="shared" si="64"/>
        <v>0</v>
      </c>
      <c r="L606" s="1" t="b">
        <f t="shared" si="65"/>
        <v>1</v>
      </c>
      <c r="M606" s="1" t="b">
        <f t="shared" si="66"/>
        <v>0</v>
      </c>
      <c r="N606" s="1" t="b">
        <f t="shared" si="67"/>
        <v>0</v>
      </c>
      <c r="O606" s="1" t="b">
        <f t="shared" si="68"/>
        <v>0</v>
      </c>
      <c r="P606" s="1" t="b">
        <f t="shared" si="69"/>
        <v>0</v>
      </c>
    </row>
    <row r="607" spans="1:16" x14ac:dyDescent="0.2">
      <c r="A607">
        <v>3163099</v>
      </c>
      <c r="B607" t="s">
        <v>1218</v>
      </c>
      <c r="C607" t="s">
        <v>176</v>
      </c>
      <c r="D607" t="s">
        <v>60</v>
      </c>
      <c r="E607" s="1">
        <v>44600</v>
      </c>
      <c r="F607" t="s">
        <v>1219</v>
      </c>
      <c r="G607" s="1">
        <v>44613</v>
      </c>
      <c r="H607" s="1">
        <v>44670</v>
      </c>
      <c r="I607" t="s">
        <v>16</v>
      </c>
      <c r="J607" s="1" t="b">
        <f t="shared" si="63"/>
        <v>1</v>
      </c>
      <c r="K607" s="1" t="b">
        <f t="shared" si="64"/>
        <v>0</v>
      </c>
      <c r="L607" s="1" t="b">
        <f t="shared" si="65"/>
        <v>0</v>
      </c>
      <c r="M607" s="1" t="b">
        <f t="shared" si="66"/>
        <v>0</v>
      </c>
      <c r="N607" s="1" t="b">
        <f t="shared" si="67"/>
        <v>1</v>
      </c>
      <c r="O607" s="1" t="b">
        <f t="shared" si="68"/>
        <v>0</v>
      </c>
      <c r="P607" s="1" t="b">
        <f t="shared" si="69"/>
        <v>0</v>
      </c>
    </row>
    <row r="608" spans="1:16" x14ac:dyDescent="0.2">
      <c r="A608">
        <v>5291430</v>
      </c>
      <c r="B608" t="s">
        <v>1220</v>
      </c>
      <c r="C608" t="s">
        <v>35</v>
      </c>
      <c r="D608" t="s">
        <v>139</v>
      </c>
      <c r="E608" s="1">
        <v>44702</v>
      </c>
      <c r="F608" t="s">
        <v>1221</v>
      </c>
      <c r="G608" s="1">
        <v>44716</v>
      </c>
      <c r="I608" t="s">
        <v>13</v>
      </c>
      <c r="J608" s="1" t="b">
        <f t="shared" si="63"/>
        <v>0</v>
      </c>
      <c r="K608" s="1" t="b">
        <f t="shared" si="64"/>
        <v>1</v>
      </c>
      <c r="L608" s="1" t="b">
        <f t="shared" si="65"/>
        <v>0</v>
      </c>
      <c r="M608" s="1" t="b">
        <f t="shared" si="66"/>
        <v>0</v>
      </c>
      <c r="N608" s="1" t="b">
        <f t="shared" si="67"/>
        <v>0</v>
      </c>
      <c r="O608" s="1" t="b">
        <f t="shared" si="68"/>
        <v>0</v>
      </c>
      <c r="P608" s="1" t="b">
        <f t="shared" si="69"/>
        <v>0</v>
      </c>
    </row>
    <row r="609" spans="1:16" x14ac:dyDescent="0.2">
      <c r="A609">
        <v>5291430</v>
      </c>
      <c r="B609" t="s">
        <v>1222</v>
      </c>
      <c r="C609" t="s">
        <v>35</v>
      </c>
      <c r="D609" t="s">
        <v>139</v>
      </c>
      <c r="E609" s="1">
        <v>44582</v>
      </c>
      <c r="F609" t="s">
        <v>1223</v>
      </c>
      <c r="G609" s="1">
        <v>44584</v>
      </c>
      <c r="H609" s="1">
        <v>44629</v>
      </c>
      <c r="I609" t="s">
        <v>16</v>
      </c>
      <c r="J609" s="1" t="b">
        <f t="shared" si="63"/>
        <v>1</v>
      </c>
      <c r="K609" s="1" t="b">
        <f t="shared" si="64"/>
        <v>0</v>
      </c>
      <c r="L609" s="1" t="b">
        <f t="shared" si="65"/>
        <v>0</v>
      </c>
      <c r="M609" s="1" t="b">
        <f t="shared" si="66"/>
        <v>0</v>
      </c>
      <c r="N609" s="1" t="b">
        <f t="shared" si="67"/>
        <v>1</v>
      </c>
      <c r="O609" s="1" t="b">
        <f t="shared" si="68"/>
        <v>0</v>
      </c>
      <c r="P609" s="1" t="b">
        <f t="shared" si="69"/>
        <v>0</v>
      </c>
    </row>
    <row r="610" spans="1:16" x14ac:dyDescent="0.2">
      <c r="A610">
        <v>5291430</v>
      </c>
      <c r="B610" t="s">
        <v>1224</v>
      </c>
      <c r="C610" t="s">
        <v>35</v>
      </c>
      <c r="D610" t="s">
        <v>139</v>
      </c>
      <c r="E610" s="1">
        <v>44688</v>
      </c>
      <c r="F610" t="s">
        <v>1225</v>
      </c>
      <c r="G610" s="1">
        <v>44706</v>
      </c>
      <c r="I610" t="s">
        <v>13</v>
      </c>
      <c r="J610" s="1" t="b">
        <f t="shared" si="63"/>
        <v>0</v>
      </c>
      <c r="K610" s="1" t="b">
        <f t="shared" si="64"/>
        <v>1</v>
      </c>
      <c r="L610" s="1" t="b">
        <f t="shared" si="65"/>
        <v>0</v>
      </c>
      <c r="M610" s="1" t="b">
        <f t="shared" si="66"/>
        <v>0</v>
      </c>
      <c r="N610" s="1" t="b">
        <f t="shared" si="67"/>
        <v>0</v>
      </c>
      <c r="O610" s="1" t="b">
        <f t="shared" si="68"/>
        <v>0</v>
      </c>
      <c r="P610" s="1" t="b">
        <f t="shared" si="69"/>
        <v>0</v>
      </c>
    </row>
    <row r="611" spans="1:16" x14ac:dyDescent="0.2">
      <c r="A611">
        <v>5291430</v>
      </c>
      <c r="B611" t="s">
        <v>1226</v>
      </c>
      <c r="C611" t="s">
        <v>35</v>
      </c>
      <c r="D611" t="s">
        <v>139</v>
      </c>
      <c r="E611" s="1">
        <v>44772</v>
      </c>
      <c r="F611" t="s">
        <v>1227</v>
      </c>
      <c r="G611" s="1">
        <v>44795</v>
      </c>
      <c r="I611" t="s">
        <v>25</v>
      </c>
      <c r="J611" s="1" t="b">
        <f t="shared" si="63"/>
        <v>0</v>
      </c>
      <c r="K611" s="1" t="b">
        <f t="shared" si="64"/>
        <v>0</v>
      </c>
      <c r="L611" s="1" t="b">
        <f t="shared" si="65"/>
        <v>1</v>
      </c>
      <c r="M611" s="1" t="b">
        <f t="shared" si="66"/>
        <v>0</v>
      </c>
      <c r="N611" s="1" t="b">
        <f t="shared" si="67"/>
        <v>0</v>
      </c>
      <c r="O611" s="1" t="b">
        <f t="shared" si="68"/>
        <v>0</v>
      </c>
      <c r="P611" s="1" t="b">
        <f t="shared" si="69"/>
        <v>0</v>
      </c>
    </row>
    <row r="612" spans="1:16" x14ac:dyDescent="0.2">
      <c r="A612">
        <v>5291430</v>
      </c>
      <c r="B612" t="s">
        <v>1228</v>
      </c>
      <c r="C612" t="s">
        <v>35</v>
      </c>
      <c r="D612" t="s">
        <v>139</v>
      </c>
      <c r="E612" s="1">
        <v>44665</v>
      </c>
      <c r="F612" t="s">
        <v>1229</v>
      </c>
      <c r="G612" s="1">
        <v>44687</v>
      </c>
      <c r="H612" s="1">
        <v>44721</v>
      </c>
      <c r="I612" t="s">
        <v>16</v>
      </c>
      <c r="J612" s="1" t="b">
        <f t="shared" si="63"/>
        <v>1</v>
      </c>
      <c r="K612" s="1" t="b">
        <f t="shared" si="64"/>
        <v>0</v>
      </c>
      <c r="L612" s="1" t="b">
        <f t="shared" si="65"/>
        <v>0</v>
      </c>
      <c r="M612" s="1" t="b">
        <f t="shared" si="66"/>
        <v>0</v>
      </c>
      <c r="N612" s="1" t="b">
        <f t="shared" si="67"/>
        <v>1</v>
      </c>
      <c r="O612" s="1" t="b">
        <f t="shared" si="68"/>
        <v>0</v>
      </c>
      <c r="P612" s="1" t="b">
        <f t="shared" si="69"/>
        <v>0</v>
      </c>
    </row>
    <row r="613" spans="1:16" x14ac:dyDescent="0.2">
      <c r="A613">
        <v>2760168</v>
      </c>
      <c r="B613" t="s">
        <v>1230</v>
      </c>
      <c r="C613" t="s">
        <v>80</v>
      </c>
      <c r="D613" t="s">
        <v>81</v>
      </c>
      <c r="E613" s="1">
        <v>45071</v>
      </c>
      <c r="F613" t="s">
        <v>519</v>
      </c>
      <c r="G613" s="1">
        <v>45078</v>
      </c>
      <c r="I613" t="s">
        <v>13</v>
      </c>
      <c r="J613" s="1" t="b">
        <f t="shared" si="63"/>
        <v>0</v>
      </c>
      <c r="K613" s="1" t="b">
        <f t="shared" si="64"/>
        <v>1</v>
      </c>
      <c r="L613" s="1" t="b">
        <f t="shared" si="65"/>
        <v>0</v>
      </c>
      <c r="M613" s="1" t="b">
        <f t="shared" si="66"/>
        <v>0</v>
      </c>
      <c r="N613" s="1" t="b">
        <f t="shared" si="67"/>
        <v>0</v>
      </c>
      <c r="O613" s="1" t="b">
        <f t="shared" si="68"/>
        <v>0</v>
      </c>
      <c r="P613" s="1" t="b">
        <f t="shared" si="69"/>
        <v>0</v>
      </c>
    </row>
    <row r="614" spans="1:16" x14ac:dyDescent="0.2">
      <c r="A614">
        <v>4351238</v>
      </c>
      <c r="B614" t="s">
        <v>1231</v>
      </c>
      <c r="C614" t="s">
        <v>35</v>
      </c>
      <c r="D614" t="s">
        <v>11</v>
      </c>
      <c r="E614" s="1">
        <v>44864</v>
      </c>
      <c r="F614" t="s">
        <v>1232</v>
      </c>
      <c r="G614" s="1">
        <v>44870</v>
      </c>
      <c r="H614" s="1">
        <v>44873</v>
      </c>
      <c r="I614" t="s">
        <v>28</v>
      </c>
      <c r="J614" s="1" t="b">
        <f t="shared" si="63"/>
        <v>1</v>
      </c>
      <c r="K614" s="1" t="b">
        <f t="shared" si="64"/>
        <v>0</v>
      </c>
      <c r="L614" s="1" t="b">
        <f t="shared" si="65"/>
        <v>0</v>
      </c>
      <c r="M614" s="1" t="b">
        <f t="shared" si="66"/>
        <v>0</v>
      </c>
      <c r="N614" s="1" t="b">
        <f t="shared" si="67"/>
        <v>0</v>
      </c>
      <c r="O614" s="1" t="b">
        <f t="shared" si="68"/>
        <v>0</v>
      </c>
      <c r="P614" s="1" t="b">
        <f t="shared" si="69"/>
        <v>1</v>
      </c>
    </row>
    <row r="615" spans="1:16" x14ac:dyDescent="0.2">
      <c r="A615">
        <v>4351238</v>
      </c>
      <c r="B615" t="s">
        <v>1233</v>
      </c>
      <c r="C615" t="s">
        <v>35</v>
      </c>
      <c r="D615" t="s">
        <v>11</v>
      </c>
      <c r="E615" s="1">
        <v>44900</v>
      </c>
      <c r="F615" t="s">
        <v>1234</v>
      </c>
      <c r="G615" s="1">
        <v>44908</v>
      </c>
      <c r="H615" s="1">
        <v>44909</v>
      </c>
      <c r="I615" t="s">
        <v>43</v>
      </c>
      <c r="J615" s="1" t="b">
        <f t="shared" si="63"/>
        <v>1</v>
      </c>
      <c r="K615" s="1" t="b">
        <f t="shared" si="64"/>
        <v>0</v>
      </c>
      <c r="L615" s="1" t="b">
        <f t="shared" si="65"/>
        <v>0</v>
      </c>
      <c r="M615" s="1" t="b">
        <f t="shared" si="66"/>
        <v>0</v>
      </c>
      <c r="N615" s="1" t="b">
        <f t="shared" si="67"/>
        <v>0</v>
      </c>
      <c r="O615" s="1" t="b">
        <f t="shared" si="68"/>
        <v>1</v>
      </c>
      <c r="P615" s="1" t="b">
        <f t="shared" si="69"/>
        <v>0</v>
      </c>
    </row>
    <row r="616" spans="1:16" x14ac:dyDescent="0.2">
      <c r="A616">
        <v>4351238</v>
      </c>
      <c r="B616" t="s">
        <v>1235</v>
      </c>
      <c r="C616" t="s">
        <v>35</v>
      </c>
      <c r="D616" t="s">
        <v>11</v>
      </c>
      <c r="E616" s="1">
        <v>44675</v>
      </c>
      <c r="F616" t="s">
        <v>1236</v>
      </c>
      <c r="G616" s="1">
        <v>44702</v>
      </c>
      <c r="I616" t="s">
        <v>13</v>
      </c>
      <c r="J616" s="1" t="b">
        <f t="shared" si="63"/>
        <v>0</v>
      </c>
      <c r="K616" s="1" t="b">
        <f t="shared" si="64"/>
        <v>1</v>
      </c>
      <c r="L616" s="1" t="b">
        <f t="shared" si="65"/>
        <v>0</v>
      </c>
      <c r="M616" s="1" t="b">
        <f t="shared" si="66"/>
        <v>0</v>
      </c>
      <c r="N616" s="1" t="b">
        <f t="shared" si="67"/>
        <v>0</v>
      </c>
      <c r="O616" s="1" t="b">
        <f t="shared" si="68"/>
        <v>0</v>
      </c>
      <c r="P616" s="1" t="b">
        <f t="shared" si="69"/>
        <v>0</v>
      </c>
    </row>
    <row r="617" spans="1:16" x14ac:dyDescent="0.2">
      <c r="A617">
        <v>4351238</v>
      </c>
      <c r="B617" t="s">
        <v>1237</v>
      </c>
      <c r="C617" t="s">
        <v>35</v>
      </c>
      <c r="D617" t="s">
        <v>11</v>
      </c>
      <c r="E617" s="1">
        <v>45085</v>
      </c>
      <c r="F617" t="s">
        <v>1238</v>
      </c>
      <c r="G617" s="1">
        <v>45088</v>
      </c>
      <c r="H617" s="1">
        <v>45135</v>
      </c>
      <c r="J617" s="1" t="b">
        <f t="shared" si="63"/>
        <v>1</v>
      </c>
      <c r="K617" s="1" t="b">
        <f t="shared" si="64"/>
        <v>0</v>
      </c>
      <c r="L617" s="1" t="b">
        <f t="shared" si="65"/>
        <v>0</v>
      </c>
      <c r="M617" s="1" t="b">
        <f t="shared" si="66"/>
        <v>0</v>
      </c>
      <c r="N617" s="1" t="b">
        <f t="shared" si="67"/>
        <v>0</v>
      </c>
      <c r="O617" s="1" t="b">
        <f t="shared" si="68"/>
        <v>0</v>
      </c>
      <c r="P617" s="1" t="b">
        <f t="shared" si="69"/>
        <v>0</v>
      </c>
    </row>
    <row r="618" spans="1:16" x14ac:dyDescent="0.2">
      <c r="A618">
        <v>4351238</v>
      </c>
      <c r="B618" t="s">
        <v>1239</v>
      </c>
      <c r="C618" t="s">
        <v>35</v>
      </c>
      <c r="D618" t="s">
        <v>11</v>
      </c>
      <c r="E618" s="1">
        <v>45029</v>
      </c>
      <c r="F618" t="s">
        <v>1240</v>
      </c>
      <c r="G618" s="1">
        <v>45039</v>
      </c>
      <c r="H618" s="1">
        <v>45056</v>
      </c>
      <c r="I618" t="s">
        <v>28</v>
      </c>
      <c r="J618" s="1" t="b">
        <f t="shared" si="63"/>
        <v>1</v>
      </c>
      <c r="K618" s="1" t="b">
        <f t="shared" si="64"/>
        <v>0</v>
      </c>
      <c r="L618" s="1" t="b">
        <f t="shared" si="65"/>
        <v>0</v>
      </c>
      <c r="M618" s="1" t="b">
        <f t="shared" si="66"/>
        <v>0</v>
      </c>
      <c r="N618" s="1" t="b">
        <f t="shared" si="67"/>
        <v>0</v>
      </c>
      <c r="O618" s="1" t="b">
        <f t="shared" si="68"/>
        <v>0</v>
      </c>
      <c r="P618" s="1" t="b">
        <f t="shared" si="69"/>
        <v>1</v>
      </c>
    </row>
    <row r="619" spans="1:16" x14ac:dyDescent="0.2">
      <c r="A619">
        <v>8789281</v>
      </c>
      <c r="B619" t="s">
        <v>1241</v>
      </c>
      <c r="C619" t="s">
        <v>521</v>
      </c>
      <c r="D619" t="s">
        <v>122</v>
      </c>
      <c r="E619" s="1">
        <v>44882</v>
      </c>
      <c r="F619" t="s">
        <v>1242</v>
      </c>
      <c r="G619" s="1">
        <v>44896</v>
      </c>
      <c r="H619" s="1">
        <v>44944</v>
      </c>
      <c r="I619" t="s">
        <v>28</v>
      </c>
      <c r="J619" s="1" t="b">
        <f t="shared" si="63"/>
        <v>1</v>
      </c>
      <c r="K619" s="1" t="b">
        <f t="shared" si="64"/>
        <v>0</v>
      </c>
      <c r="L619" s="1" t="b">
        <f t="shared" si="65"/>
        <v>0</v>
      </c>
      <c r="M619" s="1" t="b">
        <f t="shared" si="66"/>
        <v>0</v>
      </c>
      <c r="N619" s="1" t="b">
        <f t="shared" si="67"/>
        <v>0</v>
      </c>
      <c r="O619" s="1" t="b">
        <f t="shared" si="68"/>
        <v>0</v>
      </c>
      <c r="P619" s="1" t="b">
        <f t="shared" si="69"/>
        <v>1</v>
      </c>
    </row>
    <row r="620" spans="1:16" x14ac:dyDescent="0.2">
      <c r="A620">
        <v>8789281</v>
      </c>
      <c r="B620" t="s">
        <v>1243</v>
      </c>
      <c r="C620" t="s">
        <v>521</v>
      </c>
      <c r="D620" t="s">
        <v>122</v>
      </c>
      <c r="E620" s="1">
        <v>44608</v>
      </c>
      <c r="F620" t="s">
        <v>1244</v>
      </c>
      <c r="G620" s="1">
        <v>44609</v>
      </c>
      <c r="I620" t="s">
        <v>13</v>
      </c>
      <c r="J620" s="1" t="b">
        <f t="shared" si="63"/>
        <v>0</v>
      </c>
      <c r="K620" s="1" t="b">
        <f t="shared" si="64"/>
        <v>1</v>
      </c>
      <c r="L620" s="1" t="b">
        <f t="shared" si="65"/>
        <v>0</v>
      </c>
      <c r="M620" s="1" t="b">
        <f t="shared" si="66"/>
        <v>0</v>
      </c>
      <c r="N620" s="1" t="b">
        <f t="shared" si="67"/>
        <v>0</v>
      </c>
      <c r="O620" s="1" t="b">
        <f t="shared" si="68"/>
        <v>0</v>
      </c>
      <c r="P620" s="1" t="b">
        <f t="shared" si="69"/>
        <v>0</v>
      </c>
    </row>
    <row r="621" spans="1:16" x14ac:dyDescent="0.2">
      <c r="A621">
        <v>3321873</v>
      </c>
      <c r="B621" t="s">
        <v>1245</v>
      </c>
      <c r="C621" t="s">
        <v>167</v>
      </c>
      <c r="D621" t="s">
        <v>187</v>
      </c>
      <c r="E621" s="1">
        <v>44836</v>
      </c>
      <c r="F621" t="s">
        <v>526</v>
      </c>
      <c r="G621" s="1">
        <v>44865</v>
      </c>
      <c r="I621" t="s">
        <v>25</v>
      </c>
      <c r="J621" s="1" t="b">
        <f t="shared" si="63"/>
        <v>0</v>
      </c>
      <c r="K621" s="1" t="b">
        <f t="shared" si="64"/>
        <v>0</v>
      </c>
      <c r="L621" s="1" t="b">
        <f t="shared" si="65"/>
        <v>1</v>
      </c>
      <c r="M621" s="1" t="b">
        <f t="shared" si="66"/>
        <v>0</v>
      </c>
      <c r="N621" s="1" t="b">
        <f t="shared" si="67"/>
        <v>0</v>
      </c>
      <c r="O621" s="1" t="b">
        <f t="shared" si="68"/>
        <v>0</v>
      </c>
      <c r="P621" s="1" t="b">
        <f t="shared" si="69"/>
        <v>0</v>
      </c>
    </row>
    <row r="622" spans="1:16" x14ac:dyDescent="0.2">
      <c r="A622">
        <v>3321873</v>
      </c>
      <c r="B622" t="s">
        <v>1246</v>
      </c>
      <c r="C622" t="s">
        <v>167</v>
      </c>
      <c r="D622" t="s">
        <v>187</v>
      </c>
      <c r="E622" s="1">
        <v>44749</v>
      </c>
      <c r="F622" t="s">
        <v>1247</v>
      </c>
      <c r="G622" s="1">
        <v>44753</v>
      </c>
      <c r="H622" s="1">
        <v>44779</v>
      </c>
      <c r="I622" t="s">
        <v>28</v>
      </c>
      <c r="J622" s="1" t="b">
        <f t="shared" si="63"/>
        <v>1</v>
      </c>
      <c r="K622" s="1" t="b">
        <f t="shared" si="64"/>
        <v>0</v>
      </c>
      <c r="L622" s="1" t="b">
        <f t="shared" si="65"/>
        <v>0</v>
      </c>
      <c r="M622" s="1" t="b">
        <f t="shared" si="66"/>
        <v>0</v>
      </c>
      <c r="N622" s="1" t="b">
        <f t="shared" si="67"/>
        <v>0</v>
      </c>
      <c r="O622" s="1" t="b">
        <f t="shared" si="68"/>
        <v>0</v>
      </c>
      <c r="P622" s="1" t="b">
        <f t="shared" si="69"/>
        <v>1</v>
      </c>
    </row>
    <row r="623" spans="1:16" x14ac:dyDescent="0.2">
      <c r="A623">
        <v>3321873</v>
      </c>
      <c r="B623" t="s">
        <v>1248</v>
      </c>
      <c r="C623" t="s">
        <v>167</v>
      </c>
      <c r="D623" t="s">
        <v>187</v>
      </c>
      <c r="E623" s="1">
        <v>44956</v>
      </c>
      <c r="F623" t="s">
        <v>1249</v>
      </c>
      <c r="G623" s="1">
        <v>44979</v>
      </c>
      <c r="H623" s="1">
        <v>45034</v>
      </c>
      <c r="J623" s="1" t="b">
        <f t="shared" si="63"/>
        <v>1</v>
      </c>
      <c r="K623" s="1" t="b">
        <f t="shared" si="64"/>
        <v>0</v>
      </c>
      <c r="L623" s="1" t="b">
        <f t="shared" si="65"/>
        <v>0</v>
      </c>
      <c r="M623" s="1" t="b">
        <f t="shared" si="66"/>
        <v>0</v>
      </c>
      <c r="N623" s="1" t="b">
        <f t="shared" si="67"/>
        <v>0</v>
      </c>
      <c r="O623" s="1" t="b">
        <f t="shared" si="68"/>
        <v>0</v>
      </c>
      <c r="P623" s="1" t="b">
        <f t="shared" si="69"/>
        <v>0</v>
      </c>
    </row>
    <row r="624" spans="1:16" x14ac:dyDescent="0.2">
      <c r="A624">
        <v>9023619</v>
      </c>
      <c r="B624" t="s">
        <v>1250</v>
      </c>
      <c r="C624" t="s">
        <v>47</v>
      </c>
      <c r="D624" t="s">
        <v>60</v>
      </c>
      <c r="E624" s="1">
        <v>44622</v>
      </c>
      <c r="F624" t="s">
        <v>1251</v>
      </c>
      <c r="G624" s="1">
        <v>44650</v>
      </c>
      <c r="I624" t="s">
        <v>13</v>
      </c>
      <c r="J624" s="1" t="b">
        <f t="shared" si="63"/>
        <v>0</v>
      </c>
      <c r="K624" s="1" t="b">
        <f t="shared" si="64"/>
        <v>1</v>
      </c>
      <c r="L624" s="1" t="b">
        <f t="shared" si="65"/>
        <v>0</v>
      </c>
      <c r="M624" s="1" t="b">
        <f t="shared" si="66"/>
        <v>0</v>
      </c>
      <c r="N624" s="1" t="b">
        <f t="shared" si="67"/>
        <v>0</v>
      </c>
      <c r="O624" s="1" t="b">
        <f t="shared" si="68"/>
        <v>0</v>
      </c>
      <c r="P624" s="1" t="b">
        <f t="shared" si="69"/>
        <v>0</v>
      </c>
    </row>
    <row r="625" spans="1:16" x14ac:dyDescent="0.2">
      <c r="A625">
        <v>9023619</v>
      </c>
      <c r="B625" t="s">
        <v>1252</v>
      </c>
      <c r="C625" t="s">
        <v>47</v>
      </c>
      <c r="D625" t="s">
        <v>60</v>
      </c>
      <c r="E625" s="1">
        <v>45056</v>
      </c>
      <c r="F625" t="s">
        <v>1253</v>
      </c>
      <c r="G625" s="1">
        <v>45082</v>
      </c>
      <c r="I625" t="s">
        <v>13</v>
      </c>
      <c r="J625" s="1" t="b">
        <f t="shared" si="63"/>
        <v>0</v>
      </c>
      <c r="K625" s="1" t="b">
        <f t="shared" si="64"/>
        <v>1</v>
      </c>
      <c r="L625" s="1" t="b">
        <f t="shared" si="65"/>
        <v>0</v>
      </c>
      <c r="M625" s="1" t="b">
        <f t="shared" si="66"/>
        <v>0</v>
      </c>
      <c r="N625" s="1" t="b">
        <f t="shared" si="67"/>
        <v>0</v>
      </c>
      <c r="O625" s="1" t="b">
        <f t="shared" si="68"/>
        <v>0</v>
      </c>
      <c r="P625" s="1" t="b">
        <f t="shared" si="69"/>
        <v>0</v>
      </c>
    </row>
    <row r="626" spans="1:16" x14ac:dyDescent="0.2">
      <c r="A626">
        <v>8351152</v>
      </c>
      <c r="B626" t="s">
        <v>1254</v>
      </c>
      <c r="C626" t="s">
        <v>38</v>
      </c>
      <c r="D626" t="s">
        <v>81</v>
      </c>
      <c r="E626" s="1">
        <v>44695</v>
      </c>
      <c r="F626" t="s">
        <v>388</v>
      </c>
      <c r="G626" s="1">
        <v>44711</v>
      </c>
      <c r="H626" s="1">
        <v>44770</v>
      </c>
      <c r="I626" t="s">
        <v>16</v>
      </c>
      <c r="J626" s="1" t="b">
        <f t="shared" si="63"/>
        <v>1</v>
      </c>
      <c r="K626" s="1" t="b">
        <f t="shared" si="64"/>
        <v>0</v>
      </c>
      <c r="L626" s="1" t="b">
        <f t="shared" si="65"/>
        <v>0</v>
      </c>
      <c r="M626" s="1" t="b">
        <f t="shared" si="66"/>
        <v>0</v>
      </c>
      <c r="N626" s="1" t="b">
        <f t="shared" si="67"/>
        <v>1</v>
      </c>
      <c r="O626" s="1" t="b">
        <f t="shared" si="68"/>
        <v>0</v>
      </c>
      <c r="P626" s="1" t="b">
        <f t="shared" si="69"/>
        <v>0</v>
      </c>
    </row>
    <row r="627" spans="1:16" x14ac:dyDescent="0.2">
      <c r="A627">
        <v>8351152</v>
      </c>
      <c r="B627" t="s">
        <v>1255</v>
      </c>
      <c r="C627" t="s">
        <v>38</v>
      </c>
      <c r="D627" t="s">
        <v>81</v>
      </c>
      <c r="E627" s="1">
        <v>44626</v>
      </c>
      <c r="F627" t="s">
        <v>1256</v>
      </c>
      <c r="G627" s="1">
        <v>44635</v>
      </c>
      <c r="H627" s="1">
        <v>44677</v>
      </c>
      <c r="J627" s="1" t="b">
        <f t="shared" si="63"/>
        <v>1</v>
      </c>
      <c r="K627" s="1" t="b">
        <f t="shared" si="64"/>
        <v>0</v>
      </c>
      <c r="L627" s="1" t="b">
        <f t="shared" si="65"/>
        <v>0</v>
      </c>
      <c r="M627" s="1" t="b">
        <f t="shared" si="66"/>
        <v>0</v>
      </c>
      <c r="N627" s="1" t="b">
        <f t="shared" si="67"/>
        <v>0</v>
      </c>
      <c r="O627" s="1" t="b">
        <f t="shared" si="68"/>
        <v>0</v>
      </c>
      <c r="P627" s="1" t="b">
        <f t="shared" si="69"/>
        <v>0</v>
      </c>
    </row>
    <row r="628" spans="1:16" x14ac:dyDescent="0.2">
      <c r="A628">
        <v>8351152</v>
      </c>
      <c r="B628" t="s">
        <v>1257</v>
      </c>
      <c r="C628" t="s">
        <v>38</v>
      </c>
      <c r="D628" t="s">
        <v>81</v>
      </c>
      <c r="E628" s="1">
        <v>44908</v>
      </c>
      <c r="F628" t="s">
        <v>320</v>
      </c>
      <c r="G628" s="1">
        <v>44925</v>
      </c>
      <c r="H628" s="1">
        <v>44959</v>
      </c>
      <c r="I628" t="s">
        <v>43</v>
      </c>
      <c r="J628" s="1" t="b">
        <f t="shared" si="63"/>
        <v>1</v>
      </c>
      <c r="K628" s="1" t="b">
        <f t="shared" si="64"/>
        <v>0</v>
      </c>
      <c r="L628" s="1" t="b">
        <f t="shared" si="65"/>
        <v>0</v>
      </c>
      <c r="M628" s="1" t="b">
        <f t="shared" si="66"/>
        <v>0</v>
      </c>
      <c r="N628" s="1" t="b">
        <f t="shared" si="67"/>
        <v>0</v>
      </c>
      <c r="O628" s="1" t="b">
        <f t="shared" si="68"/>
        <v>1</v>
      </c>
      <c r="P628" s="1" t="b">
        <f t="shared" si="69"/>
        <v>0</v>
      </c>
    </row>
    <row r="629" spans="1:16" x14ac:dyDescent="0.2">
      <c r="A629">
        <v>8351152</v>
      </c>
      <c r="B629" t="s">
        <v>1258</v>
      </c>
      <c r="C629" t="s">
        <v>38</v>
      </c>
      <c r="D629" t="s">
        <v>81</v>
      </c>
      <c r="E629" s="1">
        <v>44816</v>
      </c>
      <c r="F629" t="s">
        <v>1259</v>
      </c>
      <c r="G629" s="1">
        <v>44832</v>
      </c>
      <c r="H629" s="1">
        <v>44855</v>
      </c>
      <c r="I629" t="s">
        <v>16</v>
      </c>
      <c r="J629" s="1" t="b">
        <f t="shared" si="63"/>
        <v>1</v>
      </c>
      <c r="K629" s="1" t="b">
        <f t="shared" si="64"/>
        <v>0</v>
      </c>
      <c r="L629" s="1" t="b">
        <f t="shared" si="65"/>
        <v>0</v>
      </c>
      <c r="M629" s="1" t="b">
        <f t="shared" si="66"/>
        <v>0</v>
      </c>
      <c r="N629" s="1" t="b">
        <f t="shared" si="67"/>
        <v>1</v>
      </c>
      <c r="O629" s="1" t="b">
        <f t="shared" si="68"/>
        <v>0</v>
      </c>
      <c r="P629" s="1" t="b">
        <f t="shared" si="69"/>
        <v>0</v>
      </c>
    </row>
    <row r="630" spans="1:16" x14ac:dyDescent="0.2">
      <c r="A630">
        <v>7457158</v>
      </c>
      <c r="B630" t="s">
        <v>1260</v>
      </c>
      <c r="C630" t="s">
        <v>71</v>
      </c>
      <c r="D630" t="s">
        <v>139</v>
      </c>
      <c r="E630" s="1">
        <v>45019</v>
      </c>
      <c r="F630" t="s">
        <v>1261</v>
      </c>
      <c r="G630" s="1">
        <v>45030</v>
      </c>
      <c r="I630" t="s">
        <v>13</v>
      </c>
      <c r="J630" s="1" t="b">
        <f t="shared" si="63"/>
        <v>0</v>
      </c>
      <c r="K630" s="1" t="b">
        <f t="shared" si="64"/>
        <v>1</v>
      </c>
      <c r="L630" s="1" t="b">
        <f t="shared" si="65"/>
        <v>0</v>
      </c>
      <c r="M630" s="1" t="b">
        <f t="shared" si="66"/>
        <v>0</v>
      </c>
      <c r="N630" s="1" t="b">
        <f t="shared" si="67"/>
        <v>0</v>
      </c>
      <c r="O630" s="1" t="b">
        <f t="shared" si="68"/>
        <v>0</v>
      </c>
      <c r="P630" s="1" t="b">
        <f t="shared" si="69"/>
        <v>0</v>
      </c>
    </row>
    <row r="631" spans="1:16" x14ac:dyDescent="0.2">
      <c r="A631">
        <v>7457158</v>
      </c>
      <c r="B631" t="s">
        <v>1262</v>
      </c>
      <c r="C631" t="s">
        <v>71</v>
      </c>
      <c r="D631" t="s">
        <v>139</v>
      </c>
      <c r="E631" s="1">
        <v>45042</v>
      </c>
      <c r="F631" t="s">
        <v>1263</v>
      </c>
      <c r="G631" s="1">
        <v>45070</v>
      </c>
      <c r="H631" s="1">
        <v>45102</v>
      </c>
      <c r="I631" t="s">
        <v>43</v>
      </c>
      <c r="J631" s="1" t="b">
        <f t="shared" si="63"/>
        <v>1</v>
      </c>
      <c r="K631" s="1" t="b">
        <f t="shared" si="64"/>
        <v>0</v>
      </c>
      <c r="L631" s="1" t="b">
        <f t="shared" si="65"/>
        <v>0</v>
      </c>
      <c r="M631" s="1" t="b">
        <f t="shared" si="66"/>
        <v>0</v>
      </c>
      <c r="N631" s="1" t="b">
        <f t="shared" si="67"/>
        <v>0</v>
      </c>
      <c r="O631" s="1" t="b">
        <f t="shared" si="68"/>
        <v>1</v>
      </c>
      <c r="P631" s="1" t="b">
        <f t="shared" si="69"/>
        <v>0</v>
      </c>
    </row>
    <row r="632" spans="1:16" x14ac:dyDescent="0.2">
      <c r="A632">
        <v>7457158</v>
      </c>
      <c r="B632" t="s">
        <v>1264</v>
      </c>
      <c r="C632" t="s">
        <v>71</v>
      </c>
      <c r="D632" t="s">
        <v>139</v>
      </c>
      <c r="E632" s="1">
        <v>44890</v>
      </c>
      <c r="F632" t="s">
        <v>1265</v>
      </c>
      <c r="G632" s="1">
        <v>44898</v>
      </c>
      <c r="H632" s="1">
        <v>44920</v>
      </c>
      <c r="I632" t="s">
        <v>16</v>
      </c>
      <c r="J632" s="1" t="b">
        <f t="shared" si="63"/>
        <v>1</v>
      </c>
      <c r="K632" s="1" t="b">
        <f t="shared" si="64"/>
        <v>0</v>
      </c>
      <c r="L632" s="1" t="b">
        <f t="shared" si="65"/>
        <v>0</v>
      </c>
      <c r="M632" s="1" t="b">
        <f t="shared" si="66"/>
        <v>0</v>
      </c>
      <c r="N632" s="1" t="b">
        <f t="shared" si="67"/>
        <v>1</v>
      </c>
      <c r="O632" s="1" t="b">
        <f t="shared" si="68"/>
        <v>0</v>
      </c>
      <c r="P632" s="1" t="b">
        <f t="shared" si="69"/>
        <v>0</v>
      </c>
    </row>
    <row r="633" spans="1:16" x14ac:dyDescent="0.2">
      <c r="A633">
        <v>7457158</v>
      </c>
      <c r="B633" t="s">
        <v>1266</v>
      </c>
      <c r="C633" t="s">
        <v>71</v>
      </c>
      <c r="D633" t="s">
        <v>139</v>
      </c>
      <c r="E633" s="1">
        <v>44949</v>
      </c>
      <c r="F633" t="s">
        <v>1267</v>
      </c>
      <c r="G633" s="1">
        <v>44962</v>
      </c>
      <c r="H633" s="1">
        <v>45015</v>
      </c>
      <c r="I633" t="s">
        <v>16</v>
      </c>
      <c r="J633" s="1" t="b">
        <f t="shared" si="63"/>
        <v>1</v>
      </c>
      <c r="K633" s="1" t="b">
        <f t="shared" si="64"/>
        <v>0</v>
      </c>
      <c r="L633" s="1" t="b">
        <f t="shared" si="65"/>
        <v>0</v>
      </c>
      <c r="M633" s="1" t="b">
        <f t="shared" si="66"/>
        <v>0</v>
      </c>
      <c r="N633" s="1" t="b">
        <f t="shared" si="67"/>
        <v>1</v>
      </c>
      <c r="O633" s="1" t="b">
        <f t="shared" si="68"/>
        <v>0</v>
      </c>
      <c r="P633" s="1" t="b">
        <f t="shared" si="69"/>
        <v>0</v>
      </c>
    </row>
    <row r="634" spans="1:16" x14ac:dyDescent="0.2">
      <c r="A634">
        <v>7457158</v>
      </c>
      <c r="B634" t="s">
        <v>1268</v>
      </c>
      <c r="C634" t="s">
        <v>71</v>
      </c>
      <c r="D634" t="s">
        <v>139</v>
      </c>
      <c r="E634" s="1">
        <v>45020</v>
      </c>
      <c r="F634" t="s">
        <v>1269</v>
      </c>
      <c r="G634" s="1">
        <v>45023</v>
      </c>
      <c r="I634" t="s">
        <v>25</v>
      </c>
      <c r="J634" s="1" t="b">
        <f t="shared" si="63"/>
        <v>0</v>
      </c>
      <c r="K634" s="1" t="b">
        <f t="shared" si="64"/>
        <v>0</v>
      </c>
      <c r="L634" s="1" t="b">
        <f t="shared" si="65"/>
        <v>1</v>
      </c>
      <c r="M634" s="1" t="b">
        <f t="shared" si="66"/>
        <v>0</v>
      </c>
      <c r="N634" s="1" t="b">
        <f t="shared" si="67"/>
        <v>0</v>
      </c>
      <c r="O634" s="1" t="b">
        <f t="shared" si="68"/>
        <v>0</v>
      </c>
      <c r="P634" s="1" t="b">
        <f t="shared" si="69"/>
        <v>0</v>
      </c>
    </row>
    <row r="635" spans="1:16" x14ac:dyDescent="0.2">
      <c r="A635">
        <v>2991570</v>
      </c>
      <c r="B635" t="s">
        <v>1270</v>
      </c>
      <c r="C635" t="s">
        <v>363</v>
      </c>
      <c r="D635" t="s">
        <v>56</v>
      </c>
      <c r="E635" s="1">
        <v>44562</v>
      </c>
      <c r="F635" t="s">
        <v>1271</v>
      </c>
      <c r="G635" s="1">
        <v>44589</v>
      </c>
      <c r="H635" s="1">
        <v>44595</v>
      </c>
      <c r="I635" t="s">
        <v>16</v>
      </c>
      <c r="J635" s="1" t="b">
        <f t="shared" si="63"/>
        <v>1</v>
      </c>
      <c r="K635" s="1" t="b">
        <f t="shared" si="64"/>
        <v>0</v>
      </c>
      <c r="L635" s="1" t="b">
        <f t="shared" si="65"/>
        <v>0</v>
      </c>
      <c r="M635" s="1" t="b">
        <f t="shared" si="66"/>
        <v>0</v>
      </c>
      <c r="N635" s="1" t="b">
        <f t="shared" si="67"/>
        <v>1</v>
      </c>
      <c r="O635" s="1" t="b">
        <f t="shared" si="68"/>
        <v>0</v>
      </c>
      <c r="P635" s="1" t="b">
        <f t="shared" si="69"/>
        <v>0</v>
      </c>
    </row>
    <row r="636" spans="1:16" x14ac:dyDescent="0.2">
      <c r="A636">
        <v>6110305</v>
      </c>
      <c r="B636" t="s">
        <v>1272</v>
      </c>
      <c r="C636" t="s">
        <v>131</v>
      </c>
      <c r="D636" t="s">
        <v>139</v>
      </c>
      <c r="E636" s="1">
        <v>44911</v>
      </c>
      <c r="F636" t="s">
        <v>1273</v>
      </c>
      <c r="G636" s="1">
        <v>44923</v>
      </c>
      <c r="I636" t="s">
        <v>13</v>
      </c>
      <c r="J636" s="1" t="b">
        <f t="shared" si="63"/>
        <v>0</v>
      </c>
      <c r="K636" s="1" t="b">
        <f t="shared" si="64"/>
        <v>1</v>
      </c>
      <c r="L636" s="1" t="b">
        <f t="shared" si="65"/>
        <v>0</v>
      </c>
      <c r="M636" s="1" t="b">
        <f t="shared" si="66"/>
        <v>0</v>
      </c>
      <c r="N636" s="1" t="b">
        <f t="shared" si="67"/>
        <v>0</v>
      </c>
      <c r="O636" s="1" t="b">
        <f t="shared" si="68"/>
        <v>0</v>
      </c>
      <c r="P636" s="1" t="b">
        <f t="shared" si="69"/>
        <v>0</v>
      </c>
    </row>
    <row r="637" spans="1:16" x14ac:dyDescent="0.2">
      <c r="A637">
        <v>6110305</v>
      </c>
      <c r="B637" t="s">
        <v>1274</v>
      </c>
      <c r="C637" t="s">
        <v>131</v>
      </c>
      <c r="D637" t="s">
        <v>139</v>
      </c>
      <c r="E637" s="1">
        <v>44901</v>
      </c>
      <c r="F637" t="s">
        <v>1275</v>
      </c>
      <c r="G637" s="1">
        <v>44919</v>
      </c>
      <c r="H637" s="1">
        <v>44969</v>
      </c>
      <c r="I637" t="s">
        <v>43</v>
      </c>
      <c r="J637" s="1" t="b">
        <f t="shared" si="63"/>
        <v>1</v>
      </c>
      <c r="K637" s="1" t="b">
        <f t="shared" si="64"/>
        <v>0</v>
      </c>
      <c r="L637" s="1" t="b">
        <f t="shared" si="65"/>
        <v>0</v>
      </c>
      <c r="M637" s="1" t="b">
        <f t="shared" si="66"/>
        <v>0</v>
      </c>
      <c r="N637" s="1" t="b">
        <f t="shared" si="67"/>
        <v>0</v>
      </c>
      <c r="O637" s="1" t="b">
        <f t="shared" si="68"/>
        <v>1</v>
      </c>
      <c r="P637" s="1" t="b">
        <f t="shared" si="69"/>
        <v>0</v>
      </c>
    </row>
    <row r="638" spans="1:16" x14ac:dyDescent="0.2">
      <c r="A638">
        <v>6110305</v>
      </c>
      <c r="B638" t="s">
        <v>1276</v>
      </c>
      <c r="C638" t="s">
        <v>131</v>
      </c>
      <c r="D638" t="s">
        <v>139</v>
      </c>
      <c r="E638" s="1">
        <v>44934</v>
      </c>
      <c r="F638" t="s">
        <v>1074</v>
      </c>
      <c r="G638" s="1">
        <v>44957</v>
      </c>
      <c r="H638" s="1">
        <v>44986</v>
      </c>
      <c r="J638" s="1" t="b">
        <f t="shared" si="63"/>
        <v>1</v>
      </c>
      <c r="K638" s="1" t="b">
        <f t="shared" si="64"/>
        <v>0</v>
      </c>
      <c r="L638" s="1" t="b">
        <f t="shared" si="65"/>
        <v>0</v>
      </c>
      <c r="M638" s="1" t="b">
        <f t="shared" si="66"/>
        <v>0</v>
      </c>
      <c r="N638" s="1" t="b">
        <f t="shared" si="67"/>
        <v>0</v>
      </c>
      <c r="O638" s="1" t="b">
        <f t="shared" si="68"/>
        <v>0</v>
      </c>
      <c r="P638" s="1" t="b">
        <f t="shared" si="69"/>
        <v>0</v>
      </c>
    </row>
    <row r="639" spans="1:16" x14ac:dyDescent="0.2">
      <c r="A639">
        <v>6110305</v>
      </c>
      <c r="B639" t="s">
        <v>1277</v>
      </c>
      <c r="C639" t="s">
        <v>131</v>
      </c>
      <c r="D639" t="s">
        <v>139</v>
      </c>
      <c r="E639" s="1">
        <v>44789</v>
      </c>
      <c r="F639" t="s">
        <v>1278</v>
      </c>
      <c r="G639" s="1">
        <v>44790</v>
      </c>
      <c r="I639" t="s">
        <v>13</v>
      </c>
      <c r="J639" s="1" t="b">
        <f t="shared" si="63"/>
        <v>0</v>
      </c>
      <c r="K639" s="1" t="b">
        <f t="shared" si="64"/>
        <v>1</v>
      </c>
      <c r="L639" s="1" t="b">
        <f t="shared" si="65"/>
        <v>0</v>
      </c>
      <c r="M639" s="1" t="b">
        <f t="shared" si="66"/>
        <v>0</v>
      </c>
      <c r="N639" s="1" t="b">
        <f t="shared" si="67"/>
        <v>0</v>
      </c>
      <c r="O639" s="1" t="b">
        <f t="shared" si="68"/>
        <v>0</v>
      </c>
      <c r="P639" s="1" t="b">
        <f t="shared" si="69"/>
        <v>0</v>
      </c>
    </row>
    <row r="640" spans="1:16" x14ac:dyDescent="0.2">
      <c r="A640">
        <v>6110305</v>
      </c>
      <c r="B640" t="s">
        <v>1279</v>
      </c>
      <c r="C640" t="s">
        <v>131</v>
      </c>
      <c r="D640" t="s">
        <v>139</v>
      </c>
      <c r="E640" s="1">
        <v>44944</v>
      </c>
      <c r="F640" t="s">
        <v>1280</v>
      </c>
      <c r="G640" s="1">
        <v>44967</v>
      </c>
      <c r="H640" s="1">
        <v>44974</v>
      </c>
      <c r="I640" t="s">
        <v>28</v>
      </c>
      <c r="J640" s="1" t="b">
        <f t="shared" si="63"/>
        <v>1</v>
      </c>
      <c r="K640" s="1" t="b">
        <f t="shared" si="64"/>
        <v>0</v>
      </c>
      <c r="L640" s="1" t="b">
        <f t="shared" si="65"/>
        <v>0</v>
      </c>
      <c r="M640" s="1" t="b">
        <f t="shared" si="66"/>
        <v>0</v>
      </c>
      <c r="N640" s="1" t="b">
        <f t="shared" si="67"/>
        <v>0</v>
      </c>
      <c r="O640" s="1" t="b">
        <f t="shared" si="68"/>
        <v>0</v>
      </c>
      <c r="P640" s="1" t="b">
        <f t="shared" si="69"/>
        <v>1</v>
      </c>
    </row>
    <row r="641" spans="1:16" x14ac:dyDescent="0.2">
      <c r="A641">
        <v>1768029</v>
      </c>
      <c r="B641" t="s">
        <v>1281</v>
      </c>
      <c r="C641" t="s">
        <v>131</v>
      </c>
      <c r="D641" t="s">
        <v>187</v>
      </c>
      <c r="E641" s="1">
        <v>44981</v>
      </c>
      <c r="F641" t="s">
        <v>1282</v>
      </c>
      <c r="G641" s="1">
        <v>44985</v>
      </c>
      <c r="I641" t="s">
        <v>13</v>
      </c>
      <c r="J641" s="1" t="b">
        <f t="shared" si="63"/>
        <v>0</v>
      </c>
      <c r="K641" s="1" t="b">
        <f t="shared" si="64"/>
        <v>1</v>
      </c>
      <c r="L641" s="1" t="b">
        <f t="shared" si="65"/>
        <v>0</v>
      </c>
      <c r="M641" s="1" t="b">
        <f t="shared" si="66"/>
        <v>0</v>
      </c>
      <c r="N641" s="1" t="b">
        <f t="shared" si="67"/>
        <v>0</v>
      </c>
      <c r="O641" s="1" t="b">
        <f t="shared" si="68"/>
        <v>0</v>
      </c>
      <c r="P641" s="1" t="b">
        <f t="shared" si="69"/>
        <v>0</v>
      </c>
    </row>
    <row r="642" spans="1:16" x14ac:dyDescent="0.2">
      <c r="A642">
        <v>1768029</v>
      </c>
      <c r="B642" t="s">
        <v>1283</v>
      </c>
      <c r="C642" t="s">
        <v>131</v>
      </c>
      <c r="D642" t="s">
        <v>187</v>
      </c>
      <c r="E642" s="1">
        <v>44685</v>
      </c>
      <c r="F642" t="s">
        <v>100</v>
      </c>
      <c r="G642" s="1">
        <v>44715</v>
      </c>
      <c r="I642" t="s">
        <v>13</v>
      </c>
      <c r="J642" s="1" t="b">
        <f t="shared" si="63"/>
        <v>0</v>
      </c>
      <c r="K642" s="1" t="b">
        <f t="shared" si="64"/>
        <v>1</v>
      </c>
      <c r="L642" s="1" t="b">
        <f t="shared" si="65"/>
        <v>0</v>
      </c>
      <c r="M642" s="1" t="b">
        <f t="shared" si="66"/>
        <v>0</v>
      </c>
      <c r="N642" s="1" t="b">
        <f t="shared" si="67"/>
        <v>0</v>
      </c>
      <c r="O642" s="1" t="b">
        <f t="shared" si="68"/>
        <v>0</v>
      </c>
      <c r="P642" s="1" t="b">
        <f t="shared" si="69"/>
        <v>0</v>
      </c>
    </row>
    <row r="643" spans="1:16" x14ac:dyDescent="0.2">
      <c r="A643">
        <v>1768029</v>
      </c>
      <c r="B643" t="s">
        <v>1284</v>
      </c>
      <c r="C643" t="s">
        <v>131</v>
      </c>
      <c r="D643" t="s">
        <v>187</v>
      </c>
      <c r="E643" s="1">
        <v>44757</v>
      </c>
      <c r="F643" t="s">
        <v>1285</v>
      </c>
      <c r="G643" s="1">
        <v>44780</v>
      </c>
      <c r="H643" s="1">
        <v>44802</v>
      </c>
      <c r="I643" t="s">
        <v>43</v>
      </c>
      <c r="J643" s="1" t="b">
        <f t="shared" ref="J643:J706" si="70">AND(NOT(ISBLANK(H643)), NOT(OR(ISNUMBER(SEARCH("decline", I643)), ISNUMBER(SEARCH("rescind", I643)), ISNUMBER(SEARCH("cancel", I643)))))</f>
        <v>1</v>
      </c>
      <c r="K643" s="1" t="b">
        <f t="shared" ref="K643:K706" si="71">ISNUMBER(SEARCH("decline", I643))</f>
        <v>0</v>
      </c>
      <c r="L643" s="1" t="b">
        <f t="shared" ref="L643:L706" si="72">ISNUMBER(SEARCH("rescind", I643))</f>
        <v>0</v>
      </c>
      <c r="M643" s="1" t="b">
        <f t="shared" ref="M643:M706" si="73">ISNUMBER(SEARCH("cancel", I643))</f>
        <v>0</v>
      </c>
      <c r="N643" s="1" t="b">
        <f t="shared" ref="N643:N706" si="74">ISNUMBER(SEARCH("transfer", I643))</f>
        <v>0</v>
      </c>
      <c r="O643" s="1" t="b">
        <f t="shared" ref="O643:O706" si="75">ISNUMBER(SEARCH("promo", I643))</f>
        <v>1</v>
      </c>
      <c r="P643" s="1" t="b">
        <f t="shared" ref="P643:P706" si="76">ISNUMBER(SEARCH("new", I643))</f>
        <v>0</v>
      </c>
    </row>
    <row r="644" spans="1:16" x14ac:dyDescent="0.2">
      <c r="A644">
        <v>1768029</v>
      </c>
      <c r="B644" t="s">
        <v>1286</v>
      </c>
      <c r="C644" t="s">
        <v>131</v>
      </c>
      <c r="D644" t="s">
        <v>187</v>
      </c>
      <c r="E644" s="1">
        <v>44688</v>
      </c>
      <c r="F644" t="s">
        <v>1287</v>
      </c>
      <c r="G644" s="1">
        <v>44713</v>
      </c>
      <c r="I644" t="s">
        <v>13</v>
      </c>
      <c r="J644" s="1" t="b">
        <f t="shared" si="70"/>
        <v>0</v>
      </c>
      <c r="K644" s="1" t="b">
        <f t="shared" si="71"/>
        <v>1</v>
      </c>
      <c r="L644" s="1" t="b">
        <f t="shared" si="72"/>
        <v>0</v>
      </c>
      <c r="M644" s="1" t="b">
        <f t="shared" si="73"/>
        <v>0</v>
      </c>
      <c r="N644" s="1" t="b">
        <f t="shared" si="74"/>
        <v>0</v>
      </c>
      <c r="O644" s="1" t="b">
        <f t="shared" si="75"/>
        <v>0</v>
      </c>
      <c r="P644" s="1" t="b">
        <f t="shared" si="76"/>
        <v>0</v>
      </c>
    </row>
    <row r="645" spans="1:16" x14ac:dyDescent="0.2">
      <c r="A645">
        <v>8558212</v>
      </c>
      <c r="B645" t="s">
        <v>1288</v>
      </c>
      <c r="C645" t="s">
        <v>287</v>
      </c>
      <c r="D645" t="s">
        <v>81</v>
      </c>
      <c r="E645" s="1">
        <v>45105</v>
      </c>
      <c r="F645" t="s">
        <v>1289</v>
      </c>
      <c r="G645" s="1">
        <v>45129</v>
      </c>
      <c r="I645" t="s">
        <v>13</v>
      </c>
      <c r="J645" s="1" t="b">
        <f t="shared" si="70"/>
        <v>0</v>
      </c>
      <c r="K645" s="1" t="b">
        <f t="shared" si="71"/>
        <v>1</v>
      </c>
      <c r="L645" s="1" t="b">
        <f t="shared" si="72"/>
        <v>0</v>
      </c>
      <c r="M645" s="1" t="b">
        <f t="shared" si="73"/>
        <v>0</v>
      </c>
      <c r="N645" s="1" t="b">
        <f t="shared" si="74"/>
        <v>0</v>
      </c>
      <c r="O645" s="1" t="b">
        <f t="shared" si="75"/>
        <v>0</v>
      </c>
      <c r="P645" s="1" t="b">
        <f t="shared" si="76"/>
        <v>0</v>
      </c>
    </row>
    <row r="646" spans="1:16" x14ac:dyDescent="0.2">
      <c r="A646">
        <v>8558212</v>
      </c>
      <c r="B646" t="s">
        <v>1290</v>
      </c>
      <c r="C646" t="s">
        <v>287</v>
      </c>
      <c r="D646" t="s">
        <v>81</v>
      </c>
      <c r="E646" s="1">
        <v>44816</v>
      </c>
      <c r="F646" t="s">
        <v>396</v>
      </c>
      <c r="G646" s="1">
        <v>44825</v>
      </c>
      <c r="I646" t="s">
        <v>13</v>
      </c>
      <c r="J646" s="1" t="b">
        <f t="shared" si="70"/>
        <v>0</v>
      </c>
      <c r="K646" s="1" t="b">
        <f t="shared" si="71"/>
        <v>1</v>
      </c>
      <c r="L646" s="1" t="b">
        <f t="shared" si="72"/>
        <v>0</v>
      </c>
      <c r="M646" s="1" t="b">
        <f t="shared" si="73"/>
        <v>0</v>
      </c>
      <c r="N646" s="1" t="b">
        <f t="shared" si="74"/>
        <v>0</v>
      </c>
      <c r="O646" s="1" t="b">
        <f t="shared" si="75"/>
        <v>0</v>
      </c>
      <c r="P646" s="1" t="b">
        <f t="shared" si="76"/>
        <v>0</v>
      </c>
    </row>
    <row r="647" spans="1:16" x14ac:dyDescent="0.2">
      <c r="A647">
        <v>8558212</v>
      </c>
      <c r="B647" t="s">
        <v>1291</v>
      </c>
      <c r="C647" t="s">
        <v>287</v>
      </c>
      <c r="D647" t="s">
        <v>81</v>
      </c>
      <c r="E647" s="1">
        <v>44743</v>
      </c>
      <c r="F647" t="s">
        <v>1292</v>
      </c>
      <c r="G647" s="1">
        <v>44766</v>
      </c>
      <c r="H647" s="1">
        <v>44804</v>
      </c>
      <c r="J647" s="1" t="b">
        <f t="shared" si="70"/>
        <v>1</v>
      </c>
      <c r="K647" s="1" t="b">
        <f t="shared" si="71"/>
        <v>0</v>
      </c>
      <c r="L647" s="1" t="b">
        <f t="shared" si="72"/>
        <v>0</v>
      </c>
      <c r="M647" s="1" t="b">
        <f t="shared" si="73"/>
        <v>0</v>
      </c>
      <c r="N647" s="1" t="b">
        <f t="shared" si="74"/>
        <v>0</v>
      </c>
      <c r="O647" s="1" t="b">
        <f t="shared" si="75"/>
        <v>0</v>
      </c>
      <c r="P647" s="1" t="b">
        <f t="shared" si="76"/>
        <v>0</v>
      </c>
    </row>
    <row r="648" spans="1:16" x14ac:dyDescent="0.2">
      <c r="A648">
        <v>8558212</v>
      </c>
      <c r="B648" t="s">
        <v>1293</v>
      </c>
      <c r="C648" t="s">
        <v>287</v>
      </c>
      <c r="D648" t="s">
        <v>81</v>
      </c>
      <c r="E648" s="1">
        <v>44668</v>
      </c>
      <c r="F648" t="s">
        <v>513</v>
      </c>
      <c r="G648" s="1">
        <v>44681</v>
      </c>
      <c r="I648" t="s">
        <v>13</v>
      </c>
      <c r="J648" s="1" t="b">
        <f t="shared" si="70"/>
        <v>0</v>
      </c>
      <c r="K648" s="1" t="b">
        <f t="shared" si="71"/>
        <v>1</v>
      </c>
      <c r="L648" s="1" t="b">
        <f t="shared" si="72"/>
        <v>0</v>
      </c>
      <c r="M648" s="1" t="b">
        <f t="shared" si="73"/>
        <v>0</v>
      </c>
      <c r="N648" s="1" t="b">
        <f t="shared" si="74"/>
        <v>0</v>
      </c>
      <c r="O648" s="1" t="b">
        <f t="shared" si="75"/>
        <v>0</v>
      </c>
      <c r="P648" s="1" t="b">
        <f t="shared" si="76"/>
        <v>0</v>
      </c>
    </row>
    <row r="649" spans="1:16" x14ac:dyDescent="0.2">
      <c r="A649">
        <v>8558212</v>
      </c>
      <c r="B649" t="s">
        <v>1294</v>
      </c>
      <c r="C649" t="s">
        <v>287</v>
      </c>
      <c r="D649" t="s">
        <v>81</v>
      </c>
      <c r="E649" s="1">
        <v>44955</v>
      </c>
      <c r="F649" t="s">
        <v>1295</v>
      </c>
      <c r="G649" s="1">
        <v>44969</v>
      </c>
      <c r="H649" s="1">
        <v>45008</v>
      </c>
      <c r="I649" t="s">
        <v>28</v>
      </c>
      <c r="J649" s="1" t="b">
        <f t="shared" si="70"/>
        <v>1</v>
      </c>
      <c r="K649" s="1" t="b">
        <f t="shared" si="71"/>
        <v>0</v>
      </c>
      <c r="L649" s="1" t="b">
        <f t="shared" si="72"/>
        <v>0</v>
      </c>
      <c r="M649" s="1" t="b">
        <f t="shared" si="73"/>
        <v>0</v>
      </c>
      <c r="N649" s="1" t="b">
        <f t="shared" si="74"/>
        <v>0</v>
      </c>
      <c r="O649" s="1" t="b">
        <f t="shared" si="75"/>
        <v>0</v>
      </c>
      <c r="P649" s="1" t="b">
        <f t="shared" si="76"/>
        <v>1</v>
      </c>
    </row>
    <row r="650" spans="1:16" x14ac:dyDescent="0.2">
      <c r="A650">
        <v>7675150</v>
      </c>
      <c r="B650" t="s">
        <v>1296</v>
      </c>
      <c r="C650" t="s">
        <v>720</v>
      </c>
      <c r="D650" t="s">
        <v>11</v>
      </c>
      <c r="E650" s="1">
        <v>45086</v>
      </c>
      <c r="F650" t="s">
        <v>1297</v>
      </c>
      <c r="G650" s="1">
        <v>45096</v>
      </c>
      <c r="H650" s="1">
        <v>45150</v>
      </c>
      <c r="I650" t="s">
        <v>43</v>
      </c>
      <c r="J650" s="1" t="b">
        <f t="shared" si="70"/>
        <v>1</v>
      </c>
      <c r="K650" s="1" t="b">
        <f t="shared" si="71"/>
        <v>0</v>
      </c>
      <c r="L650" s="1" t="b">
        <f t="shared" si="72"/>
        <v>0</v>
      </c>
      <c r="M650" s="1" t="b">
        <f t="shared" si="73"/>
        <v>0</v>
      </c>
      <c r="N650" s="1" t="b">
        <f t="shared" si="74"/>
        <v>0</v>
      </c>
      <c r="O650" s="1" t="b">
        <f t="shared" si="75"/>
        <v>1</v>
      </c>
      <c r="P650" s="1" t="b">
        <f t="shared" si="76"/>
        <v>0</v>
      </c>
    </row>
    <row r="651" spans="1:16" x14ac:dyDescent="0.2">
      <c r="A651">
        <v>7675150</v>
      </c>
      <c r="B651" t="s">
        <v>1298</v>
      </c>
      <c r="C651" t="s">
        <v>720</v>
      </c>
      <c r="D651" t="s">
        <v>11</v>
      </c>
      <c r="E651" s="1">
        <v>44784</v>
      </c>
      <c r="F651" t="s">
        <v>1282</v>
      </c>
      <c r="G651" s="1">
        <v>44791</v>
      </c>
      <c r="H651" s="1">
        <v>44805</v>
      </c>
      <c r="I651" t="s">
        <v>28</v>
      </c>
      <c r="J651" s="1" t="b">
        <f t="shared" si="70"/>
        <v>1</v>
      </c>
      <c r="K651" s="1" t="b">
        <f t="shared" si="71"/>
        <v>0</v>
      </c>
      <c r="L651" s="1" t="b">
        <f t="shared" si="72"/>
        <v>0</v>
      </c>
      <c r="M651" s="1" t="b">
        <f t="shared" si="73"/>
        <v>0</v>
      </c>
      <c r="N651" s="1" t="b">
        <f t="shared" si="74"/>
        <v>0</v>
      </c>
      <c r="O651" s="1" t="b">
        <f t="shared" si="75"/>
        <v>0</v>
      </c>
      <c r="P651" s="1" t="b">
        <f t="shared" si="76"/>
        <v>1</v>
      </c>
    </row>
    <row r="652" spans="1:16" x14ac:dyDescent="0.2">
      <c r="A652">
        <v>7675150</v>
      </c>
      <c r="B652" t="s">
        <v>1299</v>
      </c>
      <c r="C652" t="s">
        <v>720</v>
      </c>
      <c r="D652" t="s">
        <v>11</v>
      </c>
      <c r="E652" s="1">
        <v>44697</v>
      </c>
      <c r="F652" t="s">
        <v>1300</v>
      </c>
      <c r="G652" s="1">
        <v>44720</v>
      </c>
      <c r="H652" s="1">
        <v>44762</v>
      </c>
      <c r="I652" t="s">
        <v>28</v>
      </c>
      <c r="J652" s="1" t="b">
        <f t="shared" si="70"/>
        <v>1</v>
      </c>
      <c r="K652" s="1" t="b">
        <f t="shared" si="71"/>
        <v>0</v>
      </c>
      <c r="L652" s="1" t="b">
        <f t="shared" si="72"/>
        <v>0</v>
      </c>
      <c r="M652" s="1" t="b">
        <f t="shared" si="73"/>
        <v>0</v>
      </c>
      <c r="N652" s="1" t="b">
        <f t="shared" si="74"/>
        <v>0</v>
      </c>
      <c r="O652" s="1" t="b">
        <f t="shared" si="75"/>
        <v>0</v>
      </c>
      <c r="P652" s="1" t="b">
        <f t="shared" si="76"/>
        <v>1</v>
      </c>
    </row>
    <row r="653" spans="1:16" x14ac:dyDescent="0.2">
      <c r="A653">
        <v>7675150</v>
      </c>
      <c r="B653" t="s">
        <v>1301</v>
      </c>
      <c r="C653" t="s">
        <v>720</v>
      </c>
      <c r="D653" t="s">
        <v>11</v>
      </c>
      <c r="E653" s="1">
        <v>44892</v>
      </c>
      <c r="F653" t="s">
        <v>1302</v>
      </c>
      <c r="G653" s="1">
        <v>44915</v>
      </c>
      <c r="H653" s="1">
        <v>44923</v>
      </c>
      <c r="I653" t="s">
        <v>43</v>
      </c>
      <c r="J653" s="1" t="b">
        <f t="shared" si="70"/>
        <v>1</v>
      </c>
      <c r="K653" s="1" t="b">
        <f t="shared" si="71"/>
        <v>0</v>
      </c>
      <c r="L653" s="1" t="b">
        <f t="shared" si="72"/>
        <v>0</v>
      </c>
      <c r="M653" s="1" t="b">
        <f t="shared" si="73"/>
        <v>0</v>
      </c>
      <c r="N653" s="1" t="b">
        <f t="shared" si="74"/>
        <v>0</v>
      </c>
      <c r="O653" s="1" t="b">
        <f t="shared" si="75"/>
        <v>1</v>
      </c>
      <c r="P653" s="1" t="b">
        <f t="shared" si="76"/>
        <v>0</v>
      </c>
    </row>
    <row r="654" spans="1:16" x14ac:dyDescent="0.2">
      <c r="A654">
        <v>6909569</v>
      </c>
      <c r="B654" t="s">
        <v>1303</v>
      </c>
      <c r="C654" t="s">
        <v>18</v>
      </c>
      <c r="D654" t="s">
        <v>77</v>
      </c>
      <c r="E654" s="1">
        <v>44854</v>
      </c>
      <c r="F654" t="s">
        <v>1304</v>
      </c>
      <c r="G654" s="1">
        <v>44883</v>
      </c>
      <c r="H654" s="1">
        <v>44938</v>
      </c>
      <c r="J654" s="1" t="b">
        <f t="shared" si="70"/>
        <v>1</v>
      </c>
      <c r="K654" s="1" t="b">
        <f t="shared" si="71"/>
        <v>0</v>
      </c>
      <c r="L654" s="1" t="b">
        <f t="shared" si="72"/>
        <v>0</v>
      </c>
      <c r="M654" s="1" t="b">
        <f t="shared" si="73"/>
        <v>0</v>
      </c>
      <c r="N654" s="1" t="b">
        <f t="shared" si="74"/>
        <v>0</v>
      </c>
      <c r="O654" s="1" t="b">
        <f t="shared" si="75"/>
        <v>0</v>
      </c>
      <c r="P654" s="1" t="b">
        <f t="shared" si="76"/>
        <v>0</v>
      </c>
    </row>
    <row r="655" spans="1:16" x14ac:dyDescent="0.2">
      <c r="A655">
        <v>6909569</v>
      </c>
      <c r="B655" t="s">
        <v>1305</v>
      </c>
      <c r="C655" t="s">
        <v>18</v>
      </c>
      <c r="D655" t="s">
        <v>77</v>
      </c>
      <c r="E655" s="1">
        <v>44587</v>
      </c>
      <c r="F655" t="s">
        <v>1306</v>
      </c>
      <c r="G655" s="1">
        <v>44600</v>
      </c>
      <c r="H655" s="1">
        <v>44610</v>
      </c>
      <c r="I655" t="s">
        <v>16</v>
      </c>
      <c r="J655" s="1" t="b">
        <f t="shared" si="70"/>
        <v>1</v>
      </c>
      <c r="K655" s="1" t="b">
        <f t="shared" si="71"/>
        <v>0</v>
      </c>
      <c r="L655" s="1" t="b">
        <f t="shared" si="72"/>
        <v>0</v>
      </c>
      <c r="M655" s="1" t="b">
        <f t="shared" si="73"/>
        <v>0</v>
      </c>
      <c r="N655" s="1" t="b">
        <f t="shared" si="74"/>
        <v>1</v>
      </c>
      <c r="O655" s="1" t="b">
        <f t="shared" si="75"/>
        <v>0</v>
      </c>
      <c r="P655" s="1" t="b">
        <f t="shared" si="76"/>
        <v>0</v>
      </c>
    </row>
    <row r="656" spans="1:16" x14ac:dyDescent="0.2">
      <c r="A656">
        <v>6909569</v>
      </c>
      <c r="B656" t="s">
        <v>1307</v>
      </c>
      <c r="C656" t="s">
        <v>18</v>
      </c>
      <c r="D656" t="s">
        <v>77</v>
      </c>
      <c r="E656" s="1">
        <v>44835</v>
      </c>
      <c r="F656" t="s">
        <v>1308</v>
      </c>
      <c r="G656" s="1">
        <v>44860</v>
      </c>
      <c r="I656" t="s">
        <v>13</v>
      </c>
      <c r="J656" s="1" t="b">
        <f t="shared" si="70"/>
        <v>0</v>
      </c>
      <c r="K656" s="1" t="b">
        <f t="shared" si="71"/>
        <v>1</v>
      </c>
      <c r="L656" s="1" t="b">
        <f t="shared" si="72"/>
        <v>0</v>
      </c>
      <c r="M656" s="1" t="b">
        <f t="shared" si="73"/>
        <v>0</v>
      </c>
      <c r="N656" s="1" t="b">
        <f t="shared" si="74"/>
        <v>0</v>
      </c>
      <c r="O656" s="1" t="b">
        <f t="shared" si="75"/>
        <v>0</v>
      </c>
      <c r="P656" s="1" t="b">
        <f t="shared" si="76"/>
        <v>0</v>
      </c>
    </row>
    <row r="657" spans="1:16" x14ac:dyDescent="0.2">
      <c r="A657">
        <v>6909569</v>
      </c>
      <c r="B657" t="s">
        <v>1309</v>
      </c>
      <c r="C657" t="s">
        <v>18</v>
      </c>
      <c r="D657" t="s">
        <v>77</v>
      </c>
      <c r="E657" s="1">
        <v>44711</v>
      </c>
      <c r="F657" t="s">
        <v>1310</v>
      </c>
      <c r="G657" s="1">
        <v>44738</v>
      </c>
      <c r="H657" s="1">
        <v>44742</v>
      </c>
      <c r="I657" t="s">
        <v>28</v>
      </c>
      <c r="J657" s="1" t="b">
        <f t="shared" si="70"/>
        <v>1</v>
      </c>
      <c r="K657" s="1" t="b">
        <f t="shared" si="71"/>
        <v>0</v>
      </c>
      <c r="L657" s="1" t="b">
        <f t="shared" si="72"/>
        <v>0</v>
      </c>
      <c r="M657" s="1" t="b">
        <f t="shared" si="73"/>
        <v>0</v>
      </c>
      <c r="N657" s="1" t="b">
        <f t="shared" si="74"/>
        <v>0</v>
      </c>
      <c r="O657" s="1" t="b">
        <f t="shared" si="75"/>
        <v>0</v>
      </c>
      <c r="P657" s="1" t="b">
        <f t="shared" si="76"/>
        <v>1</v>
      </c>
    </row>
    <row r="658" spans="1:16" x14ac:dyDescent="0.2">
      <c r="A658">
        <v>6909569</v>
      </c>
      <c r="B658" t="s">
        <v>1311</v>
      </c>
      <c r="C658" t="s">
        <v>18</v>
      </c>
      <c r="D658" t="s">
        <v>77</v>
      </c>
      <c r="E658" s="1">
        <v>44595</v>
      </c>
      <c r="F658" t="s">
        <v>461</v>
      </c>
      <c r="G658" s="1">
        <v>44607</v>
      </c>
      <c r="H658" s="1">
        <v>44660</v>
      </c>
      <c r="I658" t="s">
        <v>28</v>
      </c>
      <c r="J658" s="1" t="b">
        <f t="shared" si="70"/>
        <v>1</v>
      </c>
      <c r="K658" s="1" t="b">
        <f t="shared" si="71"/>
        <v>0</v>
      </c>
      <c r="L658" s="1" t="b">
        <f t="shared" si="72"/>
        <v>0</v>
      </c>
      <c r="M658" s="1" t="b">
        <f t="shared" si="73"/>
        <v>0</v>
      </c>
      <c r="N658" s="1" t="b">
        <f t="shared" si="74"/>
        <v>0</v>
      </c>
      <c r="O658" s="1" t="b">
        <f t="shared" si="75"/>
        <v>0</v>
      </c>
      <c r="P658" s="1" t="b">
        <f t="shared" si="76"/>
        <v>1</v>
      </c>
    </row>
    <row r="659" spans="1:16" x14ac:dyDescent="0.2">
      <c r="A659">
        <v>8593275</v>
      </c>
      <c r="B659" t="s">
        <v>1312</v>
      </c>
      <c r="C659" t="s">
        <v>176</v>
      </c>
      <c r="D659" t="s">
        <v>81</v>
      </c>
      <c r="E659" s="1">
        <v>44856</v>
      </c>
      <c r="F659" t="s">
        <v>1313</v>
      </c>
      <c r="G659" s="1">
        <v>44879</v>
      </c>
      <c r="H659" s="1">
        <v>44922</v>
      </c>
      <c r="J659" s="1" t="b">
        <f t="shared" si="70"/>
        <v>1</v>
      </c>
      <c r="K659" s="1" t="b">
        <f t="shared" si="71"/>
        <v>0</v>
      </c>
      <c r="L659" s="1" t="b">
        <f t="shared" si="72"/>
        <v>0</v>
      </c>
      <c r="M659" s="1" t="b">
        <f t="shared" si="73"/>
        <v>0</v>
      </c>
      <c r="N659" s="1" t="b">
        <f t="shared" si="74"/>
        <v>0</v>
      </c>
      <c r="O659" s="1" t="b">
        <f t="shared" si="75"/>
        <v>0</v>
      </c>
      <c r="P659" s="1" t="b">
        <f t="shared" si="76"/>
        <v>0</v>
      </c>
    </row>
    <row r="660" spans="1:16" x14ac:dyDescent="0.2">
      <c r="A660">
        <v>8593275</v>
      </c>
      <c r="B660" t="s">
        <v>1314</v>
      </c>
      <c r="C660" t="s">
        <v>176</v>
      </c>
      <c r="D660" t="s">
        <v>81</v>
      </c>
      <c r="E660" s="1">
        <v>44988</v>
      </c>
      <c r="F660" t="s">
        <v>1315</v>
      </c>
      <c r="G660" s="1">
        <v>45014</v>
      </c>
      <c r="I660" t="s">
        <v>13</v>
      </c>
      <c r="J660" s="1" t="b">
        <f t="shared" si="70"/>
        <v>0</v>
      </c>
      <c r="K660" s="1" t="b">
        <f t="shared" si="71"/>
        <v>1</v>
      </c>
      <c r="L660" s="1" t="b">
        <f t="shared" si="72"/>
        <v>0</v>
      </c>
      <c r="M660" s="1" t="b">
        <f t="shared" si="73"/>
        <v>0</v>
      </c>
      <c r="N660" s="1" t="b">
        <f t="shared" si="74"/>
        <v>0</v>
      </c>
      <c r="O660" s="1" t="b">
        <f t="shared" si="75"/>
        <v>0</v>
      </c>
      <c r="P660" s="1" t="b">
        <f t="shared" si="76"/>
        <v>0</v>
      </c>
    </row>
    <row r="661" spans="1:16" x14ac:dyDescent="0.2">
      <c r="A661">
        <v>8593275</v>
      </c>
      <c r="B661" t="s">
        <v>1316</v>
      </c>
      <c r="C661" t="s">
        <v>176</v>
      </c>
      <c r="D661" t="s">
        <v>81</v>
      </c>
      <c r="E661" s="1">
        <v>44575</v>
      </c>
      <c r="F661" t="s">
        <v>1317</v>
      </c>
      <c r="G661" s="1">
        <v>44599</v>
      </c>
      <c r="H661" s="1">
        <v>44616</v>
      </c>
      <c r="I661" t="s">
        <v>28</v>
      </c>
      <c r="J661" s="1" t="b">
        <f t="shared" si="70"/>
        <v>1</v>
      </c>
      <c r="K661" s="1" t="b">
        <f t="shared" si="71"/>
        <v>0</v>
      </c>
      <c r="L661" s="1" t="b">
        <f t="shared" si="72"/>
        <v>0</v>
      </c>
      <c r="M661" s="1" t="b">
        <f t="shared" si="73"/>
        <v>0</v>
      </c>
      <c r="N661" s="1" t="b">
        <f t="shared" si="74"/>
        <v>0</v>
      </c>
      <c r="O661" s="1" t="b">
        <f t="shared" si="75"/>
        <v>0</v>
      </c>
      <c r="P661" s="1" t="b">
        <f t="shared" si="76"/>
        <v>1</v>
      </c>
    </row>
    <row r="662" spans="1:16" x14ac:dyDescent="0.2">
      <c r="A662">
        <v>8593275</v>
      </c>
      <c r="B662" t="s">
        <v>1318</v>
      </c>
      <c r="C662" t="s">
        <v>176</v>
      </c>
      <c r="D662" t="s">
        <v>81</v>
      </c>
      <c r="E662" s="1">
        <v>45015</v>
      </c>
      <c r="F662" t="s">
        <v>1319</v>
      </c>
      <c r="G662" s="1">
        <v>45042</v>
      </c>
      <c r="I662" t="s">
        <v>25</v>
      </c>
      <c r="J662" s="1" t="b">
        <f t="shared" si="70"/>
        <v>0</v>
      </c>
      <c r="K662" s="1" t="b">
        <f t="shared" si="71"/>
        <v>0</v>
      </c>
      <c r="L662" s="1" t="b">
        <f t="shared" si="72"/>
        <v>1</v>
      </c>
      <c r="M662" s="1" t="b">
        <f t="shared" si="73"/>
        <v>0</v>
      </c>
      <c r="N662" s="1" t="b">
        <f t="shared" si="74"/>
        <v>0</v>
      </c>
      <c r="O662" s="1" t="b">
        <f t="shared" si="75"/>
        <v>0</v>
      </c>
      <c r="P662" s="1" t="b">
        <f t="shared" si="76"/>
        <v>0</v>
      </c>
    </row>
    <row r="663" spans="1:16" x14ac:dyDescent="0.2">
      <c r="A663">
        <v>8593275</v>
      </c>
      <c r="B663" t="s">
        <v>1320</v>
      </c>
      <c r="C663" t="s">
        <v>176</v>
      </c>
      <c r="D663" t="s">
        <v>81</v>
      </c>
      <c r="E663" s="1">
        <v>44938</v>
      </c>
      <c r="F663" t="s">
        <v>1321</v>
      </c>
      <c r="G663" s="1">
        <v>44963</v>
      </c>
      <c r="I663" t="s">
        <v>25</v>
      </c>
      <c r="J663" s="1" t="b">
        <f t="shared" si="70"/>
        <v>0</v>
      </c>
      <c r="K663" s="1" t="b">
        <f t="shared" si="71"/>
        <v>0</v>
      </c>
      <c r="L663" s="1" t="b">
        <f t="shared" si="72"/>
        <v>1</v>
      </c>
      <c r="M663" s="1" t="b">
        <f t="shared" si="73"/>
        <v>0</v>
      </c>
      <c r="N663" s="1" t="b">
        <f t="shared" si="74"/>
        <v>0</v>
      </c>
      <c r="O663" s="1" t="b">
        <f t="shared" si="75"/>
        <v>0</v>
      </c>
      <c r="P663" s="1" t="b">
        <f t="shared" si="76"/>
        <v>0</v>
      </c>
    </row>
    <row r="664" spans="1:16" x14ac:dyDescent="0.2">
      <c r="A664">
        <v>4296204</v>
      </c>
      <c r="B664" t="s">
        <v>1322</v>
      </c>
      <c r="C664" t="s">
        <v>35</v>
      </c>
      <c r="D664" t="s">
        <v>19</v>
      </c>
      <c r="E664" s="1">
        <v>45088</v>
      </c>
      <c r="F664" t="s">
        <v>1323</v>
      </c>
      <c r="G664" s="1">
        <v>45092</v>
      </c>
      <c r="H664" s="1">
        <v>45117</v>
      </c>
      <c r="I664" t="s">
        <v>16</v>
      </c>
      <c r="J664" s="1" t="b">
        <f t="shared" si="70"/>
        <v>1</v>
      </c>
      <c r="K664" s="1" t="b">
        <f t="shared" si="71"/>
        <v>0</v>
      </c>
      <c r="L664" s="1" t="b">
        <f t="shared" si="72"/>
        <v>0</v>
      </c>
      <c r="M664" s="1" t="b">
        <f t="shared" si="73"/>
        <v>0</v>
      </c>
      <c r="N664" s="1" t="b">
        <f t="shared" si="74"/>
        <v>1</v>
      </c>
      <c r="O664" s="1" t="b">
        <f t="shared" si="75"/>
        <v>0</v>
      </c>
      <c r="P664" s="1" t="b">
        <f t="shared" si="76"/>
        <v>0</v>
      </c>
    </row>
    <row r="665" spans="1:16" x14ac:dyDescent="0.2">
      <c r="A665">
        <v>4296204</v>
      </c>
      <c r="B665" t="s">
        <v>1324</v>
      </c>
      <c r="C665" t="s">
        <v>35</v>
      </c>
      <c r="D665" t="s">
        <v>19</v>
      </c>
      <c r="E665" s="1">
        <v>44832</v>
      </c>
      <c r="F665" t="s">
        <v>1325</v>
      </c>
      <c r="G665" s="1">
        <v>44837</v>
      </c>
      <c r="I665" t="s">
        <v>13</v>
      </c>
      <c r="J665" s="1" t="b">
        <f t="shared" si="70"/>
        <v>0</v>
      </c>
      <c r="K665" s="1" t="b">
        <f t="shared" si="71"/>
        <v>1</v>
      </c>
      <c r="L665" s="1" t="b">
        <f t="shared" si="72"/>
        <v>0</v>
      </c>
      <c r="M665" s="1" t="b">
        <f t="shared" si="73"/>
        <v>0</v>
      </c>
      <c r="N665" s="1" t="b">
        <f t="shared" si="74"/>
        <v>0</v>
      </c>
      <c r="O665" s="1" t="b">
        <f t="shared" si="75"/>
        <v>0</v>
      </c>
      <c r="P665" s="1" t="b">
        <f t="shared" si="76"/>
        <v>0</v>
      </c>
    </row>
    <row r="666" spans="1:16" x14ac:dyDescent="0.2">
      <c r="A666">
        <v>4296204</v>
      </c>
      <c r="B666" t="s">
        <v>1326</v>
      </c>
      <c r="C666" t="s">
        <v>35</v>
      </c>
      <c r="D666" t="s">
        <v>19</v>
      </c>
      <c r="E666" s="1">
        <v>44567</v>
      </c>
      <c r="F666" t="s">
        <v>1327</v>
      </c>
      <c r="G666" s="1">
        <v>44578</v>
      </c>
      <c r="I666" t="s">
        <v>13</v>
      </c>
      <c r="J666" s="1" t="b">
        <f t="shared" si="70"/>
        <v>0</v>
      </c>
      <c r="K666" s="1" t="b">
        <f t="shared" si="71"/>
        <v>1</v>
      </c>
      <c r="L666" s="1" t="b">
        <f t="shared" si="72"/>
        <v>0</v>
      </c>
      <c r="M666" s="1" t="b">
        <f t="shared" si="73"/>
        <v>0</v>
      </c>
      <c r="N666" s="1" t="b">
        <f t="shared" si="74"/>
        <v>0</v>
      </c>
      <c r="O666" s="1" t="b">
        <f t="shared" si="75"/>
        <v>0</v>
      </c>
      <c r="P666" s="1" t="b">
        <f t="shared" si="76"/>
        <v>0</v>
      </c>
    </row>
    <row r="667" spans="1:16" x14ac:dyDescent="0.2">
      <c r="A667">
        <v>8823741</v>
      </c>
      <c r="B667" t="s">
        <v>1328</v>
      </c>
      <c r="C667" t="s">
        <v>240</v>
      </c>
      <c r="D667" t="s">
        <v>187</v>
      </c>
      <c r="E667" s="1">
        <v>44614</v>
      </c>
      <c r="F667" t="s">
        <v>1329</v>
      </c>
      <c r="G667" s="1">
        <v>44639</v>
      </c>
      <c r="I667" t="s">
        <v>13</v>
      </c>
      <c r="J667" s="1" t="b">
        <f t="shared" si="70"/>
        <v>0</v>
      </c>
      <c r="K667" s="1" t="b">
        <f t="shared" si="71"/>
        <v>1</v>
      </c>
      <c r="L667" s="1" t="b">
        <f t="shared" si="72"/>
        <v>0</v>
      </c>
      <c r="M667" s="1" t="b">
        <f t="shared" si="73"/>
        <v>0</v>
      </c>
      <c r="N667" s="1" t="b">
        <f t="shared" si="74"/>
        <v>0</v>
      </c>
      <c r="O667" s="1" t="b">
        <f t="shared" si="75"/>
        <v>0</v>
      </c>
      <c r="P667" s="1" t="b">
        <f t="shared" si="76"/>
        <v>0</v>
      </c>
    </row>
    <row r="668" spans="1:16" x14ac:dyDescent="0.2">
      <c r="A668">
        <v>6052539</v>
      </c>
      <c r="B668" t="s">
        <v>1330</v>
      </c>
      <c r="C668" t="s">
        <v>363</v>
      </c>
      <c r="D668" t="s">
        <v>81</v>
      </c>
      <c r="E668" s="1">
        <v>44887</v>
      </c>
      <c r="F668" t="s">
        <v>1331</v>
      </c>
      <c r="G668" s="1">
        <v>44904</v>
      </c>
      <c r="I668" t="s">
        <v>25</v>
      </c>
      <c r="J668" s="1" t="b">
        <f t="shared" si="70"/>
        <v>0</v>
      </c>
      <c r="K668" s="1" t="b">
        <f t="shared" si="71"/>
        <v>0</v>
      </c>
      <c r="L668" s="1" t="b">
        <f t="shared" si="72"/>
        <v>1</v>
      </c>
      <c r="M668" s="1" t="b">
        <f t="shared" si="73"/>
        <v>0</v>
      </c>
      <c r="N668" s="1" t="b">
        <f t="shared" si="74"/>
        <v>0</v>
      </c>
      <c r="O668" s="1" t="b">
        <f t="shared" si="75"/>
        <v>0</v>
      </c>
      <c r="P668" s="1" t="b">
        <f t="shared" si="76"/>
        <v>0</v>
      </c>
    </row>
    <row r="669" spans="1:16" x14ac:dyDescent="0.2">
      <c r="A669">
        <v>6052539</v>
      </c>
      <c r="B669" t="s">
        <v>1332</v>
      </c>
      <c r="C669" t="s">
        <v>363</v>
      </c>
      <c r="D669" t="s">
        <v>81</v>
      </c>
      <c r="E669" s="1">
        <v>44631</v>
      </c>
      <c r="F669" t="s">
        <v>1333</v>
      </c>
      <c r="G669" s="1">
        <v>44657</v>
      </c>
      <c r="I669" t="s">
        <v>13</v>
      </c>
      <c r="J669" s="1" t="b">
        <f t="shared" si="70"/>
        <v>0</v>
      </c>
      <c r="K669" s="1" t="b">
        <f t="shared" si="71"/>
        <v>1</v>
      </c>
      <c r="L669" s="1" t="b">
        <f t="shared" si="72"/>
        <v>0</v>
      </c>
      <c r="M669" s="1" t="b">
        <f t="shared" si="73"/>
        <v>0</v>
      </c>
      <c r="N669" s="1" t="b">
        <f t="shared" si="74"/>
        <v>0</v>
      </c>
      <c r="O669" s="1" t="b">
        <f t="shared" si="75"/>
        <v>0</v>
      </c>
      <c r="P669" s="1" t="b">
        <f t="shared" si="76"/>
        <v>0</v>
      </c>
    </row>
    <row r="670" spans="1:16" x14ac:dyDescent="0.2">
      <c r="A670">
        <v>6052539</v>
      </c>
      <c r="B670" t="s">
        <v>1334</v>
      </c>
      <c r="C670" t="s">
        <v>363</v>
      </c>
      <c r="D670" t="s">
        <v>81</v>
      </c>
      <c r="E670" s="1">
        <v>44975</v>
      </c>
      <c r="F670" t="s">
        <v>1335</v>
      </c>
      <c r="G670" s="1">
        <v>44978</v>
      </c>
      <c r="H670" s="1">
        <v>45001</v>
      </c>
      <c r="J670" s="1" t="b">
        <f t="shared" si="70"/>
        <v>1</v>
      </c>
      <c r="K670" s="1" t="b">
        <f t="shared" si="71"/>
        <v>0</v>
      </c>
      <c r="L670" s="1" t="b">
        <f t="shared" si="72"/>
        <v>0</v>
      </c>
      <c r="M670" s="1" t="b">
        <f t="shared" si="73"/>
        <v>0</v>
      </c>
      <c r="N670" s="1" t="b">
        <f t="shared" si="74"/>
        <v>0</v>
      </c>
      <c r="O670" s="1" t="b">
        <f t="shared" si="75"/>
        <v>0</v>
      </c>
      <c r="P670" s="1" t="b">
        <f t="shared" si="76"/>
        <v>0</v>
      </c>
    </row>
    <row r="671" spans="1:16" x14ac:dyDescent="0.2">
      <c r="A671">
        <v>6052539</v>
      </c>
      <c r="B671" t="s">
        <v>1336</v>
      </c>
      <c r="C671" t="s">
        <v>363</v>
      </c>
      <c r="D671" t="s">
        <v>81</v>
      </c>
      <c r="E671" s="1">
        <v>44901</v>
      </c>
      <c r="F671" t="s">
        <v>1337</v>
      </c>
      <c r="G671" s="1">
        <v>44912</v>
      </c>
      <c r="I671" t="s">
        <v>25</v>
      </c>
      <c r="J671" s="1" t="b">
        <f t="shared" si="70"/>
        <v>0</v>
      </c>
      <c r="K671" s="1" t="b">
        <f t="shared" si="71"/>
        <v>0</v>
      </c>
      <c r="L671" s="1" t="b">
        <f t="shared" si="72"/>
        <v>1</v>
      </c>
      <c r="M671" s="1" t="b">
        <f t="shared" si="73"/>
        <v>0</v>
      </c>
      <c r="N671" s="1" t="b">
        <f t="shared" si="74"/>
        <v>0</v>
      </c>
      <c r="O671" s="1" t="b">
        <f t="shared" si="75"/>
        <v>0</v>
      </c>
      <c r="P671" s="1" t="b">
        <f t="shared" si="76"/>
        <v>0</v>
      </c>
    </row>
    <row r="672" spans="1:16" x14ac:dyDescent="0.2">
      <c r="A672">
        <v>6052539</v>
      </c>
      <c r="B672" t="s">
        <v>1338</v>
      </c>
      <c r="C672" t="s">
        <v>363</v>
      </c>
      <c r="D672" t="s">
        <v>81</v>
      </c>
      <c r="E672" s="1">
        <v>45105</v>
      </c>
      <c r="F672" t="s">
        <v>1339</v>
      </c>
      <c r="G672" s="1">
        <v>45121</v>
      </c>
      <c r="H672" s="1">
        <v>45157</v>
      </c>
      <c r="I672" t="s">
        <v>43</v>
      </c>
      <c r="J672" s="1" t="b">
        <f t="shared" si="70"/>
        <v>1</v>
      </c>
      <c r="K672" s="1" t="b">
        <f t="shared" si="71"/>
        <v>0</v>
      </c>
      <c r="L672" s="1" t="b">
        <f t="shared" si="72"/>
        <v>0</v>
      </c>
      <c r="M672" s="1" t="b">
        <f t="shared" si="73"/>
        <v>0</v>
      </c>
      <c r="N672" s="1" t="b">
        <f t="shared" si="74"/>
        <v>0</v>
      </c>
      <c r="O672" s="1" t="b">
        <f t="shared" si="75"/>
        <v>1</v>
      </c>
      <c r="P672" s="1" t="b">
        <f t="shared" si="76"/>
        <v>0</v>
      </c>
    </row>
    <row r="673" spans="1:16" x14ac:dyDescent="0.2">
      <c r="A673">
        <v>1147701</v>
      </c>
      <c r="B673" t="s">
        <v>1340</v>
      </c>
      <c r="C673" t="s">
        <v>176</v>
      </c>
      <c r="D673" t="s">
        <v>39</v>
      </c>
      <c r="E673" s="1">
        <v>44811</v>
      </c>
      <c r="F673" t="s">
        <v>1341</v>
      </c>
      <c r="G673" s="1">
        <v>44813</v>
      </c>
      <c r="I673" t="s">
        <v>13</v>
      </c>
      <c r="J673" s="1" t="b">
        <f t="shared" si="70"/>
        <v>0</v>
      </c>
      <c r="K673" s="1" t="b">
        <f t="shared" si="71"/>
        <v>1</v>
      </c>
      <c r="L673" s="1" t="b">
        <f t="shared" si="72"/>
        <v>0</v>
      </c>
      <c r="M673" s="1" t="b">
        <f t="shared" si="73"/>
        <v>0</v>
      </c>
      <c r="N673" s="1" t="b">
        <f t="shared" si="74"/>
        <v>0</v>
      </c>
      <c r="O673" s="1" t="b">
        <f t="shared" si="75"/>
        <v>0</v>
      </c>
      <c r="P673" s="1" t="b">
        <f t="shared" si="76"/>
        <v>0</v>
      </c>
    </row>
    <row r="674" spans="1:16" x14ac:dyDescent="0.2">
      <c r="A674">
        <v>1147701</v>
      </c>
      <c r="B674" t="s">
        <v>1342</v>
      </c>
      <c r="C674" t="s">
        <v>176</v>
      </c>
      <c r="D674" t="s">
        <v>39</v>
      </c>
      <c r="E674" s="1">
        <v>44678</v>
      </c>
      <c r="F674" t="s">
        <v>1343</v>
      </c>
      <c r="G674" s="1">
        <v>44691</v>
      </c>
      <c r="H674" s="1">
        <v>44708</v>
      </c>
      <c r="I674" t="s">
        <v>28</v>
      </c>
      <c r="J674" s="1" t="b">
        <f t="shared" si="70"/>
        <v>1</v>
      </c>
      <c r="K674" s="1" t="b">
        <f t="shared" si="71"/>
        <v>0</v>
      </c>
      <c r="L674" s="1" t="b">
        <f t="shared" si="72"/>
        <v>0</v>
      </c>
      <c r="M674" s="1" t="b">
        <f t="shared" si="73"/>
        <v>0</v>
      </c>
      <c r="N674" s="1" t="b">
        <f t="shared" si="74"/>
        <v>0</v>
      </c>
      <c r="O674" s="1" t="b">
        <f t="shared" si="75"/>
        <v>0</v>
      </c>
      <c r="P674" s="1" t="b">
        <f t="shared" si="76"/>
        <v>1</v>
      </c>
    </row>
    <row r="675" spans="1:16" x14ac:dyDescent="0.2">
      <c r="A675">
        <v>1147701</v>
      </c>
      <c r="B675" t="s">
        <v>1344</v>
      </c>
      <c r="C675" t="s">
        <v>176</v>
      </c>
      <c r="D675" t="s">
        <v>39</v>
      </c>
      <c r="E675" s="1">
        <v>45091</v>
      </c>
      <c r="F675" t="s">
        <v>1345</v>
      </c>
      <c r="G675" s="1">
        <v>45118</v>
      </c>
      <c r="H675" s="1">
        <v>45168</v>
      </c>
      <c r="I675" t="s">
        <v>28</v>
      </c>
      <c r="J675" s="1" t="b">
        <f t="shared" si="70"/>
        <v>1</v>
      </c>
      <c r="K675" s="1" t="b">
        <f t="shared" si="71"/>
        <v>0</v>
      </c>
      <c r="L675" s="1" t="b">
        <f t="shared" si="72"/>
        <v>0</v>
      </c>
      <c r="M675" s="1" t="b">
        <f t="shared" si="73"/>
        <v>0</v>
      </c>
      <c r="N675" s="1" t="b">
        <f t="shared" si="74"/>
        <v>0</v>
      </c>
      <c r="O675" s="1" t="b">
        <f t="shared" si="75"/>
        <v>0</v>
      </c>
      <c r="P675" s="1" t="b">
        <f t="shared" si="76"/>
        <v>1</v>
      </c>
    </row>
    <row r="676" spans="1:16" x14ac:dyDescent="0.2">
      <c r="A676">
        <v>1147701</v>
      </c>
      <c r="B676" t="s">
        <v>1346</v>
      </c>
      <c r="C676" t="s">
        <v>176</v>
      </c>
      <c r="D676" t="s">
        <v>39</v>
      </c>
      <c r="E676" s="1">
        <v>44865</v>
      </c>
      <c r="F676" t="s">
        <v>1347</v>
      </c>
      <c r="G676" s="1">
        <v>44894</v>
      </c>
      <c r="H676" s="1">
        <v>44936</v>
      </c>
      <c r="J676" s="1" t="b">
        <f t="shared" si="70"/>
        <v>1</v>
      </c>
      <c r="K676" s="1" t="b">
        <f t="shared" si="71"/>
        <v>0</v>
      </c>
      <c r="L676" s="1" t="b">
        <f t="shared" si="72"/>
        <v>0</v>
      </c>
      <c r="M676" s="1" t="b">
        <f t="shared" si="73"/>
        <v>0</v>
      </c>
      <c r="N676" s="1" t="b">
        <f t="shared" si="74"/>
        <v>0</v>
      </c>
      <c r="O676" s="1" t="b">
        <f t="shared" si="75"/>
        <v>0</v>
      </c>
      <c r="P676" s="1" t="b">
        <f t="shared" si="76"/>
        <v>0</v>
      </c>
    </row>
    <row r="677" spans="1:16" x14ac:dyDescent="0.2">
      <c r="A677">
        <v>4229821</v>
      </c>
      <c r="B677" t="s">
        <v>1348</v>
      </c>
      <c r="C677" t="s">
        <v>720</v>
      </c>
      <c r="D677" t="s">
        <v>139</v>
      </c>
      <c r="E677" s="1">
        <v>44569</v>
      </c>
      <c r="F677" t="s">
        <v>1349</v>
      </c>
      <c r="G677" s="1">
        <v>44590</v>
      </c>
      <c r="H677" s="1">
        <v>44595</v>
      </c>
      <c r="I677" t="s">
        <v>43</v>
      </c>
      <c r="J677" s="1" t="b">
        <f t="shared" si="70"/>
        <v>1</v>
      </c>
      <c r="K677" s="1" t="b">
        <f t="shared" si="71"/>
        <v>0</v>
      </c>
      <c r="L677" s="1" t="b">
        <f t="shared" si="72"/>
        <v>0</v>
      </c>
      <c r="M677" s="1" t="b">
        <f t="shared" si="73"/>
        <v>0</v>
      </c>
      <c r="N677" s="1" t="b">
        <f t="shared" si="74"/>
        <v>0</v>
      </c>
      <c r="O677" s="1" t="b">
        <f t="shared" si="75"/>
        <v>1</v>
      </c>
      <c r="P677" s="1" t="b">
        <f t="shared" si="76"/>
        <v>0</v>
      </c>
    </row>
    <row r="678" spans="1:16" x14ac:dyDescent="0.2">
      <c r="A678">
        <v>4536326</v>
      </c>
      <c r="B678" t="s">
        <v>1350</v>
      </c>
      <c r="C678" t="s">
        <v>167</v>
      </c>
      <c r="D678" t="s">
        <v>19</v>
      </c>
      <c r="E678" s="1">
        <v>45007</v>
      </c>
      <c r="F678" t="s">
        <v>1351</v>
      </c>
      <c r="G678" s="1">
        <v>45028</v>
      </c>
      <c r="H678" s="1">
        <v>45081</v>
      </c>
      <c r="I678" t="s">
        <v>43</v>
      </c>
      <c r="J678" s="1" t="b">
        <f t="shared" si="70"/>
        <v>1</v>
      </c>
      <c r="K678" s="1" t="b">
        <f t="shared" si="71"/>
        <v>0</v>
      </c>
      <c r="L678" s="1" t="b">
        <f t="shared" si="72"/>
        <v>0</v>
      </c>
      <c r="M678" s="1" t="b">
        <f t="shared" si="73"/>
        <v>0</v>
      </c>
      <c r="N678" s="1" t="b">
        <f t="shared" si="74"/>
        <v>0</v>
      </c>
      <c r="O678" s="1" t="b">
        <f t="shared" si="75"/>
        <v>1</v>
      </c>
      <c r="P678" s="1" t="b">
        <f t="shared" si="76"/>
        <v>0</v>
      </c>
    </row>
    <row r="679" spans="1:16" x14ac:dyDescent="0.2">
      <c r="A679">
        <v>4536326</v>
      </c>
      <c r="B679" t="s">
        <v>1352</v>
      </c>
      <c r="C679" t="s">
        <v>167</v>
      </c>
      <c r="D679" t="s">
        <v>19</v>
      </c>
      <c r="E679" s="1">
        <v>44901</v>
      </c>
      <c r="F679" t="s">
        <v>1353</v>
      </c>
      <c r="G679" s="1">
        <v>44903</v>
      </c>
      <c r="H679" s="1">
        <v>44909</v>
      </c>
      <c r="I679" t="s">
        <v>43</v>
      </c>
      <c r="J679" s="1" t="b">
        <f t="shared" si="70"/>
        <v>1</v>
      </c>
      <c r="K679" s="1" t="b">
        <f t="shared" si="71"/>
        <v>0</v>
      </c>
      <c r="L679" s="1" t="b">
        <f t="shared" si="72"/>
        <v>0</v>
      </c>
      <c r="M679" s="1" t="b">
        <f t="shared" si="73"/>
        <v>0</v>
      </c>
      <c r="N679" s="1" t="b">
        <f t="shared" si="74"/>
        <v>0</v>
      </c>
      <c r="O679" s="1" t="b">
        <f t="shared" si="75"/>
        <v>1</v>
      </c>
      <c r="P679" s="1" t="b">
        <f t="shared" si="76"/>
        <v>0</v>
      </c>
    </row>
    <row r="680" spans="1:16" x14ac:dyDescent="0.2">
      <c r="A680">
        <v>4536326</v>
      </c>
      <c r="B680" t="s">
        <v>1354</v>
      </c>
      <c r="C680" t="s">
        <v>167</v>
      </c>
      <c r="D680" t="s">
        <v>19</v>
      </c>
      <c r="E680" s="1">
        <v>44819</v>
      </c>
      <c r="F680" t="s">
        <v>1355</v>
      </c>
      <c r="G680" s="1">
        <v>44837</v>
      </c>
      <c r="I680" t="s">
        <v>13</v>
      </c>
      <c r="J680" s="1" t="b">
        <f t="shared" si="70"/>
        <v>0</v>
      </c>
      <c r="K680" s="1" t="b">
        <f t="shared" si="71"/>
        <v>1</v>
      </c>
      <c r="L680" s="1" t="b">
        <f t="shared" si="72"/>
        <v>0</v>
      </c>
      <c r="M680" s="1" t="b">
        <f t="shared" si="73"/>
        <v>0</v>
      </c>
      <c r="N680" s="1" t="b">
        <f t="shared" si="74"/>
        <v>0</v>
      </c>
      <c r="O680" s="1" t="b">
        <f t="shared" si="75"/>
        <v>0</v>
      </c>
      <c r="P680" s="1" t="b">
        <f t="shared" si="76"/>
        <v>0</v>
      </c>
    </row>
    <row r="681" spans="1:16" x14ac:dyDescent="0.2">
      <c r="A681">
        <v>4536326</v>
      </c>
      <c r="B681" t="s">
        <v>1356</v>
      </c>
      <c r="C681" t="s">
        <v>167</v>
      </c>
      <c r="D681" t="s">
        <v>19</v>
      </c>
      <c r="E681" s="1">
        <v>44826</v>
      </c>
      <c r="F681" t="s">
        <v>750</v>
      </c>
      <c r="G681" s="1">
        <v>44840</v>
      </c>
      <c r="I681" t="s">
        <v>13</v>
      </c>
      <c r="J681" s="1" t="b">
        <f t="shared" si="70"/>
        <v>0</v>
      </c>
      <c r="K681" s="1" t="b">
        <f t="shared" si="71"/>
        <v>1</v>
      </c>
      <c r="L681" s="1" t="b">
        <f t="shared" si="72"/>
        <v>0</v>
      </c>
      <c r="M681" s="1" t="b">
        <f t="shared" si="73"/>
        <v>0</v>
      </c>
      <c r="N681" s="1" t="b">
        <f t="shared" si="74"/>
        <v>0</v>
      </c>
      <c r="O681" s="1" t="b">
        <f t="shared" si="75"/>
        <v>0</v>
      </c>
      <c r="P681" s="1" t="b">
        <f t="shared" si="76"/>
        <v>0</v>
      </c>
    </row>
    <row r="682" spans="1:16" x14ac:dyDescent="0.2">
      <c r="A682">
        <v>7510106</v>
      </c>
      <c r="B682" t="s">
        <v>1357</v>
      </c>
      <c r="C682" t="s">
        <v>287</v>
      </c>
      <c r="D682" t="s">
        <v>60</v>
      </c>
      <c r="E682" s="1">
        <v>44683</v>
      </c>
      <c r="F682" t="s">
        <v>1358</v>
      </c>
      <c r="G682" s="1">
        <v>44701</v>
      </c>
      <c r="I682" t="s">
        <v>25</v>
      </c>
      <c r="J682" s="1" t="b">
        <f t="shared" si="70"/>
        <v>0</v>
      </c>
      <c r="K682" s="1" t="b">
        <f t="shared" si="71"/>
        <v>0</v>
      </c>
      <c r="L682" s="1" t="b">
        <f t="shared" si="72"/>
        <v>1</v>
      </c>
      <c r="M682" s="1" t="b">
        <f t="shared" si="73"/>
        <v>0</v>
      </c>
      <c r="N682" s="1" t="b">
        <f t="shared" si="74"/>
        <v>0</v>
      </c>
      <c r="O682" s="1" t="b">
        <f t="shared" si="75"/>
        <v>0</v>
      </c>
      <c r="P682" s="1" t="b">
        <f t="shared" si="76"/>
        <v>0</v>
      </c>
    </row>
    <row r="683" spans="1:16" x14ac:dyDescent="0.2">
      <c r="A683">
        <v>7510106</v>
      </c>
      <c r="B683" t="s">
        <v>1359</v>
      </c>
      <c r="C683" t="s">
        <v>287</v>
      </c>
      <c r="D683" t="s">
        <v>60</v>
      </c>
      <c r="E683" s="1">
        <v>44870</v>
      </c>
      <c r="F683" t="s">
        <v>1360</v>
      </c>
      <c r="G683" s="1">
        <v>44890</v>
      </c>
      <c r="I683" t="s">
        <v>13</v>
      </c>
      <c r="J683" s="1" t="b">
        <f t="shared" si="70"/>
        <v>0</v>
      </c>
      <c r="K683" s="1" t="b">
        <f t="shared" si="71"/>
        <v>1</v>
      </c>
      <c r="L683" s="1" t="b">
        <f t="shared" si="72"/>
        <v>0</v>
      </c>
      <c r="M683" s="1" t="b">
        <f t="shared" si="73"/>
        <v>0</v>
      </c>
      <c r="N683" s="1" t="b">
        <f t="shared" si="74"/>
        <v>0</v>
      </c>
      <c r="O683" s="1" t="b">
        <f t="shared" si="75"/>
        <v>0</v>
      </c>
      <c r="P683" s="1" t="b">
        <f t="shared" si="76"/>
        <v>0</v>
      </c>
    </row>
    <row r="684" spans="1:16" x14ac:dyDescent="0.2">
      <c r="A684">
        <v>7510106</v>
      </c>
      <c r="B684" t="s">
        <v>1361</v>
      </c>
      <c r="C684" t="s">
        <v>287</v>
      </c>
      <c r="D684" t="s">
        <v>60</v>
      </c>
      <c r="E684" s="1">
        <v>44608</v>
      </c>
      <c r="F684" t="s">
        <v>1362</v>
      </c>
      <c r="G684" s="1">
        <v>44631</v>
      </c>
      <c r="H684" s="1">
        <v>44686</v>
      </c>
      <c r="I684" t="s">
        <v>16</v>
      </c>
      <c r="J684" s="1" t="b">
        <f t="shared" si="70"/>
        <v>1</v>
      </c>
      <c r="K684" s="1" t="b">
        <f t="shared" si="71"/>
        <v>0</v>
      </c>
      <c r="L684" s="1" t="b">
        <f t="shared" si="72"/>
        <v>0</v>
      </c>
      <c r="M684" s="1" t="b">
        <f t="shared" si="73"/>
        <v>0</v>
      </c>
      <c r="N684" s="1" t="b">
        <f t="shared" si="74"/>
        <v>1</v>
      </c>
      <c r="O684" s="1" t="b">
        <f t="shared" si="75"/>
        <v>0</v>
      </c>
      <c r="P684" s="1" t="b">
        <f t="shared" si="76"/>
        <v>0</v>
      </c>
    </row>
    <row r="685" spans="1:16" x14ac:dyDescent="0.2">
      <c r="A685">
        <v>7510106</v>
      </c>
      <c r="B685" t="s">
        <v>1363</v>
      </c>
      <c r="C685" t="s">
        <v>287</v>
      </c>
      <c r="D685" t="s">
        <v>60</v>
      </c>
      <c r="E685" s="1">
        <v>44670</v>
      </c>
      <c r="F685" t="s">
        <v>1292</v>
      </c>
      <c r="G685" s="1">
        <v>44680</v>
      </c>
      <c r="I685" t="s">
        <v>13</v>
      </c>
      <c r="J685" s="1" t="b">
        <f t="shared" si="70"/>
        <v>0</v>
      </c>
      <c r="K685" s="1" t="b">
        <f t="shared" si="71"/>
        <v>1</v>
      </c>
      <c r="L685" s="1" t="b">
        <f t="shared" si="72"/>
        <v>0</v>
      </c>
      <c r="M685" s="1" t="b">
        <f t="shared" si="73"/>
        <v>0</v>
      </c>
      <c r="N685" s="1" t="b">
        <f t="shared" si="74"/>
        <v>0</v>
      </c>
      <c r="O685" s="1" t="b">
        <f t="shared" si="75"/>
        <v>0</v>
      </c>
      <c r="P685" s="1" t="b">
        <f t="shared" si="76"/>
        <v>0</v>
      </c>
    </row>
    <row r="686" spans="1:16" x14ac:dyDescent="0.2">
      <c r="A686">
        <v>2451316</v>
      </c>
      <c r="B686" t="s">
        <v>1364</v>
      </c>
      <c r="C686" t="s">
        <v>110</v>
      </c>
      <c r="D686" t="s">
        <v>77</v>
      </c>
      <c r="E686" s="1">
        <v>45047</v>
      </c>
      <c r="F686" t="s">
        <v>1365</v>
      </c>
      <c r="G686" s="1">
        <v>45053</v>
      </c>
      <c r="I686" t="s">
        <v>25</v>
      </c>
      <c r="J686" s="1" t="b">
        <f t="shared" si="70"/>
        <v>0</v>
      </c>
      <c r="K686" s="1" t="b">
        <f t="shared" si="71"/>
        <v>0</v>
      </c>
      <c r="L686" s="1" t="b">
        <f t="shared" si="72"/>
        <v>1</v>
      </c>
      <c r="M686" s="1" t="b">
        <f t="shared" si="73"/>
        <v>0</v>
      </c>
      <c r="N686" s="1" t="b">
        <f t="shared" si="74"/>
        <v>0</v>
      </c>
      <c r="O686" s="1" t="b">
        <f t="shared" si="75"/>
        <v>0</v>
      </c>
      <c r="P686" s="1" t="b">
        <f t="shared" si="76"/>
        <v>0</v>
      </c>
    </row>
    <row r="687" spans="1:16" x14ac:dyDescent="0.2">
      <c r="A687">
        <v>2451316</v>
      </c>
      <c r="B687" t="s">
        <v>1366</v>
      </c>
      <c r="C687" t="s">
        <v>110</v>
      </c>
      <c r="D687" t="s">
        <v>77</v>
      </c>
      <c r="E687" s="1">
        <v>44864</v>
      </c>
      <c r="F687" t="s">
        <v>1367</v>
      </c>
      <c r="G687" s="1">
        <v>44885</v>
      </c>
      <c r="H687" s="1">
        <v>44895</v>
      </c>
      <c r="I687" t="s">
        <v>43</v>
      </c>
      <c r="J687" s="1" t="b">
        <f t="shared" si="70"/>
        <v>1</v>
      </c>
      <c r="K687" s="1" t="b">
        <f t="shared" si="71"/>
        <v>0</v>
      </c>
      <c r="L687" s="1" t="b">
        <f t="shared" si="72"/>
        <v>0</v>
      </c>
      <c r="M687" s="1" t="b">
        <f t="shared" si="73"/>
        <v>0</v>
      </c>
      <c r="N687" s="1" t="b">
        <f t="shared" si="74"/>
        <v>0</v>
      </c>
      <c r="O687" s="1" t="b">
        <f t="shared" si="75"/>
        <v>1</v>
      </c>
      <c r="P687" s="1" t="b">
        <f t="shared" si="76"/>
        <v>0</v>
      </c>
    </row>
    <row r="688" spans="1:16" x14ac:dyDescent="0.2">
      <c r="A688">
        <v>2451316</v>
      </c>
      <c r="B688" t="s">
        <v>1368</v>
      </c>
      <c r="C688" t="s">
        <v>110</v>
      </c>
      <c r="D688" t="s">
        <v>77</v>
      </c>
      <c r="E688" s="1">
        <v>44944</v>
      </c>
      <c r="F688" t="s">
        <v>50</v>
      </c>
      <c r="G688" s="1">
        <v>44945</v>
      </c>
      <c r="I688" t="s">
        <v>25</v>
      </c>
      <c r="J688" s="1" t="b">
        <f t="shared" si="70"/>
        <v>0</v>
      </c>
      <c r="K688" s="1" t="b">
        <f t="shared" si="71"/>
        <v>0</v>
      </c>
      <c r="L688" s="1" t="b">
        <f t="shared" si="72"/>
        <v>1</v>
      </c>
      <c r="M688" s="1" t="b">
        <f t="shared" si="73"/>
        <v>0</v>
      </c>
      <c r="N688" s="1" t="b">
        <f t="shared" si="74"/>
        <v>0</v>
      </c>
      <c r="O688" s="1" t="b">
        <f t="shared" si="75"/>
        <v>0</v>
      </c>
      <c r="P688" s="1" t="b">
        <f t="shared" si="76"/>
        <v>0</v>
      </c>
    </row>
    <row r="689" spans="1:16" x14ac:dyDescent="0.2">
      <c r="A689">
        <v>2451316</v>
      </c>
      <c r="B689" t="s">
        <v>1369</v>
      </c>
      <c r="C689" t="s">
        <v>110</v>
      </c>
      <c r="D689" t="s">
        <v>77</v>
      </c>
      <c r="E689" s="1">
        <v>44567</v>
      </c>
      <c r="F689" t="s">
        <v>1049</v>
      </c>
      <c r="G689" s="1">
        <v>44586</v>
      </c>
      <c r="H689" s="1">
        <v>44625</v>
      </c>
      <c r="I689" t="s">
        <v>43</v>
      </c>
      <c r="J689" s="1" t="b">
        <f t="shared" si="70"/>
        <v>1</v>
      </c>
      <c r="K689" s="1" t="b">
        <f t="shared" si="71"/>
        <v>0</v>
      </c>
      <c r="L689" s="1" t="b">
        <f t="shared" si="72"/>
        <v>0</v>
      </c>
      <c r="M689" s="1" t="b">
        <f t="shared" si="73"/>
        <v>0</v>
      </c>
      <c r="N689" s="1" t="b">
        <f t="shared" si="74"/>
        <v>0</v>
      </c>
      <c r="O689" s="1" t="b">
        <f t="shared" si="75"/>
        <v>1</v>
      </c>
      <c r="P689" s="1" t="b">
        <f t="shared" si="76"/>
        <v>0</v>
      </c>
    </row>
    <row r="690" spans="1:16" x14ac:dyDescent="0.2">
      <c r="A690">
        <v>7611593</v>
      </c>
      <c r="B690" t="s">
        <v>1370</v>
      </c>
      <c r="C690" t="s">
        <v>18</v>
      </c>
      <c r="D690" t="s">
        <v>139</v>
      </c>
      <c r="E690" s="1">
        <v>44914</v>
      </c>
      <c r="F690" t="s">
        <v>1371</v>
      </c>
      <c r="G690" s="1">
        <v>44921</v>
      </c>
      <c r="I690" t="s">
        <v>25</v>
      </c>
      <c r="J690" s="1" t="b">
        <f t="shared" si="70"/>
        <v>0</v>
      </c>
      <c r="K690" s="1" t="b">
        <f t="shared" si="71"/>
        <v>0</v>
      </c>
      <c r="L690" s="1" t="b">
        <f t="shared" si="72"/>
        <v>1</v>
      </c>
      <c r="M690" s="1" t="b">
        <f t="shared" si="73"/>
        <v>0</v>
      </c>
      <c r="N690" s="1" t="b">
        <f t="shared" si="74"/>
        <v>0</v>
      </c>
      <c r="O690" s="1" t="b">
        <f t="shared" si="75"/>
        <v>0</v>
      </c>
      <c r="P690" s="1" t="b">
        <f t="shared" si="76"/>
        <v>0</v>
      </c>
    </row>
    <row r="691" spans="1:16" x14ac:dyDescent="0.2">
      <c r="A691">
        <v>7923193</v>
      </c>
      <c r="B691" t="s">
        <v>1372</v>
      </c>
      <c r="C691" t="s">
        <v>131</v>
      </c>
      <c r="D691" t="s">
        <v>139</v>
      </c>
      <c r="E691" s="1">
        <v>44820</v>
      </c>
      <c r="F691" t="s">
        <v>1373</v>
      </c>
      <c r="G691" s="1">
        <v>44827</v>
      </c>
      <c r="I691" t="s">
        <v>13</v>
      </c>
      <c r="J691" s="1" t="b">
        <f t="shared" si="70"/>
        <v>0</v>
      </c>
      <c r="K691" s="1" t="b">
        <f t="shared" si="71"/>
        <v>1</v>
      </c>
      <c r="L691" s="1" t="b">
        <f t="shared" si="72"/>
        <v>0</v>
      </c>
      <c r="M691" s="1" t="b">
        <f t="shared" si="73"/>
        <v>0</v>
      </c>
      <c r="N691" s="1" t="b">
        <f t="shared" si="74"/>
        <v>0</v>
      </c>
      <c r="O691" s="1" t="b">
        <f t="shared" si="75"/>
        <v>0</v>
      </c>
      <c r="P691" s="1" t="b">
        <f t="shared" si="76"/>
        <v>0</v>
      </c>
    </row>
    <row r="692" spans="1:16" x14ac:dyDescent="0.2">
      <c r="A692">
        <v>7923193</v>
      </c>
      <c r="B692" t="s">
        <v>1374</v>
      </c>
      <c r="C692" t="s">
        <v>131</v>
      </c>
      <c r="D692" t="s">
        <v>139</v>
      </c>
      <c r="E692" s="1">
        <v>44617</v>
      </c>
      <c r="F692" t="s">
        <v>1375</v>
      </c>
      <c r="G692" s="1">
        <v>44645</v>
      </c>
      <c r="I692" t="s">
        <v>13</v>
      </c>
      <c r="J692" s="1" t="b">
        <f t="shared" si="70"/>
        <v>0</v>
      </c>
      <c r="K692" s="1" t="b">
        <f t="shared" si="71"/>
        <v>1</v>
      </c>
      <c r="L692" s="1" t="b">
        <f t="shared" si="72"/>
        <v>0</v>
      </c>
      <c r="M692" s="1" t="b">
        <f t="shared" si="73"/>
        <v>0</v>
      </c>
      <c r="N692" s="1" t="b">
        <f t="shared" si="74"/>
        <v>0</v>
      </c>
      <c r="O692" s="1" t="b">
        <f t="shared" si="75"/>
        <v>0</v>
      </c>
      <c r="P692" s="1" t="b">
        <f t="shared" si="76"/>
        <v>0</v>
      </c>
    </row>
    <row r="693" spans="1:16" x14ac:dyDescent="0.2">
      <c r="A693">
        <v>8738745</v>
      </c>
      <c r="B693" t="s">
        <v>1376</v>
      </c>
      <c r="C693" t="s">
        <v>265</v>
      </c>
      <c r="D693" t="s">
        <v>139</v>
      </c>
      <c r="E693" s="1">
        <v>44662</v>
      </c>
      <c r="F693" t="s">
        <v>1377</v>
      </c>
      <c r="G693" s="1">
        <v>44669</v>
      </c>
      <c r="I693" t="s">
        <v>13</v>
      </c>
      <c r="J693" s="1" t="b">
        <f t="shared" si="70"/>
        <v>0</v>
      </c>
      <c r="K693" s="1" t="b">
        <f t="shared" si="71"/>
        <v>1</v>
      </c>
      <c r="L693" s="1" t="b">
        <f t="shared" si="72"/>
        <v>0</v>
      </c>
      <c r="M693" s="1" t="b">
        <f t="shared" si="73"/>
        <v>0</v>
      </c>
      <c r="N693" s="1" t="b">
        <f t="shared" si="74"/>
        <v>0</v>
      </c>
      <c r="O693" s="1" t="b">
        <f t="shared" si="75"/>
        <v>0</v>
      </c>
      <c r="P693" s="1" t="b">
        <f t="shared" si="76"/>
        <v>0</v>
      </c>
    </row>
    <row r="694" spans="1:16" x14ac:dyDescent="0.2">
      <c r="A694">
        <v>9173698</v>
      </c>
      <c r="B694" t="s">
        <v>1378</v>
      </c>
      <c r="C694" t="s">
        <v>720</v>
      </c>
      <c r="D694" t="s">
        <v>39</v>
      </c>
      <c r="E694" s="1">
        <v>44633</v>
      </c>
      <c r="F694" t="s">
        <v>1379</v>
      </c>
      <c r="G694" s="1">
        <v>44662</v>
      </c>
      <c r="H694" s="1">
        <v>44675</v>
      </c>
      <c r="I694" t="s">
        <v>43</v>
      </c>
      <c r="J694" s="1" t="b">
        <f t="shared" si="70"/>
        <v>1</v>
      </c>
      <c r="K694" s="1" t="b">
        <f t="shared" si="71"/>
        <v>0</v>
      </c>
      <c r="L694" s="1" t="b">
        <f t="shared" si="72"/>
        <v>0</v>
      </c>
      <c r="M694" s="1" t="b">
        <f t="shared" si="73"/>
        <v>0</v>
      </c>
      <c r="N694" s="1" t="b">
        <f t="shared" si="74"/>
        <v>0</v>
      </c>
      <c r="O694" s="1" t="b">
        <f t="shared" si="75"/>
        <v>1</v>
      </c>
      <c r="P694" s="1" t="b">
        <f t="shared" si="76"/>
        <v>0</v>
      </c>
    </row>
    <row r="695" spans="1:16" x14ac:dyDescent="0.2">
      <c r="A695">
        <v>9173698</v>
      </c>
      <c r="B695" t="s">
        <v>1380</v>
      </c>
      <c r="C695" t="s">
        <v>720</v>
      </c>
      <c r="D695" t="s">
        <v>39</v>
      </c>
      <c r="E695" s="1">
        <v>44875</v>
      </c>
      <c r="F695" t="s">
        <v>351</v>
      </c>
      <c r="G695" s="1">
        <v>44898</v>
      </c>
      <c r="H695" s="1">
        <v>44936</v>
      </c>
      <c r="J695" s="1" t="b">
        <f t="shared" si="70"/>
        <v>1</v>
      </c>
      <c r="K695" s="1" t="b">
        <f t="shared" si="71"/>
        <v>0</v>
      </c>
      <c r="L695" s="1" t="b">
        <f t="shared" si="72"/>
        <v>0</v>
      </c>
      <c r="M695" s="1" t="b">
        <f t="shared" si="73"/>
        <v>0</v>
      </c>
      <c r="N695" s="1" t="b">
        <f t="shared" si="74"/>
        <v>0</v>
      </c>
      <c r="O695" s="1" t="b">
        <f t="shared" si="75"/>
        <v>0</v>
      </c>
      <c r="P695" s="1" t="b">
        <f t="shared" si="76"/>
        <v>0</v>
      </c>
    </row>
    <row r="696" spans="1:16" x14ac:dyDescent="0.2">
      <c r="A696">
        <v>3556763</v>
      </c>
      <c r="B696" t="s">
        <v>1381</v>
      </c>
      <c r="C696" t="s">
        <v>32</v>
      </c>
      <c r="D696" t="s">
        <v>81</v>
      </c>
      <c r="E696" s="1">
        <v>44882</v>
      </c>
      <c r="F696" t="s">
        <v>1382</v>
      </c>
      <c r="G696" s="1">
        <v>44890</v>
      </c>
      <c r="H696" s="1">
        <v>44941</v>
      </c>
      <c r="J696" s="1" t="b">
        <f t="shared" si="70"/>
        <v>1</v>
      </c>
      <c r="K696" s="1" t="b">
        <f t="shared" si="71"/>
        <v>0</v>
      </c>
      <c r="L696" s="1" t="b">
        <f t="shared" si="72"/>
        <v>0</v>
      </c>
      <c r="M696" s="1" t="b">
        <f t="shared" si="73"/>
        <v>0</v>
      </c>
      <c r="N696" s="1" t="b">
        <f t="shared" si="74"/>
        <v>0</v>
      </c>
      <c r="O696" s="1" t="b">
        <f t="shared" si="75"/>
        <v>0</v>
      </c>
      <c r="P696" s="1" t="b">
        <f t="shared" si="76"/>
        <v>0</v>
      </c>
    </row>
    <row r="697" spans="1:16" x14ac:dyDescent="0.2">
      <c r="A697">
        <v>3556763</v>
      </c>
      <c r="B697" t="s">
        <v>1383</v>
      </c>
      <c r="C697" t="s">
        <v>32</v>
      </c>
      <c r="D697" t="s">
        <v>81</v>
      </c>
      <c r="E697" s="1">
        <v>45008</v>
      </c>
      <c r="F697" t="s">
        <v>1384</v>
      </c>
      <c r="G697" s="1">
        <v>45017</v>
      </c>
      <c r="I697" t="s">
        <v>25</v>
      </c>
      <c r="J697" s="1" t="b">
        <f t="shared" si="70"/>
        <v>0</v>
      </c>
      <c r="K697" s="1" t="b">
        <f t="shared" si="71"/>
        <v>0</v>
      </c>
      <c r="L697" s="1" t="b">
        <f t="shared" si="72"/>
        <v>1</v>
      </c>
      <c r="M697" s="1" t="b">
        <f t="shared" si="73"/>
        <v>0</v>
      </c>
      <c r="N697" s="1" t="b">
        <f t="shared" si="74"/>
        <v>0</v>
      </c>
      <c r="O697" s="1" t="b">
        <f t="shared" si="75"/>
        <v>0</v>
      </c>
      <c r="P697" s="1" t="b">
        <f t="shared" si="76"/>
        <v>0</v>
      </c>
    </row>
    <row r="698" spans="1:16" x14ac:dyDescent="0.2">
      <c r="A698">
        <v>3556763</v>
      </c>
      <c r="B698" t="s">
        <v>1385</v>
      </c>
      <c r="C698" t="s">
        <v>32</v>
      </c>
      <c r="D698" t="s">
        <v>81</v>
      </c>
      <c r="E698" s="1">
        <v>44901</v>
      </c>
      <c r="F698" t="s">
        <v>1386</v>
      </c>
      <c r="G698" s="1">
        <v>44930</v>
      </c>
      <c r="H698" s="1">
        <v>44961</v>
      </c>
      <c r="I698" t="s">
        <v>43</v>
      </c>
      <c r="J698" s="1" t="b">
        <f t="shared" si="70"/>
        <v>1</v>
      </c>
      <c r="K698" s="1" t="b">
        <f t="shared" si="71"/>
        <v>0</v>
      </c>
      <c r="L698" s="1" t="b">
        <f t="shared" si="72"/>
        <v>0</v>
      </c>
      <c r="M698" s="1" t="b">
        <f t="shared" si="73"/>
        <v>0</v>
      </c>
      <c r="N698" s="1" t="b">
        <f t="shared" si="74"/>
        <v>0</v>
      </c>
      <c r="O698" s="1" t="b">
        <f t="shared" si="75"/>
        <v>1</v>
      </c>
      <c r="P698" s="1" t="b">
        <f t="shared" si="76"/>
        <v>0</v>
      </c>
    </row>
    <row r="699" spans="1:16" x14ac:dyDescent="0.2">
      <c r="A699">
        <v>8765307</v>
      </c>
      <c r="B699" t="s">
        <v>1387</v>
      </c>
      <c r="C699" t="s">
        <v>287</v>
      </c>
      <c r="D699" t="s">
        <v>39</v>
      </c>
      <c r="E699" s="1">
        <v>44645</v>
      </c>
      <c r="F699" t="s">
        <v>1388</v>
      </c>
      <c r="G699" s="1">
        <v>44672</v>
      </c>
      <c r="H699" s="1">
        <v>44690</v>
      </c>
      <c r="I699" t="s">
        <v>16</v>
      </c>
      <c r="J699" s="1" t="b">
        <f t="shared" si="70"/>
        <v>1</v>
      </c>
      <c r="K699" s="1" t="b">
        <f t="shared" si="71"/>
        <v>0</v>
      </c>
      <c r="L699" s="1" t="b">
        <f t="shared" si="72"/>
        <v>0</v>
      </c>
      <c r="M699" s="1" t="b">
        <f t="shared" si="73"/>
        <v>0</v>
      </c>
      <c r="N699" s="1" t="b">
        <f t="shared" si="74"/>
        <v>1</v>
      </c>
      <c r="O699" s="1" t="b">
        <f t="shared" si="75"/>
        <v>0</v>
      </c>
      <c r="P699" s="1" t="b">
        <f t="shared" si="76"/>
        <v>0</v>
      </c>
    </row>
    <row r="700" spans="1:16" x14ac:dyDescent="0.2">
      <c r="A700">
        <v>8765307</v>
      </c>
      <c r="B700" t="s">
        <v>1389</v>
      </c>
      <c r="C700" t="s">
        <v>287</v>
      </c>
      <c r="D700" t="s">
        <v>39</v>
      </c>
      <c r="E700" s="1">
        <v>44763</v>
      </c>
      <c r="F700" t="s">
        <v>817</v>
      </c>
      <c r="G700" s="1">
        <v>44772</v>
      </c>
      <c r="H700" s="1">
        <v>44819</v>
      </c>
      <c r="I700" t="s">
        <v>43</v>
      </c>
      <c r="J700" s="1" t="b">
        <f t="shared" si="70"/>
        <v>1</v>
      </c>
      <c r="K700" s="1" t="b">
        <f t="shared" si="71"/>
        <v>0</v>
      </c>
      <c r="L700" s="1" t="b">
        <f t="shared" si="72"/>
        <v>0</v>
      </c>
      <c r="M700" s="1" t="b">
        <f t="shared" si="73"/>
        <v>0</v>
      </c>
      <c r="N700" s="1" t="b">
        <f t="shared" si="74"/>
        <v>0</v>
      </c>
      <c r="O700" s="1" t="b">
        <f t="shared" si="75"/>
        <v>1</v>
      </c>
      <c r="P700" s="1" t="b">
        <f t="shared" si="76"/>
        <v>0</v>
      </c>
    </row>
    <row r="701" spans="1:16" x14ac:dyDescent="0.2">
      <c r="A701">
        <v>8765307</v>
      </c>
      <c r="B701" t="s">
        <v>1390</v>
      </c>
      <c r="C701" t="s">
        <v>287</v>
      </c>
      <c r="D701" t="s">
        <v>39</v>
      </c>
      <c r="E701" s="1">
        <v>44581</v>
      </c>
      <c r="F701" t="s">
        <v>1391</v>
      </c>
      <c r="G701" s="1">
        <v>44609</v>
      </c>
      <c r="H701" s="1">
        <v>44642</v>
      </c>
      <c r="I701" t="s">
        <v>16</v>
      </c>
      <c r="J701" s="1" t="b">
        <f t="shared" si="70"/>
        <v>1</v>
      </c>
      <c r="K701" s="1" t="b">
        <f t="shared" si="71"/>
        <v>0</v>
      </c>
      <c r="L701" s="1" t="b">
        <f t="shared" si="72"/>
        <v>0</v>
      </c>
      <c r="M701" s="1" t="b">
        <f t="shared" si="73"/>
        <v>0</v>
      </c>
      <c r="N701" s="1" t="b">
        <f t="shared" si="74"/>
        <v>1</v>
      </c>
      <c r="O701" s="1" t="b">
        <f t="shared" si="75"/>
        <v>0</v>
      </c>
      <c r="P701" s="1" t="b">
        <f t="shared" si="76"/>
        <v>0</v>
      </c>
    </row>
    <row r="702" spans="1:16" x14ac:dyDescent="0.2">
      <c r="A702">
        <v>1523352</v>
      </c>
      <c r="B702" t="s">
        <v>1392</v>
      </c>
      <c r="C702" t="s">
        <v>150</v>
      </c>
      <c r="D702" t="s">
        <v>81</v>
      </c>
      <c r="E702" s="1">
        <v>44828</v>
      </c>
      <c r="F702" t="s">
        <v>1393</v>
      </c>
      <c r="G702" s="1">
        <v>44846</v>
      </c>
      <c r="H702" s="1">
        <v>44904</v>
      </c>
      <c r="I702" t="s">
        <v>43</v>
      </c>
      <c r="J702" s="1" t="b">
        <f t="shared" si="70"/>
        <v>1</v>
      </c>
      <c r="K702" s="1" t="b">
        <f t="shared" si="71"/>
        <v>0</v>
      </c>
      <c r="L702" s="1" t="b">
        <f t="shared" si="72"/>
        <v>0</v>
      </c>
      <c r="M702" s="1" t="b">
        <f t="shared" si="73"/>
        <v>0</v>
      </c>
      <c r="N702" s="1" t="b">
        <f t="shared" si="74"/>
        <v>0</v>
      </c>
      <c r="O702" s="1" t="b">
        <f t="shared" si="75"/>
        <v>1</v>
      </c>
      <c r="P702" s="1" t="b">
        <f t="shared" si="76"/>
        <v>0</v>
      </c>
    </row>
    <row r="703" spans="1:16" x14ac:dyDescent="0.2">
      <c r="A703">
        <v>1523352</v>
      </c>
      <c r="B703" t="s">
        <v>1394</v>
      </c>
      <c r="C703" t="s">
        <v>150</v>
      </c>
      <c r="D703" t="s">
        <v>81</v>
      </c>
      <c r="E703" s="1">
        <v>44714</v>
      </c>
      <c r="F703" t="s">
        <v>1395</v>
      </c>
      <c r="G703" s="1">
        <v>44726</v>
      </c>
      <c r="H703" s="1">
        <v>44752</v>
      </c>
      <c r="J703" s="1" t="b">
        <f t="shared" si="70"/>
        <v>1</v>
      </c>
      <c r="K703" s="1" t="b">
        <f t="shared" si="71"/>
        <v>0</v>
      </c>
      <c r="L703" s="1" t="b">
        <f t="shared" si="72"/>
        <v>0</v>
      </c>
      <c r="M703" s="1" t="b">
        <f t="shared" si="73"/>
        <v>0</v>
      </c>
      <c r="N703" s="1" t="b">
        <f t="shared" si="74"/>
        <v>0</v>
      </c>
      <c r="O703" s="1" t="b">
        <f t="shared" si="75"/>
        <v>0</v>
      </c>
      <c r="P703" s="1" t="b">
        <f t="shared" si="76"/>
        <v>0</v>
      </c>
    </row>
    <row r="704" spans="1:16" x14ac:dyDescent="0.2">
      <c r="A704">
        <v>1523352</v>
      </c>
      <c r="B704" t="s">
        <v>1396</v>
      </c>
      <c r="C704" t="s">
        <v>150</v>
      </c>
      <c r="D704" t="s">
        <v>81</v>
      </c>
      <c r="E704" s="1">
        <v>44859</v>
      </c>
      <c r="F704" t="s">
        <v>1022</v>
      </c>
      <c r="G704" s="1">
        <v>44864</v>
      </c>
      <c r="I704" t="s">
        <v>25</v>
      </c>
      <c r="J704" s="1" t="b">
        <f t="shared" si="70"/>
        <v>0</v>
      </c>
      <c r="K704" s="1" t="b">
        <f t="shared" si="71"/>
        <v>0</v>
      </c>
      <c r="L704" s="1" t="b">
        <f t="shared" si="72"/>
        <v>1</v>
      </c>
      <c r="M704" s="1" t="b">
        <f t="shared" si="73"/>
        <v>0</v>
      </c>
      <c r="N704" s="1" t="b">
        <f t="shared" si="74"/>
        <v>0</v>
      </c>
      <c r="O704" s="1" t="b">
        <f t="shared" si="75"/>
        <v>0</v>
      </c>
      <c r="P704" s="1" t="b">
        <f t="shared" si="76"/>
        <v>0</v>
      </c>
    </row>
    <row r="705" spans="1:16" x14ac:dyDescent="0.2">
      <c r="A705">
        <v>1523352</v>
      </c>
      <c r="B705" t="s">
        <v>1397</v>
      </c>
      <c r="C705" t="s">
        <v>150</v>
      </c>
      <c r="D705" t="s">
        <v>81</v>
      </c>
      <c r="E705" s="1">
        <v>45076</v>
      </c>
      <c r="F705" t="s">
        <v>1045</v>
      </c>
      <c r="G705" s="1">
        <v>45077</v>
      </c>
      <c r="H705" s="1">
        <v>45120</v>
      </c>
      <c r="I705" t="s">
        <v>16</v>
      </c>
      <c r="J705" s="1" t="b">
        <f t="shared" si="70"/>
        <v>1</v>
      </c>
      <c r="K705" s="1" t="b">
        <f t="shared" si="71"/>
        <v>0</v>
      </c>
      <c r="L705" s="1" t="b">
        <f t="shared" si="72"/>
        <v>0</v>
      </c>
      <c r="M705" s="1" t="b">
        <f t="shared" si="73"/>
        <v>0</v>
      </c>
      <c r="N705" s="1" t="b">
        <f t="shared" si="74"/>
        <v>1</v>
      </c>
      <c r="O705" s="1" t="b">
        <f t="shared" si="75"/>
        <v>0</v>
      </c>
      <c r="P705" s="1" t="b">
        <f t="shared" si="76"/>
        <v>0</v>
      </c>
    </row>
    <row r="706" spans="1:16" x14ac:dyDescent="0.2">
      <c r="A706">
        <v>1523352</v>
      </c>
      <c r="B706" t="s">
        <v>1398</v>
      </c>
      <c r="C706" t="s">
        <v>150</v>
      </c>
      <c r="D706" t="s">
        <v>81</v>
      </c>
      <c r="E706" s="1">
        <v>44731</v>
      </c>
      <c r="F706" t="s">
        <v>1399</v>
      </c>
      <c r="G706" s="1">
        <v>44756</v>
      </c>
      <c r="I706" t="s">
        <v>25</v>
      </c>
      <c r="J706" s="1" t="b">
        <f t="shared" si="70"/>
        <v>0</v>
      </c>
      <c r="K706" s="1" t="b">
        <f t="shared" si="71"/>
        <v>0</v>
      </c>
      <c r="L706" s="1" t="b">
        <f t="shared" si="72"/>
        <v>1</v>
      </c>
      <c r="M706" s="1" t="b">
        <f t="shared" si="73"/>
        <v>0</v>
      </c>
      <c r="N706" s="1" t="b">
        <f t="shared" si="74"/>
        <v>0</v>
      </c>
      <c r="O706" s="1" t="b">
        <f t="shared" si="75"/>
        <v>0</v>
      </c>
      <c r="P706" s="1" t="b">
        <f t="shared" si="76"/>
        <v>0</v>
      </c>
    </row>
    <row r="707" spans="1:16" x14ac:dyDescent="0.2">
      <c r="A707">
        <v>9625782</v>
      </c>
      <c r="B707" t="s">
        <v>1400</v>
      </c>
      <c r="C707" t="s">
        <v>71</v>
      </c>
      <c r="D707" t="s">
        <v>77</v>
      </c>
      <c r="E707" s="1">
        <v>44711</v>
      </c>
      <c r="F707" t="s">
        <v>1401</v>
      </c>
      <c r="G707" s="1">
        <v>44735</v>
      </c>
      <c r="I707" t="s">
        <v>13</v>
      </c>
      <c r="J707" s="1" t="b">
        <f t="shared" ref="J707:J770" si="77">AND(NOT(ISBLANK(H707)), NOT(OR(ISNUMBER(SEARCH("decline", I707)), ISNUMBER(SEARCH("rescind", I707)), ISNUMBER(SEARCH("cancel", I707)))))</f>
        <v>0</v>
      </c>
      <c r="K707" s="1" t="b">
        <f t="shared" ref="K707:K770" si="78">ISNUMBER(SEARCH("decline", I707))</f>
        <v>1</v>
      </c>
      <c r="L707" s="1" t="b">
        <f t="shared" ref="L707:L770" si="79">ISNUMBER(SEARCH("rescind", I707))</f>
        <v>0</v>
      </c>
      <c r="M707" s="1" t="b">
        <f t="shared" ref="M707:M770" si="80">ISNUMBER(SEARCH("cancel", I707))</f>
        <v>0</v>
      </c>
      <c r="N707" s="1" t="b">
        <f t="shared" ref="N707:N770" si="81">ISNUMBER(SEARCH("transfer", I707))</f>
        <v>0</v>
      </c>
      <c r="O707" s="1" t="b">
        <f t="shared" ref="O707:O770" si="82">ISNUMBER(SEARCH("promo", I707))</f>
        <v>0</v>
      </c>
      <c r="P707" s="1" t="b">
        <f t="shared" ref="P707:P770" si="83">ISNUMBER(SEARCH("new", I707))</f>
        <v>0</v>
      </c>
    </row>
    <row r="708" spans="1:16" x14ac:dyDescent="0.2">
      <c r="A708">
        <v>9625782</v>
      </c>
      <c r="B708" t="s">
        <v>1402</v>
      </c>
      <c r="C708" t="s">
        <v>71</v>
      </c>
      <c r="D708" t="s">
        <v>77</v>
      </c>
      <c r="E708" s="1">
        <v>45061</v>
      </c>
      <c r="F708" t="s">
        <v>463</v>
      </c>
      <c r="G708" s="1">
        <v>45069</v>
      </c>
      <c r="H708" s="1">
        <v>45074</v>
      </c>
      <c r="I708" t="s">
        <v>28</v>
      </c>
      <c r="J708" s="1" t="b">
        <f t="shared" si="77"/>
        <v>1</v>
      </c>
      <c r="K708" s="1" t="b">
        <f t="shared" si="78"/>
        <v>0</v>
      </c>
      <c r="L708" s="1" t="b">
        <f t="shared" si="79"/>
        <v>0</v>
      </c>
      <c r="M708" s="1" t="b">
        <f t="shared" si="80"/>
        <v>0</v>
      </c>
      <c r="N708" s="1" t="b">
        <f t="shared" si="81"/>
        <v>0</v>
      </c>
      <c r="O708" s="1" t="b">
        <f t="shared" si="82"/>
        <v>0</v>
      </c>
      <c r="P708" s="1" t="b">
        <f t="shared" si="83"/>
        <v>1</v>
      </c>
    </row>
    <row r="709" spans="1:16" x14ac:dyDescent="0.2">
      <c r="A709">
        <v>5435176</v>
      </c>
      <c r="B709" t="s">
        <v>1403</v>
      </c>
      <c r="C709" t="s">
        <v>542</v>
      </c>
      <c r="D709" t="s">
        <v>19</v>
      </c>
      <c r="E709" s="1">
        <v>45027</v>
      </c>
      <c r="F709" t="s">
        <v>1404</v>
      </c>
      <c r="G709" s="1">
        <v>45056</v>
      </c>
      <c r="H709" s="1">
        <v>45059</v>
      </c>
      <c r="I709" t="s">
        <v>28</v>
      </c>
      <c r="J709" s="1" t="b">
        <f t="shared" si="77"/>
        <v>1</v>
      </c>
      <c r="K709" s="1" t="b">
        <f t="shared" si="78"/>
        <v>0</v>
      </c>
      <c r="L709" s="1" t="b">
        <f t="shared" si="79"/>
        <v>0</v>
      </c>
      <c r="M709" s="1" t="b">
        <f t="shared" si="80"/>
        <v>0</v>
      </c>
      <c r="N709" s="1" t="b">
        <f t="shared" si="81"/>
        <v>0</v>
      </c>
      <c r="O709" s="1" t="b">
        <f t="shared" si="82"/>
        <v>0</v>
      </c>
      <c r="P709" s="1" t="b">
        <f t="shared" si="83"/>
        <v>1</v>
      </c>
    </row>
    <row r="710" spans="1:16" x14ac:dyDescent="0.2">
      <c r="A710">
        <v>1669489</v>
      </c>
      <c r="B710" t="s">
        <v>1405</v>
      </c>
      <c r="C710" t="s">
        <v>265</v>
      </c>
      <c r="D710" t="s">
        <v>39</v>
      </c>
      <c r="E710" s="1">
        <v>44831</v>
      </c>
      <c r="F710" t="s">
        <v>1406</v>
      </c>
      <c r="G710" s="1">
        <v>44850</v>
      </c>
      <c r="H710" s="1">
        <v>44885</v>
      </c>
      <c r="I710" t="s">
        <v>28</v>
      </c>
      <c r="J710" s="1" t="b">
        <f t="shared" si="77"/>
        <v>1</v>
      </c>
      <c r="K710" s="1" t="b">
        <f t="shared" si="78"/>
        <v>0</v>
      </c>
      <c r="L710" s="1" t="b">
        <f t="shared" si="79"/>
        <v>0</v>
      </c>
      <c r="M710" s="1" t="b">
        <f t="shared" si="80"/>
        <v>0</v>
      </c>
      <c r="N710" s="1" t="b">
        <f t="shared" si="81"/>
        <v>0</v>
      </c>
      <c r="O710" s="1" t="b">
        <f t="shared" si="82"/>
        <v>0</v>
      </c>
      <c r="P710" s="1" t="b">
        <f t="shared" si="83"/>
        <v>1</v>
      </c>
    </row>
    <row r="711" spans="1:16" x14ac:dyDescent="0.2">
      <c r="A711">
        <v>3916715</v>
      </c>
      <c r="B711" t="s">
        <v>1407</v>
      </c>
      <c r="C711" t="s">
        <v>59</v>
      </c>
      <c r="D711" t="s">
        <v>60</v>
      </c>
      <c r="E711" s="1">
        <v>44947</v>
      </c>
      <c r="F711" t="s">
        <v>1408</v>
      </c>
      <c r="G711" s="1">
        <v>44977</v>
      </c>
      <c r="H711" s="1">
        <v>44992</v>
      </c>
      <c r="I711" t="s">
        <v>16</v>
      </c>
      <c r="J711" s="1" t="b">
        <f t="shared" si="77"/>
        <v>1</v>
      </c>
      <c r="K711" s="1" t="b">
        <f t="shared" si="78"/>
        <v>0</v>
      </c>
      <c r="L711" s="1" t="b">
        <f t="shared" si="79"/>
        <v>0</v>
      </c>
      <c r="M711" s="1" t="b">
        <f t="shared" si="80"/>
        <v>0</v>
      </c>
      <c r="N711" s="1" t="b">
        <f t="shared" si="81"/>
        <v>1</v>
      </c>
      <c r="O711" s="1" t="b">
        <f t="shared" si="82"/>
        <v>0</v>
      </c>
      <c r="P711" s="1" t="b">
        <f t="shared" si="83"/>
        <v>0</v>
      </c>
    </row>
    <row r="712" spans="1:16" x14ac:dyDescent="0.2">
      <c r="A712">
        <v>3916715</v>
      </c>
      <c r="B712" t="s">
        <v>1409</v>
      </c>
      <c r="C712" t="s">
        <v>59</v>
      </c>
      <c r="D712" t="s">
        <v>60</v>
      </c>
      <c r="E712" s="1">
        <v>44915</v>
      </c>
      <c r="F712" t="s">
        <v>1410</v>
      </c>
      <c r="G712" s="1">
        <v>44931</v>
      </c>
      <c r="H712" s="1">
        <v>44982</v>
      </c>
      <c r="I712" t="s">
        <v>28</v>
      </c>
      <c r="J712" s="1" t="b">
        <f t="shared" si="77"/>
        <v>1</v>
      </c>
      <c r="K712" s="1" t="b">
        <f t="shared" si="78"/>
        <v>0</v>
      </c>
      <c r="L712" s="1" t="b">
        <f t="shared" si="79"/>
        <v>0</v>
      </c>
      <c r="M712" s="1" t="b">
        <f t="shared" si="80"/>
        <v>0</v>
      </c>
      <c r="N712" s="1" t="b">
        <f t="shared" si="81"/>
        <v>0</v>
      </c>
      <c r="O712" s="1" t="b">
        <f t="shared" si="82"/>
        <v>0</v>
      </c>
      <c r="P712" s="1" t="b">
        <f t="shared" si="83"/>
        <v>1</v>
      </c>
    </row>
    <row r="713" spans="1:16" x14ac:dyDescent="0.2">
      <c r="A713">
        <v>3916715</v>
      </c>
      <c r="B713" t="s">
        <v>1411</v>
      </c>
      <c r="C713" t="s">
        <v>59</v>
      </c>
      <c r="D713" t="s">
        <v>60</v>
      </c>
      <c r="E713" s="1">
        <v>44704</v>
      </c>
      <c r="F713" t="s">
        <v>1295</v>
      </c>
      <c r="G713" s="1">
        <v>44719</v>
      </c>
      <c r="H713" s="1">
        <v>44730</v>
      </c>
      <c r="I713" t="s">
        <v>16</v>
      </c>
      <c r="J713" s="1" t="b">
        <f t="shared" si="77"/>
        <v>1</v>
      </c>
      <c r="K713" s="1" t="b">
        <f t="shared" si="78"/>
        <v>0</v>
      </c>
      <c r="L713" s="1" t="b">
        <f t="shared" si="79"/>
        <v>0</v>
      </c>
      <c r="M713" s="1" t="b">
        <f t="shared" si="80"/>
        <v>0</v>
      </c>
      <c r="N713" s="1" t="b">
        <f t="shared" si="81"/>
        <v>1</v>
      </c>
      <c r="O713" s="1" t="b">
        <f t="shared" si="82"/>
        <v>0</v>
      </c>
      <c r="P713" s="1" t="b">
        <f t="shared" si="83"/>
        <v>0</v>
      </c>
    </row>
    <row r="714" spans="1:16" x14ac:dyDescent="0.2">
      <c r="A714">
        <v>4858604</v>
      </c>
      <c r="B714" t="s">
        <v>1412</v>
      </c>
      <c r="C714" t="s">
        <v>76</v>
      </c>
      <c r="D714" t="s">
        <v>139</v>
      </c>
      <c r="E714" s="1">
        <v>44932</v>
      </c>
      <c r="F714" t="s">
        <v>1413</v>
      </c>
      <c r="G714" s="1">
        <v>44952</v>
      </c>
      <c r="I714" t="s">
        <v>13</v>
      </c>
      <c r="J714" s="1" t="b">
        <f t="shared" si="77"/>
        <v>0</v>
      </c>
      <c r="K714" s="1" t="b">
        <f t="shared" si="78"/>
        <v>1</v>
      </c>
      <c r="L714" s="1" t="b">
        <f t="shared" si="79"/>
        <v>0</v>
      </c>
      <c r="M714" s="1" t="b">
        <f t="shared" si="80"/>
        <v>0</v>
      </c>
      <c r="N714" s="1" t="b">
        <f t="shared" si="81"/>
        <v>0</v>
      </c>
      <c r="O714" s="1" t="b">
        <f t="shared" si="82"/>
        <v>0</v>
      </c>
      <c r="P714" s="1" t="b">
        <f t="shared" si="83"/>
        <v>0</v>
      </c>
    </row>
    <row r="715" spans="1:16" x14ac:dyDescent="0.2">
      <c r="A715">
        <v>4858604</v>
      </c>
      <c r="B715" t="s">
        <v>1414</v>
      </c>
      <c r="C715" t="s">
        <v>76</v>
      </c>
      <c r="D715" t="s">
        <v>139</v>
      </c>
      <c r="E715" s="1">
        <v>44986</v>
      </c>
      <c r="F715" t="s">
        <v>1415</v>
      </c>
      <c r="G715" s="1">
        <v>45012</v>
      </c>
      <c r="H715" s="1">
        <v>45034</v>
      </c>
      <c r="I715" t="s">
        <v>16</v>
      </c>
      <c r="J715" s="1" t="b">
        <f t="shared" si="77"/>
        <v>1</v>
      </c>
      <c r="K715" s="1" t="b">
        <f t="shared" si="78"/>
        <v>0</v>
      </c>
      <c r="L715" s="1" t="b">
        <f t="shared" si="79"/>
        <v>0</v>
      </c>
      <c r="M715" s="1" t="b">
        <f t="shared" si="80"/>
        <v>0</v>
      </c>
      <c r="N715" s="1" t="b">
        <f t="shared" si="81"/>
        <v>1</v>
      </c>
      <c r="O715" s="1" t="b">
        <f t="shared" si="82"/>
        <v>0</v>
      </c>
      <c r="P715" s="1" t="b">
        <f t="shared" si="83"/>
        <v>0</v>
      </c>
    </row>
    <row r="716" spans="1:16" x14ac:dyDescent="0.2">
      <c r="A716">
        <v>4858604</v>
      </c>
      <c r="B716" t="s">
        <v>1416</v>
      </c>
      <c r="C716" t="s">
        <v>76</v>
      </c>
      <c r="D716" t="s">
        <v>139</v>
      </c>
      <c r="E716" s="1">
        <v>45052</v>
      </c>
      <c r="F716" t="s">
        <v>1417</v>
      </c>
      <c r="G716" s="1">
        <v>45059</v>
      </c>
      <c r="H716" s="1">
        <v>45097</v>
      </c>
      <c r="J716" s="1" t="b">
        <f t="shared" si="77"/>
        <v>1</v>
      </c>
      <c r="K716" s="1" t="b">
        <f t="shared" si="78"/>
        <v>0</v>
      </c>
      <c r="L716" s="1" t="b">
        <f t="shared" si="79"/>
        <v>0</v>
      </c>
      <c r="M716" s="1" t="b">
        <f t="shared" si="80"/>
        <v>0</v>
      </c>
      <c r="N716" s="1" t="b">
        <f t="shared" si="81"/>
        <v>0</v>
      </c>
      <c r="O716" s="1" t="b">
        <f t="shared" si="82"/>
        <v>0</v>
      </c>
      <c r="P716" s="1" t="b">
        <f t="shared" si="83"/>
        <v>0</v>
      </c>
    </row>
    <row r="717" spans="1:16" x14ac:dyDescent="0.2">
      <c r="A717">
        <v>3705263</v>
      </c>
      <c r="B717" t="s">
        <v>1418</v>
      </c>
      <c r="C717" t="s">
        <v>265</v>
      </c>
      <c r="D717" t="s">
        <v>60</v>
      </c>
      <c r="E717" s="1">
        <v>44726</v>
      </c>
      <c r="F717" t="s">
        <v>1419</v>
      </c>
      <c r="G717" s="1">
        <v>44731</v>
      </c>
      <c r="I717" t="s">
        <v>13</v>
      </c>
      <c r="J717" s="1" t="b">
        <f t="shared" si="77"/>
        <v>0</v>
      </c>
      <c r="K717" s="1" t="b">
        <f t="shared" si="78"/>
        <v>1</v>
      </c>
      <c r="L717" s="1" t="b">
        <f t="shared" si="79"/>
        <v>0</v>
      </c>
      <c r="M717" s="1" t="b">
        <f t="shared" si="80"/>
        <v>0</v>
      </c>
      <c r="N717" s="1" t="b">
        <f t="shared" si="81"/>
        <v>0</v>
      </c>
      <c r="O717" s="1" t="b">
        <f t="shared" si="82"/>
        <v>0</v>
      </c>
      <c r="P717" s="1" t="b">
        <f t="shared" si="83"/>
        <v>0</v>
      </c>
    </row>
    <row r="718" spans="1:16" x14ac:dyDescent="0.2">
      <c r="A718">
        <v>9600719</v>
      </c>
      <c r="B718" t="s">
        <v>1420</v>
      </c>
      <c r="C718" t="s">
        <v>521</v>
      </c>
      <c r="D718" t="s">
        <v>81</v>
      </c>
      <c r="I718" t="s">
        <v>33</v>
      </c>
      <c r="J718" s="1" t="b">
        <f t="shared" si="77"/>
        <v>0</v>
      </c>
      <c r="K718" s="1" t="b">
        <f t="shared" si="78"/>
        <v>0</v>
      </c>
      <c r="L718" s="1" t="b">
        <f t="shared" si="79"/>
        <v>0</v>
      </c>
      <c r="M718" s="1" t="b">
        <f t="shared" si="80"/>
        <v>1</v>
      </c>
      <c r="N718" s="1" t="b">
        <f t="shared" si="81"/>
        <v>0</v>
      </c>
      <c r="O718" s="1" t="b">
        <f t="shared" si="82"/>
        <v>0</v>
      </c>
      <c r="P718" s="1" t="b">
        <f t="shared" si="83"/>
        <v>0</v>
      </c>
    </row>
    <row r="719" spans="1:16" x14ac:dyDescent="0.2">
      <c r="A719">
        <v>9600719</v>
      </c>
      <c r="B719" t="s">
        <v>1421</v>
      </c>
      <c r="C719" t="s">
        <v>521</v>
      </c>
      <c r="D719" t="s">
        <v>81</v>
      </c>
      <c r="E719" s="1">
        <v>44977</v>
      </c>
      <c r="F719" t="s">
        <v>1333</v>
      </c>
      <c r="G719" s="1">
        <v>44997</v>
      </c>
      <c r="I719" t="s">
        <v>13</v>
      </c>
      <c r="J719" s="1" t="b">
        <f t="shared" si="77"/>
        <v>0</v>
      </c>
      <c r="K719" s="1" t="b">
        <f t="shared" si="78"/>
        <v>1</v>
      </c>
      <c r="L719" s="1" t="b">
        <f t="shared" si="79"/>
        <v>0</v>
      </c>
      <c r="M719" s="1" t="b">
        <f t="shared" si="80"/>
        <v>0</v>
      </c>
      <c r="N719" s="1" t="b">
        <f t="shared" si="81"/>
        <v>0</v>
      </c>
      <c r="O719" s="1" t="b">
        <f t="shared" si="82"/>
        <v>0</v>
      </c>
      <c r="P719" s="1" t="b">
        <f t="shared" si="83"/>
        <v>0</v>
      </c>
    </row>
    <row r="720" spans="1:16" x14ac:dyDescent="0.2">
      <c r="A720">
        <v>1312392</v>
      </c>
      <c r="B720" t="s">
        <v>1422</v>
      </c>
      <c r="C720" t="s">
        <v>131</v>
      </c>
      <c r="D720" t="s">
        <v>11</v>
      </c>
      <c r="E720" s="1">
        <v>45055</v>
      </c>
      <c r="F720" t="s">
        <v>1423</v>
      </c>
      <c r="G720" s="1">
        <v>45061</v>
      </c>
      <c r="I720" t="s">
        <v>13</v>
      </c>
      <c r="J720" s="1" t="b">
        <f t="shared" si="77"/>
        <v>0</v>
      </c>
      <c r="K720" s="1" t="b">
        <f t="shared" si="78"/>
        <v>1</v>
      </c>
      <c r="L720" s="1" t="b">
        <f t="shared" si="79"/>
        <v>0</v>
      </c>
      <c r="M720" s="1" t="b">
        <f t="shared" si="80"/>
        <v>0</v>
      </c>
      <c r="N720" s="1" t="b">
        <f t="shared" si="81"/>
        <v>0</v>
      </c>
      <c r="O720" s="1" t="b">
        <f t="shared" si="82"/>
        <v>0</v>
      </c>
      <c r="P720" s="1" t="b">
        <f t="shared" si="83"/>
        <v>0</v>
      </c>
    </row>
    <row r="721" spans="1:16" x14ac:dyDescent="0.2">
      <c r="A721">
        <v>4680314</v>
      </c>
      <c r="B721" t="s">
        <v>1424</v>
      </c>
      <c r="C721" t="s">
        <v>150</v>
      </c>
      <c r="D721" t="s">
        <v>60</v>
      </c>
      <c r="E721" s="1">
        <v>44748</v>
      </c>
      <c r="F721" t="s">
        <v>1425</v>
      </c>
      <c r="G721" s="1">
        <v>44768</v>
      </c>
      <c r="I721" t="s">
        <v>13</v>
      </c>
      <c r="J721" s="1" t="b">
        <f t="shared" si="77"/>
        <v>0</v>
      </c>
      <c r="K721" s="1" t="b">
        <f t="shared" si="78"/>
        <v>1</v>
      </c>
      <c r="L721" s="1" t="b">
        <f t="shared" si="79"/>
        <v>0</v>
      </c>
      <c r="M721" s="1" t="b">
        <f t="shared" si="80"/>
        <v>0</v>
      </c>
      <c r="N721" s="1" t="b">
        <f t="shared" si="81"/>
        <v>0</v>
      </c>
      <c r="O721" s="1" t="b">
        <f t="shared" si="82"/>
        <v>0</v>
      </c>
      <c r="P721" s="1" t="b">
        <f t="shared" si="83"/>
        <v>0</v>
      </c>
    </row>
    <row r="722" spans="1:16" x14ac:dyDescent="0.2">
      <c r="A722">
        <v>4680314</v>
      </c>
      <c r="B722" t="s">
        <v>1426</v>
      </c>
      <c r="C722" t="s">
        <v>150</v>
      </c>
      <c r="D722" t="s">
        <v>60</v>
      </c>
      <c r="E722" s="1">
        <v>44912</v>
      </c>
      <c r="F722" t="s">
        <v>712</v>
      </c>
      <c r="G722" s="1">
        <v>44942</v>
      </c>
      <c r="H722" s="1">
        <v>44972</v>
      </c>
      <c r="I722" t="s">
        <v>28</v>
      </c>
      <c r="J722" s="1" t="b">
        <f t="shared" si="77"/>
        <v>1</v>
      </c>
      <c r="K722" s="1" t="b">
        <f t="shared" si="78"/>
        <v>0</v>
      </c>
      <c r="L722" s="1" t="b">
        <f t="shared" si="79"/>
        <v>0</v>
      </c>
      <c r="M722" s="1" t="b">
        <f t="shared" si="80"/>
        <v>0</v>
      </c>
      <c r="N722" s="1" t="b">
        <f t="shared" si="81"/>
        <v>0</v>
      </c>
      <c r="O722" s="1" t="b">
        <f t="shared" si="82"/>
        <v>0</v>
      </c>
      <c r="P722" s="1" t="b">
        <f t="shared" si="83"/>
        <v>1</v>
      </c>
    </row>
    <row r="723" spans="1:16" x14ac:dyDescent="0.2">
      <c r="A723">
        <v>4680314</v>
      </c>
      <c r="B723" t="s">
        <v>1427</v>
      </c>
      <c r="C723" t="s">
        <v>150</v>
      </c>
      <c r="D723" t="s">
        <v>60</v>
      </c>
      <c r="E723" s="1">
        <v>44956</v>
      </c>
      <c r="F723" t="s">
        <v>1428</v>
      </c>
      <c r="G723" s="1">
        <v>44961</v>
      </c>
      <c r="H723" s="1">
        <v>44968</v>
      </c>
      <c r="I723" t="s">
        <v>16</v>
      </c>
      <c r="J723" s="1" t="b">
        <f t="shared" si="77"/>
        <v>1</v>
      </c>
      <c r="K723" s="1" t="b">
        <f t="shared" si="78"/>
        <v>0</v>
      </c>
      <c r="L723" s="1" t="b">
        <f t="shared" si="79"/>
        <v>0</v>
      </c>
      <c r="M723" s="1" t="b">
        <f t="shared" si="80"/>
        <v>0</v>
      </c>
      <c r="N723" s="1" t="b">
        <f t="shared" si="81"/>
        <v>1</v>
      </c>
      <c r="O723" s="1" t="b">
        <f t="shared" si="82"/>
        <v>0</v>
      </c>
      <c r="P723" s="1" t="b">
        <f t="shared" si="83"/>
        <v>0</v>
      </c>
    </row>
    <row r="724" spans="1:16" x14ac:dyDescent="0.2">
      <c r="A724">
        <v>4680314</v>
      </c>
      <c r="B724" t="s">
        <v>1429</v>
      </c>
      <c r="C724" t="s">
        <v>150</v>
      </c>
      <c r="D724" t="s">
        <v>60</v>
      </c>
      <c r="E724" s="1">
        <v>45078</v>
      </c>
      <c r="F724" t="s">
        <v>1430</v>
      </c>
      <c r="G724" s="1">
        <v>45100</v>
      </c>
      <c r="I724" t="s">
        <v>13</v>
      </c>
      <c r="J724" s="1" t="b">
        <f t="shared" si="77"/>
        <v>0</v>
      </c>
      <c r="K724" s="1" t="b">
        <f t="shared" si="78"/>
        <v>1</v>
      </c>
      <c r="L724" s="1" t="b">
        <f t="shared" si="79"/>
        <v>0</v>
      </c>
      <c r="M724" s="1" t="b">
        <f t="shared" si="80"/>
        <v>0</v>
      </c>
      <c r="N724" s="1" t="b">
        <f t="shared" si="81"/>
        <v>0</v>
      </c>
      <c r="O724" s="1" t="b">
        <f t="shared" si="82"/>
        <v>0</v>
      </c>
      <c r="P724" s="1" t="b">
        <f t="shared" si="83"/>
        <v>0</v>
      </c>
    </row>
    <row r="725" spans="1:16" x14ac:dyDescent="0.2">
      <c r="A725">
        <v>4680314</v>
      </c>
      <c r="B725" t="s">
        <v>1431</v>
      </c>
      <c r="C725" t="s">
        <v>150</v>
      </c>
      <c r="D725" t="s">
        <v>60</v>
      </c>
      <c r="E725" s="1">
        <v>44743</v>
      </c>
      <c r="F725" t="s">
        <v>708</v>
      </c>
      <c r="G725" s="1">
        <v>44759</v>
      </c>
      <c r="H725" s="1">
        <v>44817</v>
      </c>
      <c r="I725" t="s">
        <v>43</v>
      </c>
      <c r="J725" s="1" t="b">
        <f t="shared" si="77"/>
        <v>1</v>
      </c>
      <c r="K725" s="1" t="b">
        <f t="shared" si="78"/>
        <v>0</v>
      </c>
      <c r="L725" s="1" t="b">
        <f t="shared" si="79"/>
        <v>0</v>
      </c>
      <c r="M725" s="1" t="b">
        <f t="shared" si="80"/>
        <v>0</v>
      </c>
      <c r="N725" s="1" t="b">
        <f t="shared" si="81"/>
        <v>0</v>
      </c>
      <c r="O725" s="1" t="b">
        <f t="shared" si="82"/>
        <v>1</v>
      </c>
      <c r="P725" s="1" t="b">
        <f t="shared" si="83"/>
        <v>0</v>
      </c>
    </row>
    <row r="726" spans="1:16" x14ac:dyDescent="0.2">
      <c r="A726">
        <v>1654924</v>
      </c>
      <c r="B726" t="s">
        <v>1432</v>
      </c>
      <c r="C726" t="s">
        <v>131</v>
      </c>
      <c r="D726" t="s">
        <v>139</v>
      </c>
      <c r="E726" s="1">
        <v>44695</v>
      </c>
      <c r="F726" t="s">
        <v>1433</v>
      </c>
      <c r="G726" s="1">
        <v>44724</v>
      </c>
      <c r="H726" s="1">
        <v>44763</v>
      </c>
      <c r="I726" t="s">
        <v>16</v>
      </c>
      <c r="J726" s="1" t="b">
        <f t="shared" si="77"/>
        <v>1</v>
      </c>
      <c r="K726" s="1" t="b">
        <f t="shared" si="78"/>
        <v>0</v>
      </c>
      <c r="L726" s="1" t="b">
        <f t="shared" si="79"/>
        <v>0</v>
      </c>
      <c r="M726" s="1" t="b">
        <f t="shared" si="80"/>
        <v>0</v>
      </c>
      <c r="N726" s="1" t="b">
        <f t="shared" si="81"/>
        <v>1</v>
      </c>
      <c r="O726" s="1" t="b">
        <f t="shared" si="82"/>
        <v>0</v>
      </c>
      <c r="P726" s="1" t="b">
        <f t="shared" si="83"/>
        <v>0</v>
      </c>
    </row>
    <row r="727" spans="1:16" x14ac:dyDescent="0.2">
      <c r="A727">
        <v>1654924</v>
      </c>
      <c r="B727" t="s">
        <v>1434</v>
      </c>
      <c r="C727" t="s">
        <v>131</v>
      </c>
      <c r="D727" t="s">
        <v>139</v>
      </c>
      <c r="E727" s="1">
        <v>45003</v>
      </c>
      <c r="F727" t="s">
        <v>481</v>
      </c>
      <c r="G727" s="1">
        <v>45020</v>
      </c>
      <c r="H727" s="1">
        <v>45047</v>
      </c>
      <c r="I727" t="s">
        <v>16</v>
      </c>
      <c r="J727" s="1" t="b">
        <f t="shared" si="77"/>
        <v>1</v>
      </c>
      <c r="K727" s="1" t="b">
        <f t="shared" si="78"/>
        <v>0</v>
      </c>
      <c r="L727" s="1" t="b">
        <f t="shared" si="79"/>
        <v>0</v>
      </c>
      <c r="M727" s="1" t="b">
        <f t="shared" si="80"/>
        <v>0</v>
      </c>
      <c r="N727" s="1" t="b">
        <f t="shared" si="81"/>
        <v>1</v>
      </c>
      <c r="O727" s="1" t="b">
        <f t="shared" si="82"/>
        <v>0</v>
      </c>
      <c r="P727" s="1" t="b">
        <f t="shared" si="83"/>
        <v>0</v>
      </c>
    </row>
    <row r="728" spans="1:16" x14ac:dyDescent="0.2">
      <c r="A728">
        <v>1654924</v>
      </c>
      <c r="B728" t="s">
        <v>1435</v>
      </c>
      <c r="C728" t="s">
        <v>131</v>
      </c>
      <c r="D728" t="s">
        <v>139</v>
      </c>
      <c r="E728" s="1">
        <v>45001</v>
      </c>
      <c r="F728" t="s">
        <v>202</v>
      </c>
      <c r="G728" s="1">
        <v>45009</v>
      </c>
      <c r="H728" s="1">
        <v>45061</v>
      </c>
      <c r="I728" t="s">
        <v>16</v>
      </c>
      <c r="J728" s="1" t="b">
        <f t="shared" si="77"/>
        <v>1</v>
      </c>
      <c r="K728" s="1" t="b">
        <f t="shared" si="78"/>
        <v>0</v>
      </c>
      <c r="L728" s="1" t="b">
        <f t="shared" si="79"/>
        <v>0</v>
      </c>
      <c r="M728" s="1" t="b">
        <f t="shared" si="80"/>
        <v>0</v>
      </c>
      <c r="N728" s="1" t="b">
        <f t="shared" si="81"/>
        <v>1</v>
      </c>
      <c r="O728" s="1" t="b">
        <f t="shared" si="82"/>
        <v>0</v>
      </c>
      <c r="P728" s="1" t="b">
        <f t="shared" si="83"/>
        <v>0</v>
      </c>
    </row>
    <row r="729" spans="1:16" x14ac:dyDescent="0.2">
      <c r="A729">
        <v>1654924</v>
      </c>
      <c r="B729" t="s">
        <v>1436</v>
      </c>
      <c r="C729" t="s">
        <v>131</v>
      </c>
      <c r="D729" t="s">
        <v>139</v>
      </c>
      <c r="E729" s="1">
        <v>44662</v>
      </c>
      <c r="F729" t="s">
        <v>1437</v>
      </c>
      <c r="G729" s="1">
        <v>44676</v>
      </c>
      <c r="H729" s="1">
        <v>44685</v>
      </c>
      <c r="J729" s="1" t="b">
        <f t="shared" si="77"/>
        <v>1</v>
      </c>
      <c r="K729" s="1" t="b">
        <f t="shared" si="78"/>
        <v>0</v>
      </c>
      <c r="L729" s="1" t="b">
        <f t="shared" si="79"/>
        <v>0</v>
      </c>
      <c r="M729" s="1" t="b">
        <f t="shared" si="80"/>
        <v>0</v>
      </c>
      <c r="N729" s="1" t="b">
        <f t="shared" si="81"/>
        <v>0</v>
      </c>
      <c r="O729" s="1" t="b">
        <f t="shared" si="82"/>
        <v>0</v>
      </c>
      <c r="P729" s="1" t="b">
        <f t="shared" si="83"/>
        <v>0</v>
      </c>
    </row>
    <row r="730" spans="1:16" x14ac:dyDescent="0.2">
      <c r="A730">
        <v>1654924</v>
      </c>
      <c r="B730" t="s">
        <v>1438</v>
      </c>
      <c r="C730" t="s">
        <v>131</v>
      </c>
      <c r="D730" t="s">
        <v>139</v>
      </c>
      <c r="E730" s="1">
        <v>44647</v>
      </c>
      <c r="F730" t="s">
        <v>1439</v>
      </c>
      <c r="G730" s="1">
        <v>44657</v>
      </c>
      <c r="I730" t="s">
        <v>25</v>
      </c>
      <c r="J730" s="1" t="b">
        <f t="shared" si="77"/>
        <v>0</v>
      </c>
      <c r="K730" s="1" t="b">
        <f t="shared" si="78"/>
        <v>0</v>
      </c>
      <c r="L730" s="1" t="b">
        <f t="shared" si="79"/>
        <v>1</v>
      </c>
      <c r="M730" s="1" t="b">
        <f t="shared" si="80"/>
        <v>0</v>
      </c>
      <c r="N730" s="1" t="b">
        <f t="shared" si="81"/>
        <v>0</v>
      </c>
      <c r="O730" s="1" t="b">
        <f t="shared" si="82"/>
        <v>0</v>
      </c>
      <c r="P730" s="1" t="b">
        <f t="shared" si="83"/>
        <v>0</v>
      </c>
    </row>
    <row r="731" spans="1:16" x14ac:dyDescent="0.2">
      <c r="A731">
        <v>7855954</v>
      </c>
      <c r="B731" t="s">
        <v>1440</v>
      </c>
      <c r="C731" t="s">
        <v>282</v>
      </c>
      <c r="D731" t="s">
        <v>19</v>
      </c>
      <c r="E731" s="1">
        <v>44682</v>
      </c>
      <c r="F731" t="s">
        <v>1441</v>
      </c>
      <c r="G731" s="1">
        <v>44699</v>
      </c>
      <c r="H731" s="1">
        <v>44700</v>
      </c>
      <c r="I731" t="s">
        <v>16</v>
      </c>
      <c r="J731" s="1" t="b">
        <f t="shared" si="77"/>
        <v>1</v>
      </c>
      <c r="K731" s="1" t="b">
        <f t="shared" si="78"/>
        <v>0</v>
      </c>
      <c r="L731" s="1" t="b">
        <f t="shared" si="79"/>
        <v>0</v>
      </c>
      <c r="M731" s="1" t="b">
        <f t="shared" si="80"/>
        <v>0</v>
      </c>
      <c r="N731" s="1" t="b">
        <f t="shared" si="81"/>
        <v>1</v>
      </c>
      <c r="O731" s="1" t="b">
        <f t="shared" si="82"/>
        <v>0</v>
      </c>
      <c r="P731" s="1" t="b">
        <f t="shared" si="83"/>
        <v>0</v>
      </c>
    </row>
    <row r="732" spans="1:16" x14ac:dyDescent="0.2">
      <c r="A732">
        <v>7291957</v>
      </c>
      <c r="B732" t="s">
        <v>1442</v>
      </c>
      <c r="C732" t="s">
        <v>265</v>
      </c>
      <c r="D732" t="s">
        <v>19</v>
      </c>
      <c r="E732" s="1">
        <v>44821</v>
      </c>
      <c r="F732" t="s">
        <v>1443</v>
      </c>
      <c r="G732" s="1">
        <v>44830</v>
      </c>
      <c r="H732" s="1">
        <v>44885</v>
      </c>
      <c r="I732" t="s">
        <v>16</v>
      </c>
      <c r="J732" s="1" t="b">
        <f t="shared" si="77"/>
        <v>1</v>
      </c>
      <c r="K732" s="1" t="b">
        <f t="shared" si="78"/>
        <v>0</v>
      </c>
      <c r="L732" s="1" t="b">
        <f t="shared" si="79"/>
        <v>0</v>
      </c>
      <c r="M732" s="1" t="b">
        <f t="shared" si="80"/>
        <v>0</v>
      </c>
      <c r="N732" s="1" t="b">
        <f t="shared" si="81"/>
        <v>1</v>
      </c>
      <c r="O732" s="1" t="b">
        <f t="shared" si="82"/>
        <v>0</v>
      </c>
      <c r="P732" s="1" t="b">
        <f t="shared" si="83"/>
        <v>0</v>
      </c>
    </row>
    <row r="733" spans="1:16" x14ac:dyDescent="0.2">
      <c r="A733">
        <v>7291957</v>
      </c>
      <c r="B733" t="s">
        <v>1444</v>
      </c>
      <c r="C733" t="s">
        <v>265</v>
      </c>
      <c r="D733" t="s">
        <v>19</v>
      </c>
      <c r="E733" s="1">
        <v>44968</v>
      </c>
      <c r="F733" t="s">
        <v>1445</v>
      </c>
      <c r="G733" s="1">
        <v>44993</v>
      </c>
      <c r="H733" s="1">
        <v>45007</v>
      </c>
      <c r="I733" t="s">
        <v>28</v>
      </c>
      <c r="J733" s="1" t="b">
        <f t="shared" si="77"/>
        <v>1</v>
      </c>
      <c r="K733" s="1" t="b">
        <f t="shared" si="78"/>
        <v>0</v>
      </c>
      <c r="L733" s="1" t="b">
        <f t="shared" si="79"/>
        <v>0</v>
      </c>
      <c r="M733" s="1" t="b">
        <f t="shared" si="80"/>
        <v>0</v>
      </c>
      <c r="N733" s="1" t="b">
        <f t="shared" si="81"/>
        <v>0</v>
      </c>
      <c r="O733" s="1" t="b">
        <f t="shared" si="82"/>
        <v>0</v>
      </c>
      <c r="P733" s="1" t="b">
        <f t="shared" si="83"/>
        <v>1</v>
      </c>
    </row>
    <row r="734" spans="1:16" x14ac:dyDescent="0.2">
      <c r="A734">
        <v>7291957</v>
      </c>
      <c r="B734" t="s">
        <v>1446</v>
      </c>
      <c r="C734" t="s">
        <v>265</v>
      </c>
      <c r="D734" t="s">
        <v>19</v>
      </c>
      <c r="E734" s="1">
        <v>45057</v>
      </c>
      <c r="F734" t="s">
        <v>1447</v>
      </c>
      <c r="G734" s="1">
        <v>45066</v>
      </c>
      <c r="H734" s="1">
        <v>45086</v>
      </c>
      <c r="J734" s="1" t="b">
        <f t="shared" si="77"/>
        <v>1</v>
      </c>
      <c r="K734" s="1" t="b">
        <f t="shared" si="78"/>
        <v>0</v>
      </c>
      <c r="L734" s="1" t="b">
        <f t="shared" si="79"/>
        <v>0</v>
      </c>
      <c r="M734" s="1" t="b">
        <f t="shared" si="80"/>
        <v>0</v>
      </c>
      <c r="N734" s="1" t="b">
        <f t="shared" si="81"/>
        <v>0</v>
      </c>
      <c r="O734" s="1" t="b">
        <f t="shared" si="82"/>
        <v>0</v>
      </c>
      <c r="P734" s="1" t="b">
        <f t="shared" si="83"/>
        <v>0</v>
      </c>
    </row>
    <row r="735" spans="1:16" x14ac:dyDescent="0.2">
      <c r="A735">
        <v>6777340</v>
      </c>
      <c r="B735" t="s">
        <v>1448</v>
      </c>
      <c r="C735" t="s">
        <v>35</v>
      </c>
      <c r="D735" t="s">
        <v>60</v>
      </c>
      <c r="E735" s="1">
        <v>45019</v>
      </c>
      <c r="F735" t="s">
        <v>1449</v>
      </c>
      <c r="G735" s="1">
        <v>45045</v>
      </c>
      <c r="H735" s="1">
        <v>45090</v>
      </c>
      <c r="I735" t="s">
        <v>16</v>
      </c>
      <c r="J735" s="1" t="b">
        <f t="shared" si="77"/>
        <v>1</v>
      </c>
      <c r="K735" s="1" t="b">
        <f t="shared" si="78"/>
        <v>0</v>
      </c>
      <c r="L735" s="1" t="b">
        <f t="shared" si="79"/>
        <v>0</v>
      </c>
      <c r="M735" s="1" t="b">
        <f t="shared" si="80"/>
        <v>0</v>
      </c>
      <c r="N735" s="1" t="b">
        <f t="shared" si="81"/>
        <v>1</v>
      </c>
      <c r="O735" s="1" t="b">
        <f t="shared" si="82"/>
        <v>0</v>
      </c>
      <c r="P735" s="1" t="b">
        <f t="shared" si="83"/>
        <v>0</v>
      </c>
    </row>
    <row r="736" spans="1:16" x14ac:dyDescent="0.2">
      <c r="A736">
        <v>6777340</v>
      </c>
      <c r="B736" t="s">
        <v>1450</v>
      </c>
      <c r="C736" t="s">
        <v>35</v>
      </c>
      <c r="D736" t="s">
        <v>60</v>
      </c>
      <c r="E736" s="1">
        <v>44972</v>
      </c>
      <c r="F736" t="s">
        <v>798</v>
      </c>
      <c r="G736" s="1">
        <v>44998</v>
      </c>
      <c r="H736" s="1">
        <v>45020</v>
      </c>
      <c r="I736" t="s">
        <v>16</v>
      </c>
      <c r="J736" s="1" t="b">
        <f t="shared" si="77"/>
        <v>1</v>
      </c>
      <c r="K736" s="1" t="b">
        <f t="shared" si="78"/>
        <v>0</v>
      </c>
      <c r="L736" s="1" t="b">
        <f t="shared" si="79"/>
        <v>0</v>
      </c>
      <c r="M736" s="1" t="b">
        <f t="shared" si="80"/>
        <v>0</v>
      </c>
      <c r="N736" s="1" t="b">
        <f t="shared" si="81"/>
        <v>1</v>
      </c>
      <c r="O736" s="1" t="b">
        <f t="shared" si="82"/>
        <v>0</v>
      </c>
      <c r="P736" s="1" t="b">
        <f t="shared" si="83"/>
        <v>0</v>
      </c>
    </row>
    <row r="737" spans="1:16" x14ac:dyDescent="0.2">
      <c r="A737">
        <v>1873301</v>
      </c>
      <c r="B737" t="s">
        <v>1451</v>
      </c>
      <c r="C737" t="s">
        <v>38</v>
      </c>
      <c r="D737" t="s">
        <v>60</v>
      </c>
      <c r="E737" s="1">
        <v>45007</v>
      </c>
      <c r="F737" t="s">
        <v>1452</v>
      </c>
      <c r="G737" s="1">
        <v>45010</v>
      </c>
      <c r="H737" s="1">
        <v>45015</v>
      </c>
      <c r="I737" t="s">
        <v>43</v>
      </c>
      <c r="J737" s="1" t="b">
        <f t="shared" si="77"/>
        <v>1</v>
      </c>
      <c r="K737" s="1" t="b">
        <f t="shared" si="78"/>
        <v>0</v>
      </c>
      <c r="L737" s="1" t="b">
        <f t="shared" si="79"/>
        <v>0</v>
      </c>
      <c r="M737" s="1" t="b">
        <f t="shared" si="80"/>
        <v>0</v>
      </c>
      <c r="N737" s="1" t="b">
        <f t="shared" si="81"/>
        <v>0</v>
      </c>
      <c r="O737" s="1" t="b">
        <f t="shared" si="82"/>
        <v>1</v>
      </c>
      <c r="P737" s="1" t="b">
        <f t="shared" si="83"/>
        <v>0</v>
      </c>
    </row>
    <row r="738" spans="1:16" x14ac:dyDescent="0.2">
      <c r="A738">
        <v>5413951</v>
      </c>
      <c r="B738" t="s">
        <v>1453</v>
      </c>
      <c r="C738" t="s">
        <v>93</v>
      </c>
      <c r="D738" t="s">
        <v>39</v>
      </c>
      <c r="E738" s="1">
        <v>45095</v>
      </c>
      <c r="F738" t="s">
        <v>1454</v>
      </c>
      <c r="G738" s="1">
        <v>45105</v>
      </c>
      <c r="H738" s="1">
        <v>45151</v>
      </c>
      <c r="J738" s="1" t="b">
        <f t="shared" si="77"/>
        <v>1</v>
      </c>
      <c r="K738" s="1" t="b">
        <f t="shared" si="78"/>
        <v>0</v>
      </c>
      <c r="L738" s="1" t="b">
        <f t="shared" si="79"/>
        <v>0</v>
      </c>
      <c r="M738" s="1" t="b">
        <f t="shared" si="80"/>
        <v>0</v>
      </c>
      <c r="N738" s="1" t="b">
        <f t="shared" si="81"/>
        <v>0</v>
      </c>
      <c r="O738" s="1" t="b">
        <f t="shared" si="82"/>
        <v>0</v>
      </c>
      <c r="P738" s="1" t="b">
        <f t="shared" si="83"/>
        <v>0</v>
      </c>
    </row>
    <row r="739" spans="1:16" x14ac:dyDescent="0.2">
      <c r="A739">
        <v>1964069</v>
      </c>
      <c r="B739" t="s">
        <v>1455</v>
      </c>
      <c r="C739" t="s">
        <v>35</v>
      </c>
      <c r="D739" t="s">
        <v>187</v>
      </c>
      <c r="E739" s="1">
        <v>45092</v>
      </c>
      <c r="F739" t="s">
        <v>1456</v>
      </c>
      <c r="G739" s="1">
        <v>45102</v>
      </c>
      <c r="H739" s="1">
        <v>45115</v>
      </c>
      <c r="I739" t="s">
        <v>43</v>
      </c>
      <c r="J739" s="1" t="b">
        <f t="shared" si="77"/>
        <v>1</v>
      </c>
      <c r="K739" s="1" t="b">
        <f t="shared" si="78"/>
        <v>0</v>
      </c>
      <c r="L739" s="1" t="b">
        <f t="shared" si="79"/>
        <v>0</v>
      </c>
      <c r="M739" s="1" t="b">
        <f t="shared" si="80"/>
        <v>0</v>
      </c>
      <c r="N739" s="1" t="b">
        <f t="shared" si="81"/>
        <v>0</v>
      </c>
      <c r="O739" s="1" t="b">
        <f t="shared" si="82"/>
        <v>1</v>
      </c>
      <c r="P739" s="1" t="b">
        <f t="shared" si="83"/>
        <v>0</v>
      </c>
    </row>
    <row r="740" spans="1:16" x14ac:dyDescent="0.2">
      <c r="A740">
        <v>1964069</v>
      </c>
      <c r="B740" t="s">
        <v>1457</v>
      </c>
      <c r="C740" t="s">
        <v>35</v>
      </c>
      <c r="D740" t="s">
        <v>187</v>
      </c>
      <c r="E740" s="1">
        <v>45090</v>
      </c>
      <c r="F740" t="s">
        <v>1458</v>
      </c>
      <c r="G740" s="1">
        <v>45113</v>
      </c>
      <c r="I740" t="s">
        <v>13</v>
      </c>
      <c r="J740" s="1" t="b">
        <f t="shared" si="77"/>
        <v>0</v>
      </c>
      <c r="K740" s="1" t="b">
        <f t="shared" si="78"/>
        <v>1</v>
      </c>
      <c r="L740" s="1" t="b">
        <f t="shared" si="79"/>
        <v>0</v>
      </c>
      <c r="M740" s="1" t="b">
        <f t="shared" si="80"/>
        <v>0</v>
      </c>
      <c r="N740" s="1" t="b">
        <f t="shared" si="81"/>
        <v>0</v>
      </c>
      <c r="O740" s="1" t="b">
        <f t="shared" si="82"/>
        <v>0</v>
      </c>
      <c r="P740" s="1" t="b">
        <f t="shared" si="83"/>
        <v>0</v>
      </c>
    </row>
    <row r="741" spans="1:16" x14ac:dyDescent="0.2">
      <c r="A741">
        <v>1964069</v>
      </c>
      <c r="B741" t="s">
        <v>1459</v>
      </c>
      <c r="C741" t="s">
        <v>35</v>
      </c>
      <c r="D741" t="s">
        <v>187</v>
      </c>
      <c r="E741" s="1">
        <v>44598</v>
      </c>
      <c r="F741" t="s">
        <v>1460</v>
      </c>
      <c r="G741" s="1">
        <v>44610</v>
      </c>
      <c r="I741" t="s">
        <v>25</v>
      </c>
      <c r="J741" s="1" t="b">
        <f t="shared" si="77"/>
        <v>0</v>
      </c>
      <c r="K741" s="1" t="b">
        <f t="shared" si="78"/>
        <v>0</v>
      </c>
      <c r="L741" s="1" t="b">
        <f t="shared" si="79"/>
        <v>1</v>
      </c>
      <c r="M741" s="1" t="b">
        <f t="shared" si="80"/>
        <v>0</v>
      </c>
      <c r="N741" s="1" t="b">
        <f t="shared" si="81"/>
        <v>0</v>
      </c>
      <c r="O741" s="1" t="b">
        <f t="shared" si="82"/>
        <v>0</v>
      </c>
      <c r="P741" s="1" t="b">
        <f t="shared" si="83"/>
        <v>0</v>
      </c>
    </row>
    <row r="742" spans="1:16" x14ac:dyDescent="0.2">
      <c r="A742">
        <v>1964069</v>
      </c>
      <c r="B742" t="s">
        <v>1461</v>
      </c>
      <c r="C742" t="s">
        <v>35</v>
      </c>
      <c r="D742" t="s">
        <v>187</v>
      </c>
      <c r="E742" s="1">
        <v>44650</v>
      </c>
      <c r="F742" t="s">
        <v>1462</v>
      </c>
      <c r="G742" s="1">
        <v>44659</v>
      </c>
      <c r="I742" t="s">
        <v>25</v>
      </c>
      <c r="J742" s="1" t="b">
        <f t="shared" si="77"/>
        <v>0</v>
      </c>
      <c r="K742" s="1" t="b">
        <f t="shared" si="78"/>
        <v>0</v>
      </c>
      <c r="L742" s="1" t="b">
        <f t="shared" si="79"/>
        <v>1</v>
      </c>
      <c r="M742" s="1" t="b">
        <f t="shared" si="80"/>
        <v>0</v>
      </c>
      <c r="N742" s="1" t="b">
        <f t="shared" si="81"/>
        <v>0</v>
      </c>
      <c r="O742" s="1" t="b">
        <f t="shared" si="82"/>
        <v>0</v>
      </c>
      <c r="P742" s="1" t="b">
        <f t="shared" si="83"/>
        <v>0</v>
      </c>
    </row>
    <row r="743" spans="1:16" x14ac:dyDescent="0.2">
      <c r="A743">
        <v>7701385</v>
      </c>
      <c r="B743" t="s">
        <v>1463</v>
      </c>
      <c r="C743" t="s">
        <v>542</v>
      </c>
      <c r="D743" t="s">
        <v>60</v>
      </c>
      <c r="E743" s="1">
        <v>44632</v>
      </c>
      <c r="F743" t="s">
        <v>1464</v>
      </c>
      <c r="G743" s="1">
        <v>44662</v>
      </c>
      <c r="H743" s="1">
        <v>44668</v>
      </c>
      <c r="I743" t="s">
        <v>16</v>
      </c>
      <c r="J743" s="1" t="b">
        <f t="shared" si="77"/>
        <v>1</v>
      </c>
      <c r="K743" s="1" t="b">
        <f t="shared" si="78"/>
        <v>0</v>
      </c>
      <c r="L743" s="1" t="b">
        <f t="shared" si="79"/>
        <v>0</v>
      </c>
      <c r="M743" s="1" t="b">
        <f t="shared" si="80"/>
        <v>0</v>
      </c>
      <c r="N743" s="1" t="b">
        <f t="shared" si="81"/>
        <v>1</v>
      </c>
      <c r="O743" s="1" t="b">
        <f t="shared" si="82"/>
        <v>0</v>
      </c>
      <c r="P743" s="1" t="b">
        <f t="shared" si="83"/>
        <v>0</v>
      </c>
    </row>
    <row r="744" spans="1:16" x14ac:dyDescent="0.2">
      <c r="A744">
        <v>7701385</v>
      </c>
      <c r="B744" t="s">
        <v>1465</v>
      </c>
      <c r="C744" t="s">
        <v>542</v>
      </c>
      <c r="D744" t="s">
        <v>60</v>
      </c>
      <c r="E744" s="1">
        <v>44845</v>
      </c>
      <c r="F744" t="s">
        <v>1466</v>
      </c>
      <c r="G744" s="1">
        <v>44853</v>
      </c>
      <c r="H744" s="1">
        <v>44892</v>
      </c>
      <c r="I744" t="s">
        <v>28</v>
      </c>
      <c r="J744" s="1" t="b">
        <f t="shared" si="77"/>
        <v>1</v>
      </c>
      <c r="K744" s="1" t="b">
        <f t="shared" si="78"/>
        <v>0</v>
      </c>
      <c r="L744" s="1" t="b">
        <f t="shared" si="79"/>
        <v>0</v>
      </c>
      <c r="M744" s="1" t="b">
        <f t="shared" si="80"/>
        <v>0</v>
      </c>
      <c r="N744" s="1" t="b">
        <f t="shared" si="81"/>
        <v>0</v>
      </c>
      <c r="O744" s="1" t="b">
        <f t="shared" si="82"/>
        <v>0</v>
      </c>
      <c r="P744" s="1" t="b">
        <f t="shared" si="83"/>
        <v>1</v>
      </c>
    </row>
    <row r="745" spans="1:16" x14ac:dyDescent="0.2">
      <c r="A745">
        <v>7701385</v>
      </c>
      <c r="B745" t="s">
        <v>1467</v>
      </c>
      <c r="C745" t="s">
        <v>542</v>
      </c>
      <c r="D745" t="s">
        <v>60</v>
      </c>
      <c r="E745" s="1">
        <v>44566</v>
      </c>
      <c r="F745" t="s">
        <v>1454</v>
      </c>
      <c r="G745" s="1">
        <v>44575</v>
      </c>
      <c r="H745" s="1">
        <v>44587</v>
      </c>
      <c r="J745" s="1" t="b">
        <f t="shared" si="77"/>
        <v>1</v>
      </c>
      <c r="K745" s="1" t="b">
        <f t="shared" si="78"/>
        <v>0</v>
      </c>
      <c r="L745" s="1" t="b">
        <f t="shared" si="79"/>
        <v>0</v>
      </c>
      <c r="M745" s="1" t="b">
        <f t="shared" si="80"/>
        <v>0</v>
      </c>
      <c r="N745" s="1" t="b">
        <f t="shared" si="81"/>
        <v>0</v>
      </c>
      <c r="O745" s="1" t="b">
        <f t="shared" si="82"/>
        <v>0</v>
      </c>
      <c r="P745" s="1" t="b">
        <f t="shared" si="83"/>
        <v>0</v>
      </c>
    </row>
    <row r="746" spans="1:16" x14ac:dyDescent="0.2">
      <c r="A746">
        <v>7701385</v>
      </c>
      <c r="B746" t="s">
        <v>1468</v>
      </c>
      <c r="C746" t="s">
        <v>542</v>
      </c>
      <c r="D746" t="s">
        <v>60</v>
      </c>
      <c r="E746" s="1">
        <v>45077</v>
      </c>
      <c r="F746" t="s">
        <v>1469</v>
      </c>
      <c r="G746" s="1">
        <v>45087</v>
      </c>
      <c r="H746" s="1">
        <v>45109</v>
      </c>
      <c r="I746" t="s">
        <v>16</v>
      </c>
      <c r="J746" s="1" t="b">
        <f t="shared" si="77"/>
        <v>1</v>
      </c>
      <c r="K746" s="1" t="b">
        <f t="shared" si="78"/>
        <v>0</v>
      </c>
      <c r="L746" s="1" t="b">
        <f t="shared" si="79"/>
        <v>0</v>
      </c>
      <c r="M746" s="1" t="b">
        <f t="shared" si="80"/>
        <v>0</v>
      </c>
      <c r="N746" s="1" t="b">
        <f t="shared" si="81"/>
        <v>1</v>
      </c>
      <c r="O746" s="1" t="b">
        <f t="shared" si="82"/>
        <v>0</v>
      </c>
      <c r="P746" s="1" t="b">
        <f t="shared" si="83"/>
        <v>0</v>
      </c>
    </row>
    <row r="747" spans="1:16" x14ac:dyDescent="0.2">
      <c r="A747">
        <v>2963085</v>
      </c>
      <c r="B747" t="s">
        <v>1470</v>
      </c>
      <c r="C747" t="s">
        <v>47</v>
      </c>
      <c r="D747" t="s">
        <v>139</v>
      </c>
      <c r="E747" s="1">
        <v>44948</v>
      </c>
      <c r="F747" t="s">
        <v>1471</v>
      </c>
      <c r="G747" s="1">
        <v>44967</v>
      </c>
      <c r="H747" s="1">
        <v>44998</v>
      </c>
      <c r="I747" t="s">
        <v>28</v>
      </c>
      <c r="J747" s="1" t="b">
        <f t="shared" si="77"/>
        <v>1</v>
      </c>
      <c r="K747" s="1" t="b">
        <f t="shared" si="78"/>
        <v>0</v>
      </c>
      <c r="L747" s="1" t="b">
        <f t="shared" si="79"/>
        <v>0</v>
      </c>
      <c r="M747" s="1" t="b">
        <f t="shared" si="80"/>
        <v>0</v>
      </c>
      <c r="N747" s="1" t="b">
        <f t="shared" si="81"/>
        <v>0</v>
      </c>
      <c r="O747" s="1" t="b">
        <f t="shared" si="82"/>
        <v>0</v>
      </c>
      <c r="P747" s="1" t="b">
        <f t="shared" si="83"/>
        <v>1</v>
      </c>
    </row>
    <row r="748" spans="1:16" x14ac:dyDescent="0.2">
      <c r="A748">
        <v>2963085</v>
      </c>
      <c r="B748" t="s">
        <v>1472</v>
      </c>
      <c r="C748" t="s">
        <v>47</v>
      </c>
      <c r="D748" t="s">
        <v>139</v>
      </c>
      <c r="E748" s="1">
        <v>45033</v>
      </c>
      <c r="F748" t="s">
        <v>1473</v>
      </c>
      <c r="G748" s="1">
        <v>45062</v>
      </c>
      <c r="H748" s="1">
        <v>45100</v>
      </c>
      <c r="I748" t="s">
        <v>28</v>
      </c>
      <c r="J748" s="1" t="b">
        <f t="shared" si="77"/>
        <v>1</v>
      </c>
      <c r="K748" s="1" t="b">
        <f t="shared" si="78"/>
        <v>0</v>
      </c>
      <c r="L748" s="1" t="b">
        <f t="shared" si="79"/>
        <v>0</v>
      </c>
      <c r="M748" s="1" t="b">
        <f t="shared" si="80"/>
        <v>0</v>
      </c>
      <c r="N748" s="1" t="b">
        <f t="shared" si="81"/>
        <v>0</v>
      </c>
      <c r="O748" s="1" t="b">
        <f t="shared" si="82"/>
        <v>0</v>
      </c>
      <c r="P748" s="1" t="b">
        <f t="shared" si="83"/>
        <v>1</v>
      </c>
    </row>
    <row r="749" spans="1:16" x14ac:dyDescent="0.2">
      <c r="A749">
        <v>2963085</v>
      </c>
      <c r="B749" t="s">
        <v>1474</v>
      </c>
      <c r="C749" t="s">
        <v>47</v>
      </c>
      <c r="D749" t="s">
        <v>139</v>
      </c>
      <c r="E749" s="1">
        <v>44631</v>
      </c>
      <c r="F749" t="s">
        <v>1475</v>
      </c>
      <c r="G749" s="1">
        <v>44644</v>
      </c>
      <c r="H749" s="1">
        <v>44685</v>
      </c>
      <c r="J749" s="1" t="b">
        <f t="shared" si="77"/>
        <v>1</v>
      </c>
      <c r="K749" s="1" t="b">
        <f t="shared" si="78"/>
        <v>0</v>
      </c>
      <c r="L749" s="1" t="b">
        <f t="shared" si="79"/>
        <v>0</v>
      </c>
      <c r="M749" s="1" t="b">
        <f t="shared" si="80"/>
        <v>0</v>
      </c>
      <c r="N749" s="1" t="b">
        <f t="shared" si="81"/>
        <v>0</v>
      </c>
      <c r="O749" s="1" t="b">
        <f t="shared" si="82"/>
        <v>0</v>
      </c>
      <c r="P749" s="1" t="b">
        <f t="shared" si="83"/>
        <v>0</v>
      </c>
    </row>
    <row r="750" spans="1:16" x14ac:dyDescent="0.2">
      <c r="A750">
        <v>4697401</v>
      </c>
      <c r="B750" t="s">
        <v>1476</v>
      </c>
      <c r="C750" t="s">
        <v>167</v>
      </c>
      <c r="D750" t="s">
        <v>19</v>
      </c>
      <c r="E750" s="1">
        <v>44571</v>
      </c>
      <c r="F750" t="s">
        <v>1477</v>
      </c>
      <c r="G750" s="1">
        <v>44594</v>
      </c>
      <c r="H750" s="1">
        <v>44648</v>
      </c>
      <c r="I750" t="s">
        <v>28</v>
      </c>
      <c r="J750" s="1" t="b">
        <f t="shared" si="77"/>
        <v>1</v>
      </c>
      <c r="K750" s="1" t="b">
        <f t="shared" si="78"/>
        <v>0</v>
      </c>
      <c r="L750" s="1" t="b">
        <f t="shared" si="79"/>
        <v>0</v>
      </c>
      <c r="M750" s="1" t="b">
        <f t="shared" si="80"/>
        <v>0</v>
      </c>
      <c r="N750" s="1" t="b">
        <f t="shared" si="81"/>
        <v>0</v>
      </c>
      <c r="O750" s="1" t="b">
        <f t="shared" si="82"/>
        <v>0</v>
      </c>
      <c r="P750" s="1" t="b">
        <f t="shared" si="83"/>
        <v>1</v>
      </c>
    </row>
    <row r="751" spans="1:16" x14ac:dyDescent="0.2">
      <c r="A751">
        <v>4697401</v>
      </c>
      <c r="B751" t="s">
        <v>1478</v>
      </c>
      <c r="C751" t="s">
        <v>167</v>
      </c>
      <c r="D751" t="s">
        <v>19</v>
      </c>
      <c r="E751" s="1">
        <v>44970</v>
      </c>
      <c r="F751" t="s">
        <v>536</v>
      </c>
      <c r="G751" s="1">
        <v>44992</v>
      </c>
      <c r="I751" t="s">
        <v>25</v>
      </c>
      <c r="J751" s="1" t="b">
        <f t="shared" si="77"/>
        <v>0</v>
      </c>
      <c r="K751" s="1" t="b">
        <f t="shared" si="78"/>
        <v>0</v>
      </c>
      <c r="L751" s="1" t="b">
        <f t="shared" si="79"/>
        <v>1</v>
      </c>
      <c r="M751" s="1" t="b">
        <f t="shared" si="80"/>
        <v>0</v>
      </c>
      <c r="N751" s="1" t="b">
        <f t="shared" si="81"/>
        <v>0</v>
      </c>
      <c r="O751" s="1" t="b">
        <f t="shared" si="82"/>
        <v>0</v>
      </c>
      <c r="P751" s="1" t="b">
        <f t="shared" si="83"/>
        <v>0</v>
      </c>
    </row>
    <row r="752" spans="1:16" x14ac:dyDescent="0.2">
      <c r="A752">
        <v>4697401</v>
      </c>
      <c r="B752" t="s">
        <v>1479</v>
      </c>
      <c r="C752" t="s">
        <v>167</v>
      </c>
      <c r="D752" t="s">
        <v>19</v>
      </c>
      <c r="E752" s="1">
        <v>44744</v>
      </c>
      <c r="F752" t="s">
        <v>1099</v>
      </c>
      <c r="G752" s="1">
        <v>44760</v>
      </c>
      <c r="H752" s="1">
        <v>44781</v>
      </c>
      <c r="I752" t="s">
        <v>28</v>
      </c>
      <c r="J752" s="1" t="b">
        <f t="shared" si="77"/>
        <v>1</v>
      </c>
      <c r="K752" s="1" t="b">
        <f t="shared" si="78"/>
        <v>0</v>
      </c>
      <c r="L752" s="1" t="b">
        <f t="shared" si="79"/>
        <v>0</v>
      </c>
      <c r="M752" s="1" t="b">
        <f t="shared" si="80"/>
        <v>0</v>
      </c>
      <c r="N752" s="1" t="b">
        <f t="shared" si="81"/>
        <v>0</v>
      </c>
      <c r="O752" s="1" t="b">
        <f t="shared" si="82"/>
        <v>0</v>
      </c>
      <c r="P752" s="1" t="b">
        <f t="shared" si="83"/>
        <v>1</v>
      </c>
    </row>
    <row r="753" spans="1:16" x14ac:dyDescent="0.2">
      <c r="A753">
        <v>6931382</v>
      </c>
      <c r="B753" t="s">
        <v>1480</v>
      </c>
      <c r="C753" t="s">
        <v>454</v>
      </c>
      <c r="D753" t="s">
        <v>81</v>
      </c>
      <c r="E753" s="1">
        <v>44756</v>
      </c>
      <c r="F753" t="s">
        <v>1481</v>
      </c>
      <c r="G753" s="1">
        <v>44772</v>
      </c>
      <c r="I753" t="s">
        <v>13</v>
      </c>
      <c r="J753" s="1" t="b">
        <f t="shared" si="77"/>
        <v>0</v>
      </c>
      <c r="K753" s="1" t="b">
        <f t="shared" si="78"/>
        <v>1</v>
      </c>
      <c r="L753" s="1" t="b">
        <f t="shared" si="79"/>
        <v>0</v>
      </c>
      <c r="M753" s="1" t="b">
        <f t="shared" si="80"/>
        <v>0</v>
      </c>
      <c r="N753" s="1" t="b">
        <f t="shared" si="81"/>
        <v>0</v>
      </c>
      <c r="O753" s="1" t="b">
        <f t="shared" si="82"/>
        <v>0</v>
      </c>
      <c r="P753" s="1" t="b">
        <f t="shared" si="83"/>
        <v>0</v>
      </c>
    </row>
    <row r="754" spans="1:16" x14ac:dyDescent="0.2">
      <c r="A754">
        <v>6931382</v>
      </c>
      <c r="B754" t="s">
        <v>1482</v>
      </c>
      <c r="C754" t="s">
        <v>454</v>
      </c>
      <c r="D754" t="s">
        <v>81</v>
      </c>
      <c r="E754" s="1">
        <v>44833</v>
      </c>
      <c r="F754" t="s">
        <v>1483</v>
      </c>
      <c r="G754" s="1">
        <v>44840</v>
      </c>
      <c r="H754" s="1">
        <v>44855</v>
      </c>
      <c r="I754" t="s">
        <v>43</v>
      </c>
      <c r="J754" s="1" t="b">
        <f t="shared" si="77"/>
        <v>1</v>
      </c>
      <c r="K754" s="1" t="b">
        <f t="shared" si="78"/>
        <v>0</v>
      </c>
      <c r="L754" s="1" t="b">
        <f t="shared" si="79"/>
        <v>0</v>
      </c>
      <c r="M754" s="1" t="b">
        <f t="shared" si="80"/>
        <v>0</v>
      </c>
      <c r="N754" s="1" t="b">
        <f t="shared" si="81"/>
        <v>0</v>
      </c>
      <c r="O754" s="1" t="b">
        <f t="shared" si="82"/>
        <v>1</v>
      </c>
      <c r="P754" s="1" t="b">
        <f t="shared" si="83"/>
        <v>0</v>
      </c>
    </row>
    <row r="755" spans="1:16" x14ac:dyDescent="0.2">
      <c r="A755">
        <v>6931382</v>
      </c>
      <c r="B755" t="s">
        <v>1484</v>
      </c>
      <c r="C755" t="s">
        <v>454</v>
      </c>
      <c r="D755" t="s">
        <v>81</v>
      </c>
      <c r="E755" s="1">
        <v>44926</v>
      </c>
      <c r="F755" t="s">
        <v>1485</v>
      </c>
      <c r="G755" s="1">
        <v>44931</v>
      </c>
      <c r="I755" t="s">
        <v>25</v>
      </c>
      <c r="J755" s="1" t="b">
        <f t="shared" si="77"/>
        <v>0</v>
      </c>
      <c r="K755" s="1" t="b">
        <f t="shared" si="78"/>
        <v>0</v>
      </c>
      <c r="L755" s="1" t="b">
        <f t="shared" si="79"/>
        <v>1</v>
      </c>
      <c r="M755" s="1" t="b">
        <f t="shared" si="80"/>
        <v>0</v>
      </c>
      <c r="N755" s="1" t="b">
        <f t="shared" si="81"/>
        <v>0</v>
      </c>
      <c r="O755" s="1" t="b">
        <f t="shared" si="82"/>
        <v>0</v>
      </c>
      <c r="P755" s="1" t="b">
        <f t="shared" si="83"/>
        <v>0</v>
      </c>
    </row>
    <row r="756" spans="1:16" x14ac:dyDescent="0.2">
      <c r="A756">
        <v>2789949</v>
      </c>
      <c r="B756" t="s">
        <v>1486</v>
      </c>
      <c r="C756" t="s">
        <v>176</v>
      </c>
      <c r="D756" t="s">
        <v>122</v>
      </c>
      <c r="E756" s="1">
        <v>44942</v>
      </c>
      <c r="F756" t="s">
        <v>1487</v>
      </c>
      <c r="G756" s="1">
        <v>44962</v>
      </c>
      <c r="H756" s="1">
        <v>44983</v>
      </c>
      <c r="I756" t="s">
        <v>16</v>
      </c>
      <c r="J756" s="1" t="b">
        <f t="shared" si="77"/>
        <v>1</v>
      </c>
      <c r="K756" s="1" t="b">
        <f t="shared" si="78"/>
        <v>0</v>
      </c>
      <c r="L756" s="1" t="b">
        <f t="shared" si="79"/>
        <v>0</v>
      </c>
      <c r="M756" s="1" t="b">
        <f t="shared" si="80"/>
        <v>0</v>
      </c>
      <c r="N756" s="1" t="b">
        <f t="shared" si="81"/>
        <v>1</v>
      </c>
      <c r="O756" s="1" t="b">
        <f t="shared" si="82"/>
        <v>0</v>
      </c>
      <c r="P756" s="1" t="b">
        <f t="shared" si="83"/>
        <v>0</v>
      </c>
    </row>
    <row r="757" spans="1:16" x14ac:dyDescent="0.2">
      <c r="A757">
        <v>2789949</v>
      </c>
      <c r="B757" t="s">
        <v>1488</v>
      </c>
      <c r="C757" t="s">
        <v>176</v>
      </c>
      <c r="D757" t="s">
        <v>122</v>
      </c>
      <c r="E757" s="1">
        <v>45085</v>
      </c>
      <c r="F757" t="s">
        <v>1489</v>
      </c>
      <c r="G757" s="1">
        <v>45094</v>
      </c>
      <c r="H757" s="1">
        <v>45120</v>
      </c>
      <c r="I757" t="s">
        <v>28</v>
      </c>
      <c r="J757" s="1" t="b">
        <f t="shared" si="77"/>
        <v>1</v>
      </c>
      <c r="K757" s="1" t="b">
        <f t="shared" si="78"/>
        <v>0</v>
      </c>
      <c r="L757" s="1" t="b">
        <f t="shared" si="79"/>
        <v>0</v>
      </c>
      <c r="M757" s="1" t="b">
        <f t="shared" si="80"/>
        <v>0</v>
      </c>
      <c r="N757" s="1" t="b">
        <f t="shared" si="81"/>
        <v>0</v>
      </c>
      <c r="O757" s="1" t="b">
        <f t="shared" si="82"/>
        <v>0</v>
      </c>
      <c r="P757" s="1" t="b">
        <f t="shared" si="83"/>
        <v>1</v>
      </c>
    </row>
    <row r="758" spans="1:16" x14ac:dyDescent="0.2">
      <c r="A758">
        <v>2789949</v>
      </c>
      <c r="B758" t="s">
        <v>1490</v>
      </c>
      <c r="C758" t="s">
        <v>176</v>
      </c>
      <c r="D758" t="s">
        <v>122</v>
      </c>
      <c r="E758" s="1">
        <v>44617</v>
      </c>
      <c r="F758" t="s">
        <v>1491</v>
      </c>
      <c r="G758" s="1">
        <v>44634</v>
      </c>
      <c r="I758" t="s">
        <v>25</v>
      </c>
      <c r="J758" s="1" t="b">
        <f t="shared" si="77"/>
        <v>0</v>
      </c>
      <c r="K758" s="1" t="b">
        <f t="shared" si="78"/>
        <v>0</v>
      </c>
      <c r="L758" s="1" t="b">
        <f t="shared" si="79"/>
        <v>1</v>
      </c>
      <c r="M758" s="1" t="b">
        <f t="shared" si="80"/>
        <v>0</v>
      </c>
      <c r="N758" s="1" t="b">
        <f t="shared" si="81"/>
        <v>0</v>
      </c>
      <c r="O758" s="1" t="b">
        <f t="shared" si="82"/>
        <v>0</v>
      </c>
      <c r="P758" s="1" t="b">
        <f t="shared" si="83"/>
        <v>0</v>
      </c>
    </row>
    <row r="759" spans="1:16" x14ac:dyDescent="0.2">
      <c r="A759">
        <v>2789949</v>
      </c>
      <c r="B759" t="s">
        <v>1492</v>
      </c>
      <c r="C759" t="s">
        <v>176</v>
      </c>
      <c r="D759" t="s">
        <v>122</v>
      </c>
      <c r="E759" s="1">
        <v>44595</v>
      </c>
      <c r="F759" t="s">
        <v>1493</v>
      </c>
      <c r="G759" s="1">
        <v>44612</v>
      </c>
      <c r="H759" s="1">
        <v>44635</v>
      </c>
      <c r="J759" s="1" t="b">
        <f t="shared" si="77"/>
        <v>1</v>
      </c>
      <c r="K759" s="1" t="b">
        <f t="shared" si="78"/>
        <v>0</v>
      </c>
      <c r="L759" s="1" t="b">
        <f t="shared" si="79"/>
        <v>0</v>
      </c>
      <c r="M759" s="1" t="b">
        <f t="shared" si="80"/>
        <v>0</v>
      </c>
      <c r="N759" s="1" t="b">
        <f t="shared" si="81"/>
        <v>0</v>
      </c>
      <c r="O759" s="1" t="b">
        <f t="shared" si="82"/>
        <v>0</v>
      </c>
      <c r="P759" s="1" t="b">
        <f t="shared" si="83"/>
        <v>0</v>
      </c>
    </row>
    <row r="760" spans="1:16" x14ac:dyDescent="0.2">
      <c r="A760">
        <v>7605473</v>
      </c>
      <c r="B760" t="s">
        <v>1494</v>
      </c>
      <c r="C760" t="s">
        <v>90</v>
      </c>
      <c r="D760" t="s">
        <v>187</v>
      </c>
      <c r="E760" s="1">
        <v>44570</v>
      </c>
      <c r="F760" t="s">
        <v>1495</v>
      </c>
      <c r="G760" s="1">
        <v>44571</v>
      </c>
      <c r="H760" s="1">
        <v>44615</v>
      </c>
      <c r="J760" s="1" t="b">
        <f t="shared" si="77"/>
        <v>1</v>
      </c>
      <c r="K760" s="1" t="b">
        <f t="shared" si="78"/>
        <v>0</v>
      </c>
      <c r="L760" s="1" t="b">
        <f t="shared" si="79"/>
        <v>0</v>
      </c>
      <c r="M760" s="1" t="b">
        <f t="shared" si="80"/>
        <v>0</v>
      </c>
      <c r="N760" s="1" t="b">
        <f t="shared" si="81"/>
        <v>0</v>
      </c>
      <c r="O760" s="1" t="b">
        <f t="shared" si="82"/>
        <v>0</v>
      </c>
      <c r="P760" s="1" t="b">
        <f t="shared" si="83"/>
        <v>0</v>
      </c>
    </row>
    <row r="761" spans="1:16" x14ac:dyDescent="0.2">
      <c r="A761">
        <v>7605473</v>
      </c>
      <c r="B761" t="s">
        <v>1496</v>
      </c>
      <c r="C761" t="s">
        <v>90</v>
      </c>
      <c r="D761" t="s">
        <v>187</v>
      </c>
      <c r="E761" s="1">
        <v>44895</v>
      </c>
      <c r="F761" t="s">
        <v>1171</v>
      </c>
      <c r="G761" s="1">
        <v>44907</v>
      </c>
      <c r="I761" t="s">
        <v>25</v>
      </c>
      <c r="J761" s="1" t="b">
        <f t="shared" si="77"/>
        <v>0</v>
      </c>
      <c r="K761" s="1" t="b">
        <f t="shared" si="78"/>
        <v>0</v>
      </c>
      <c r="L761" s="1" t="b">
        <f t="shared" si="79"/>
        <v>1</v>
      </c>
      <c r="M761" s="1" t="b">
        <f t="shared" si="80"/>
        <v>0</v>
      </c>
      <c r="N761" s="1" t="b">
        <f t="shared" si="81"/>
        <v>0</v>
      </c>
      <c r="O761" s="1" t="b">
        <f t="shared" si="82"/>
        <v>0</v>
      </c>
      <c r="P761" s="1" t="b">
        <f t="shared" si="83"/>
        <v>0</v>
      </c>
    </row>
    <row r="762" spans="1:16" x14ac:dyDescent="0.2">
      <c r="A762">
        <v>7605473</v>
      </c>
      <c r="B762" t="s">
        <v>1497</v>
      </c>
      <c r="C762" t="s">
        <v>90</v>
      </c>
      <c r="D762" t="s">
        <v>187</v>
      </c>
      <c r="E762" s="1">
        <v>44831</v>
      </c>
      <c r="F762" t="s">
        <v>1498</v>
      </c>
      <c r="G762" s="1">
        <v>44839</v>
      </c>
      <c r="H762" s="1">
        <v>44857</v>
      </c>
      <c r="I762" t="s">
        <v>28</v>
      </c>
      <c r="J762" s="1" t="b">
        <f t="shared" si="77"/>
        <v>1</v>
      </c>
      <c r="K762" s="1" t="b">
        <f t="shared" si="78"/>
        <v>0</v>
      </c>
      <c r="L762" s="1" t="b">
        <f t="shared" si="79"/>
        <v>0</v>
      </c>
      <c r="M762" s="1" t="b">
        <f t="shared" si="80"/>
        <v>0</v>
      </c>
      <c r="N762" s="1" t="b">
        <f t="shared" si="81"/>
        <v>0</v>
      </c>
      <c r="O762" s="1" t="b">
        <f t="shared" si="82"/>
        <v>0</v>
      </c>
      <c r="P762" s="1" t="b">
        <f t="shared" si="83"/>
        <v>1</v>
      </c>
    </row>
    <row r="763" spans="1:16" x14ac:dyDescent="0.2">
      <c r="A763">
        <v>7605473</v>
      </c>
      <c r="B763" t="s">
        <v>1499</v>
      </c>
      <c r="C763" t="s">
        <v>90</v>
      </c>
      <c r="D763" t="s">
        <v>187</v>
      </c>
      <c r="E763" s="1">
        <v>45072</v>
      </c>
      <c r="F763" t="s">
        <v>1500</v>
      </c>
      <c r="G763" s="1">
        <v>45086</v>
      </c>
      <c r="H763" s="1">
        <v>45100</v>
      </c>
      <c r="I763" t="s">
        <v>28</v>
      </c>
      <c r="J763" s="1" t="b">
        <f t="shared" si="77"/>
        <v>1</v>
      </c>
      <c r="K763" s="1" t="b">
        <f t="shared" si="78"/>
        <v>0</v>
      </c>
      <c r="L763" s="1" t="b">
        <f t="shared" si="79"/>
        <v>0</v>
      </c>
      <c r="M763" s="1" t="b">
        <f t="shared" si="80"/>
        <v>0</v>
      </c>
      <c r="N763" s="1" t="b">
        <f t="shared" si="81"/>
        <v>0</v>
      </c>
      <c r="O763" s="1" t="b">
        <f t="shared" si="82"/>
        <v>0</v>
      </c>
      <c r="P763" s="1" t="b">
        <f t="shared" si="83"/>
        <v>1</v>
      </c>
    </row>
    <row r="764" spans="1:16" x14ac:dyDescent="0.2">
      <c r="A764">
        <v>8031212</v>
      </c>
      <c r="B764" t="s">
        <v>1501</v>
      </c>
      <c r="C764" t="s">
        <v>240</v>
      </c>
      <c r="D764" t="s">
        <v>39</v>
      </c>
      <c r="E764" s="1">
        <v>44696</v>
      </c>
      <c r="F764" t="s">
        <v>1502</v>
      </c>
      <c r="G764" s="1">
        <v>44715</v>
      </c>
      <c r="H764" s="1">
        <v>44759</v>
      </c>
      <c r="I764" t="s">
        <v>28</v>
      </c>
      <c r="J764" s="1" t="b">
        <f t="shared" si="77"/>
        <v>1</v>
      </c>
      <c r="K764" s="1" t="b">
        <f t="shared" si="78"/>
        <v>0</v>
      </c>
      <c r="L764" s="1" t="b">
        <f t="shared" si="79"/>
        <v>0</v>
      </c>
      <c r="M764" s="1" t="b">
        <f t="shared" si="80"/>
        <v>0</v>
      </c>
      <c r="N764" s="1" t="b">
        <f t="shared" si="81"/>
        <v>0</v>
      </c>
      <c r="O764" s="1" t="b">
        <f t="shared" si="82"/>
        <v>0</v>
      </c>
      <c r="P764" s="1" t="b">
        <f t="shared" si="83"/>
        <v>1</v>
      </c>
    </row>
    <row r="765" spans="1:16" x14ac:dyDescent="0.2">
      <c r="A765">
        <v>8031212</v>
      </c>
      <c r="B765" t="s">
        <v>1503</v>
      </c>
      <c r="C765" t="s">
        <v>240</v>
      </c>
      <c r="D765" t="s">
        <v>39</v>
      </c>
      <c r="E765" s="1">
        <v>44838</v>
      </c>
      <c r="F765" t="s">
        <v>1504</v>
      </c>
      <c r="G765" s="1">
        <v>44864</v>
      </c>
      <c r="I765" t="s">
        <v>25</v>
      </c>
      <c r="J765" s="1" t="b">
        <f t="shared" si="77"/>
        <v>0</v>
      </c>
      <c r="K765" s="1" t="b">
        <f t="shared" si="78"/>
        <v>0</v>
      </c>
      <c r="L765" s="1" t="b">
        <f t="shared" si="79"/>
        <v>1</v>
      </c>
      <c r="M765" s="1" t="b">
        <f t="shared" si="80"/>
        <v>0</v>
      </c>
      <c r="N765" s="1" t="b">
        <f t="shared" si="81"/>
        <v>0</v>
      </c>
      <c r="O765" s="1" t="b">
        <f t="shared" si="82"/>
        <v>0</v>
      </c>
      <c r="P765" s="1" t="b">
        <f t="shared" si="83"/>
        <v>0</v>
      </c>
    </row>
    <row r="766" spans="1:16" x14ac:dyDescent="0.2">
      <c r="A766">
        <v>8031212</v>
      </c>
      <c r="B766" t="s">
        <v>1505</v>
      </c>
      <c r="C766" t="s">
        <v>240</v>
      </c>
      <c r="D766" t="s">
        <v>39</v>
      </c>
      <c r="E766" s="1">
        <v>44952</v>
      </c>
      <c r="F766" t="s">
        <v>477</v>
      </c>
      <c r="G766" s="1">
        <v>44959</v>
      </c>
      <c r="I766" t="s">
        <v>25</v>
      </c>
      <c r="J766" s="1" t="b">
        <f t="shared" si="77"/>
        <v>0</v>
      </c>
      <c r="K766" s="1" t="b">
        <f t="shared" si="78"/>
        <v>0</v>
      </c>
      <c r="L766" s="1" t="b">
        <f t="shared" si="79"/>
        <v>1</v>
      </c>
      <c r="M766" s="1" t="b">
        <f t="shared" si="80"/>
        <v>0</v>
      </c>
      <c r="N766" s="1" t="b">
        <f t="shared" si="81"/>
        <v>0</v>
      </c>
      <c r="O766" s="1" t="b">
        <f t="shared" si="82"/>
        <v>0</v>
      </c>
      <c r="P766" s="1" t="b">
        <f t="shared" si="83"/>
        <v>0</v>
      </c>
    </row>
    <row r="767" spans="1:16" x14ac:dyDescent="0.2">
      <c r="A767">
        <v>3446851</v>
      </c>
      <c r="B767" t="s">
        <v>1506</v>
      </c>
      <c r="C767" t="s">
        <v>47</v>
      </c>
      <c r="D767" t="s">
        <v>187</v>
      </c>
      <c r="E767" s="1">
        <v>44699</v>
      </c>
      <c r="F767" t="s">
        <v>263</v>
      </c>
      <c r="G767" s="1">
        <v>44728</v>
      </c>
      <c r="H767" s="1">
        <v>44783</v>
      </c>
      <c r="I767" t="s">
        <v>43</v>
      </c>
      <c r="J767" s="1" t="b">
        <f t="shared" si="77"/>
        <v>1</v>
      </c>
      <c r="K767" s="1" t="b">
        <f t="shared" si="78"/>
        <v>0</v>
      </c>
      <c r="L767" s="1" t="b">
        <f t="shared" si="79"/>
        <v>0</v>
      </c>
      <c r="M767" s="1" t="b">
        <f t="shared" si="80"/>
        <v>0</v>
      </c>
      <c r="N767" s="1" t="b">
        <f t="shared" si="81"/>
        <v>0</v>
      </c>
      <c r="O767" s="1" t="b">
        <f t="shared" si="82"/>
        <v>1</v>
      </c>
      <c r="P767" s="1" t="b">
        <f t="shared" si="83"/>
        <v>0</v>
      </c>
    </row>
    <row r="768" spans="1:16" x14ac:dyDescent="0.2">
      <c r="A768">
        <v>3446851</v>
      </c>
      <c r="B768" t="s">
        <v>1507</v>
      </c>
      <c r="C768" t="s">
        <v>47</v>
      </c>
      <c r="D768" t="s">
        <v>187</v>
      </c>
      <c r="E768" s="1">
        <v>44869</v>
      </c>
      <c r="F768" t="s">
        <v>1508</v>
      </c>
      <c r="G768" s="1">
        <v>44878</v>
      </c>
      <c r="H768" s="1">
        <v>44914</v>
      </c>
      <c r="I768" t="s">
        <v>28</v>
      </c>
      <c r="J768" s="1" t="b">
        <f t="shared" si="77"/>
        <v>1</v>
      </c>
      <c r="K768" s="1" t="b">
        <f t="shared" si="78"/>
        <v>0</v>
      </c>
      <c r="L768" s="1" t="b">
        <f t="shared" si="79"/>
        <v>0</v>
      </c>
      <c r="M768" s="1" t="b">
        <f t="shared" si="80"/>
        <v>0</v>
      </c>
      <c r="N768" s="1" t="b">
        <f t="shared" si="81"/>
        <v>0</v>
      </c>
      <c r="O768" s="1" t="b">
        <f t="shared" si="82"/>
        <v>0</v>
      </c>
      <c r="P768" s="1" t="b">
        <f t="shared" si="83"/>
        <v>1</v>
      </c>
    </row>
    <row r="769" spans="1:16" x14ac:dyDescent="0.2">
      <c r="A769">
        <v>3446851</v>
      </c>
      <c r="B769" t="s">
        <v>1509</v>
      </c>
      <c r="C769" t="s">
        <v>47</v>
      </c>
      <c r="D769" t="s">
        <v>187</v>
      </c>
      <c r="E769" s="1">
        <v>44729</v>
      </c>
      <c r="F769" t="s">
        <v>1510</v>
      </c>
      <c r="G769" s="1">
        <v>44731</v>
      </c>
      <c r="H769" s="1">
        <v>44745</v>
      </c>
      <c r="I769" t="s">
        <v>16</v>
      </c>
      <c r="J769" s="1" t="b">
        <f t="shared" si="77"/>
        <v>1</v>
      </c>
      <c r="K769" s="1" t="b">
        <f t="shared" si="78"/>
        <v>0</v>
      </c>
      <c r="L769" s="1" t="b">
        <f t="shared" si="79"/>
        <v>0</v>
      </c>
      <c r="M769" s="1" t="b">
        <f t="shared" si="80"/>
        <v>0</v>
      </c>
      <c r="N769" s="1" t="b">
        <f t="shared" si="81"/>
        <v>1</v>
      </c>
      <c r="O769" s="1" t="b">
        <f t="shared" si="82"/>
        <v>0</v>
      </c>
      <c r="P769" s="1" t="b">
        <f t="shared" si="83"/>
        <v>0</v>
      </c>
    </row>
    <row r="770" spans="1:16" x14ac:dyDescent="0.2">
      <c r="A770">
        <v>3446851</v>
      </c>
      <c r="B770" t="s">
        <v>1511</v>
      </c>
      <c r="C770" t="s">
        <v>47</v>
      </c>
      <c r="D770" t="s">
        <v>187</v>
      </c>
      <c r="E770" s="1">
        <v>44660</v>
      </c>
      <c r="F770" t="s">
        <v>1512</v>
      </c>
      <c r="G770" s="1">
        <v>44675</v>
      </c>
      <c r="H770" s="1">
        <v>44723</v>
      </c>
      <c r="J770" s="1" t="b">
        <f t="shared" si="77"/>
        <v>1</v>
      </c>
      <c r="K770" s="1" t="b">
        <f t="shared" si="78"/>
        <v>0</v>
      </c>
      <c r="L770" s="1" t="b">
        <f t="shared" si="79"/>
        <v>0</v>
      </c>
      <c r="M770" s="1" t="b">
        <f t="shared" si="80"/>
        <v>0</v>
      </c>
      <c r="N770" s="1" t="b">
        <f t="shared" si="81"/>
        <v>0</v>
      </c>
      <c r="O770" s="1" t="b">
        <f t="shared" si="82"/>
        <v>0</v>
      </c>
      <c r="P770" s="1" t="b">
        <f t="shared" si="83"/>
        <v>0</v>
      </c>
    </row>
    <row r="771" spans="1:16" x14ac:dyDescent="0.2">
      <c r="A771">
        <v>6614605</v>
      </c>
      <c r="B771" t="s">
        <v>1513</v>
      </c>
      <c r="C771" t="s">
        <v>282</v>
      </c>
      <c r="D771" t="s">
        <v>39</v>
      </c>
      <c r="E771" s="1">
        <v>44983</v>
      </c>
      <c r="F771" t="s">
        <v>877</v>
      </c>
      <c r="G771" s="1">
        <v>44987</v>
      </c>
      <c r="H771" s="1">
        <v>45010</v>
      </c>
      <c r="I771" t="s">
        <v>28</v>
      </c>
      <c r="J771" s="1" t="b">
        <f t="shared" ref="J771:J834" si="84">AND(NOT(ISBLANK(H771)), NOT(OR(ISNUMBER(SEARCH("decline", I771)), ISNUMBER(SEARCH("rescind", I771)), ISNUMBER(SEARCH("cancel", I771)))))</f>
        <v>1</v>
      </c>
      <c r="K771" s="1" t="b">
        <f t="shared" ref="K771:K834" si="85">ISNUMBER(SEARCH("decline", I771))</f>
        <v>0</v>
      </c>
      <c r="L771" s="1" t="b">
        <f t="shared" ref="L771:L834" si="86">ISNUMBER(SEARCH("rescind", I771))</f>
        <v>0</v>
      </c>
      <c r="M771" s="1" t="b">
        <f t="shared" ref="M771:M834" si="87">ISNUMBER(SEARCH("cancel", I771))</f>
        <v>0</v>
      </c>
      <c r="N771" s="1" t="b">
        <f t="shared" ref="N771:N834" si="88">ISNUMBER(SEARCH("transfer", I771))</f>
        <v>0</v>
      </c>
      <c r="O771" s="1" t="b">
        <f t="shared" ref="O771:O834" si="89">ISNUMBER(SEARCH("promo", I771))</f>
        <v>0</v>
      </c>
      <c r="P771" s="1" t="b">
        <f t="shared" ref="P771:P834" si="90">ISNUMBER(SEARCH("new", I771))</f>
        <v>1</v>
      </c>
    </row>
    <row r="772" spans="1:16" x14ac:dyDescent="0.2">
      <c r="A772">
        <v>6614605</v>
      </c>
      <c r="B772" t="s">
        <v>1514</v>
      </c>
      <c r="C772" t="s">
        <v>282</v>
      </c>
      <c r="D772" t="s">
        <v>39</v>
      </c>
      <c r="E772" s="1">
        <v>44740</v>
      </c>
      <c r="F772" t="s">
        <v>1515</v>
      </c>
      <c r="G772" s="1">
        <v>44765</v>
      </c>
      <c r="H772" s="1">
        <v>44784</v>
      </c>
      <c r="I772" t="s">
        <v>43</v>
      </c>
      <c r="J772" s="1" t="b">
        <f t="shared" si="84"/>
        <v>1</v>
      </c>
      <c r="K772" s="1" t="b">
        <f t="shared" si="85"/>
        <v>0</v>
      </c>
      <c r="L772" s="1" t="b">
        <f t="shared" si="86"/>
        <v>0</v>
      </c>
      <c r="M772" s="1" t="b">
        <f t="shared" si="87"/>
        <v>0</v>
      </c>
      <c r="N772" s="1" t="b">
        <f t="shared" si="88"/>
        <v>0</v>
      </c>
      <c r="O772" s="1" t="b">
        <f t="shared" si="89"/>
        <v>1</v>
      </c>
      <c r="P772" s="1" t="b">
        <f t="shared" si="90"/>
        <v>0</v>
      </c>
    </row>
    <row r="773" spans="1:16" x14ac:dyDescent="0.2">
      <c r="A773">
        <v>6614605</v>
      </c>
      <c r="B773" t="s">
        <v>1516</v>
      </c>
      <c r="C773" t="s">
        <v>282</v>
      </c>
      <c r="D773" t="s">
        <v>39</v>
      </c>
      <c r="E773" s="1">
        <v>45019</v>
      </c>
      <c r="F773" t="s">
        <v>1517</v>
      </c>
      <c r="G773" s="1">
        <v>45048</v>
      </c>
      <c r="H773" s="1">
        <v>45054</v>
      </c>
      <c r="J773" s="1" t="b">
        <f t="shared" si="84"/>
        <v>1</v>
      </c>
      <c r="K773" s="1" t="b">
        <f t="shared" si="85"/>
        <v>0</v>
      </c>
      <c r="L773" s="1" t="b">
        <f t="shared" si="86"/>
        <v>0</v>
      </c>
      <c r="M773" s="1" t="b">
        <f t="shared" si="87"/>
        <v>0</v>
      </c>
      <c r="N773" s="1" t="b">
        <f t="shared" si="88"/>
        <v>0</v>
      </c>
      <c r="O773" s="1" t="b">
        <f t="shared" si="89"/>
        <v>0</v>
      </c>
      <c r="P773" s="1" t="b">
        <f t="shared" si="90"/>
        <v>0</v>
      </c>
    </row>
    <row r="774" spans="1:16" x14ac:dyDescent="0.2">
      <c r="A774">
        <v>7393310</v>
      </c>
      <c r="B774" t="s">
        <v>1518</v>
      </c>
      <c r="C774" t="s">
        <v>121</v>
      </c>
      <c r="D774" t="s">
        <v>11</v>
      </c>
      <c r="E774" s="1">
        <v>44907</v>
      </c>
      <c r="F774" t="s">
        <v>1519</v>
      </c>
      <c r="G774" s="1">
        <v>44921</v>
      </c>
      <c r="H774" s="1">
        <v>44962</v>
      </c>
      <c r="I774" t="s">
        <v>43</v>
      </c>
      <c r="J774" s="1" t="b">
        <f t="shared" si="84"/>
        <v>1</v>
      </c>
      <c r="K774" s="1" t="b">
        <f t="shared" si="85"/>
        <v>0</v>
      </c>
      <c r="L774" s="1" t="b">
        <f t="shared" si="86"/>
        <v>0</v>
      </c>
      <c r="M774" s="1" t="b">
        <f t="shared" si="87"/>
        <v>0</v>
      </c>
      <c r="N774" s="1" t="b">
        <f t="shared" si="88"/>
        <v>0</v>
      </c>
      <c r="O774" s="1" t="b">
        <f t="shared" si="89"/>
        <v>1</v>
      </c>
      <c r="P774" s="1" t="b">
        <f t="shared" si="90"/>
        <v>0</v>
      </c>
    </row>
    <row r="775" spans="1:16" x14ac:dyDescent="0.2">
      <c r="A775">
        <v>7393310</v>
      </c>
      <c r="B775" t="s">
        <v>1520</v>
      </c>
      <c r="C775" t="s">
        <v>121</v>
      </c>
      <c r="D775" t="s">
        <v>11</v>
      </c>
      <c r="E775" s="1">
        <v>44635</v>
      </c>
      <c r="F775" t="s">
        <v>1521</v>
      </c>
      <c r="G775" s="1">
        <v>44638</v>
      </c>
      <c r="H775" s="1">
        <v>44649</v>
      </c>
      <c r="J775" s="1" t="b">
        <f t="shared" si="84"/>
        <v>1</v>
      </c>
      <c r="K775" s="1" t="b">
        <f t="shared" si="85"/>
        <v>0</v>
      </c>
      <c r="L775" s="1" t="b">
        <f t="shared" si="86"/>
        <v>0</v>
      </c>
      <c r="M775" s="1" t="b">
        <f t="shared" si="87"/>
        <v>0</v>
      </c>
      <c r="N775" s="1" t="b">
        <f t="shared" si="88"/>
        <v>0</v>
      </c>
      <c r="O775" s="1" t="b">
        <f t="shared" si="89"/>
        <v>0</v>
      </c>
      <c r="P775" s="1" t="b">
        <f t="shared" si="90"/>
        <v>0</v>
      </c>
    </row>
    <row r="776" spans="1:16" x14ac:dyDescent="0.2">
      <c r="A776">
        <v>7393310</v>
      </c>
      <c r="B776" t="s">
        <v>1522</v>
      </c>
      <c r="C776" t="s">
        <v>121</v>
      </c>
      <c r="D776" t="s">
        <v>11</v>
      </c>
      <c r="E776" s="1">
        <v>44860</v>
      </c>
      <c r="F776" t="s">
        <v>1523</v>
      </c>
      <c r="G776" s="1">
        <v>44883</v>
      </c>
      <c r="H776" s="1">
        <v>44901</v>
      </c>
      <c r="I776" t="s">
        <v>28</v>
      </c>
      <c r="J776" s="1" t="b">
        <f t="shared" si="84"/>
        <v>1</v>
      </c>
      <c r="K776" s="1" t="b">
        <f t="shared" si="85"/>
        <v>0</v>
      </c>
      <c r="L776" s="1" t="b">
        <f t="shared" si="86"/>
        <v>0</v>
      </c>
      <c r="M776" s="1" t="b">
        <f t="shared" si="87"/>
        <v>0</v>
      </c>
      <c r="N776" s="1" t="b">
        <f t="shared" si="88"/>
        <v>0</v>
      </c>
      <c r="O776" s="1" t="b">
        <f t="shared" si="89"/>
        <v>0</v>
      </c>
      <c r="P776" s="1" t="b">
        <f t="shared" si="90"/>
        <v>1</v>
      </c>
    </row>
    <row r="777" spans="1:16" x14ac:dyDescent="0.2">
      <c r="A777">
        <v>7393310</v>
      </c>
      <c r="B777" t="s">
        <v>1524</v>
      </c>
      <c r="C777" t="s">
        <v>121</v>
      </c>
      <c r="D777" t="s">
        <v>11</v>
      </c>
      <c r="E777" s="1">
        <v>45017</v>
      </c>
      <c r="F777" t="s">
        <v>261</v>
      </c>
      <c r="G777" s="1">
        <v>45042</v>
      </c>
      <c r="H777" s="1">
        <v>45098</v>
      </c>
      <c r="J777" s="1" t="b">
        <f t="shared" si="84"/>
        <v>1</v>
      </c>
      <c r="K777" s="1" t="b">
        <f t="shared" si="85"/>
        <v>0</v>
      </c>
      <c r="L777" s="1" t="b">
        <f t="shared" si="86"/>
        <v>0</v>
      </c>
      <c r="M777" s="1" t="b">
        <f t="shared" si="87"/>
        <v>0</v>
      </c>
      <c r="N777" s="1" t="b">
        <f t="shared" si="88"/>
        <v>0</v>
      </c>
      <c r="O777" s="1" t="b">
        <f t="shared" si="89"/>
        <v>0</v>
      </c>
      <c r="P777" s="1" t="b">
        <f t="shared" si="90"/>
        <v>0</v>
      </c>
    </row>
    <row r="778" spans="1:16" x14ac:dyDescent="0.2">
      <c r="A778">
        <v>7092894</v>
      </c>
      <c r="B778" t="s">
        <v>1525</v>
      </c>
      <c r="C778" t="s">
        <v>138</v>
      </c>
      <c r="D778" t="s">
        <v>81</v>
      </c>
      <c r="E778" s="1">
        <v>44585</v>
      </c>
      <c r="F778" t="s">
        <v>1526</v>
      </c>
      <c r="G778" s="1">
        <v>44590</v>
      </c>
      <c r="H778" s="1">
        <v>44637</v>
      </c>
      <c r="J778" s="1" t="b">
        <f t="shared" si="84"/>
        <v>1</v>
      </c>
      <c r="K778" s="1" t="b">
        <f t="shared" si="85"/>
        <v>0</v>
      </c>
      <c r="L778" s="1" t="b">
        <f t="shared" si="86"/>
        <v>0</v>
      </c>
      <c r="M778" s="1" t="b">
        <f t="shared" si="87"/>
        <v>0</v>
      </c>
      <c r="N778" s="1" t="b">
        <f t="shared" si="88"/>
        <v>0</v>
      </c>
      <c r="O778" s="1" t="b">
        <f t="shared" si="89"/>
        <v>0</v>
      </c>
      <c r="P778" s="1" t="b">
        <f t="shared" si="90"/>
        <v>0</v>
      </c>
    </row>
    <row r="779" spans="1:16" x14ac:dyDescent="0.2">
      <c r="A779">
        <v>7092894</v>
      </c>
      <c r="B779" t="s">
        <v>1527</v>
      </c>
      <c r="C779" t="s">
        <v>138</v>
      </c>
      <c r="D779" t="s">
        <v>81</v>
      </c>
      <c r="E779" s="1">
        <v>44643</v>
      </c>
      <c r="F779" t="s">
        <v>563</v>
      </c>
      <c r="G779" s="1">
        <v>44650</v>
      </c>
      <c r="I779" t="s">
        <v>25</v>
      </c>
      <c r="J779" s="1" t="b">
        <f t="shared" si="84"/>
        <v>0</v>
      </c>
      <c r="K779" s="1" t="b">
        <f t="shared" si="85"/>
        <v>0</v>
      </c>
      <c r="L779" s="1" t="b">
        <f t="shared" si="86"/>
        <v>1</v>
      </c>
      <c r="M779" s="1" t="b">
        <f t="shared" si="87"/>
        <v>0</v>
      </c>
      <c r="N779" s="1" t="b">
        <f t="shared" si="88"/>
        <v>0</v>
      </c>
      <c r="O779" s="1" t="b">
        <f t="shared" si="89"/>
        <v>0</v>
      </c>
      <c r="P779" s="1" t="b">
        <f t="shared" si="90"/>
        <v>0</v>
      </c>
    </row>
    <row r="780" spans="1:16" x14ac:dyDescent="0.2">
      <c r="A780">
        <v>7092894</v>
      </c>
      <c r="B780" t="s">
        <v>1528</v>
      </c>
      <c r="C780" t="s">
        <v>138</v>
      </c>
      <c r="D780" t="s">
        <v>81</v>
      </c>
      <c r="E780" s="1">
        <v>44627</v>
      </c>
      <c r="F780" t="s">
        <v>1529</v>
      </c>
      <c r="G780" s="1">
        <v>44657</v>
      </c>
      <c r="I780" t="s">
        <v>13</v>
      </c>
      <c r="J780" s="1" t="b">
        <f t="shared" si="84"/>
        <v>0</v>
      </c>
      <c r="K780" s="1" t="b">
        <f t="shared" si="85"/>
        <v>1</v>
      </c>
      <c r="L780" s="1" t="b">
        <f t="shared" si="86"/>
        <v>0</v>
      </c>
      <c r="M780" s="1" t="b">
        <f t="shared" si="87"/>
        <v>0</v>
      </c>
      <c r="N780" s="1" t="b">
        <f t="shared" si="88"/>
        <v>0</v>
      </c>
      <c r="O780" s="1" t="b">
        <f t="shared" si="89"/>
        <v>0</v>
      </c>
      <c r="P780" s="1" t="b">
        <f t="shared" si="90"/>
        <v>0</v>
      </c>
    </row>
    <row r="781" spans="1:16" x14ac:dyDescent="0.2">
      <c r="A781">
        <v>7092894</v>
      </c>
      <c r="B781" t="s">
        <v>1530</v>
      </c>
      <c r="C781" t="s">
        <v>138</v>
      </c>
      <c r="D781" t="s">
        <v>81</v>
      </c>
      <c r="E781" s="1">
        <v>44968</v>
      </c>
      <c r="F781" t="s">
        <v>1531</v>
      </c>
      <c r="G781" s="1">
        <v>44985</v>
      </c>
      <c r="H781" s="1">
        <v>45034</v>
      </c>
      <c r="I781" t="s">
        <v>16</v>
      </c>
      <c r="J781" s="1" t="b">
        <f t="shared" si="84"/>
        <v>1</v>
      </c>
      <c r="K781" s="1" t="b">
        <f t="shared" si="85"/>
        <v>0</v>
      </c>
      <c r="L781" s="1" t="b">
        <f t="shared" si="86"/>
        <v>0</v>
      </c>
      <c r="M781" s="1" t="b">
        <f t="shared" si="87"/>
        <v>0</v>
      </c>
      <c r="N781" s="1" t="b">
        <f t="shared" si="88"/>
        <v>1</v>
      </c>
      <c r="O781" s="1" t="b">
        <f t="shared" si="89"/>
        <v>0</v>
      </c>
      <c r="P781" s="1" t="b">
        <f t="shared" si="90"/>
        <v>0</v>
      </c>
    </row>
    <row r="782" spans="1:16" x14ac:dyDescent="0.2">
      <c r="A782">
        <v>7092894</v>
      </c>
      <c r="B782" t="s">
        <v>1532</v>
      </c>
      <c r="C782" t="s">
        <v>138</v>
      </c>
      <c r="D782" t="s">
        <v>81</v>
      </c>
      <c r="E782" s="1">
        <v>44721</v>
      </c>
      <c r="F782" t="s">
        <v>1533</v>
      </c>
      <c r="G782" s="1">
        <v>44724</v>
      </c>
      <c r="H782" s="1">
        <v>44766</v>
      </c>
      <c r="I782" t="s">
        <v>16</v>
      </c>
      <c r="J782" s="1" t="b">
        <f t="shared" si="84"/>
        <v>1</v>
      </c>
      <c r="K782" s="1" t="b">
        <f t="shared" si="85"/>
        <v>0</v>
      </c>
      <c r="L782" s="1" t="b">
        <f t="shared" si="86"/>
        <v>0</v>
      </c>
      <c r="M782" s="1" t="b">
        <f t="shared" si="87"/>
        <v>0</v>
      </c>
      <c r="N782" s="1" t="b">
        <f t="shared" si="88"/>
        <v>1</v>
      </c>
      <c r="O782" s="1" t="b">
        <f t="shared" si="89"/>
        <v>0</v>
      </c>
      <c r="P782" s="1" t="b">
        <f t="shared" si="90"/>
        <v>0</v>
      </c>
    </row>
    <row r="783" spans="1:16" x14ac:dyDescent="0.2">
      <c r="A783">
        <v>7540534</v>
      </c>
      <c r="B783" t="s">
        <v>1534</v>
      </c>
      <c r="C783" t="s">
        <v>110</v>
      </c>
      <c r="D783" t="s">
        <v>19</v>
      </c>
      <c r="E783" s="1">
        <v>44696</v>
      </c>
      <c r="F783" t="s">
        <v>1535</v>
      </c>
      <c r="G783" s="1">
        <v>44713</v>
      </c>
      <c r="H783" s="1">
        <v>44767</v>
      </c>
      <c r="J783" s="1" t="b">
        <f t="shared" si="84"/>
        <v>1</v>
      </c>
      <c r="K783" s="1" t="b">
        <f t="shared" si="85"/>
        <v>0</v>
      </c>
      <c r="L783" s="1" t="b">
        <f t="shared" si="86"/>
        <v>0</v>
      </c>
      <c r="M783" s="1" t="b">
        <f t="shared" si="87"/>
        <v>0</v>
      </c>
      <c r="N783" s="1" t="b">
        <f t="shared" si="88"/>
        <v>0</v>
      </c>
      <c r="O783" s="1" t="b">
        <f t="shared" si="89"/>
        <v>0</v>
      </c>
      <c r="P783" s="1" t="b">
        <f t="shared" si="90"/>
        <v>0</v>
      </c>
    </row>
    <row r="784" spans="1:16" x14ac:dyDescent="0.2">
      <c r="A784">
        <v>7540534</v>
      </c>
      <c r="B784" t="s">
        <v>1536</v>
      </c>
      <c r="C784" t="s">
        <v>110</v>
      </c>
      <c r="D784" t="s">
        <v>19</v>
      </c>
      <c r="E784" s="1">
        <v>44927</v>
      </c>
      <c r="F784" t="s">
        <v>1537</v>
      </c>
      <c r="G784" s="1">
        <v>44955</v>
      </c>
      <c r="I784" t="s">
        <v>13</v>
      </c>
      <c r="J784" s="1" t="b">
        <f t="shared" si="84"/>
        <v>0</v>
      </c>
      <c r="K784" s="1" t="b">
        <f t="shared" si="85"/>
        <v>1</v>
      </c>
      <c r="L784" s="1" t="b">
        <f t="shared" si="86"/>
        <v>0</v>
      </c>
      <c r="M784" s="1" t="b">
        <f t="shared" si="87"/>
        <v>0</v>
      </c>
      <c r="N784" s="1" t="b">
        <f t="shared" si="88"/>
        <v>0</v>
      </c>
      <c r="O784" s="1" t="b">
        <f t="shared" si="89"/>
        <v>0</v>
      </c>
      <c r="P784" s="1" t="b">
        <f t="shared" si="90"/>
        <v>0</v>
      </c>
    </row>
    <row r="785" spans="1:16" x14ac:dyDescent="0.2">
      <c r="A785">
        <v>6455972</v>
      </c>
      <c r="B785" t="s">
        <v>1538</v>
      </c>
      <c r="C785" t="s">
        <v>90</v>
      </c>
      <c r="D785" t="s">
        <v>77</v>
      </c>
      <c r="E785" s="1">
        <v>44700</v>
      </c>
      <c r="F785" t="s">
        <v>1539</v>
      </c>
      <c r="G785" s="1">
        <v>44723</v>
      </c>
      <c r="H785" s="1">
        <v>44758</v>
      </c>
      <c r="I785" t="s">
        <v>28</v>
      </c>
      <c r="J785" s="1" t="b">
        <f t="shared" si="84"/>
        <v>1</v>
      </c>
      <c r="K785" s="1" t="b">
        <f t="shared" si="85"/>
        <v>0</v>
      </c>
      <c r="L785" s="1" t="b">
        <f t="shared" si="86"/>
        <v>0</v>
      </c>
      <c r="M785" s="1" t="b">
        <f t="shared" si="87"/>
        <v>0</v>
      </c>
      <c r="N785" s="1" t="b">
        <f t="shared" si="88"/>
        <v>0</v>
      </c>
      <c r="O785" s="1" t="b">
        <f t="shared" si="89"/>
        <v>0</v>
      </c>
      <c r="P785" s="1" t="b">
        <f t="shared" si="90"/>
        <v>1</v>
      </c>
    </row>
    <row r="786" spans="1:16" x14ac:dyDescent="0.2">
      <c r="A786">
        <v>6455972</v>
      </c>
      <c r="B786" t="s">
        <v>1540</v>
      </c>
      <c r="C786" t="s">
        <v>90</v>
      </c>
      <c r="D786" t="s">
        <v>77</v>
      </c>
      <c r="E786" s="1">
        <v>45007</v>
      </c>
      <c r="F786" t="s">
        <v>1541</v>
      </c>
      <c r="G786" s="1">
        <v>45024</v>
      </c>
      <c r="I786" t="s">
        <v>13</v>
      </c>
      <c r="J786" s="1" t="b">
        <f t="shared" si="84"/>
        <v>0</v>
      </c>
      <c r="K786" s="1" t="b">
        <f t="shared" si="85"/>
        <v>1</v>
      </c>
      <c r="L786" s="1" t="b">
        <f t="shared" si="86"/>
        <v>0</v>
      </c>
      <c r="M786" s="1" t="b">
        <f t="shared" si="87"/>
        <v>0</v>
      </c>
      <c r="N786" s="1" t="b">
        <f t="shared" si="88"/>
        <v>0</v>
      </c>
      <c r="O786" s="1" t="b">
        <f t="shared" si="89"/>
        <v>0</v>
      </c>
      <c r="P786" s="1" t="b">
        <f t="shared" si="90"/>
        <v>0</v>
      </c>
    </row>
    <row r="787" spans="1:16" x14ac:dyDescent="0.2">
      <c r="A787">
        <v>6455972</v>
      </c>
      <c r="B787" t="s">
        <v>1542</v>
      </c>
      <c r="C787" t="s">
        <v>90</v>
      </c>
      <c r="D787" t="s">
        <v>77</v>
      </c>
      <c r="E787" s="1">
        <v>45055</v>
      </c>
      <c r="F787" t="s">
        <v>1543</v>
      </c>
      <c r="G787" s="1">
        <v>45073</v>
      </c>
      <c r="H787" s="1">
        <v>45088</v>
      </c>
      <c r="I787" t="s">
        <v>28</v>
      </c>
      <c r="J787" s="1" t="b">
        <f t="shared" si="84"/>
        <v>1</v>
      </c>
      <c r="K787" s="1" t="b">
        <f t="shared" si="85"/>
        <v>0</v>
      </c>
      <c r="L787" s="1" t="b">
        <f t="shared" si="86"/>
        <v>0</v>
      </c>
      <c r="M787" s="1" t="b">
        <f t="shared" si="87"/>
        <v>0</v>
      </c>
      <c r="N787" s="1" t="b">
        <f t="shared" si="88"/>
        <v>0</v>
      </c>
      <c r="O787" s="1" t="b">
        <f t="shared" si="89"/>
        <v>0</v>
      </c>
      <c r="P787" s="1" t="b">
        <f t="shared" si="90"/>
        <v>1</v>
      </c>
    </row>
    <row r="788" spans="1:16" x14ac:dyDescent="0.2">
      <c r="A788">
        <v>6455972</v>
      </c>
      <c r="B788" t="s">
        <v>1544</v>
      </c>
      <c r="C788" t="s">
        <v>90</v>
      </c>
      <c r="D788" t="s">
        <v>77</v>
      </c>
      <c r="E788" s="1">
        <v>44984</v>
      </c>
      <c r="F788" t="s">
        <v>1545</v>
      </c>
      <c r="G788" s="1">
        <v>44993</v>
      </c>
      <c r="H788" s="1">
        <v>45003</v>
      </c>
      <c r="J788" s="1" t="b">
        <f t="shared" si="84"/>
        <v>1</v>
      </c>
      <c r="K788" s="1" t="b">
        <f t="shared" si="85"/>
        <v>0</v>
      </c>
      <c r="L788" s="1" t="b">
        <f t="shared" si="86"/>
        <v>0</v>
      </c>
      <c r="M788" s="1" t="b">
        <f t="shared" si="87"/>
        <v>0</v>
      </c>
      <c r="N788" s="1" t="b">
        <f t="shared" si="88"/>
        <v>0</v>
      </c>
      <c r="O788" s="1" t="b">
        <f t="shared" si="89"/>
        <v>0</v>
      </c>
      <c r="P788" s="1" t="b">
        <f t="shared" si="90"/>
        <v>0</v>
      </c>
    </row>
    <row r="789" spans="1:16" x14ac:dyDescent="0.2">
      <c r="A789">
        <v>6093108</v>
      </c>
      <c r="B789" t="s">
        <v>1546</v>
      </c>
      <c r="C789" t="s">
        <v>10</v>
      </c>
      <c r="D789" t="s">
        <v>56</v>
      </c>
      <c r="E789" s="1">
        <v>45042</v>
      </c>
      <c r="F789" t="s">
        <v>1547</v>
      </c>
      <c r="G789" s="1">
        <v>45060</v>
      </c>
      <c r="H789" s="1">
        <v>45061</v>
      </c>
      <c r="I789" t="s">
        <v>43</v>
      </c>
      <c r="J789" s="1" t="b">
        <f t="shared" si="84"/>
        <v>1</v>
      </c>
      <c r="K789" s="1" t="b">
        <f t="shared" si="85"/>
        <v>0</v>
      </c>
      <c r="L789" s="1" t="b">
        <f t="shared" si="86"/>
        <v>0</v>
      </c>
      <c r="M789" s="1" t="b">
        <f t="shared" si="87"/>
        <v>0</v>
      </c>
      <c r="N789" s="1" t="b">
        <f t="shared" si="88"/>
        <v>0</v>
      </c>
      <c r="O789" s="1" t="b">
        <f t="shared" si="89"/>
        <v>1</v>
      </c>
      <c r="P789" s="1" t="b">
        <f t="shared" si="90"/>
        <v>0</v>
      </c>
    </row>
    <row r="790" spans="1:16" x14ac:dyDescent="0.2">
      <c r="A790">
        <v>6093108</v>
      </c>
      <c r="B790" t="s">
        <v>1548</v>
      </c>
      <c r="C790" t="s">
        <v>10</v>
      </c>
      <c r="D790" t="s">
        <v>56</v>
      </c>
      <c r="E790" s="1">
        <v>45050</v>
      </c>
      <c r="F790" t="s">
        <v>1339</v>
      </c>
      <c r="G790" s="1">
        <v>45060</v>
      </c>
      <c r="H790" s="1">
        <v>45061</v>
      </c>
      <c r="J790" s="1" t="b">
        <f t="shared" si="84"/>
        <v>1</v>
      </c>
      <c r="K790" s="1" t="b">
        <f t="shared" si="85"/>
        <v>0</v>
      </c>
      <c r="L790" s="1" t="b">
        <f t="shared" si="86"/>
        <v>0</v>
      </c>
      <c r="M790" s="1" t="b">
        <f t="shared" si="87"/>
        <v>0</v>
      </c>
      <c r="N790" s="1" t="b">
        <f t="shared" si="88"/>
        <v>0</v>
      </c>
      <c r="O790" s="1" t="b">
        <f t="shared" si="89"/>
        <v>0</v>
      </c>
      <c r="P790" s="1" t="b">
        <f t="shared" si="90"/>
        <v>0</v>
      </c>
    </row>
    <row r="791" spans="1:16" x14ac:dyDescent="0.2">
      <c r="A791">
        <v>6093108</v>
      </c>
      <c r="B791" t="s">
        <v>1549</v>
      </c>
      <c r="C791" t="s">
        <v>10</v>
      </c>
      <c r="D791" t="s">
        <v>56</v>
      </c>
      <c r="E791" s="1">
        <v>44569</v>
      </c>
      <c r="F791" t="s">
        <v>1550</v>
      </c>
      <c r="G791" s="1">
        <v>44587</v>
      </c>
      <c r="H791" s="1">
        <v>44611</v>
      </c>
      <c r="I791" t="s">
        <v>28</v>
      </c>
      <c r="J791" s="1" t="b">
        <f t="shared" si="84"/>
        <v>1</v>
      </c>
      <c r="K791" s="1" t="b">
        <f t="shared" si="85"/>
        <v>0</v>
      </c>
      <c r="L791" s="1" t="b">
        <f t="shared" si="86"/>
        <v>0</v>
      </c>
      <c r="M791" s="1" t="b">
        <f t="shared" si="87"/>
        <v>0</v>
      </c>
      <c r="N791" s="1" t="b">
        <f t="shared" si="88"/>
        <v>0</v>
      </c>
      <c r="O791" s="1" t="b">
        <f t="shared" si="89"/>
        <v>0</v>
      </c>
      <c r="P791" s="1" t="b">
        <f t="shared" si="90"/>
        <v>1</v>
      </c>
    </row>
    <row r="792" spans="1:16" x14ac:dyDescent="0.2">
      <c r="A792">
        <v>6093108</v>
      </c>
      <c r="B792" t="s">
        <v>1551</v>
      </c>
      <c r="C792" t="s">
        <v>10</v>
      </c>
      <c r="D792" t="s">
        <v>56</v>
      </c>
      <c r="E792" s="1">
        <v>45009</v>
      </c>
      <c r="F792" t="s">
        <v>1552</v>
      </c>
      <c r="G792" s="1">
        <v>45022</v>
      </c>
      <c r="I792" t="s">
        <v>13</v>
      </c>
      <c r="J792" s="1" t="b">
        <f t="shared" si="84"/>
        <v>0</v>
      </c>
      <c r="K792" s="1" t="b">
        <f t="shared" si="85"/>
        <v>1</v>
      </c>
      <c r="L792" s="1" t="b">
        <f t="shared" si="86"/>
        <v>0</v>
      </c>
      <c r="M792" s="1" t="b">
        <f t="shared" si="87"/>
        <v>0</v>
      </c>
      <c r="N792" s="1" t="b">
        <f t="shared" si="88"/>
        <v>0</v>
      </c>
      <c r="O792" s="1" t="b">
        <f t="shared" si="89"/>
        <v>0</v>
      </c>
      <c r="P792" s="1" t="b">
        <f t="shared" si="90"/>
        <v>0</v>
      </c>
    </row>
    <row r="793" spans="1:16" x14ac:dyDescent="0.2">
      <c r="A793">
        <v>6093108</v>
      </c>
      <c r="B793" t="s">
        <v>1553</v>
      </c>
      <c r="C793" t="s">
        <v>10</v>
      </c>
      <c r="D793" t="s">
        <v>56</v>
      </c>
      <c r="E793" s="1">
        <v>44961</v>
      </c>
      <c r="F793" t="s">
        <v>1282</v>
      </c>
      <c r="G793" s="1">
        <v>44988</v>
      </c>
      <c r="I793" t="s">
        <v>25</v>
      </c>
      <c r="J793" s="1" t="b">
        <f t="shared" si="84"/>
        <v>0</v>
      </c>
      <c r="K793" s="1" t="b">
        <f t="shared" si="85"/>
        <v>0</v>
      </c>
      <c r="L793" s="1" t="b">
        <f t="shared" si="86"/>
        <v>1</v>
      </c>
      <c r="M793" s="1" t="b">
        <f t="shared" si="87"/>
        <v>0</v>
      </c>
      <c r="N793" s="1" t="b">
        <f t="shared" si="88"/>
        <v>0</v>
      </c>
      <c r="O793" s="1" t="b">
        <f t="shared" si="89"/>
        <v>0</v>
      </c>
      <c r="P793" s="1" t="b">
        <f t="shared" si="90"/>
        <v>0</v>
      </c>
    </row>
    <row r="794" spans="1:16" x14ac:dyDescent="0.2">
      <c r="A794">
        <v>7347794</v>
      </c>
      <c r="B794" t="s">
        <v>1554</v>
      </c>
      <c r="C794" t="s">
        <v>93</v>
      </c>
      <c r="D794" t="s">
        <v>11</v>
      </c>
      <c r="E794" s="1">
        <v>44840</v>
      </c>
      <c r="F794" t="s">
        <v>1555</v>
      </c>
      <c r="G794" s="1">
        <v>44850</v>
      </c>
      <c r="H794" s="1">
        <v>44892</v>
      </c>
      <c r="I794" t="s">
        <v>43</v>
      </c>
      <c r="J794" s="1" t="b">
        <f t="shared" si="84"/>
        <v>1</v>
      </c>
      <c r="K794" s="1" t="b">
        <f t="shared" si="85"/>
        <v>0</v>
      </c>
      <c r="L794" s="1" t="b">
        <f t="shared" si="86"/>
        <v>0</v>
      </c>
      <c r="M794" s="1" t="b">
        <f t="shared" si="87"/>
        <v>0</v>
      </c>
      <c r="N794" s="1" t="b">
        <f t="shared" si="88"/>
        <v>0</v>
      </c>
      <c r="O794" s="1" t="b">
        <f t="shared" si="89"/>
        <v>1</v>
      </c>
      <c r="P794" s="1" t="b">
        <f t="shared" si="90"/>
        <v>0</v>
      </c>
    </row>
    <row r="795" spans="1:16" x14ac:dyDescent="0.2">
      <c r="A795">
        <v>9924543</v>
      </c>
      <c r="B795" t="s">
        <v>1556</v>
      </c>
      <c r="C795" t="s">
        <v>47</v>
      </c>
      <c r="D795" t="s">
        <v>11</v>
      </c>
      <c r="E795" s="1">
        <v>44701</v>
      </c>
      <c r="F795" t="s">
        <v>1557</v>
      </c>
      <c r="G795" s="1">
        <v>44711</v>
      </c>
      <c r="I795" t="s">
        <v>13</v>
      </c>
      <c r="J795" s="1" t="b">
        <f t="shared" si="84"/>
        <v>0</v>
      </c>
      <c r="K795" s="1" t="b">
        <f t="shared" si="85"/>
        <v>1</v>
      </c>
      <c r="L795" s="1" t="b">
        <f t="shared" si="86"/>
        <v>0</v>
      </c>
      <c r="M795" s="1" t="b">
        <f t="shared" si="87"/>
        <v>0</v>
      </c>
      <c r="N795" s="1" t="b">
        <f t="shared" si="88"/>
        <v>0</v>
      </c>
      <c r="O795" s="1" t="b">
        <f t="shared" si="89"/>
        <v>0</v>
      </c>
      <c r="P795" s="1" t="b">
        <f t="shared" si="90"/>
        <v>0</v>
      </c>
    </row>
    <row r="796" spans="1:16" x14ac:dyDescent="0.2">
      <c r="A796">
        <v>9924543</v>
      </c>
      <c r="B796" t="s">
        <v>1558</v>
      </c>
      <c r="C796" t="s">
        <v>47</v>
      </c>
      <c r="D796" t="s">
        <v>11</v>
      </c>
      <c r="E796" s="1">
        <v>45025</v>
      </c>
      <c r="F796" t="s">
        <v>1559</v>
      </c>
      <c r="G796" s="1">
        <v>45034</v>
      </c>
      <c r="I796" t="s">
        <v>13</v>
      </c>
      <c r="J796" s="1" t="b">
        <f t="shared" si="84"/>
        <v>0</v>
      </c>
      <c r="K796" s="1" t="b">
        <f t="shared" si="85"/>
        <v>1</v>
      </c>
      <c r="L796" s="1" t="b">
        <f t="shared" si="86"/>
        <v>0</v>
      </c>
      <c r="M796" s="1" t="b">
        <f t="shared" si="87"/>
        <v>0</v>
      </c>
      <c r="N796" s="1" t="b">
        <f t="shared" si="88"/>
        <v>0</v>
      </c>
      <c r="O796" s="1" t="b">
        <f t="shared" si="89"/>
        <v>0</v>
      </c>
      <c r="P796" s="1" t="b">
        <f t="shared" si="90"/>
        <v>0</v>
      </c>
    </row>
    <row r="797" spans="1:16" x14ac:dyDescent="0.2">
      <c r="A797">
        <v>9924543</v>
      </c>
      <c r="B797" t="s">
        <v>1560</v>
      </c>
      <c r="C797" t="s">
        <v>47</v>
      </c>
      <c r="D797" t="s">
        <v>11</v>
      </c>
      <c r="E797" s="1">
        <v>44581</v>
      </c>
      <c r="F797" t="s">
        <v>1561</v>
      </c>
      <c r="G797" s="1">
        <v>44586</v>
      </c>
      <c r="H797" s="1">
        <v>44590</v>
      </c>
      <c r="J797" s="1" t="b">
        <f t="shared" si="84"/>
        <v>1</v>
      </c>
      <c r="K797" s="1" t="b">
        <f t="shared" si="85"/>
        <v>0</v>
      </c>
      <c r="L797" s="1" t="b">
        <f t="shared" si="86"/>
        <v>0</v>
      </c>
      <c r="M797" s="1" t="b">
        <f t="shared" si="87"/>
        <v>0</v>
      </c>
      <c r="N797" s="1" t="b">
        <f t="shared" si="88"/>
        <v>0</v>
      </c>
      <c r="O797" s="1" t="b">
        <f t="shared" si="89"/>
        <v>0</v>
      </c>
      <c r="P797" s="1" t="b">
        <f t="shared" si="90"/>
        <v>0</v>
      </c>
    </row>
    <row r="798" spans="1:16" x14ac:dyDescent="0.2">
      <c r="A798">
        <v>9924543</v>
      </c>
      <c r="B798" t="s">
        <v>1562</v>
      </c>
      <c r="C798" t="s">
        <v>47</v>
      </c>
      <c r="D798" t="s">
        <v>11</v>
      </c>
      <c r="E798" s="1">
        <v>44850</v>
      </c>
      <c r="F798" t="s">
        <v>1563</v>
      </c>
      <c r="G798" s="1">
        <v>44859</v>
      </c>
      <c r="H798" s="1">
        <v>44868</v>
      </c>
      <c r="I798" t="s">
        <v>16</v>
      </c>
      <c r="J798" s="1" t="b">
        <f t="shared" si="84"/>
        <v>1</v>
      </c>
      <c r="K798" s="1" t="b">
        <f t="shared" si="85"/>
        <v>0</v>
      </c>
      <c r="L798" s="1" t="b">
        <f t="shared" si="86"/>
        <v>0</v>
      </c>
      <c r="M798" s="1" t="b">
        <f t="shared" si="87"/>
        <v>0</v>
      </c>
      <c r="N798" s="1" t="b">
        <f t="shared" si="88"/>
        <v>1</v>
      </c>
      <c r="O798" s="1" t="b">
        <f t="shared" si="89"/>
        <v>0</v>
      </c>
      <c r="P798" s="1" t="b">
        <f t="shared" si="90"/>
        <v>0</v>
      </c>
    </row>
    <row r="799" spans="1:16" x14ac:dyDescent="0.2">
      <c r="A799">
        <v>8355410</v>
      </c>
      <c r="B799" t="s">
        <v>1564</v>
      </c>
      <c r="C799" t="s">
        <v>138</v>
      </c>
      <c r="D799" t="s">
        <v>56</v>
      </c>
      <c r="I799" t="s">
        <v>33</v>
      </c>
      <c r="J799" s="1" t="b">
        <f t="shared" si="84"/>
        <v>0</v>
      </c>
      <c r="K799" s="1" t="b">
        <f t="shared" si="85"/>
        <v>0</v>
      </c>
      <c r="L799" s="1" t="b">
        <f t="shared" si="86"/>
        <v>0</v>
      </c>
      <c r="M799" s="1" t="b">
        <f t="shared" si="87"/>
        <v>1</v>
      </c>
      <c r="N799" s="1" t="b">
        <f t="shared" si="88"/>
        <v>0</v>
      </c>
      <c r="O799" s="1" t="b">
        <f t="shared" si="89"/>
        <v>0</v>
      </c>
      <c r="P799" s="1" t="b">
        <f t="shared" si="90"/>
        <v>0</v>
      </c>
    </row>
    <row r="800" spans="1:16" x14ac:dyDescent="0.2">
      <c r="A800">
        <v>8355410</v>
      </c>
      <c r="B800" t="s">
        <v>1565</v>
      </c>
      <c r="C800" t="s">
        <v>138</v>
      </c>
      <c r="D800" t="s">
        <v>56</v>
      </c>
      <c r="I800" t="s">
        <v>33</v>
      </c>
      <c r="J800" s="1" t="b">
        <f t="shared" si="84"/>
        <v>0</v>
      </c>
      <c r="K800" s="1" t="b">
        <f t="shared" si="85"/>
        <v>0</v>
      </c>
      <c r="L800" s="1" t="b">
        <f t="shared" si="86"/>
        <v>0</v>
      </c>
      <c r="M800" s="1" t="b">
        <f t="shared" si="87"/>
        <v>1</v>
      </c>
      <c r="N800" s="1" t="b">
        <f t="shared" si="88"/>
        <v>0</v>
      </c>
      <c r="O800" s="1" t="b">
        <f t="shared" si="89"/>
        <v>0</v>
      </c>
      <c r="P800" s="1" t="b">
        <f t="shared" si="90"/>
        <v>0</v>
      </c>
    </row>
    <row r="801" spans="1:16" x14ac:dyDescent="0.2">
      <c r="A801">
        <v>4643811</v>
      </c>
      <c r="B801" t="s">
        <v>1566</v>
      </c>
      <c r="C801" t="s">
        <v>720</v>
      </c>
      <c r="D801" t="s">
        <v>60</v>
      </c>
      <c r="E801" s="1">
        <v>44594</v>
      </c>
      <c r="F801" t="s">
        <v>1567</v>
      </c>
      <c r="G801" s="1">
        <v>44605</v>
      </c>
      <c r="H801" s="1">
        <v>44611</v>
      </c>
      <c r="J801" s="1" t="b">
        <f t="shared" si="84"/>
        <v>1</v>
      </c>
      <c r="K801" s="1" t="b">
        <f t="shared" si="85"/>
        <v>0</v>
      </c>
      <c r="L801" s="1" t="b">
        <f t="shared" si="86"/>
        <v>0</v>
      </c>
      <c r="M801" s="1" t="b">
        <f t="shared" si="87"/>
        <v>0</v>
      </c>
      <c r="N801" s="1" t="b">
        <f t="shared" si="88"/>
        <v>0</v>
      </c>
      <c r="O801" s="1" t="b">
        <f t="shared" si="89"/>
        <v>0</v>
      </c>
      <c r="P801" s="1" t="b">
        <f t="shared" si="90"/>
        <v>0</v>
      </c>
    </row>
    <row r="802" spans="1:16" x14ac:dyDescent="0.2">
      <c r="A802">
        <v>4643811</v>
      </c>
      <c r="B802" t="s">
        <v>1568</v>
      </c>
      <c r="C802" t="s">
        <v>720</v>
      </c>
      <c r="D802" t="s">
        <v>60</v>
      </c>
      <c r="E802" s="1">
        <v>44963</v>
      </c>
      <c r="F802" t="s">
        <v>774</v>
      </c>
      <c r="G802" s="1">
        <v>44966</v>
      </c>
      <c r="H802" s="1">
        <v>45001</v>
      </c>
      <c r="I802" t="s">
        <v>43</v>
      </c>
      <c r="J802" s="1" t="b">
        <f t="shared" si="84"/>
        <v>1</v>
      </c>
      <c r="K802" s="1" t="b">
        <f t="shared" si="85"/>
        <v>0</v>
      </c>
      <c r="L802" s="1" t="b">
        <f t="shared" si="86"/>
        <v>0</v>
      </c>
      <c r="M802" s="1" t="b">
        <f t="shared" si="87"/>
        <v>0</v>
      </c>
      <c r="N802" s="1" t="b">
        <f t="shared" si="88"/>
        <v>0</v>
      </c>
      <c r="O802" s="1" t="b">
        <f t="shared" si="89"/>
        <v>1</v>
      </c>
      <c r="P802" s="1" t="b">
        <f t="shared" si="90"/>
        <v>0</v>
      </c>
    </row>
    <row r="803" spans="1:16" x14ac:dyDescent="0.2">
      <c r="A803">
        <v>4643811</v>
      </c>
      <c r="B803" t="s">
        <v>1569</v>
      </c>
      <c r="C803" t="s">
        <v>720</v>
      </c>
      <c r="D803" t="s">
        <v>60</v>
      </c>
      <c r="E803" s="1">
        <v>44818</v>
      </c>
      <c r="F803" t="s">
        <v>1570</v>
      </c>
      <c r="G803" s="1">
        <v>44845</v>
      </c>
      <c r="H803" s="1">
        <v>44870</v>
      </c>
      <c r="I803" t="s">
        <v>43</v>
      </c>
      <c r="J803" s="1" t="b">
        <f t="shared" si="84"/>
        <v>1</v>
      </c>
      <c r="K803" s="1" t="b">
        <f t="shared" si="85"/>
        <v>0</v>
      </c>
      <c r="L803" s="1" t="b">
        <f t="shared" si="86"/>
        <v>0</v>
      </c>
      <c r="M803" s="1" t="b">
        <f t="shared" si="87"/>
        <v>0</v>
      </c>
      <c r="N803" s="1" t="b">
        <f t="shared" si="88"/>
        <v>0</v>
      </c>
      <c r="O803" s="1" t="b">
        <f t="shared" si="89"/>
        <v>1</v>
      </c>
      <c r="P803" s="1" t="b">
        <f t="shared" si="90"/>
        <v>0</v>
      </c>
    </row>
    <row r="804" spans="1:16" x14ac:dyDescent="0.2">
      <c r="A804">
        <v>1211652</v>
      </c>
      <c r="B804" t="s">
        <v>1571</v>
      </c>
      <c r="C804" t="s">
        <v>176</v>
      </c>
      <c r="D804" t="s">
        <v>19</v>
      </c>
      <c r="E804" s="1">
        <v>44596</v>
      </c>
      <c r="F804" t="s">
        <v>758</v>
      </c>
      <c r="G804" s="1">
        <v>44603</v>
      </c>
      <c r="H804" s="1">
        <v>44633</v>
      </c>
      <c r="J804" s="1" t="b">
        <f t="shared" si="84"/>
        <v>1</v>
      </c>
      <c r="K804" s="1" t="b">
        <f t="shared" si="85"/>
        <v>0</v>
      </c>
      <c r="L804" s="1" t="b">
        <f t="shared" si="86"/>
        <v>0</v>
      </c>
      <c r="M804" s="1" t="b">
        <f t="shared" si="87"/>
        <v>0</v>
      </c>
      <c r="N804" s="1" t="b">
        <f t="shared" si="88"/>
        <v>0</v>
      </c>
      <c r="O804" s="1" t="b">
        <f t="shared" si="89"/>
        <v>0</v>
      </c>
      <c r="P804" s="1" t="b">
        <f t="shared" si="90"/>
        <v>0</v>
      </c>
    </row>
    <row r="805" spans="1:16" x14ac:dyDescent="0.2">
      <c r="A805">
        <v>1211652</v>
      </c>
      <c r="B805" t="s">
        <v>1572</v>
      </c>
      <c r="C805" t="s">
        <v>176</v>
      </c>
      <c r="D805" t="s">
        <v>19</v>
      </c>
      <c r="E805" s="1">
        <v>44775</v>
      </c>
      <c r="F805" t="s">
        <v>1573</v>
      </c>
      <c r="G805" s="1">
        <v>44791</v>
      </c>
      <c r="H805" s="1">
        <v>44816</v>
      </c>
      <c r="I805" t="s">
        <v>16</v>
      </c>
      <c r="J805" s="1" t="b">
        <f t="shared" si="84"/>
        <v>1</v>
      </c>
      <c r="K805" s="1" t="b">
        <f t="shared" si="85"/>
        <v>0</v>
      </c>
      <c r="L805" s="1" t="b">
        <f t="shared" si="86"/>
        <v>0</v>
      </c>
      <c r="M805" s="1" t="b">
        <f t="shared" si="87"/>
        <v>0</v>
      </c>
      <c r="N805" s="1" t="b">
        <f t="shared" si="88"/>
        <v>1</v>
      </c>
      <c r="O805" s="1" t="b">
        <f t="shared" si="89"/>
        <v>0</v>
      </c>
      <c r="P805" s="1" t="b">
        <f t="shared" si="90"/>
        <v>0</v>
      </c>
    </row>
    <row r="806" spans="1:16" x14ac:dyDescent="0.2">
      <c r="A806">
        <v>1211652</v>
      </c>
      <c r="B806" t="s">
        <v>1574</v>
      </c>
      <c r="C806" t="s">
        <v>176</v>
      </c>
      <c r="D806" t="s">
        <v>19</v>
      </c>
      <c r="E806" s="1">
        <v>44724</v>
      </c>
      <c r="F806" t="s">
        <v>971</v>
      </c>
      <c r="G806" s="1">
        <v>44745</v>
      </c>
      <c r="H806" s="1">
        <v>44792</v>
      </c>
      <c r="I806" t="s">
        <v>28</v>
      </c>
      <c r="J806" s="1" t="b">
        <f t="shared" si="84"/>
        <v>1</v>
      </c>
      <c r="K806" s="1" t="b">
        <f t="shared" si="85"/>
        <v>0</v>
      </c>
      <c r="L806" s="1" t="b">
        <f t="shared" si="86"/>
        <v>0</v>
      </c>
      <c r="M806" s="1" t="b">
        <f t="shared" si="87"/>
        <v>0</v>
      </c>
      <c r="N806" s="1" t="b">
        <f t="shared" si="88"/>
        <v>0</v>
      </c>
      <c r="O806" s="1" t="b">
        <f t="shared" si="89"/>
        <v>0</v>
      </c>
      <c r="P806" s="1" t="b">
        <f t="shared" si="90"/>
        <v>1</v>
      </c>
    </row>
    <row r="807" spans="1:16" x14ac:dyDescent="0.2">
      <c r="A807">
        <v>1211652</v>
      </c>
      <c r="B807" t="s">
        <v>1575</v>
      </c>
      <c r="C807" t="s">
        <v>176</v>
      </c>
      <c r="D807" t="s">
        <v>19</v>
      </c>
      <c r="E807" s="1">
        <v>45095</v>
      </c>
      <c r="F807" t="s">
        <v>1576</v>
      </c>
      <c r="G807" s="1">
        <v>45099</v>
      </c>
      <c r="I807" t="s">
        <v>13</v>
      </c>
      <c r="J807" s="1" t="b">
        <f t="shared" si="84"/>
        <v>0</v>
      </c>
      <c r="K807" s="1" t="b">
        <f t="shared" si="85"/>
        <v>1</v>
      </c>
      <c r="L807" s="1" t="b">
        <f t="shared" si="86"/>
        <v>0</v>
      </c>
      <c r="M807" s="1" t="b">
        <f t="shared" si="87"/>
        <v>0</v>
      </c>
      <c r="N807" s="1" t="b">
        <f t="shared" si="88"/>
        <v>0</v>
      </c>
      <c r="O807" s="1" t="b">
        <f t="shared" si="89"/>
        <v>0</v>
      </c>
      <c r="P807" s="1" t="b">
        <f t="shared" si="90"/>
        <v>0</v>
      </c>
    </row>
    <row r="808" spans="1:16" x14ac:dyDescent="0.2">
      <c r="A808">
        <v>5249882</v>
      </c>
      <c r="B808" t="s">
        <v>1577</v>
      </c>
      <c r="C808" t="s">
        <v>363</v>
      </c>
      <c r="D808" t="s">
        <v>11</v>
      </c>
      <c r="E808" s="1">
        <v>44785</v>
      </c>
      <c r="F808" t="s">
        <v>1578</v>
      </c>
      <c r="G808" s="1">
        <v>44789</v>
      </c>
      <c r="I808" t="s">
        <v>25</v>
      </c>
      <c r="J808" s="1" t="b">
        <f t="shared" si="84"/>
        <v>0</v>
      </c>
      <c r="K808" s="1" t="b">
        <f t="shared" si="85"/>
        <v>0</v>
      </c>
      <c r="L808" s="1" t="b">
        <f t="shared" si="86"/>
        <v>1</v>
      </c>
      <c r="M808" s="1" t="b">
        <f t="shared" si="87"/>
        <v>0</v>
      </c>
      <c r="N808" s="1" t="b">
        <f t="shared" si="88"/>
        <v>0</v>
      </c>
      <c r="O808" s="1" t="b">
        <f t="shared" si="89"/>
        <v>0</v>
      </c>
      <c r="P808" s="1" t="b">
        <f t="shared" si="90"/>
        <v>0</v>
      </c>
    </row>
    <row r="809" spans="1:16" x14ac:dyDescent="0.2">
      <c r="A809">
        <v>5249882</v>
      </c>
      <c r="B809" t="s">
        <v>1579</v>
      </c>
      <c r="C809" t="s">
        <v>363</v>
      </c>
      <c r="D809" t="s">
        <v>11</v>
      </c>
      <c r="E809" s="1">
        <v>44577</v>
      </c>
      <c r="F809" t="s">
        <v>1580</v>
      </c>
      <c r="G809" s="1">
        <v>44583</v>
      </c>
      <c r="I809" t="s">
        <v>13</v>
      </c>
      <c r="J809" s="1" t="b">
        <f t="shared" si="84"/>
        <v>0</v>
      </c>
      <c r="K809" s="1" t="b">
        <f t="shared" si="85"/>
        <v>1</v>
      </c>
      <c r="L809" s="1" t="b">
        <f t="shared" si="86"/>
        <v>0</v>
      </c>
      <c r="M809" s="1" t="b">
        <f t="shared" si="87"/>
        <v>0</v>
      </c>
      <c r="N809" s="1" t="b">
        <f t="shared" si="88"/>
        <v>0</v>
      </c>
      <c r="O809" s="1" t="b">
        <f t="shared" si="89"/>
        <v>0</v>
      </c>
      <c r="P809" s="1" t="b">
        <f t="shared" si="90"/>
        <v>0</v>
      </c>
    </row>
    <row r="810" spans="1:16" x14ac:dyDescent="0.2">
      <c r="A810">
        <v>5632190</v>
      </c>
      <c r="B810" t="s">
        <v>1581</v>
      </c>
      <c r="C810" t="s">
        <v>32</v>
      </c>
      <c r="D810" t="s">
        <v>122</v>
      </c>
      <c r="E810" s="1">
        <v>45048</v>
      </c>
      <c r="F810" t="s">
        <v>1582</v>
      </c>
      <c r="G810" s="1">
        <v>45071</v>
      </c>
      <c r="H810" s="1">
        <v>45110</v>
      </c>
      <c r="I810" t="s">
        <v>16</v>
      </c>
      <c r="J810" s="1" t="b">
        <f t="shared" si="84"/>
        <v>1</v>
      </c>
      <c r="K810" s="1" t="b">
        <f t="shared" si="85"/>
        <v>0</v>
      </c>
      <c r="L810" s="1" t="b">
        <f t="shared" si="86"/>
        <v>0</v>
      </c>
      <c r="M810" s="1" t="b">
        <f t="shared" si="87"/>
        <v>0</v>
      </c>
      <c r="N810" s="1" t="b">
        <f t="shared" si="88"/>
        <v>1</v>
      </c>
      <c r="O810" s="1" t="b">
        <f t="shared" si="89"/>
        <v>0</v>
      </c>
      <c r="P810" s="1" t="b">
        <f t="shared" si="90"/>
        <v>0</v>
      </c>
    </row>
    <row r="811" spans="1:16" x14ac:dyDescent="0.2">
      <c r="A811">
        <v>5632190</v>
      </c>
      <c r="B811" t="s">
        <v>1583</v>
      </c>
      <c r="C811" t="s">
        <v>32</v>
      </c>
      <c r="D811" t="s">
        <v>122</v>
      </c>
      <c r="E811" s="1">
        <v>44816</v>
      </c>
      <c r="F811" t="s">
        <v>1584</v>
      </c>
      <c r="G811" s="1">
        <v>44822</v>
      </c>
      <c r="I811" t="s">
        <v>13</v>
      </c>
      <c r="J811" s="1" t="b">
        <f t="shared" si="84"/>
        <v>0</v>
      </c>
      <c r="K811" s="1" t="b">
        <f t="shared" si="85"/>
        <v>1</v>
      </c>
      <c r="L811" s="1" t="b">
        <f t="shared" si="86"/>
        <v>0</v>
      </c>
      <c r="M811" s="1" t="b">
        <f t="shared" si="87"/>
        <v>0</v>
      </c>
      <c r="N811" s="1" t="b">
        <f t="shared" si="88"/>
        <v>0</v>
      </c>
      <c r="O811" s="1" t="b">
        <f t="shared" si="89"/>
        <v>0</v>
      </c>
      <c r="P811" s="1" t="b">
        <f t="shared" si="90"/>
        <v>0</v>
      </c>
    </row>
    <row r="812" spans="1:16" x14ac:dyDescent="0.2">
      <c r="A812">
        <v>5632190</v>
      </c>
      <c r="B812" t="s">
        <v>1585</v>
      </c>
      <c r="C812" t="s">
        <v>32</v>
      </c>
      <c r="D812" t="s">
        <v>122</v>
      </c>
      <c r="E812" s="1">
        <v>44623</v>
      </c>
      <c r="F812" t="s">
        <v>1586</v>
      </c>
      <c r="G812" s="1">
        <v>44625</v>
      </c>
      <c r="H812" s="1">
        <v>44648</v>
      </c>
      <c r="I812" t="s">
        <v>28</v>
      </c>
      <c r="J812" s="1" t="b">
        <f t="shared" si="84"/>
        <v>1</v>
      </c>
      <c r="K812" s="1" t="b">
        <f t="shared" si="85"/>
        <v>0</v>
      </c>
      <c r="L812" s="1" t="b">
        <f t="shared" si="86"/>
        <v>0</v>
      </c>
      <c r="M812" s="1" t="b">
        <f t="shared" si="87"/>
        <v>0</v>
      </c>
      <c r="N812" s="1" t="b">
        <f t="shared" si="88"/>
        <v>0</v>
      </c>
      <c r="O812" s="1" t="b">
        <f t="shared" si="89"/>
        <v>0</v>
      </c>
      <c r="P812" s="1" t="b">
        <f t="shared" si="90"/>
        <v>1</v>
      </c>
    </row>
    <row r="813" spans="1:16" x14ac:dyDescent="0.2">
      <c r="A813">
        <v>5632190</v>
      </c>
      <c r="B813" t="s">
        <v>1587</v>
      </c>
      <c r="C813" t="s">
        <v>32</v>
      </c>
      <c r="D813" t="s">
        <v>122</v>
      </c>
      <c r="E813" s="1">
        <v>44800</v>
      </c>
      <c r="F813" t="s">
        <v>1588</v>
      </c>
      <c r="G813" s="1">
        <v>44811</v>
      </c>
      <c r="H813" s="1">
        <v>44847</v>
      </c>
      <c r="I813" t="s">
        <v>16</v>
      </c>
      <c r="J813" s="1" t="b">
        <f t="shared" si="84"/>
        <v>1</v>
      </c>
      <c r="K813" s="1" t="b">
        <f t="shared" si="85"/>
        <v>0</v>
      </c>
      <c r="L813" s="1" t="b">
        <f t="shared" si="86"/>
        <v>0</v>
      </c>
      <c r="M813" s="1" t="b">
        <f t="shared" si="87"/>
        <v>0</v>
      </c>
      <c r="N813" s="1" t="b">
        <f t="shared" si="88"/>
        <v>1</v>
      </c>
      <c r="O813" s="1" t="b">
        <f t="shared" si="89"/>
        <v>0</v>
      </c>
      <c r="P813" s="1" t="b">
        <f t="shared" si="90"/>
        <v>0</v>
      </c>
    </row>
    <row r="814" spans="1:16" x14ac:dyDescent="0.2">
      <c r="A814">
        <v>6827024</v>
      </c>
      <c r="B814" t="s">
        <v>1589</v>
      </c>
      <c r="C814" t="s">
        <v>47</v>
      </c>
      <c r="D814" t="s">
        <v>77</v>
      </c>
      <c r="I814" t="s">
        <v>33</v>
      </c>
      <c r="J814" s="1" t="b">
        <f t="shared" si="84"/>
        <v>0</v>
      </c>
      <c r="K814" s="1" t="b">
        <f t="shared" si="85"/>
        <v>0</v>
      </c>
      <c r="L814" s="1" t="b">
        <f t="shared" si="86"/>
        <v>0</v>
      </c>
      <c r="M814" s="1" t="b">
        <f t="shared" si="87"/>
        <v>1</v>
      </c>
      <c r="N814" s="1" t="b">
        <f t="shared" si="88"/>
        <v>0</v>
      </c>
      <c r="O814" s="1" t="b">
        <f t="shared" si="89"/>
        <v>0</v>
      </c>
      <c r="P814" s="1" t="b">
        <f t="shared" si="90"/>
        <v>0</v>
      </c>
    </row>
    <row r="815" spans="1:16" x14ac:dyDescent="0.2">
      <c r="A815">
        <v>6827024</v>
      </c>
      <c r="B815" t="s">
        <v>1590</v>
      </c>
      <c r="C815" t="s">
        <v>47</v>
      </c>
      <c r="D815" t="s">
        <v>77</v>
      </c>
      <c r="E815" s="1">
        <v>44818</v>
      </c>
      <c r="F815" t="s">
        <v>380</v>
      </c>
      <c r="G815" s="1">
        <v>44847</v>
      </c>
      <c r="I815" t="s">
        <v>25</v>
      </c>
      <c r="J815" s="1" t="b">
        <f t="shared" si="84"/>
        <v>0</v>
      </c>
      <c r="K815" s="1" t="b">
        <f t="shared" si="85"/>
        <v>0</v>
      </c>
      <c r="L815" s="1" t="b">
        <f t="shared" si="86"/>
        <v>1</v>
      </c>
      <c r="M815" s="1" t="b">
        <f t="shared" si="87"/>
        <v>0</v>
      </c>
      <c r="N815" s="1" t="b">
        <f t="shared" si="88"/>
        <v>0</v>
      </c>
      <c r="O815" s="1" t="b">
        <f t="shared" si="89"/>
        <v>0</v>
      </c>
      <c r="P815" s="1" t="b">
        <f t="shared" si="90"/>
        <v>0</v>
      </c>
    </row>
    <row r="816" spans="1:16" x14ac:dyDescent="0.2">
      <c r="A816">
        <v>1662507</v>
      </c>
      <c r="B816" t="s">
        <v>1591</v>
      </c>
      <c r="C816" t="s">
        <v>363</v>
      </c>
      <c r="D816" t="s">
        <v>77</v>
      </c>
      <c r="E816" s="1">
        <v>44756</v>
      </c>
      <c r="F816" t="s">
        <v>578</v>
      </c>
      <c r="G816" s="1">
        <v>44775</v>
      </c>
      <c r="I816" t="s">
        <v>13</v>
      </c>
      <c r="J816" s="1" t="b">
        <f t="shared" si="84"/>
        <v>0</v>
      </c>
      <c r="K816" s="1" t="b">
        <f t="shared" si="85"/>
        <v>1</v>
      </c>
      <c r="L816" s="1" t="b">
        <f t="shared" si="86"/>
        <v>0</v>
      </c>
      <c r="M816" s="1" t="b">
        <f t="shared" si="87"/>
        <v>0</v>
      </c>
      <c r="N816" s="1" t="b">
        <f t="shared" si="88"/>
        <v>0</v>
      </c>
      <c r="O816" s="1" t="b">
        <f t="shared" si="89"/>
        <v>0</v>
      </c>
      <c r="P816" s="1" t="b">
        <f t="shared" si="90"/>
        <v>0</v>
      </c>
    </row>
    <row r="817" spans="1:16" x14ac:dyDescent="0.2">
      <c r="A817">
        <v>1662507</v>
      </c>
      <c r="B817" t="s">
        <v>1592</v>
      </c>
      <c r="C817" t="s">
        <v>363</v>
      </c>
      <c r="D817" t="s">
        <v>77</v>
      </c>
      <c r="E817" s="1">
        <v>45041</v>
      </c>
      <c r="F817" t="s">
        <v>1088</v>
      </c>
      <c r="G817" s="1">
        <v>45050</v>
      </c>
      <c r="I817" t="s">
        <v>13</v>
      </c>
      <c r="J817" s="1" t="b">
        <f t="shared" si="84"/>
        <v>0</v>
      </c>
      <c r="K817" s="1" t="b">
        <f t="shared" si="85"/>
        <v>1</v>
      </c>
      <c r="L817" s="1" t="b">
        <f t="shared" si="86"/>
        <v>0</v>
      </c>
      <c r="M817" s="1" t="b">
        <f t="shared" si="87"/>
        <v>0</v>
      </c>
      <c r="N817" s="1" t="b">
        <f t="shared" si="88"/>
        <v>0</v>
      </c>
      <c r="O817" s="1" t="b">
        <f t="shared" si="89"/>
        <v>0</v>
      </c>
      <c r="P817" s="1" t="b">
        <f t="shared" si="90"/>
        <v>0</v>
      </c>
    </row>
    <row r="818" spans="1:16" x14ac:dyDescent="0.2">
      <c r="A818">
        <v>1662507</v>
      </c>
      <c r="B818" t="s">
        <v>1593</v>
      </c>
      <c r="C818" t="s">
        <v>363</v>
      </c>
      <c r="D818" t="s">
        <v>77</v>
      </c>
      <c r="E818" s="1">
        <v>44720</v>
      </c>
      <c r="F818" t="s">
        <v>1594</v>
      </c>
      <c r="G818" s="1">
        <v>44735</v>
      </c>
      <c r="H818" s="1">
        <v>44754</v>
      </c>
      <c r="I818" t="s">
        <v>43</v>
      </c>
      <c r="J818" s="1" t="b">
        <f t="shared" si="84"/>
        <v>1</v>
      </c>
      <c r="K818" s="1" t="b">
        <f t="shared" si="85"/>
        <v>0</v>
      </c>
      <c r="L818" s="1" t="b">
        <f t="shared" si="86"/>
        <v>0</v>
      </c>
      <c r="M818" s="1" t="b">
        <f t="shared" si="87"/>
        <v>0</v>
      </c>
      <c r="N818" s="1" t="b">
        <f t="shared" si="88"/>
        <v>0</v>
      </c>
      <c r="O818" s="1" t="b">
        <f t="shared" si="89"/>
        <v>1</v>
      </c>
      <c r="P818" s="1" t="b">
        <f t="shared" si="90"/>
        <v>0</v>
      </c>
    </row>
    <row r="819" spans="1:16" x14ac:dyDescent="0.2">
      <c r="A819">
        <v>1662507</v>
      </c>
      <c r="B819" t="s">
        <v>1595</v>
      </c>
      <c r="C819" t="s">
        <v>363</v>
      </c>
      <c r="D819" t="s">
        <v>77</v>
      </c>
      <c r="E819" s="1">
        <v>45080</v>
      </c>
      <c r="F819" t="s">
        <v>1596</v>
      </c>
      <c r="G819" s="1">
        <v>45093</v>
      </c>
      <c r="H819" s="1">
        <v>45140</v>
      </c>
      <c r="I819" t="s">
        <v>28</v>
      </c>
      <c r="J819" s="1" t="b">
        <f t="shared" si="84"/>
        <v>1</v>
      </c>
      <c r="K819" s="1" t="b">
        <f t="shared" si="85"/>
        <v>0</v>
      </c>
      <c r="L819" s="1" t="b">
        <f t="shared" si="86"/>
        <v>0</v>
      </c>
      <c r="M819" s="1" t="b">
        <f t="shared" si="87"/>
        <v>0</v>
      </c>
      <c r="N819" s="1" t="b">
        <f t="shared" si="88"/>
        <v>0</v>
      </c>
      <c r="O819" s="1" t="b">
        <f t="shared" si="89"/>
        <v>0</v>
      </c>
      <c r="P819" s="1" t="b">
        <f t="shared" si="90"/>
        <v>1</v>
      </c>
    </row>
    <row r="820" spans="1:16" x14ac:dyDescent="0.2">
      <c r="A820">
        <v>1662507</v>
      </c>
      <c r="B820" t="s">
        <v>1597</v>
      </c>
      <c r="C820" t="s">
        <v>363</v>
      </c>
      <c r="D820" t="s">
        <v>77</v>
      </c>
      <c r="E820" s="1">
        <v>44934</v>
      </c>
      <c r="F820" t="s">
        <v>1598</v>
      </c>
      <c r="G820" s="1">
        <v>44959</v>
      </c>
      <c r="I820" t="s">
        <v>13</v>
      </c>
      <c r="J820" s="1" t="b">
        <f t="shared" si="84"/>
        <v>0</v>
      </c>
      <c r="K820" s="1" t="b">
        <f t="shared" si="85"/>
        <v>1</v>
      </c>
      <c r="L820" s="1" t="b">
        <f t="shared" si="86"/>
        <v>0</v>
      </c>
      <c r="M820" s="1" t="b">
        <f t="shared" si="87"/>
        <v>0</v>
      </c>
      <c r="N820" s="1" t="b">
        <f t="shared" si="88"/>
        <v>0</v>
      </c>
      <c r="O820" s="1" t="b">
        <f t="shared" si="89"/>
        <v>0</v>
      </c>
      <c r="P820" s="1" t="b">
        <f t="shared" si="90"/>
        <v>0</v>
      </c>
    </row>
    <row r="821" spans="1:16" x14ac:dyDescent="0.2">
      <c r="A821">
        <v>5006173</v>
      </c>
      <c r="B821" t="s">
        <v>1599</v>
      </c>
      <c r="C821" t="s">
        <v>720</v>
      </c>
      <c r="D821" t="s">
        <v>122</v>
      </c>
      <c r="E821" s="1">
        <v>45071</v>
      </c>
      <c r="F821" t="s">
        <v>1600</v>
      </c>
      <c r="G821" s="1">
        <v>45096</v>
      </c>
      <c r="H821" s="1">
        <v>45132</v>
      </c>
      <c r="I821" t="s">
        <v>43</v>
      </c>
      <c r="J821" s="1" t="b">
        <f t="shared" si="84"/>
        <v>1</v>
      </c>
      <c r="K821" s="1" t="b">
        <f t="shared" si="85"/>
        <v>0</v>
      </c>
      <c r="L821" s="1" t="b">
        <f t="shared" si="86"/>
        <v>0</v>
      </c>
      <c r="M821" s="1" t="b">
        <f t="shared" si="87"/>
        <v>0</v>
      </c>
      <c r="N821" s="1" t="b">
        <f t="shared" si="88"/>
        <v>0</v>
      </c>
      <c r="O821" s="1" t="b">
        <f t="shared" si="89"/>
        <v>1</v>
      </c>
      <c r="P821" s="1" t="b">
        <f t="shared" si="90"/>
        <v>0</v>
      </c>
    </row>
    <row r="822" spans="1:16" x14ac:dyDescent="0.2">
      <c r="A822">
        <v>5006173</v>
      </c>
      <c r="B822" t="s">
        <v>1601</v>
      </c>
      <c r="C822" t="s">
        <v>720</v>
      </c>
      <c r="D822" t="s">
        <v>122</v>
      </c>
      <c r="E822" s="1">
        <v>44981</v>
      </c>
      <c r="F822" t="s">
        <v>1602</v>
      </c>
      <c r="G822" s="1">
        <v>45002</v>
      </c>
      <c r="I822" t="s">
        <v>13</v>
      </c>
      <c r="J822" s="1" t="b">
        <f t="shared" si="84"/>
        <v>0</v>
      </c>
      <c r="K822" s="1" t="b">
        <f t="shared" si="85"/>
        <v>1</v>
      </c>
      <c r="L822" s="1" t="b">
        <f t="shared" si="86"/>
        <v>0</v>
      </c>
      <c r="M822" s="1" t="b">
        <f t="shared" si="87"/>
        <v>0</v>
      </c>
      <c r="N822" s="1" t="b">
        <f t="shared" si="88"/>
        <v>0</v>
      </c>
      <c r="O822" s="1" t="b">
        <f t="shared" si="89"/>
        <v>0</v>
      </c>
      <c r="P822" s="1" t="b">
        <f t="shared" si="90"/>
        <v>0</v>
      </c>
    </row>
    <row r="823" spans="1:16" x14ac:dyDescent="0.2">
      <c r="A823">
        <v>5006173</v>
      </c>
      <c r="B823" t="s">
        <v>1603</v>
      </c>
      <c r="C823" t="s">
        <v>720</v>
      </c>
      <c r="D823" t="s">
        <v>122</v>
      </c>
      <c r="E823" s="1">
        <v>44630</v>
      </c>
      <c r="F823" t="s">
        <v>1573</v>
      </c>
      <c r="G823" s="1">
        <v>44632</v>
      </c>
      <c r="H823" s="1">
        <v>44686</v>
      </c>
      <c r="I823" t="s">
        <v>16</v>
      </c>
      <c r="J823" s="1" t="b">
        <f t="shared" si="84"/>
        <v>1</v>
      </c>
      <c r="K823" s="1" t="b">
        <f t="shared" si="85"/>
        <v>0</v>
      </c>
      <c r="L823" s="1" t="b">
        <f t="shared" si="86"/>
        <v>0</v>
      </c>
      <c r="M823" s="1" t="b">
        <f t="shared" si="87"/>
        <v>0</v>
      </c>
      <c r="N823" s="1" t="b">
        <f t="shared" si="88"/>
        <v>1</v>
      </c>
      <c r="O823" s="1" t="b">
        <f t="shared" si="89"/>
        <v>0</v>
      </c>
      <c r="P823" s="1" t="b">
        <f t="shared" si="90"/>
        <v>0</v>
      </c>
    </row>
    <row r="824" spans="1:16" x14ac:dyDescent="0.2">
      <c r="A824">
        <v>5006173</v>
      </c>
      <c r="B824" t="s">
        <v>1604</v>
      </c>
      <c r="C824" t="s">
        <v>720</v>
      </c>
      <c r="D824" t="s">
        <v>122</v>
      </c>
      <c r="E824" s="1">
        <v>44768</v>
      </c>
      <c r="F824" t="s">
        <v>1605</v>
      </c>
      <c r="G824" s="1">
        <v>44772</v>
      </c>
      <c r="H824" s="1">
        <v>44804</v>
      </c>
      <c r="I824" t="s">
        <v>43</v>
      </c>
      <c r="J824" s="1" t="b">
        <f t="shared" si="84"/>
        <v>1</v>
      </c>
      <c r="K824" s="1" t="b">
        <f t="shared" si="85"/>
        <v>0</v>
      </c>
      <c r="L824" s="1" t="b">
        <f t="shared" si="86"/>
        <v>0</v>
      </c>
      <c r="M824" s="1" t="b">
        <f t="shared" si="87"/>
        <v>0</v>
      </c>
      <c r="N824" s="1" t="b">
        <f t="shared" si="88"/>
        <v>0</v>
      </c>
      <c r="O824" s="1" t="b">
        <f t="shared" si="89"/>
        <v>1</v>
      </c>
      <c r="P824" s="1" t="b">
        <f t="shared" si="90"/>
        <v>0</v>
      </c>
    </row>
    <row r="825" spans="1:16" x14ac:dyDescent="0.2">
      <c r="A825">
        <v>5006173</v>
      </c>
      <c r="B825" t="s">
        <v>1606</v>
      </c>
      <c r="C825" t="s">
        <v>720</v>
      </c>
      <c r="D825" t="s">
        <v>122</v>
      </c>
      <c r="E825" s="1">
        <v>44959</v>
      </c>
      <c r="F825" t="s">
        <v>1607</v>
      </c>
      <c r="G825" s="1">
        <v>44981</v>
      </c>
      <c r="I825" t="s">
        <v>13</v>
      </c>
      <c r="J825" s="1" t="b">
        <f t="shared" si="84"/>
        <v>0</v>
      </c>
      <c r="K825" s="1" t="b">
        <f t="shared" si="85"/>
        <v>1</v>
      </c>
      <c r="L825" s="1" t="b">
        <f t="shared" si="86"/>
        <v>0</v>
      </c>
      <c r="M825" s="1" t="b">
        <f t="shared" si="87"/>
        <v>0</v>
      </c>
      <c r="N825" s="1" t="b">
        <f t="shared" si="88"/>
        <v>0</v>
      </c>
      <c r="O825" s="1" t="b">
        <f t="shared" si="89"/>
        <v>0</v>
      </c>
      <c r="P825" s="1" t="b">
        <f t="shared" si="90"/>
        <v>0</v>
      </c>
    </row>
    <row r="826" spans="1:16" x14ac:dyDescent="0.2">
      <c r="A826">
        <v>9219319</v>
      </c>
      <c r="B826" t="s">
        <v>1608</v>
      </c>
      <c r="C826" t="s">
        <v>80</v>
      </c>
      <c r="D826" t="s">
        <v>81</v>
      </c>
      <c r="E826" s="1">
        <v>44634</v>
      </c>
      <c r="F826" t="s">
        <v>54</v>
      </c>
      <c r="G826" s="1">
        <v>44635</v>
      </c>
      <c r="I826" t="s">
        <v>13</v>
      </c>
      <c r="J826" s="1" t="b">
        <f t="shared" si="84"/>
        <v>0</v>
      </c>
      <c r="K826" s="1" t="b">
        <f t="shared" si="85"/>
        <v>1</v>
      </c>
      <c r="L826" s="1" t="b">
        <f t="shared" si="86"/>
        <v>0</v>
      </c>
      <c r="M826" s="1" t="b">
        <f t="shared" si="87"/>
        <v>0</v>
      </c>
      <c r="N826" s="1" t="b">
        <f t="shared" si="88"/>
        <v>0</v>
      </c>
      <c r="O826" s="1" t="b">
        <f t="shared" si="89"/>
        <v>0</v>
      </c>
      <c r="P826" s="1" t="b">
        <f t="shared" si="90"/>
        <v>0</v>
      </c>
    </row>
    <row r="827" spans="1:16" x14ac:dyDescent="0.2">
      <c r="A827">
        <v>9219319</v>
      </c>
      <c r="B827" t="s">
        <v>1609</v>
      </c>
      <c r="C827" t="s">
        <v>80</v>
      </c>
      <c r="D827" t="s">
        <v>81</v>
      </c>
      <c r="E827" s="1">
        <v>44643</v>
      </c>
      <c r="F827" t="s">
        <v>1137</v>
      </c>
      <c r="G827" s="1">
        <v>44658</v>
      </c>
      <c r="H827" s="1">
        <v>44710</v>
      </c>
      <c r="I827" t="s">
        <v>43</v>
      </c>
      <c r="J827" s="1" t="b">
        <f t="shared" si="84"/>
        <v>1</v>
      </c>
      <c r="K827" s="1" t="b">
        <f t="shared" si="85"/>
        <v>0</v>
      </c>
      <c r="L827" s="1" t="b">
        <f t="shared" si="86"/>
        <v>0</v>
      </c>
      <c r="M827" s="1" t="b">
        <f t="shared" si="87"/>
        <v>0</v>
      </c>
      <c r="N827" s="1" t="b">
        <f t="shared" si="88"/>
        <v>0</v>
      </c>
      <c r="O827" s="1" t="b">
        <f t="shared" si="89"/>
        <v>1</v>
      </c>
      <c r="P827" s="1" t="b">
        <f t="shared" si="90"/>
        <v>0</v>
      </c>
    </row>
    <row r="828" spans="1:16" x14ac:dyDescent="0.2">
      <c r="A828">
        <v>9219319</v>
      </c>
      <c r="B828" t="s">
        <v>1610</v>
      </c>
      <c r="C828" t="s">
        <v>80</v>
      </c>
      <c r="D828" t="s">
        <v>81</v>
      </c>
      <c r="E828" s="1">
        <v>44987</v>
      </c>
      <c r="F828" t="s">
        <v>1611</v>
      </c>
      <c r="G828" s="1">
        <v>45014</v>
      </c>
      <c r="H828" s="1">
        <v>45038</v>
      </c>
      <c r="I828" t="s">
        <v>28</v>
      </c>
      <c r="J828" s="1" t="b">
        <f t="shared" si="84"/>
        <v>1</v>
      </c>
      <c r="K828" s="1" t="b">
        <f t="shared" si="85"/>
        <v>0</v>
      </c>
      <c r="L828" s="1" t="b">
        <f t="shared" si="86"/>
        <v>0</v>
      </c>
      <c r="M828" s="1" t="b">
        <f t="shared" si="87"/>
        <v>0</v>
      </c>
      <c r="N828" s="1" t="b">
        <f t="shared" si="88"/>
        <v>0</v>
      </c>
      <c r="O828" s="1" t="b">
        <f t="shared" si="89"/>
        <v>0</v>
      </c>
      <c r="P828" s="1" t="b">
        <f t="shared" si="90"/>
        <v>1</v>
      </c>
    </row>
    <row r="829" spans="1:16" x14ac:dyDescent="0.2">
      <c r="A829">
        <v>9219319</v>
      </c>
      <c r="B829" t="s">
        <v>1612</v>
      </c>
      <c r="C829" t="s">
        <v>80</v>
      </c>
      <c r="D829" t="s">
        <v>81</v>
      </c>
      <c r="E829" s="1">
        <v>44834</v>
      </c>
      <c r="F829" t="s">
        <v>658</v>
      </c>
      <c r="G829" s="1">
        <v>44851</v>
      </c>
      <c r="H829" s="1">
        <v>44854</v>
      </c>
      <c r="I829" t="s">
        <v>16</v>
      </c>
      <c r="J829" s="1" t="b">
        <f t="shared" si="84"/>
        <v>1</v>
      </c>
      <c r="K829" s="1" t="b">
        <f t="shared" si="85"/>
        <v>0</v>
      </c>
      <c r="L829" s="1" t="b">
        <f t="shared" si="86"/>
        <v>0</v>
      </c>
      <c r="M829" s="1" t="b">
        <f t="shared" si="87"/>
        <v>0</v>
      </c>
      <c r="N829" s="1" t="b">
        <f t="shared" si="88"/>
        <v>1</v>
      </c>
      <c r="O829" s="1" t="b">
        <f t="shared" si="89"/>
        <v>0</v>
      </c>
      <c r="P829" s="1" t="b">
        <f t="shared" si="90"/>
        <v>0</v>
      </c>
    </row>
    <row r="830" spans="1:16" x14ac:dyDescent="0.2">
      <c r="A830">
        <v>9219319</v>
      </c>
      <c r="B830" t="s">
        <v>1613</v>
      </c>
      <c r="C830" t="s">
        <v>80</v>
      </c>
      <c r="D830" t="s">
        <v>81</v>
      </c>
      <c r="E830" s="1">
        <v>45093</v>
      </c>
      <c r="F830" t="s">
        <v>1614</v>
      </c>
      <c r="G830" s="1">
        <v>45097</v>
      </c>
      <c r="H830" s="1">
        <v>45104</v>
      </c>
      <c r="I830" t="s">
        <v>28</v>
      </c>
      <c r="J830" s="1" t="b">
        <f t="shared" si="84"/>
        <v>1</v>
      </c>
      <c r="K830" s="1" t="b">
        <f t="shared" si="85"/>
        <v>0</v>
      </c>
      <c r="L830" s="1" t="b">
        <f t="shared" si="86"/>
        <v>0</v>
      </c>
      <c r="M830" s="1" t="b">
        <f t="shared" si="87"/>
        <v>0</v>
      </c>
      <c r="N830" s="1" t="b">
        <f t="shared" si="88"/>
        <v>0</v>
      </c>
      <c r="O830" s="1" t="b">
        <f t="shared" si="89"/>
        <v>0</v>
      </c>
      <c r="P830" s="1" t="b">
        <f t="shared" si="90"/>
        <v>1</v>
      </c>
    </row>
    <row r="831" spans="1:16" x14ac:dyDescent="0.2">
      <c r="A831">
        <v>4875838</v>
      </c>
      <c r="B831" t="s">
        <v>1615</v>
      </c>
      <c r="C831" t="s">
        <v>18</v>
      </c>
      <c r="D831" t="s">
        <v>60</v>
      </c>
      <c r="E831" s="1">
        <v>44745</v>
      </c>
      <c r="F831" t="s">
        <v>1616</v>
      </c>
      <c r="G831" s="1">
        <v>44763</v>
      </c>
      <c r="I831" t="s">
        <v>13</v>
      </c>
      <c r="J831" s="1" t="b">
        <f t="shared" si="84"/>
        <v>0</v>
      </c>
      <c r="K831" s="1" t="b">
        <f t="shared" si="85"/>
        <v>1</v>
      </c>
      <c r="L831" s="1" t="b">
        <f t="shared" si="86"/>
        <v>0</v>
      </c>
      <c r="M831" s="1" t="b">
        <f t="shared" si="87"/>
        <v>0</v>
      </c>
      <c r="N831" s="1" t="b">
        <f t="shared" si="88"/>
        <v>0</v>
      </c>
      <c r="O831" s="1" t="b">
        <f t="shared" si="89"/>
        <v>0</v>
      </c>
      <c r="P831" s="1" t="b">
        <f t="shared" si="90"/>
        <v>0</v>
      </c>
    </row>
    <row r="832" spans="1:16" x14ac:dyDescent="0.2">
      <c r="A832">
        <v>4875838</v>
      </c>
      <c r="B832" t="s">
        <v>1617</v>
      </c>
      <c r="C832" t="s">
        <v>18</v>
      </c>
      <c r="D832" t="s">
        <v>60</v>
      </c>
      <c r="E832" s="1">
        <v>44928</v>
      </c>
      <c r="F832" t="s">
        <v>12</v>
      </c>
      <c r="G832" s="1">
        <v>44950</v>
      </c>
      <c r="H832" s="1">
        <v>44980</v>
      </c>
      <c r="J832" s="1" t="b">
        <f t="shared" si="84"/>
        <v>1</v>
      </c>
      <c r="K832" s="1" t="b">
        <f t="shared" si="85"/>
        <v>0</v>
      </c>
      <c r="L832" s="1" t="b">
        <f t="shared" si="86"/>
        <v>0</v>
      </c>
      <c r="M832" s="1" t="b">
        <f t="shared" si="87"/>
        <v>0</v>
      </c>
      <c r="N832" s="1" t="b">
        <f t="shared" si="88"/>
        <v>0</v>
      </c>
      <c r="O832" s="1" t="b">
        <f t="shared" si="89"/>
        <v>0</v>
      </c>
      <c r="P832" s="1" t="b">
        <f t="shared" si="90"/>
        <v>0</v>
      </c>
    </row>
    <row r="833" spans="1:16" x14ac:dyDescent="0.2">
      <c r="A833">
        <v>8165129</v>
      </c>
      <c r="B833" t="s">
        <v>1618</v>
      </c>
      <c r="C833" t="s">
        <v>131</v>
      </c>
      <c r="D833" t="s">
        <v>122</v>
      </c>
      <c r="E833" s="1">
        <v>44723</v>
      </c>
      <c r="F833" t="s">
        <v>1619</v>
      </c>
      <c r="G833" s="1">
        <v>44741</v>
      </c>
      <c r="H833" s="1">
        <v>44780</v>
      </c>
      <c r="J833" s="1" t="b">
        <f t="shared" si="84"/>
        <v>1</v>
      </c>
      <c r="K833" s="1" t="b">
        <f t="shared" si="85"/>
        <v>0</v>
      </c>
      <c r="L833" s="1" t="b">
        <f t="shared" si="86"/>
        <v>0</v>
      </c>
      <c r="M833" s="1" t="b">
        <f t="shared" si="87"/>
        <v>0</v>
      </c>
      <c r="N833" s="1" t="b">
        <f t="shared" si="88"/>
        <v>0</v>
      </c>
      <c r="O833" s="1" t="b">
        <f t="shared" si="89"/>
        <v>0</v>
      </c>
      <c r="P833" s="1" t="b">
        <f t="shared" si="90"/>
        <v>0</v>
      </c>
    </row>
    <row r="834" spans="1:16" x14ac:dyDescent="0.2">
      <c r="A834">
        <v>8165129</v>
      </c>
      <c r="B834" t="s">
        <v>1620</v>
      </c>
      <c r="C834" t="s">
        <v>131</v>
      </c>
      <c r="D834" t="s">
        <v>122</v>
      </c>
      <c r="E834" s="1">
        <v>44894</v>
      </c>
      <c r="F834" t="s">
        <v>1621</v>
      </c>
      <c r="G834" s="1">
        <v>44922</v>
      </c>
      <c r="H834" s="1">
        <v>44946</v>
      </c>
      <c r="I834" t="s">
        <v>28</v>
      </c>
      <c r="J834" s="1" t="b">
        <f t="shared" si="84"/>
        <v>1</v>
      </c>
      <c r="K834" s="1" t="b">
        <f t="shared" si="85"/>
        <v>0</v>
      </c>
      <c r="L834" s="1" t="b">
        <f t="shared" si="86"/>
        <v>0</v>
      </c>
      <c r="M834" s="1" t="b">
        <f t="shared" si="87"/>
        <v>0</v>
      </c>
      <c r="N834" s="1" t="b">
        <f t="shared" si="88"/>
        <v>0</v>
      </c>
      <c r="O834" s="1" t="b">
        <f t="shared" si="89"/>
        <v>0</v>
      </c>
      <c r="P834" s="1" t="b">
        <f t="shared" si="90"/>
        <v>1</v>
      </c>
    </row>
    <row r="835" spans="1:16" x14ac:dyDescent="0.2">
      <c r="A835">
        <v>7917972</v>
      </c>
      <c r="B835" t="s">
        <v>1622</v>
      </c>
      <c r="C835" t="s">
        <v>35</v>
      </c>
      <c r="D835" t="s">
        <v>60</v>
      </c>
      <c r="E835" s="1">
        <v>44822</v>
      </c>
      <c r="F835" t="s">
        <v>1623</v>
      </c>
      <c r="G835" s="1">
        <v>44834</v>
      </c>
      <c r="H835" s="1">
        <v>44863</v>
      </c>
      <c r="I835" t="s">
        <v>43</v>
      </c>
      <c r="J835" s="1" t="b">
        <f t="shared" ref="J835:J898" si="91">AND(NOT(ISBLANK(H835)), NOT(OR(ISNUMBER(SEARCH("decline", I835)), ISNUMBER(SEARCH("rescind", I835)), ISNUMBER(SEARCH("cancel", I835)))))</f>
        <v>1</v>
      </c>
      <c r="K835" s="1" t="b">
        <f t="shared" ref="K835:K898" si="92">ISNUMBER(SEARCH("decline", I835))</f>
        <v>0</v>
      </c>
      <c r="L835" s="1" t="b">
        <f t="shared" ref="L835:L898" si="93">ISNUMBER(SEARCH("rescind", I835))</f>
        <v>0</v>
      </c>
      <c r="M835" s="1" t="b">
        <f t="shared" ref="M835:M898" si="94">ISNUMBER(SEARCH("cancel", I835))</f>
        <v>0</v>
      </c>
      <c r="N835" s="1" t="b">
        <f t="shared" ref="N835:N898" si="95">ISNUMBER(SEARCH("transfer", I835))</f>
        <v>0</v>
      </c>
      <c r="O835" s="1" t="b">
        <f t="shared" ref="O835:O898" si="96">ISNUMBER(SEARCH("promo", I835))</f>
        <v>1</v>
      </c>
      <c r="P835" s="1" t="b">
        <f t="shared" ref="P835:P898" si="97">ISNUMBER(SEARCH("new", I835))</f>
        <v>0</v>
      </c>
    </row>
    <row r="836" spans="1:16" x14ac:dyDescent="0.2">
      <c r="A836">
        <v>7917972</v>
      </c>
      <c r="B836" t="s">
        <v>1624</v>
      </c>
      <c r="C836" t="s">
        <v>35</v>
      </c>
      <c r="D836" t="s">
        <v>60</v>
      </c>
      <c r="E836" s="1">
        <v>44597</v>
      </c>
      <c r="F836" t="s">
        <v>1625</v>
      </c>
      <c r="G836" s="1">
        <v>44607</v>
      </c>
      <c r="H836" s="1">
        <v>44646</v>
      </c>
      <c r="J836" s="1" t="b">
        <f t="shared" si="91"/>
        <v>1</v>
      </c>
      <c r="K836" s="1" t="b">
        <f t="shared" si="92"/>
        <v>0</v>
      </c>
      <c r="L836" s="1" t="b">
        <f t="shared" si="93"/>
        <v>0</v>
      </c>
      <c r="M836" s="1" t="b">
        <f t="shared" si="94"/>
        <v>0</v>
      </c>
      <c r="N836" s="1" t="b">
        <f t="shared" si="95"/>
        <v>0</v>
      </c>
      <c r="O836" s="1" t="b">
        <f t="shared" si="96"/>
        <v>0</v>
      </c>
      <c r="P836" s="1" t="b">
        <f t="shared" si="97"/>
        <v>0</v>
      </c>
    </row>
    <row r="837" spans="1:16" x14ac:dyDescent="0.2">
      <c r="A837">
        <v>7917972</v>
      </c>
      <c r="B837" t="s">
        <v>1626</v>
      </c>
      <c r="C837" t="s">
        <v>35</v>
      </c>
      <c r="D837" t="s">
        <v>60</v>
      </c>
      <c r="E837" s="1">
        <v>44871</v>
      </c>
      <c r="F837" t="s">
        <v>1627</v>
      </c>
      <c r="G837" s="1">
        <v>44872</v>
      </c>
      <c r="I837" t="s">
        <v>13</v>
      </c>
      <c r="J837" s="1" t="b">
        <f t="shared" si="91"/>
        <v>0</v>
      </c>
      <c r="K837" s="1" t="b">
        <f t="shared" si="92"/>
        <v>1</v>
      </c>
      <c r="L837" s="1" t="b">
        <f t="shared" si="93"/>
        <v>0</v>
      </c>
      <c r="M837" s="1" t="b">
        <f t="shared" si="94"/>
        <v>0</v>
      </c>
      <c r="N837" s="1" t="b">
        <f t="shared" si="95"/>
        <v>0</v>
      </c>
      <c r="O837" s="1" t="b">
        <f t="shared" si="96"/>
        <v>0</v>
      </c>
      <c r="P837" s="1" t="b">
        <f t="shared" si="97"/>
        <v>0</v>
      </c>
    </row>
    <row r="838" spans="1:16" x14ac:dyDescent="0.2">
      <c r="A838">
        <v>6038767</v>
      </c>
      <c r="B838" t="s">
        <v>1628</v>
      </c>
      <c r="C838" t="s">
        <v>93</v>
      </c>
      <c r="D838" t="s">
        <v>19</v>
      </c>
      <c r="E838" s="1">
        <v>44937</v>
      </c>
      <c r="F838" t="s">
        <v>1629</v>
      </c>
      <c r="G838" s="1">
        <v>44966</v>
      </c>
      <c r="I838" t="s">
        <v>13</v>
      </c>
      <c r="J838" s="1" t="b">
        <f t="shared" si="91"/>
        <v>0</v>
      </c>
      <c r="K838" s="1" t="b">
        <f t="shared" si="92"/>
        <v>1</v>
      </c>
      <c r="L838" s="1" t="b">
        <f t="shared" si="93"/>
        <v>0</v>
      </c>
      <c r="M838" s="1" t="b">
        <f t="shared" si="94"/>
        <v>0</v>
      </c>
      <c r="N838" s="1" t="b">
        <f t="shared" si="95"/>
        <v>0</v>
      </c>
      <c r="O838" s="1" t="b">
        <f t="shared" si="96"/>
        <v>0</v>
      </c>
      <c r="P838" s="1" t="b">
        <f t="shared" si="97"/>
        <v>0</v>
      </c>
    </row>
    <row r="839" spans="1:16" x14ac:dyDescent="0.2">
      <c r="A839">
        <v>6038767</v>
      </c>
      <c r="B839" t="s">
        <v>1630</v>
      </c>
      <c r="C839" t="s">
        <v>93</v>
      </c>
      <c r="D839" t="s">
        <v>19</v>
      </c>
      <c r="E839" s="1">
        <v>45085</v>
      </c>
      <c r="F839" t="s">
        <v>1631</v>
      </c>
      <c r="G839" s="1">
        <v>45103</v>
      </c>
      <c r="H839" s="1">
        <v>45140</v>
      </c>
      <c r="I839" t="s">
        <v>28</v>
      </c>
      <c r="J839" s="1" t="b">
        <f t="shared" si="91"/>
        <v>1</v>
      </c>
      <c r="K839" s="1" t="b">
        <f t="shared" si="92"/>
        <v>0</v>
      </c>
      <c r="L839" s="1" t="b">
        <f t="shared" si="93"/>
        <v>0</v>
      </c>
      <c r="M839" s="1" t="b">
        <f t="shared" si="94"/>
        <v>0</v>
      </c>
      <c r="N839" s="1" t="b">
        <f t="shared" si="95"/>
        <v>0</v>
      </c>
      <c r="O839" s="1" t="b">
        <f t="shared" si="96"/>
        <v>0</v>
      </c>
      <c r="P839" s="1" t="b">
        <f t="shared" si="97"/>
        <v>1</v>
      </c>
    </row>
    <row r="840" spans="1:16" x14ac:dyDescent="0.2">
      <c r="A840">
        <v>6038767</v>
      </c>
      <c r="B840" t="s">
        <v>1632</v>
      </c>
      <c r="C840" t="s">
        <v>93</v>
      </c>
      <c r="D840" t="s">
        <v>19</v>
      </c>
      <c r="E840" s="1">
        <v>45033</v>
      </c>
      <c r="F840" t="s">
        <v>1633</v>
      </c>
      <c r="G840" s="1">
        <v>45045</v>
      </c>
      <c r="H840" s="1">
        <v>45055</v>
      </c>
      <c r="I840" t="s">
        <v>43</v>
      </c>
      <c r="J840" s="1" t="b">
        <f t="shared" si="91"/>
        <v>1</v>
      </c>
      <c r="K840" s="1" t="b">
        <f t="shared" si="92"/>
        <v>0</v>
      </c>
      <c r="L840" s="1" t="b">
        <f t="shared" si="93"/>
        <v>0</v>
      </c>
      <c r="M840" s="1" t="b">
        <f t="shared" si="94"/>
        <v>0</v>
      </c>
      <c r="N840" s="1" t="b">
        <f t="shared" si="95"/>
        <v>0</v>
      </c>
      <c r="O840" s="1" t="b">
        <f t="shared" si="96"/>
        <v>1</v>
      </c>
      <c r="P840" s="1" t="b">
        <f t="shared" si="97"/>
        <v>0</v>
      </c>
    </row>
    <row r="841" spans="1:16" x14ac:dyDescent="0.2">
      <c r="A841">
        <v>5191903</v>
      </c>
      <c r="B841" t="s">
        <v>1634</v>
      </c>
      <c r="C841" t="s">
        <v>93</v>
      </c>
      <c r="D841" t="s">
        <v>11</v>
      </c>
      <c r="I841" t="s">
        <v>33</v>
      </c>
      <c r="J841" s="1" t="b">
        <f t="shared" si="91"/>
        <v>0</v>
      </c>
      <c r="K841" s="1" t="b">
        <f t="shared" si="92"/>
        <v>0</v>
      </c>
      <c r="L841" s="1" t="b">
        <f t="shared" si="93"/>
        <v>0</v>
      </c>
      <c r="M841" s="1" t="b">
        <f t="shared" si="94"/>
        <v>1</v>
      </c>
      <c r="N841" s="1" t="b">
        <f t="shared" si="95"/>
        <v>0</v>
      </c>
      <c r="O841" s="1" t="b">
        <f t="shared" si="96"/>
        <v>0</v>
      </c>
      <c r="P841" s="1" t="b">
        <f t="shared" si="97"/>
        <v>0</v>
      </c>
    </row>
    <row r="842" spans="1:16" x14ac:dyDescent="0.2">
      <c r="A842">
        <v>5191903</v>
      </c>
      <c r="B842" t="s">
        <v>1635</v>
      </c>
      <c r="C842" t="s">
        <v>93</v>
      </c>
      <c r="D842" t="s">
        <v>11</v>
      </c>
      <c r="E842" s="1">
        <v>44641</v>
      </c>
      <c r="F842" t="s">
        <v>1636</v>
      </c>
      <c r="G842" s="1">
        <v>44665</v>
      </c>
      <c r="I842" t="s">
        <v>25</v>
      </c>
      <c r="J842" s="1" t="b">
        <f t="shared" si="91"/>
        <v>0</v>
      </c>
      <c r="K842" s="1" t="b">
        <f t="shared" si="92"/>
        <v>0</v>
      </c>
      <c r="L842" s="1" t="b">
        <f t="shared" si="93"/>
        <v>1</v>
      </c>
      <c r="M842" s="1" t="b">
        <f t="shared" si="94"/>
        <v>0</v>
      </c>
      <c r="N842" s="1" t="b">
        <f t="shared" si="95"/>
        <v>0</v>
      </c>
      <c r="O842" s="1" t="b">
        <f t="shared" si="96"/>
        <v>0</v>
      </c>
      <c r="P842" s="1" t="b">
        <f t="shared" si="97"/>
        <v>0</v>
      </c>
    </row>
    <row r="843" spans="1:16" x14ac:dyDescent="0.2">
      <c r="A843">
        <v>5191903</v>
      </c>
      <c r="B843" t="s">
        <v>1637</v>
      </c>
      <c r="C843" t="s">
        <v>93</v>
      </c>
      <c r="D843" t="s">
        <v>11</v>
      </c>
      <c r="E843" s="1">
        <v>45061</v>
      </c>
      <c r="F843" t="s">
        <v>1638</v>
      </c>
      <c r="G843" s="1">
        <v>45088</v>
      </c>
      <c r="I843" t="s">
        <v>25</v>
      </c>
      <c r="J843" s="1" t="b">
        <f t="shared" si="91"/>
        <v>0</v>
      </c>
      <c r="K843" s="1" t="b">
        <f t="shared" si="92"/>
        <v>0</v>
      </c>
      <c r="L843" s="1" t="b">
        <f t="shared" si="93"/>
        <v>1</v>
      </c>
      <c r="M843" s="1" t="b">
        <f t="shared" si="94"/>
        <v>0</v>
      </c>
      <c r="N843" s="1" t="b">
        <f t="shared" si="95"/>
        <v>0</v>
      </c>
      <c r="O843" s="1" t="b">
        <f t="shared" si="96"/>
        <v>0</v>
      </c>
      <c r="P843" s="1" t="b">
        <f t="shared" si="97"/>
        <v>0</v>
      </c>
    </row>
    <row r="844" spans="1:16" x14ac:dyDescent="0.2">
      <c r="A844">
        <v>2599943</v>
      </c>
      <c r="B844" t="s">
        <v>1639</v>
      </c>
      <c r="C844" t="s">
        <v>121</v>
      </c>
      <c r="D844" t="s">
        <v>11</v>
      </c>
      <c r="E844" s="1">
        <v>44619</v>
      </c>
      <c r="F844" t="s">
        <v>831</v>
      </c>
      <c r="G844" s="1">
        <v>44649</v>
      </c>
      <c r="H844" s="1">
        <v>44699</v>
      </c>
      <c r="J844" s="1" t="b">
        <f t="shared" si="91"/>
        <v>1</v>
      </c>
      <c r="K844" s="1" t="b">
        <f t="shared" si="92"/>
        <v>0</v>
      </c>
      <c r="L844" s="1" t="b">
        <f t="shared" si="93"/>
        <v>0</v>
      </c>
      <c r="M844" s="1" t="b">
        <f t="shared" si="94"/>
        <v>0</v>
      </c>
      <c r="N844" s="1" t="b">
        <f t="shared" si="95"/>
        <v>0</v>
      </c>
      <c r="O844" s="1" t="b">
        <f t="shared" si="96"/>
        <v>0</v>
      </c>
      <c r="P844" s="1" t="b">
        <f t="shared" si="97"/>
        <v>0</v>
      </c>
    </row>
    <row r="845" spans="1:16" x14ac:dyDescent="0.2">
      <c r="A845">
        <v>6610127</v>
      </c>
      <c r="B845" t="s">
        <v>1640</v>
      </c>
      <c r="C845" t="s">
        <v>542</v>
      </c>
      <c r="D845" t="s">
        <v>60</v>
      </c>
      <c r="E845" s="1">
        <v>44794</v>
      </c>
      <c r="F845" t="s">
        <v>1319</v>
      </c>
      <c r="G845" s="1">
        <v>44818</v>
      </c>
      <c r="H845" s="1">
        <v>44860</v>
      </c>
      <c r="I845" t="s">
        <v>16</v>
      </c>
      <c r="J845" s="1" t="b">
        <f t="shared" si="91"/>
        <v>1</v>
      </c>
      <c r="K845" s="1" t="b">
        <f t="shared" si="92"/>
        <v>0</v>
      </c>
      <c r="L845" s="1" t="b">
        <f t="shared" si="93"/>
        <v>0</v>
      </c>
      <c r="M845" s="1" t="b">
        <f t="shared" si="94"/>
        <v>0</v>
      </c>
      <c r="N845" s="1" t="b">
        <f t="shared" si="95"/>
        <v>1</v>
      </c>
      <c r="O845" s="1" t="b">
        <f t="shared" si="96"/>
        <v>0</v>
      </c>
      <c r="P845" s="1" t="b">
        <f t="shared" si="97"/>
        <v>0</v>
      </c>
    </row>
    <row r="846" spans="1:16" x14ac:dyDescent="0.2">
      <c r="A846">
        <v>6610127</v>
      </c>
      <c r="B846" t="s">
        <v>1641</v>
      </c>
      <c r="C846" t="s">
        <v>542</v>
      </c>
      <c r="D846" t="s">
        <v>60</v>
      </c>
      <c r="E846" s="1">
        <v>44953</v>
      </c>
      <c r="F846" t="s">
        <v>1642</v>
      </c>
      <c r="G846" s="1">
        <v>44955</v>
      </c>
      <c r="H846" s="1">
        <v>44975</v>
      </c>
      <c r="I846" t="s">
        <v>16</v>
      </c>
      <c r="J846" s="1" t="b">
        <f t="shared" si="91"/>
        <v>1</v>
      </c>
      <c r="K846" s="1" t="b">
        <f t="shared" si="92"/>
        <v>0</v>
      </c>
      <c r="L846" s="1" t="b">
        <f t="shared" si="93"/>
        <v>0</v>
      </c>
      <c r="M846" s="1" t="b">
        <f t="shared" si="94"/>
        <v>0</v>
      </c>
      <c r="N846" s="1" t="b">
        <f t="shared" si="95"/>
        <v>1</v>
      </c>
      <c r="O846" s="1" t="b">
        <f t="shared" si="96"/>
        <v>0</v>
      </c>
      <c r="P846" s="1" t="b">
        <f t="shared" si="97"/>
        <v>0</v>
      </c>
    </row>
    <row r="847" spans="1:16" x14ac:dyDescent="0.2">
      <c r="A847">
        <v>6610127</v>
      </c>
      <c r="B847" t="s">
        <v>1643</v>
      </c>
      <c r="C847" t="s">
        <v>542</v>
      </c>
      <c r="D847" t="s">
        <v>60</v>
      </c>
      <c r="E847" s="1">
        <v>44715</v>
      </c>
      <c r="F847" t="s">
        <v>1644</v>
      </c>
      <c r="G847" s="1">
        <v>44726</v>
      </c>
      <c r="H847" s="1">
        <v>44759</v>
      </c>
      <c r="I847" t="s">
        <v>28</v>
      </c>
      <c r="J847" s="1" t="b">
        <f t="shared" si="91"/>
        <v>1</v>
      </c>
      <c r="K847" s="1" t="b">
        <f t="shared" si="92"/>
        <v>0</v>
      </c>
      <c r="L847" s="1" t="b">
        <f t="shared" si="93"/>
        <v>0</v>
      </c>
      <c r="M847" s="1" t="b">
        <f t="shared" si="94"/>
        <v>0</v>
      </c>
      <c r="N847" s="1" t="b">
        <f t="shared" si="95"/>
        <v>0</v>
      </c>
      <c r="O847" s="1" t="b">
        <f t="shared" si="96"/>
        <v>0</v>
      </c>
      <c r="P847" s="1" t="b">
        <f t="shared" si="97"/>
        <v>1</v>
      </c>
    </row>
    <row r="848" spans="1:16" x14ac:dyDescent="0.2">
      <c r="A848">
        <v>6610127</v>
      </c>
      <c r="B848" t="s">
        <v>1645</v>
      </c>
      <c r="C848" t="s">
        <v>542</v>
      </c>
      <c r="D848" t="s">
        <v>60</v>
      </c>
      <c r="E848" s="1">
        <v>44964</v>
      </c>
      <c r="F848" t="s">
        <v>1646</v>
      </c>
      <c r="G848" s="1">
        <v>44979</v>
      </c>
      <c r="H848" s="1">
        <v>45028</v>
      </c>
      <c r="I848" t="s">
        <v>43</v>
      </c>
      <c r="J848" s="1" t="b">
        <f t="shared" si="91"/>
        <v>1</v>
      </c>
      <c r="K848" s="1" t="b">
        <f t="shared" si="92"/>
        <v>0</v>
      </c>
      <c r="L848" s="1" t="b">
        <f t="shared" si="93"/>
        <v>0</v>
      </c>
      <c r="M848" s="1" t="b">
        <f t="shared" si="94"/>
        <v>0</v>
      </c>
      <c r="N848" s="1" t="b">
        <f t="shared" si="95"/>
        <v>0</v>
      </c>
      <c r="O848" s="1" t="b">
        <f t="shared" si="96"/>
        <v>1</v>
      </c>
      <c r="P848" s="1" t="b">
        <f t="shared" si="97"/>
        <v>0</v>
      </c>
    </row>
    <row r="849" spans="1:16" x14ac:dyDescent="0.2">
      <c r="A849">
        <v>9467953</v>
      </c>
      <c r="B849" t="s">
        <v>1647</v>
      </c>
      <c r="C849" t="s">
        <v>76</v>
      </c>
      <c r="D849" t="s">
        <v>19</v>
      </c>
      <c r="E849" s="1">
        <v>44697</v>
      </c>
      <c r="F849" t="s">
        <v>1139</v>
      </c>
      <c r="G849" s="1">
        <v>44708</v>
      </c>
      <c r="I849" t="s">
        <v>13</v>
      </c>
      <c r="J849" s="1" t="b">
        <f t="shared" si="91"/>
        <v>0</v>
      </c>
      <c r="K849" s="1" t="b">
        <f t="shared" si="92"/>
        <v>1</v>
      </c>
      <c r="L849" s="1" t="b">
        <f t="shared" si="93"/>
        <v>0</v>
      </c>
      <c r="M849" s="1" t="b">
        <f t="shared" si="94"/>
        <v>0</v>
      </c>
      <c r="N849" s="1" t="b">
        <f t="shared" si="95"/>
        <v>0</v>
      </c>
      <c r="O849" s="1" t="b">
        <f t="shared" si="96"/>
        <v>0</v>
      </c>
      <c r="P849" s="1" t="b">
        <f t="shared" si="97"/>
        <v>0</v>
      </c>
    </row>
    <row r="850" spans="1:16" x14ac:dyDescent="0.2">
      <c r="A850">
        <v>9467953</v>
      </c>
      <c r="B850" t="s">
        <v>1648</v>
      </c>
      <c r="C850" t="s">
        <v>76</v>
      </c>
      <c r="D850" t="s">
        <v>19</v>
      </c>
      <c r="E850" s="1">
        <v>44762</v>
      </c>
      <c r="F850" t="s">
        <v>1649</v>
      </c>
      <c r="G850" s="1">
        <v>44780</v>
      </c>
      <c r="I850" t="s">
        <v>13</v>
      </c>
      <c r="J850" s="1" t="b">
        <f t="shared" si="91"/>
        <v>0</v>
      </c>
      <c r="K850" s="1" t="b">
        <f t="shared" si="92"/>
        <v>1</v>
      </c>
      <c r="L850" s="1" t="b">
        <f t="shared" si="93"/>
        <v>0</v>
      </c>
      <c r="M850" s="1" t="b">
        <f t="shared" si="94"/>
        <v>0</v>
      </c>
      <c r="N850" s="1" t="b">
        <f t="shared" si="95"/>
        <v>0</v>
      </c>
      <c r="O850" s="1" t="b">
        <f t="shared" si="96"/>
        <v>0</v>
      </c>
      <c r="P850" s="1" t="b">
        <f t="shared" si="97"/>
        <v>0</v>
      </c>
    </row>
    <row r="851" spans="1:16" x14ac:dyDescent="0.2">
      <c r="A851">
        <v>9467953</v>
      </c>
      <c r="B851" t="s">
        <v>1650</v>
      </c>
      <c r="C851" t="s">
        <v>76</v>
      </c>
      <c r="D851" t="s">
        <v>19</v>
      </c>
      <c r="E851" s="1">
        <v>44830</v>
      </c>
      <c r="F851" t="s">
        <v>1651</v>
      </c>
      <c r="G851" s="1">
        <v>44833</v>
      </c>
      <c r="H851" s="1">
        <v>44859</v>
      </c>
      <c r="I851" t="s">
        <v>16</v>
      </c>
      <c r="J851" s="1" t="b">
        <f t="shared" si="91"/>
        <v>1</v>
      </c>
      <c r="K851" s="1" t="b">
        <f t="shared" si="92"/>
        <v>0</v>
      </c>
      <c r="L851" s="1" t="b">
        <f t="shared" si="93"/>
        <v>0</v>
      </c>
      <c r="M851" s="1" t="b">
        <f t="shared" si="94"/>
        <v>0</v>
      </c>
      <c r="N851" s="1" t="b">
        <f t="shared" si="95"/>
        <v>1</v>
      </c>
      <c r="O851" s="1" t="b">
        <f t="shared" si="96"/>
        <v>0</v>
      </c>
      <c r="P851" s="1" t="b">
        <f t="shared" si="97"/>
        <v>0</v>
      </c>
    </row>
    <row r="852" spans="1:16" x14ac:dyDescent="0.2">
      <c r="A852">
        <v>9467953</v>
      </c>
      <c r="B852" t="s">
        <v>1652</v>
      </c>
      <c r="C852" t="s">
        <v>76</v>
      </c>
      <c r="D852" t="s">
        <v>19</v>
      </c>
      <c r="E852" s="1">
        <v>45054</v>
      </c>
      <c r="F852" t="s">
        <v>1653</v>
      </c>
      <c r="G852" s="1">
        <v>45072</v>
      </c>
      <c r="H852" s="1">
        <v>45085</v>
      </c>
      <c r="I852" t="s">
        <v>43</v>
      </c>
      <c r="J852" s="1" t="b">
        <f t="shared" si="91"/>
        <v>1</v>
      </c>
      <c r="K852" s="1" t="b">
        <f t="shared" si="92"/>
        <v>0</v>
      </c>
      <c r="L852" s="1" t="b">
        <f t="shared" si="93"/>
        <v>0</v>
      </c>
      <c r="M852" s="1" t="b">
        <f t="shared" si="94"/>
        <v>0</v>
      </c>
      <c r="N852" s="1" t="b">
        <f t="shared" si="95"/>
        <v>0</v>
      </c>
      <c r="O852" s="1" t="b">
        <f t="shared" si="96"/>
        <v>1</v>
      </c>
      <c r="P852" s="1" t="b">
        <f t="shared" si="97"/>
        <v>0</v>
      </c>
    </row>
    <row r="853" spans="1:16" x14ac:dyDescent="0.2">
      <c r="A853">
        <v>9795418</v>
      </c>
      <c r="B853" t="s">
        <v>1654</v>
      </c>
      <c r="C853" t="s">
        <v>93</v>
      </c>
      <c r="D853" t="s">
        <v>19</v>
      </c>
      <c r="E853" s="1">
        <v>44653</v>
      </c>
      <c r="F853" t="s">
        <v>1580</v>
      </c>
      <c r="G853" s="1">
        <v>44657</v>
      </c>
      <c r="I853" t="s">
        <v>13</v>
      </c>
      <c r="J853" s="1" t="b">
        <f t="shared" si="91"/>
        <v>0</v>
      </c>
      <c r="K853" s="1" t="b">
        <f t="shared" si="92"/>
        <v>1</v>
      </c>
      <c r="L853" s="1" t="b">
        <f t="shared" si="93"/>
        <v>0</v>
      </c>
      <c r="M853" s="1" t="b">
        <f t="shared" si="94"/>
        <v>0</v>
      </c>
      <c r="N853" s="1" t="b">
        <f t="shared" si="95"/>
        <v>0</v>
      </c>
      <c r="O853" s="1" t="b">
        <f t="shared" si="96"/>
        <v>0</v>
      </c>
      <c r="P853" s="1" t="b">
        <f t="shared" si="97"/>
        <v>0</v>
      </c>
    </row>
    <row r="854" spans="1:16" x14ac:dyDescent="0.2">
      <c r="A854">
        <v>7938755</v>
      </c>
      <c r="B854" t="s">
        <v>1655</v>
      </c>
      <c r="C854" t="s">
        <v>315</v>
      </c>
      <c r="D854" t="s">
        <v>39</v>
      </c>
      <c r="E854" s="1">
        <v>44586</v>
      </c>
      <c r="F854" t="s">
        <v>1656</v>
      </c>
      <c r="G854" s="1">
        <v>44611</v>
      </c>
      <c r="I854" t="s">
        <v>13</v>
      </c>
      <c r="J854" s="1" t="b">
        <f t="shared" si="91"/>
        <v>0</v>
      </c>
      <c r="K854" s="1" t="b">
        <f t="shared" si="92"/>
        <v>1</v>
      </c>
      <c r="L854" s="1" t="b">
        <f t="shared" si="93"/>
        <v>0</v>
      </c>
      <c r="M854" s="1" t="b">
        <f t="shared" si="94"/>
        <v>0</v>
      </c>
      <c r="N854" s="1" t="b">
        <f t="shared" si="95"/>
        <v>0</v>
      </c>
      <c r="O854" s="1" t="b">
        <f t="shared" si="96"/>
        <v>0</v>
      </c>
      <c r="P854" s="1" t="b">
        <f t="shared" si="97"/>
        <v>0</v>
      </c>
    </row>
    <row r="855" spans="1:16" x14ac:dyDescent="0.2">
      <c r="A855">
        <v>7938755</v>
      </c>
      <c r="B855" t="s">
        <v>1657</v>
      </c>
      <c r="C855" t="s">
        <v>315</v>
      </c>
      <c r="D855" t="s">
        <v>39</v>
      </c>
      <c r="E855" s="1">
        <v>45014</v>
      </c>
      <c r="F855" t="s">
        <v>1658</v>
      </c>
      <c r="G855" s="1">
        <v>45034</v>
      </c>
      <c r="I855" t="s">
        <v>25</v>
      </c>
      <c r="J855" s="1" t="b">
        <f t="shared" si="91"/>
        <v>0</v>
      </c>
      <c r="K855" s="1" t="b">
        <f t="shared" si="92"/>
        <v>0</v>
      </c>
      <c r="L855" s="1" t="b">
        <f t="shared" si="93"/>
        <v>1</v>
      </c>
      <c r="M855" s="1" t="b">
        <f t="shared" si="94"/>
        <v>0</v>
      </c>
      <c r="N855" s="1" t="b">
        <f t="shared" si="95"/>
        <v>0</v>
      </c>
      <c r="O855" s="1" t="b">
        <f t="shared" si="96"/>
        <v>0</v>
      </c>
      <c r="P855" s="1" t="b">
        <f t="shared" si="97"/>
        <v>0</v>
      </c>
    </row>
    <row r="856" spans="1:16" x14ac:dyDescent="0.2">
      <c r="A856">
        <v>7938755</v>
      </c>
      <c r="B856" t="s">
        <v>1659</v>
      </c>
      <c r="C856" t="s">
        <v>315</v>
      </c>
      <c r="D856" t="s">
        <v>39</v>
      </c>
      <c r="E856" s="1">
        <v>44801</v>
      </c>
      <c r="F856" t="s">
        <v>1660</v>
      </c>
      <c r="G856" s="1">
        <v>44808</v>
      </c>
      <c r="I856" t="s">
        <v>13</v>
      </c>
      <c r="J856" s="1" t="b">
        <f t="shared" si="91"/>
        <v>0</v>
      </c>
      <c r="K856" s="1" t="b">
        <f t="shared" si="92"/>
        <v>1</v>
      </c>
      <c r="L856" s="1" t="b">
        <f t="shared" si="93"/>
        <v>0</v>
      </c>
      <c r="M856" s="1" t="b">
        <f t="shared" si="94"/>
        <v>0</v>
      </c>
      <c r="N856" s="1" t="b">
        <f t="shared" si="95"/>
        <v>0</v>
      </c>
      <c r="O856" s="1" t="b">
        <f t="shared" si="96"/>
        <v>0</v>
      </c>
      <c r="P856" s="1" t="b">
        <f t="shared" si="97"/>
        <v>0</v>
      </c>
    </row>
    <row r="857" spans="1:16" x14ac:dyDescent="0.2">
      <c r="A857">
        <v>7271672</v>
      </c>
      <c r="B857" t="s">
        <v>1661</v>
      </c>
      <c r="C857" t="s">
        <v>71</v>
      </c>
      <c r="D857" t="s">
        <v>122</v>
      </c>
      <c r="E857" s="1">
        <v>44713</v>
      </c>
      <c r="F857" t="s">
        <v>1662</v>
      </c>
      <c r="G857" s="1">
        <v>44741</v>
      </c>
      <c r="H857" s="1">
        <v>44795</v>
      </c>
      <c r="I857" t="s">
        <v>43</v>
      </c>
      <c r="J857" s="1" t="b">
        <f t="shared" si="91"/>
        <v>1</v>
      </c>
      <c r="K857" s="1" t="b">
        <f t="shared" si="92"/>
        <v>0</v>
      </c>
      <c r="L857" s="1" t="b">
        <f t="shared" si="93"/>
        <v>0</v>
      </c>
      <c r="M857" s="1" t="b">
        <f t="shared" si="94"/>
        <v>0</v>
      </c>
      <c r="N857" s="1" t="b">
        <f t="shared" si="95"/>
        <v>0</v>
      </c>
      <c r="O857" s="1" t="b">
        <f t="shared" si="96"/>
        <v>1</v>
      </c>
      <c r="P857" s="1" t="b">
        <f t="shared" si="97"/>
        <v>0</v>
      </c>
    </row>
    <row r="858" spans="1:16" x14ac:dyDescent="0.2">
      <c r="A858">
        <v>5826554</v>
      </c>
      <c r="B858" t="s">
        <v>1663</v>
      </c>
      <c r="C858" t="s">
        <v>10</v>
      </c>
      <c r="D858" t="s">
        <v>39</v>
      </c>
      <c r="E858" s="1">
        <v>44901</v>
      </c>
      <c r="F858" t="s">
        <v>1664</v>
      </c>
      <c r="G858" s="1">
        <v>44908</v>
      </c>
      <c r="I858" t="s">
        <v>25</v>
      </c>
      <c r="J858" s="1" t="b">
        <f t="shared" si="91"/>
        <v>0</v>
      </c>
      <c r="K858" s="1" t="b">
        <f t="shared" si="92"/>
        <v>0</v>
      </c>
      <c r="L858" s="1" t="b">
        <f t="shared" si="93"/>
        <v>1</v>
      </c>
      <c r="M858" s="1" t="b">
        <f t="shared" si="94"/>
        <v>0</v>
      </c>
      <c r="N858" s="1" t="b">
        <f t="shared" si="95"/>
        <v>0</v>
      </c>
      <c r="O858" s="1" t="b">
        <f t="shared" si="96"/>
        <v>0</v>
      </c>
      <c r="P858" s="1" t="b">
        <f t="shared" si="97"/>
        <v>0</v>
      </c>
    </row>
    <row r="859" spans="1:16" x14ac:dyDescent="0.2">
      <c r="A859">
        <v>4554677</v>
      </c>
      <c r="B859" t="s">
        <v>1665</v>
      </c>
      <c r="C859" t="s">
        <v>454</v>
      </c>
      <c r="D859" t="s">
        <v>139</v>
      </c>
      <c r="E859" s="1">
        <v>44706</v>
      </c>
      <c r="F859" t="s">
        <v>1666</v>
      </c>
      <c r="G859" s="1">
        <v>44729</v>
      </c>
      <c r="H859" s="1">
        <v>44774</v>
      </c>
      <c r="J859" s="1" t="b">
        <f t="shared" si="91"/>
        <v>1</v>
      </c>
      <c r="K859" s="1" t="b">
        <f t="shared" si="92"/>
        <v>0</v>
      </c>
      <c r="L859" s="1" t="b">
        <f t="shared" si="93"/>
        <v>0</v>
      </c>
      <c r="M859" s="1" t="b">
        <f t="shared" si="94"/>
        <v>0</v>
      </c>
      <c r="N859" s="1" t="b">
        <f t="shared" si="95"/>
        <v>0</v>
      </c>
      <c r="O859" s="1" t="b">
        <f t="shared" si="96"/>
        <v>0</v>
      </c>
      <c r="P859" s="1" t="b">
        <f t="shared" si="97"/>
        <v>0</v>
      </c>
    </row>
    <row r="860" spans="1:16" x14ac:dyDescent="0.2">
      <c r="A860">
        <v>4554677</v>
      </c>
      <c r="B860" t="s">
        <v>1667</v>
      </c>
      <c r="C860" t="s">
        <v>454</v>
      </c>
      <c r="D860" t="s">
        <v>139</v>
      </c>
      <c r="E860" s="1">
        <v>45101</v>
      </c>
      <c r="F860" t="s">
        <v>1668</v>
      </c>
      <c r="G860" s="1">
        <v>45103</v>
      </c>
      <c r="H860" s="1">
        <v>45120</v>
      </c>
      <c r="J860" s="1" t="b">
        <f t="shared" si="91"/>
        <v>1</v>
      </c>
      <c r="K860" s="1" t="b">
        <f t="shared" si="92"/>
        <v>0</v>
      </c>
      <c r="L860" s="1" t="b">
        <f t="shared" si="93"/>
        <v>0</v>
      </c>
      <c r="M860" s="1" t="b">
        <f t="shared" si="94"/>
        <v>0</v>
      </c>
      <c r="N860" s="1" t="b">
        <f t="shared" si="95"/>
        <v>0</v>
      </c>
      <c r="O860" s="1" t="b">
        <f t="shared" si="96"/>
        <v>0</v>
      </c>
      <c r="P860" s="1" t="b">
        <f t="shared" si="97"/>
        <v>0</v>
      </c>
    </row>
    <row r="861" spans="1:16" x14ac:dyDescent="0.2">
      <c r="A861">
        <v>4554677</v>
      </c>
      <c r="B861" t="s">
        <v>1669</v>
      </c>
      <c r="C861" t="s">
        <v>454</v>
      </c>
      <c r="D861" t="s">
        <v>139</v>
      </c>
      <c r="E861" s="1">
        <v>44839</v>
      </c>
      <c r="F861" t="s">
        <v>1670</v>
      </c>
      <c r="G861" s="1">
        <v>44841</v>
      </c>
      <c r="I861" t="s">
        <v>13</v>
      </c>
      <c r="J861" s="1" t="b">
        <f t="shared" si="91"/>
        <v>0</v>
      </c>
      <c r="K861" s="1" t="b">
        <f t="shared" si="92"/>
        <v>1</v>
      </c>
      <c r="L861" s="1" t="b">
        <f t="shared" si="93"/>
        <v>0</v>
      </c>
      <c r="M861" s="1" t="b">
        <f t="shared" si="94"/>
        <v>0</v>
      </c>
      <c r="N861" s="1" t="b">
        <f t="shared" si="95"/>
        <v>0</v>
      </c>
      <c r="O861" s="1" t="b">
        <f t="shared" si="96"/>
        <v>0</v>
      </c>
      <c r="P861" s="1" t="b">
        <f t="shared" si="97"/>
        <v>0</v>
      </c>
    </row>
    <row r="862" spans="1:16" x14ac:dyDescent="0.2">
      <c r="A862">
        <v>4554677</v>
      </c>
      <c r="B862" t="s">
        <v>1671</v>
      </c>
      <c r="C862" t="s">
        <v>454</v>
      </c>
      <c r="D862" t="s">
        <v>139</v>
      </c>
      <c r="E862" s="1">
        <v>44839</v>
      </c>
      <c r="F862" t="s">
        <v>1672</v>
      </c>
      <c r="G862" s="1">
        <v>44861</v>
      </c>
      <c r="H862" s="1">
        <v>44916</v>
      </c>
      <c r="I862" t="s">
        <v>16</v>
      </c>
      <c r="J862" s="1" t="b">
        <f t="shared" si="91"/>
        <v>1</v>
      </c>
      <c r="K862" s="1" t="b">
        <f t="shared" si="92"/>
        <v>0</v>
      </c>
      <c r="L862" s="1" t="b">
        <f t="shared" si="93"/>
        <v>0</v>
      </c>
      <c r="M862" s="1" t="b">
        <f t="shared" si="94"/>
        <v>0</v>
      </c>
      <c r="N862" s="1" t="b">
        <f t="shared" si="95"/>
        <v>1</v>
      </c>
      <c r="O862" s="1" t="b">
        <f t="shared" si="96"/>
        <v>0</v>
      </c>
      <c r="P862" s="1" t="b">
        <f t="shared" si="97"/>
        <v>0</v>
      </c>
    </row>
    <row r="863" spans="1:16" x14ac:dyDescent="0.2">
      <c r="A863">
        <v>4554677</v>
      </c>
      <c r="B863" t="s">
        <v>1673</v>
      </c>
      <c r="C863" t="s">
        <v>454</v>
      </c>
      <c r="D863" t="s">
        <v>139</v>
      </c>
      <c r="E863" s="1">
        <v>44581</v>
      </c>
      <c r="F863" t="s">
        <v>1674</v>
      </c>
      <c r="G863" s="1">
        <v>44591</v>
      </c>
      <c r="H863" s="1">
        <v>44647</v>
      </c>
      <c r="I863" t="s">
        <v>28</v>
      </c>
      <c r="J863" s="1" t="b">
        <f t="shared" si="91"/>
        <v>1</v>
      </c>
      <c r="K863" s="1" t="b">
        <f t="shared" si="92"/>
        <v>0</v>
      </c>
      <c r="L863" s="1" t="b">
        <f t="shared" si="93"/>
        <v>0</v>
      </c>
      <c r="M863" s="1" t="b">
        <f t="shared" si="94"/>
        <v>0</v>
      </c>
      <c r="N863" s="1" t="b">
        <f t="shared" si="95"/>
        <v>0</v>
      </c>
      <c r="O863" s="1" t="b">
        <f t="shared" si="96"/>
        <v>0</v>
      </c>
      <c r="P863" s="1" t="b">
        <f t="shared" si="97"/>
        <v>1</v>
      </c>
    </row>
    <row r="864" spans="1:16" x14ac:dyDescent="0.2">
      <c r="A864">
        <v>7484783</v>
      </c>
      <c r="B864" t="s">
        <v>1675</v>
      </c>
      <c r="C864" t="s">
        <v>93</v>
      </c>
      <c r="D864" t="s">
        <v>60</v>
      </c>
      <c r="E864" s="1">
        <v>45058</v>
      </c>
      <c r="F864" t="s">
        <v>1621</v>
      </c>
      <c r="G864" s="1">
        <v>45086</v>
      </c>
      <c r="H864" s="1">
        <v>45125</v>
      </c>
      <c r="I864" t="s">
        <v>16</v>
      </c>
      <c r="J864" s="1" t="b">
        <f t="shared" si="91"/>
        <v>1</v>
      </c>
      <c r="K864" s="1" t="b">
        <f t="shared" si="92"/>
        <v>0</v>
      </c>
      <c r="L864" s="1" t="b">
        <f t="shared" si="93"/>
        <v>0</v>
      </c>
      <c r="M864" s="1" t="b">
        <f t="shared" si="94"/>
        <v>0</v>
      </c>
      <c r="N864" s="1" t="b">
        <f t="shared" si="95"/>
        <v>1</v>
      </c>
      <c r="O864" s="1" t="b">
        <f t="shared" si="96"/>
        <v>0</v>
      </c>
      <c r="P864" s="1" t="b">
        <f t="shared" si="97"/>
        <v>0</v>
      </c>
    </row>
    <row r="865" spans="1:16" x14ac:dyDescent="0.2">
      <c r="A865">
        <v>7484783</v>
      </c>
      <c r="B865" t="s">
        <v>1676</v>
      </c>
      <c r="C865" t="s">
        <v>93</v>
      </c>
      <c r="D865" t="s">
        <v>60</v>
      </c>
      <c r="E865" s="1">
        <v>45030</v>
      </c>
      <c r="F865" t="s">
        <v>1677</v>
      </c>
      <c r="G865" s="1">
        <v>45048</v>
      </c>
      <c r="H865" s="1">
        <v>45108</v>
      </c>
      <c r="I865" t="s">
        <v>43</v>
      </c>
      <c r="J865" s="1" t="b">
        <f t="shared" si="91"/>
        <v>1</v>
      </c>
      <c r="K865" s="1" t="b">
        <f t="shared" si="92"/>
        <v>0</v>
      </c>
      <c r="L865" s="1" t="b">
        <f t="shared" si="93"/>
        <v>0</v>
      </c>
      <c r="M865" s="1" t="b">
        <f t="shared" si="94"/>
        <v>0</v>
      </c>
      <c r="N865" s="1" t="b">
        <f t="shared" si="95"/>
        <v>0</v>
      </c>
      <c r="O865" s="1" t="b">
        <f t="shared" si="96"/>
        <v>1</v>
      </c>
      <c r="P865" s="1" t="b">
        <f t="shared" si="97"/>
        <v>0</v>
      </c>
    </row>
    <row r="866" spans="1:16" x14ac:dyDescent="0.2">
      <c r="A866">
        <v>7484783</v>
      </c>
      <c r="B866" t="s">
        <v>1678</v>
      </c>
      <c r="C866" t="s">
        <v>93</v>
      </c>
      <c r="D866" t="s">
        <v>60</v>
      </c>
      <c r="E866" s="1">
        <v>44874</v>
      </c>
      <c r="F866" t="s">
        <v>359</v>
      </c>
      <c r="G866" s="1">
        <v>44885</v>
      </c>
      <c r="H866" s="1">
        <v>44917</v>
      </c>
      <c r="I866" t="s">
        <v>16</v>
      </c>
      <c r="J866" s="1" t="b">
        <f t="shared" si="91"/>
        <v>1</v>
      </c>
      <c r="K866" s="1" t="b">
        <f t="shared" si="92"/>
        <v>0</v>
      </c>
      <c r="L866" s="1" t="b">
        <f t="shared" si="93"/>
        <v>0</v>
      </c>
      <c r="M866" s="1" t="b">
        <f t="shared" si="94"/>
        <v>0</v>
      </c>
      <c r="N866" s="1" t="b">
        <f t="shared" si="95"/>
        <v>1</v>
      </c>
      <c r="O866" s="1" t="b">
        <f t="shared" si="96"/>
        <v>0</v>
      </c>
      <c r="P866" s="1" t="b">
        <f t="shared" si="97"/>
        <v>0</v>
      </c>
    </row>
    <row r="867" spans="1:16" x14ac:dyDescent="0.2">
      <c r="A867">
        <v>7484783</v>
      </c>
      <c r="B867" t="s">
        <v>1679</v>
      </c>
      <c r="C867" t="s">
        <v>93</v>
      </c>
      <c r="D867" t="s">
        <v>60</v>
      </c>
      <c r="E867" s="1">
        <v>44922</v>
      </c>
      <c r="F867" t="s">
        <v>1680</v>
      </c>
      <c r="G867" s="1">
        <v>44934</v>
      </c>
      <c r="H867" s="1">
        <v>44975</v>
      </c>
      <c r="I867" t="s">
        <v>43</v>
      </c>
      <c r="J867" s="1" t="b">
        <f t="shared" si="91"/>
        <v>1</v>
      </c>
      <c r="K867" s="1" t="b">
        <f t="shared" si="92"/>
        <v>0</v>
      </c>
      <c r="L867" s="1" t="b">
        <f t="shared" si="93"/>
        <v>0</v>
      </c>
      <c r="M867" s="1" t="b">
        <f t="shared" si="94"/>
        <v>0</v>
      </c>
      <c r="N867" s="1" t="b">
        <f t="shared" si="95"/>
        <v>0</v>
      </c>
      <c r="O867" s="1" t="b">
        <f t="shared" si="96"/>
        <v>1</v>
      </c>
      <c r="P867" s="1" t="b">
        <f t="shared" si="97"/>
        <v>0</v>
      </c>
    </row>
    <row r="868" spans="1:16" x14ac:dyDescent="0.2">
      <c r="A868">
        <v>7484783</v>
      </c>
      <c r="B868" t="s">
        <v>1681</v>
      </c>
      <c r="C868" t="s">
        <v>93</v>
      </c>
      <c r="D868" t="s">
        <v>60</v>
      </c>
      <c r="E868" s="1">
        <v>44825</v>
      </c>
      <c r="F868" t="s">
        <v>1682</v>
      </c>
      <c r="G868" s="1">
        <v>44854</v>
      </c>
      <c r="H868" s="1">
        <v>44879</v>
      </c>
      <c r="I868" t="s">
        <v>28</v>
      </c>
      <c r="J868" s="1" t="b">
        <f t="shared" si="91"/>
        <v>1</v>
      </c>
      <c r="K868" s="1" t="b">
        <f t="shared" si="92"/>
        <v>0</v>
      </c>
      <c r="L868" s="1" t="b">
        <f t="shared" si="93"/>
        <v>0</v>
      </c>
      <c r="M868" s="1" t="b">
        <f t="shared" si="94"/>
        <v>0</v>
      </c>
      <c r="N868" s="1" t="b">
        <f t="shared" si="95"/>
        <v>0</v>
      </c>
      <c r="O868" s="1" t="b">
        <f t="shared" si="96"/>
        <v>0</v>
      </c>
      <c r="P868" s="1" t="b">
        <f t="shared" si="97"/>
        <v>1</v>
      </c>
    </row>
    <row r="869" spans="1:16" x14ac:dyDescent="0.2">
      <c r="A869">
        <v>1494355</v>
      </c>
      <c r="B869" t="s">
        <v>1683</v>
      </c>
      <c r="C869" t="s">
        <v>18</v>
      </c>
      <c r="D869" t="s">
        <v>11</v>
      </c>
      <c r="E869" s="1">
        <v>44702</v>
      </c>
      <c r="F869" t="s">
        <v>1684</v>
      </c>
      <c r="G869" s="1">
        <v>44705</v>
      </c>
      <c r="I869" t="s">
        <v>13</v>
      </c>
      <c r="J869" s="1" t="b">
        <f t="shared" si="91"/>
        <v>0</v>
      </c>
      <c r="K869" s="1" t="b">
        <f t="shared" si="92"/>
        <v>1</v>
      </c>
      <c r="L869" s="1" t="b">
        <f t="shared" si="93"/>
        <v>0</v>
      </c>
      <c r="M869" s="1" t="b">
        <f t="shared" si="94"/>
        <v>0</v>
      </c>
      <c r="N869" s="1" t="b">
        <f t="shared" si="95"/>
        <v>0</v>
      </c>
      <c r="O869" s="1" t="b">
        <f t="shared" si="96"/>
        <v>0</v>
      </c>
      <c r="P869" s="1" t="b">
        <f t="shared" si="97"/>
        <v>0</v>
      </c>
    </row>
    <row r="870" spans="1:16" x14ac:dyDescent="0.2">
      <c r="A870">
        <v>1494355</v>
      </c>
      <c r="B870" t="s">
        <v>1685</v>
      </c>
      <c r="C870" t="s">
        <v>18</v>
      </c>
      <c r="D870" t="s">
        <v>11</v>
      </c>
      <c r="E870" s="1">
        <v>44718</v>
      </c>
      <c r="F870" t="s">
        <v>1686</v>
      </c>
      <c r="G870" s="1">
        <v>44732</v>
      </c>
      <c r="H870" s="1">
        <v>44752</v>
      </c>
      <c r="I870" t="s">
        <v>43</v>
      </c>
      <c r="J870" s="1" t="b">
        <f t="shared" si="91"/>
        <v>1</v>
      </c>
      <c r="K870" s="1" t="b">
        <f t="shared" si="92"/>
        <v>0</v>
      </c>
      <c r="L870" s="1" t="b">
        <f t="shared" si="93"/>
        <v>0</v>
      </c>
      <c r="M870" s="1" t="b">
        <f t="shared" si="94"/>
        <v>0</v>
      </c>
      <c r="N870" s="1" t="b">
        <f t="shared" si="95"/>
        <v>0</v>
      </c>
      <c r="O870" s="1" t="b">
        <f t="shared" si="96"/>
        <v>1</v>
      </c>
      <c r="P870" s="1" t="b">
        <f t="shared" si="97"/>
        <v>0</v>
      </c>
    </row>
    <row r="871" spans="1:16" x14ac:dyDescent="0.2">
      <c r="A871">
        <v>6524481</v>
      </c>
      <c r="B871" t="s">
        <v>1687</v>
      </c>
      <c r="C871" t="s">
        <v>287</v>
      </c>
      <c r="D871" t="s">
        <v>139</v>
      </c>
      <c r="E871" s="1">
        <v>44769</v>
      </c>
      <c r="F871" t="s">
        <v>1688</v>
      </c>
      <c r="G871" s="1">
        <v>44797</v>
      </c>
      <c r="I871" t="s">
        <v>13</v>
      </c>
      <c r="J871" s="1" t="b">
        <f t="shared" si="91"/>
        <v>0</v>
      </c>
      <c r="K871" s="1" t="b">
        <f t="shared" si="92"/>
        <v>1</v>
      </c>
      <c r="L871" s="1" t="b">
        <f t="shared" si="93"/>
        <v>0</v>
      </c>
      <c r="M871" s="1" t="b">
        <f t="shared" si="94"/>
        <v>0</v>
      </c>
      <c r="N871" s="1" t="b">
        <f t="shared" si="95"/>
        <v>0</v>
      </c>
      <c r="O871" s="1" t="b">
        <f t="shared" si="96"/>
        <v>0</v>
      </c>
      <c r="P871" s="1" t="b">
        <f t="shared" si="97"/>
        <v>0</v>
      </c>
    </row>
    <row r="872" spans="1:16" x14ac:dyDescent="0.2">
      <c r="A872">
        <v>6524481</v>
      </c>
      <c r="B872" t="s">
        <v>1689</v>
      </c>
      <c r="C872" t="s">
        <v>287</v>
      </c>
      <c r="D872" t="s">
        <v>139</v>
      </c>
      <c r="E872" s="1">
        <v>45098</v>
      </c>
      <c r="F872" t="s">
        <v>1690</v>
      </c>
      <c r="G872" s="1">
        <v>45128</v>
      </c>
      <c r="I872" t="s">
        <v>13</v>
      </c>
      <c r="J872" s="1" t="b">
        <f t="shared" si="91"/>
        <v>0</v>
      </c>
      <c r="K872" s="1" t="b">
        <f t="shared" si="92"/>
        <v>1</v>
      </c>
      <c r="L872" s="1" t="b">
        <f t="shared" si="93"/>
        <v>0</v>
      </c>
      <c r="M872" s="1" t="b">
        <f t="shared" si="94"/>
        <v>0</v>
      </c>
      <c r="N872" s="1" t="b">
        <f t="shared" si="95"/>
        <v>0</v>
      </c>
      <c r="O872" s="1" t="b">
        <f t="shared" si="96"/>
        <v>0</v>
      </c>
      <c r="P872" s="1" t="b">
        <f t="shared" si="97"/>
        <v>0</v>
      </c>
    </row>
    <row r="873" spans="1:16" x14ac:dyDescent="0.2">
      <c r="A873">
        <v>3269160</v>
      </c>
      <c r="B873" t="s">
        <v>1691</v>
      </c>
      <c r="C873" t="s">
        <v>315</v>
      </c>
      <c r="D873" t="s">
        <v>187</v>
      </c>
      <c r="E873" s="1">
        <v>45107</v>
      </c>
      <c r="F873" t="s">
        <v>1099</v>
      </c>
      <c r="G873" s="1">
        <v>45131</v>
      </c>
      <c r="H873" s="1">
        <v>45139</v>
      </c>
      <c r="I873" t="s">
        <v>28</v>
      </c>
      <c r="J873" s="1" t="b">
        <f t="shared" si="91"/>
        <v>1</v>
      </c>
      <c r="K873" s="1" t="b">
        <f t="shared" si="92"/>
        <v>0</v>
      </c>
      <c r="L873" s="1" t="b">
        <f t="shared" si="93"/>
        <v>0</v>
      </c>
      <c r="M873" s="1" t="b">
        <f t="shared" si="94"/>
        <v>0</v>
      </c>
      <c r="N873" s="1" t="b">
        <f t="shared" si="95"/>
        <v>0</v>
      </c>
      <c r="O873" s="1" t="b">
        <f t="shared" si="96"/>
        <v>0</v>
      </c>
      <c r="P873" s="1" t="b">
        <f t="shared" si="97"/>
        <v>1</v>
      </c>
    </row>
    <row r="874" spans="1:16" x14ac:dyDescent="0.2">
      <c r="A874">
        <v>3269160</v>
      </c>
      <c r="B874" t="s">
        <v>1692</v>
      </c>
      <c r="C874" t="s">
        <v>315</v>
      </c>
      <c r="D874" t="s">
        <v>187</v>
      </c>
      <c r="E874" s="1">
        <v>44711</v>
      </c>
      <c r="F874" t="s">
        <v>1693</v>
      </c>
      <c r="G874" s="1">
        <v>44735</v>
      </c>
      <c r="I874" t="s">
        <v>13</v>
      </c>
      <c r="J874" s="1" t="b">
        <f t="shared" si="91"/>
        <v>0</v>
      </c>
      <c r="K874" s="1" t="b">
        <f t="shared" si="92"/>
        <v>1</v>
      </c>
      <c r="L874" s="1" t="b">
        <f t="shared" si="93"/>
        <v>0</v>
      </c>
      <c r="M874" s="1" t="b">
        <f t="shared" si="94"/>
        <v>0</v>
      </c>
      <c r="N874" s="1" t="b">
        <f t="shared" si="95"/>
        <v>0</v>
      </c>
      <c r="O874" s="1" t="b">
        <f t="shared" si="96"/>
        <v>0</v>
      </c>
      <c r="P874" s="1" t="b">
        <f t="shared" si="97"/>
        <v>0</v>
      </c>
    </row>
    <row r="875" spans="1:16" x14ac:dyDescent="0.2">
      <c r="A875">
        <v>3269160</v>
      </c>
      <c r="B875" t="s">
        <v>1694</v>
      </c>
      <c r="C875" t="s">
        <v>315</v>
      </c>
      <c r="D875" t="s">
        <v>187</v>
      </c>
      <c r="E875" s="1">
        <v>44985</v>
      </c>
      <c r="F875" t="s">
        <v>1695</v>
      </c>
      <c r="G875" s="1">
        <v>44999</v>
      </c>
      <c r="I875" t="s">
        <v>13</v>
      </c>
      <c r="J875" s="1" t="b">
        <f t="shared" si="91"/>
        <v>0</v>
      </c>
      <c r="K875" s="1" t="b">
        <f t="shared" si="92"/>
        <v>1</v>
      </c>
      <c r="L875" s="1" t="b">
        <f t="shared" si="93"/>
        <v>0</v>
      </c>
      <c r="M875" s="1" t="b">
        <f t="shared" si="94"/>
        <v>0</v>
      </c>
      <c r="N875" s="1" t="b">
        <f t="shared" si="95"/>
        <v>0</v>
      </c>
      <c r="O875" s="1" t="b">
        <f t="shared" si="96"/>
        <v>0</v>
      </c>
      <c r="P875" s="1" t="b">
        <f t="shared" si="97"/>
        <v>0</v>
      </c>
    </row>
    <row r="876" spans="1:16" x14ac:dyDescent="0.2">
      <c r="A876">
        <v>3269160</v>
      </c>
      <c r="B876" t="s">
        <v>1696</v>
      </c>
      <c r="C876" t="s">
        <v>315</v>
      </c>
      <c r="D876" t="s">
        <v>187</v>
      </c>
      <c r="E876" s="1">
        <v>44754</v>
      </c>
      <c r="F876" t="s">
        <v>1697</v>
      </c>
      <c r="G876" s="1">
        <v>44758</v>
      </c>
      <c r="H876" s="1">
        <v>44767</v>
      </c>
      <c r="I876" t="s">
        <v>28</v>
      </c>
      <c r="J876" s="1" t="b">
        <f t="shared" si="91"/>
        <v>1</v>
      </c>
      <c r="K876" s="1" t="b">
        <f t="shared" si="92"/>
        <v>0</v>
      </c>
      <c r="L876" s="1" t="b">
        <f t="shared" si="93"/>
        <v>0</v>
      </c>
      <c r="M876" s="1" t="b">
        <f t="shared" si="94"/>
        <v>0</v>
      </c>
      <c r="N876" s="1" t="b">
        <f t="shared" si="95"/>
        <v>0</v>
      </c>
      <c r="O876" s="1" t="b">
        <f t="shared" si="96"/>
        <v>0</v>
      </c>
      <c r="P876" s="1" t="b">
        <f t="shared" si="97"/>
        <v>1</v>
      </c>
    </row>
    <row r="877" spans="1:16" x14ac:dyDescent="0.2">
      <c r="A877">
        <v>3269160</v>
      </c>
      <c r="B877" t="s">
        <v>1698</v>
      </c>
      <c r="C877" t="s">
        <v>315</v>
      </c>
      <c r="D877" t="s">
        <v>187</v>
      </c>
      <c r="E877" s="1">
        <v>44835</v>
      </c>
      <c r="F877" t="s">
        <v>1699</v>
      </c>
      <c r="G877" s="1">
        <v>44855</v>
      </c>
      <c r="I877" t="s">
        <v>13</v>
      </c>
      <c r="J877" s="1" t="b">
        <f t="shared" si="91"/>
        <v>0</v>
      </c>
      <c r="K877" s="1" t="b">
        <f t="shared" si="92"/>
        <v>1</v>
      </c>
      <c r="L877" s="1" t="b">
        <f t="shared" si="93"/>
        <v>0</v>
      </c>
      <c r="M877" s="1" t="b">
        <f t="shared" si="94"/>
        <v>0</v>
      </c>
      <c r="N877" s="1" t="b">
        <f t="shared" si="95"/>
        <v>0</v>
      </c>
      <c r="O877" s="1" t="b">
        <f t="shared" si="96"/>
        <v>0</v>
      </c>
      <c r="P877" s="1" t="b">
        <f t="shared" si="97"/>
        <v>0</v>
      </c>
    </row>
    <row r="878" spans="1:16" x14ac:dyDescent="0.2">
      <c r="A878">
        <v>4874049</v>
      </c>
      <c r="B878" t="s">
        <v>1700</v>
      </c>
      <c r="C878" t="s">
        <v>121</v>
      </c>
      <c r="D878" t="s">
        <v>19</v>
      </c>
      <c r="E878" s="1">
        <v>45050</v>
      </c>
      <c r="F878" t="s">
        <v>1701</v>
      </c>
      <c r="G878" s="1">
        <v>45055</v>
      </c>
      <c r="H878" s="1">
        <v>45088</v>
      </c>
      <c r="I878" t="s">
        <v>28</v>
      </c>
      <c r="J878" s="1" t="b">
        <f t="shared" si="91"/>
        <v>1</v>
      </c>
      <c r="K878" s="1" t="b">
        <f t="shared" si="92"/>
        <v>0</v>
      </c>
      <c r="L878" s="1" t="b">
        <f t="shared" si="93"/>
        <v>0</v>
      </c>
      <c r="M878" s="1" t="b">
        <f t="shared" si="94"/>
        <v>0</v>
      </c>
      <c r="N878" s="1" t="b">
        <f t="shared" si="95"/>
        <v>0</v>
      </c>
      <c r="O878" s="1" t="b">
        <f t="shared" si="96"/>
        <v>0</v>
      </c>
      <c r="P878" s="1" t="b">
        <f t="shared" si="97"/>
        <v>1</v>
      </c>
    </row>
    <row r="879" spans="1:16" x14ac:dyDescent="0.2">
      <c r="A879">
        <v>4874049</v>
      </c>
      <c r="B879" t="s">
        <v>1702</v>
      </c>
      <c r="C879" t="s">
        <v>121</v>
      </c>
      <c r="D879" t="s">
        <v>19</v>
      </c>
      <c r="E879" s="1">
        <v>44944</v>
      </c>
      <c r="F879" t="s">
        <v>1703</v>
      </c>
      <c r="G879" s="1">
        <v>44950</v>
      </c>
      <c r="H879" s="1">
        <v>45005</v>
      </c>
      <c r="J879" s="1" t="b">
        <f t="shared" si="91"/>
        <v>1</v>
      </c>
      <c r="K879" s="1" t="b">
        <f t="shared" si="92"/>
        <v>0</v>
      </c>
      <c r="L879" s="1" t="b">
        <f t="shared" si="93"/>
        <v>0</v>
      </c>
      <c r="M879" s="1" t="b">
        <f t="shared" si="94"/>
        <v>0</v>
      </c>
      <c r="N879" s="1" t="b">
        <f t="shared" si="95"/>
        <v>0</v>
      </c>
      <c r="O879" s="1" t="b">
        <f t="shared" si="96"/>
        <v>0</v>
      </c>
      <c r="P879" s="1" t="b">
        <f t="shared" si="97"/>
        <v>0</v>
      </c>
    </row>
    <row r="880" spans="1:16" x14ac:dyDescent="0.2">
      <c r="A880">
        <v>7500504</v>
      </c>
      <c r="B880" t="s">
        <v>1704</v>
      </c>
      <c r="C880" t="s">
        <v>363</v>
      </c>
      <c r="D880" t="s">
        <v>77</v>
      </c>
      <c r="E880" s="1">
        <v>44980</v>
      </c>
      <c r="F880" t="s">
        <v>1705</v>
      </c>
      <c r="G880" s="1">
        <v>45005</v>
      </c>
      <c r="I880" t="s">
        <v>13</v>
      </c>
      <c r="J880" s="1" t="b">
        <f t="shared" si="91"/>
        <v>0</v>
      </c>
      <c r="K880" s="1" t="b">
        <f t="shared" si="92"/>
        <v>1</v>
      </c>
      <c r="L880" s="1" t="b">
        <f t="shared" si="93"/>
        <v>0</v>
      </c>
      <c r="M880" s="1" t="b">
        <f t="shared" si="94"/>
        <v>0</v>
      </c>
      <c r="N880" s="1" t="b">
        <f t="shared" si="95"/>
        <v>0</v>
      </c>
      <c r="O880" s="1" t="b">
        <f t="shared" si="96"/>
        <v>0</v>
      </c>
      <c r="P880" s="1" t="b">
        <f t="shared" si="97"/>
        <v>0</v>
      </c>
    </row>
    <row r="881" spans="1:16" x14ac:dyDescent="0.2">
      <c r="A881">
        <v>7500504</v>
      </c>
      <c r="B881" t="s">
        <v>1706</v>
      </c>
      <c r="C881" t="s">
        <v>363</v>
      </c>
      <c r="D881" t="s">
        <v>77</v>
      </c>
      <c r="E881" s="1">
        <v>44789</v>
      </c>
      <c r="F881" t="s">
        <v>1707</v>
      </c>
      <c r="G881" s="1">
        <v>44813</v>
      </c>
      <c r="H881" s="1">
        <v>44856</v>
      </c>
      <c r="I881" t="s">
        <v>28</v>
      </c>
      <c r="J881" s="1" t="b">
        <f t="shared" si="91"/>
        <v>1</v>
      </c>
      <c r="K881" s="1" t="b">
        <f t="shared" si="92"/>
        <v>0</v>
      </c>
      <c r="L881" s="1" t="b">
        <f t="shared" si="93"/>
        <v>0</v>
      </c>
      <c r="M881" s="1" t="b">
        <f t="shared" si="94"/>
        <v>0</v>
      </c>
      <c r="N881" s="1" t="b">
        <f t="shared" si="95"/>
        <v>0</v>
      </c>
      <c r="O881" s="1" t="b">
        <f t="shared" si="96"/>
        <v>0</v>
      </c>
      <c r="P881" s="1" t="b">
        <f t="shared" si="97"/>
        <v>1</v>
      </c>
    </row>
    <row r="882" spans="1:16" x14ac:dyDescent="0.2">
      <c r="A882">
        <v>4402982</v>
      </c>
      <c r="B882" t="s">
        <v>1708</v>
      </c>
      <c r="C882" t="s">
        <v>35</v>
      </c>
      <c r="D882" t="s">
        <v>19</v>
      </c>
      <c r="E882" s="1">
        <v>45063</v>
      </c>
      <c r="F882" t="s">
        <v>744</v>
      </c>
      <c r="G882" s="1">
        <v>45086</v>
      </c>
      <c r="I882" t="s">
        <v>13</v>
      </c>
      <c r="J882" s="1" t="b">
        <f t="shared" si="91"/>
        <v>0</v>
      </c>
      <c r="K882" s="1" t="b">
        <f t="shared" si="92"/>
        <v>1</v>
      </c>
      <c r="L882" s="1" t="b">
        <f t="shared" si="93"/>
        <v>0</v>
      </c>
      <c r="M882" s="1" t="b">
        <f t="shared" si="94"/>
        <v>0</v>
      </c>
      <c r="N882" s="1" t="b">
        <f t="shared" si="95"/>
        <v>0</v>
      </c>
      <c r="O882" s="1" t="b">
        <f t="shared" si="96"/>
        <v>0</v>
      </c>
      <c r="P882" s="1" t="b">
        <f t="shared" si="97"/>
        <v>0</v>
      </c>
    </row>
    <row r="883" spans="1:16" x14ac:dyDescent="0.2">
      <c r="A883">
        <v>6450844</v>
      </c>
      <c r="B883" t="s">
        <v>1709</v>
      </c>
      <c r="C883" t="s">
        <v>90</v>
      </c>
      <c r="D883" t="s">
        <v>77</v>
      </c>
      <c r="E883" s="1">
        <v>44951</v>
      </c>
      <c r="F883" t="s">
        <v>241</v>
      </c>
      <c r="G883" s="1">
        <v>44975</v>
      </c>
      <c r="H883" s="1">
        <v>44996</v>
      </c>
      <c r="I883" t="s">
        <v>16</v>
      </c>
      <c r="J883" s="1" t="b">
        <f t="shared" si="91"/>
        <v>1</v>
      </c>
      <c r="K883" s="1" t="b">
        <f t="shared" si="92"/>
        <v>0</v>
      </c>
      <c r="L883" s="1" t="b">
        <f t="shared" si="93"/>
        <v>0</v>
      </c>
      <c r="M883" s="1" t="b">
        <f t="shared" si="94"/>
        <v>0</v>
      </c>
      <c r="N883" s="1" t="b">
        <f t="shared" si="95"/>
        <v>1</v>
      </c>
      <c r="O883" s="1" t="b">
        <f t="shared" si="96"/>
        <v>0</v>
      </c>
      <c r="P883" s="1" t="b">
        <f t="shared" si="97"/>
        <v>0</v>
      </c>
    </row>
    <row r="884" spans="1:16" x14ac:dyDescent="0.2">
      <c r="A884">
        <v>6450844</v>
      </c>
      <c r="B884" t="s">
        <v>1710</v>
      </c>
      <c r="C884" t="s">
        <v>90</v>
      </c>
      <c r="D884" t="s">
        <v>77</v>
      </c>
      <c r="E884" s="1">
        <v>45024</v>
      </c>
      <c r="F884" t="s">
        <v>1306</v>
      </c>
      <c r="G884" s="1">
        <v>45039</v>
      </c>
      <c r="H884" s="1">
        <v>45092</v>
      </c>
      <c r="I884" t="s">
        <v>16</v>
      </c>
      <c r="J884" s="1" t="b">
        <f t="shared" si="91"/>
        <v>1</v>
      </c>
      <c r="K884" s="1" t="b">
        <f t="shared" si="92"/>
        <v>0</v>
      </c>
      <c r="L884" s="1" t="b">
        <f t="shared" si="93"/>
        <v>0</v>
      </c>
      <c r="M884" s="1" t="b">
        <f t="shared" si="94"/>
        <v>0</v>
      </c>
      <c r="N884" s="1" t="b">
        <f t="shared" si="95"/>
        <v>1</v>
      </c>
      <c r="O884" s="1" t="b">
        <f t="shared" si="96"/>
        <v>0</v>
      </c>
      <c r="P884" s="1" t="b">
        <f t="shared" si="97"/>
        <v>0</v>
      </c>
    </row>
    <row r="885" spans="1:16" x14ac:dyDescent="0.2">
      <c r="A885">
        <v>1711620</v>
      </c>
      <c r="B885" t="s">
        <v>1711</v>
      </c>
      <c r="C885" t="s">
        <v>131</v>
      </c>
      <c r="D885" t="s">
        <v>19</v>
      </c>
      <c r="E885" s="1">
        <v>45090</v>
      </c>
      <c r="F885" t="s">
        <v>1712</v>
      </c>
      <c r="G885" s="1">
        <v>45115</v>
      </c>
      <c r="H885" s="1">
        <v>45156</v>
      </c>
      <c r="I885" t="s">
        <v>16</v>
      </c>
      <c r="J885" s="1" t="b">
        <f t="shared" si="91"/>
        <v>1</v>
      </c>
      <c r="K885" s="1" t="b">
        <f t="shared" si="92"/>
        <v>0</v>
      </c>
      <c r="L885" s="1" t="b">
        <f t="shared" si="93"/>
        <v>0</v>
      </c>
      <c r="M885" s="1" t="b">
        <f t="shared" si="94"/>
        <v>0</v>
      </c>
      <c r="N885" s="1" t="b">
        <f t="shared" si="95"/>
        <v>1</v>
      </c>
      <c r="O885" s="1" t="b">
        <f t="shared" si="96"/>
        <v>0</v>
      </c>
      <c r="P885" s="1" t="b">
        <f t="shared" si="97"/>
        <v>0</v>
      </c>
    </row>
    <row r="886" spans="1:16" x14ac:dyDescent="0.2">
      <c r="A886">
        <v>1711620</v>
      </c>
      <c r="B886" t="s">
        <v>1713</v>
      </c>
      <c r="C886" t="s">
        <v>131</v>
      </c>
      <c r="D886" t="s">
        <v>19</v>
      </c>
      <c r="E886" s="1">
        <v>44969</v>
      </c>
      <c r="F886" t="s">
        <v>324</v>
      </c>
      <c r="G886" s="1">
        <v>44998</v>
      </c>
      <c r="H886" s="1">
        <v>45018</v>
      </c>
      <c r="I886" t="s">
        <v>43</v>
      </c>
      <c r="J886" s="1" t="b">
        <f t="shared" si="91"/>
        <v>1</v>
      </c>
      <c r="K886" s="1" t="b">
        <f t="shared" si="92"/>
        <v>0</v>
      </c>
      <c r="L886" s="1" t="b">
        <f t="shared" si="93"/>
        <v>0</v>
      </c>
      <c r="M886" s="1" t="b">
        <f t="shared" si="94"/>
        <v>0</v>
      </c>
      <c r="N886" s="1" t="b">
        <f t="shared" si="95"/>
        <v>0</v>
      </c>
      <c r="O886" s="1" t="b">
        <f t="shared" si="96"/>
        <v>1</v>
      </c>
      <c r="P886" s="1" t="b">
        <f t="shared" si="97"/>
        <v>0</v>
      </c>
    </row>
    <row r="887" spans="1:16" x14ac:dyDescent="0.2">
      <c r="A887">
        <v>1711620</v>
      </c>
      <c r="B887" t="s">
        <v>1714</v>
      </c>
      <c r="C887" t="s">
        <v>131</v>
      </c>
      <c r="D887" t="s">
        <v>19</v>
      </c>
      <c r="E887" s="1">
        <v>44994</v>
      </c>
      <c r="F887" t="s">
        <v>792</v>
      </c>
      <c r="G887" s="1">
        <v>45004</v>
      </c>
      <c r="H887" s="1">
        <v>45044</v>
      </c>
      <c r="I887" t="s">
        <v>28</v>
      </c>
      <c r="J887" s="1" t="b">
        <f t="shared" si="91"/>
        <v>1</v>
      </c>
      <c r="K887" s="1" t="b">
        <f t="shared" si="92"/>
        <v>0</v>
      </c>
      <c r="L887" s="1" t="b">
        <f t="shared" si="93"/>
        <v>0</v>
      </c>
      <c r="M887" s="1" t="b">
        <f t="shared" si="94"/>
        <v>0</v>
      </c>
      <c r="N887" s="1" t="b">
        <f t="shared" si="95"/>
        <v>0</v>
      </c>
      <c r="O887" s="1" t="b">
        <f t="shared" si="96"/>
        <v>0</v>
      </c>
      <c r="P887" s="1" t="b">
        <f t="shared" si="97"/>
        <v>1</v>
      </c>
    </row>
    <row r="888" spans="1:16" x14ac:dyDescent="0.2">
      <c r="A888">
        <v>1711620</v>
      </c>
      <c r="B888" t="s">
        <v>1715</v>
      </c>
      <c r="C888" t="s">
        <v>131</v>
      </c>
      <c r="D888" t="s">
        <v>19</v>
      </c>
      <c r="E888" s="1">
        <v>45024</v>
      </c>
      <c r="F888" t="s">
        <v>1716</v>
      </c>
      <c r="G888" s="1">
        <v>45027</v>
      </c>
      <c r="H888" s="1">
        <v>45074</v>
      </c>
      <c r="I888" t="s">
        <v>43</v>
      </c>
      <c r="J888" s="1" t="b">
        <f t="shared" si="91"/>
        <v>1</v>
      </c>
      <c r="K888" s="1" t="b">
        <f t="shared" si="92"/>
        <v>0</v>
      </c>
      <c r="L888" s="1" t="b">
        <f t="shared" si="93"/>
        <v>0</v>
      </c>
      <c r="M888" s="1" t="b">
        <f t="shared" si="94"/>
        <v>0</v>
      </c>
      <c r="N888" s="1" t="b">
        <f t="shared" si="95"/>
        <v>0</v>
      </c>
      <c r="O888" s="1" t="b">
        <f t="shared" si="96"/>
        <v>1</v>
      </c>
      <c r="P888" s="1" t="b">
        <f t="shared" si="97"/>
        <v>0</v>
      </c>
    </row>
    <row r="889" spans="1:16" x14ac:dyDescent="0.2">
      <c r="A889">
        <v>1711620</v>
      </c>
      <c r="B889" t="s">
        <v>1717</v>
      </c>
      <c r="C889" t="s">
        <v>131</v>
      </c>
      <c r="D889" t="s">
        <v>19</v>
      </c>
      <c r="E889" s="1">
        <v>44700</v>
      </c>
      <c r="F889" t="s">
        <v>1022</v>
      </c>
      <c r="G889" s="1">
        <v>44713</v>
      </c>
      <c r="H889" s="1">
        <v>44740</v>
      </c>
      <c r="I889" t="s">
        <v>43</v>
      </c>
      <c r="J889" s="1" t="b">
        <f t="shared" si="91"/>
        <v>1</v>
      </c>
      <c r="K889" s="1" t="b">
        <f t="shared" si="92"/>
        <v>0</v>
      </c>
      <c r="L889" s="1" t="b">
        <f t="shared" si="93"/>
        <v>0</v>
      </c>
      <c r="M889" s="1" t="b">
        <f t="shared" si="94"/>
        <v>0</v>
      </c>
      <c r="N889" s="1" t="b">
        <f t="shared" si="95"/>
        <v>0</v>
      </c>
      <c r="O889" s="1" t="b">
        <f t="shared" si="96"/>
        <v>1</v>
      </c>
      <c r="P889" s="1" t="b">
        <f t="shared" si="97"/>
        <v>0</v>
      </c>
    </row>
    <row r="890" spans="1:16" x14ac:dyDescent="0.2">
      <c r="A890">
        <v>6426773</v>
      </c>
      <c r="B890" t="s">
        <v>1718</v>
      </c>
      <c r="C890" t="s">
        <v>287</v>
      </c>
      <c r="D890" t="s">
        <v>56</v>
      </c>
      <c r="E890" s="1">
        <v>44654</v>
      </c>
      <c r="F890" t="s">
        <v>1719</v>
      </c>
      <c r="G890" s="1">
        <v>44663</v>
      </c>
      <c r="H890" s="1">
        <v>44684</v>
      </c>
      <c r="I890" t="s">
        <v>43</v>
      </c>
      <c r="J890" s="1" t="b">
        <f t="shared" si="91"/>
        <v>1</v>
      </c>
      <c r="K890" s="1" t="b">
        <f t="shared" si="92"/>
        <v>0</v>
      </c>
      <c r="L890" s="1" t="b">
        <f t="shared" si="93"/>
        <v>0</v>
      </c>
      <c r="M890" s="1" t="b">
        <f t="shared" si="94"/>
        <v>0</v>
      </c>
      <c r="N890" s="1" t="b">
        <f t="shared" si="95"/>
        <v>0</v>
      </c>
      <c r="O890" s="1" t="b">
        <f t="shared" si="96"/>
        <v>1</v>
      </c>
      <c r="P890" s="1" t="b">
        <f t="shared" si="97"/>
        <v>0</v>
      </c>
    </row>
    <row r="891" spans="1:16" x14ac:dyDescent="0.2">
      <c r="A891">
        <v>6426773</v>
      </c>
      <c r="B891" t="s">
        <v>1720</v>
      </c>
      <c r="C891" t="s">
        <v>287</v>
      </c>
      <c r="D891" t="s">
        <v>56</v>
      </c>
      <c r="E891" s="1">
        <v>44688</v>
      </c>
      <c r="F891" t="s">
        <v>1721</v>
      </c>
      <c r="G891" s="1">
        <v>44691</v>
      </c>
      <c r="H891" s="1">
        <v>44699</v>
      </c>
      <c r="I891" t="s">
        <v>43</v>
      </c>
      <c r="J891" s="1" t="b">
        <f t="shared" si="91"/>
        <v>1</v>
      </c>
      <c r="K891" s="1" t="b">
        <f t="shared" si="92"/>
        <v>0</v>
      </c>
      <c r="L891" s="1" t="b">
        <f t="shared" si="93"/>
        <v>0</v>
      </c>
      <c r="M891" s="1" t="b">
        <f t="shared" si="94"/>
        <v>0</v>
      </c>
      <c r="N891" s="1" t="b">
        <f t="shared" si="95"/>
        <v>0</v>
      </c>
      <c r="O891" s="1" t="b">
        <f t="shared" si="96"/>
        <v>1</v>
      </c>
      <c r="P891" s="1" t="b">
        <f t="shared" si="97"/>
        <v>0</v>
      </c>
    </row>
    <row r="892" spans="1:16" x14ac:dyDescent="0.2">
      <c r="A892">
        <v>8539654</v>
      </c>
      <c r="B892" t="s">
        <v>1722</v>
      </c>
      <c r="C892" t="s">
        <v>265</v>
      </c>
      <c r="D892" t="s">
        <v>39</v>
      </c>
      <c r="E892" s="1">
        <v>45085</v>
      </c>
      <c r="F892" t="s">
        <v>174</v>
      </c>
      <c r="G892" s="1">
        <v>45105</v>
      </c>
      <c r="H892" s="1">
        <v>45116</v>
      </c>
      <c r="J892" s="1" t="b">
        <f t="shared" si="91"/>
        <v>1</v>
      </c>
      <c r="K892" s="1" t="b">
        <f t="shared" si="92"/>
        <v>0</v>
      </c>
      <c r="L892" s="1" t="b">
        <f t="shared" si="93"/>
        <v>0</v>
      </c>
      <c r="M892" s="1" t="b">
        <f t="shared" si="94"/>
        <v>0</v>
      </c>
      <c r="N892" s="1" t="b">
        <f t="shared" si="95"/>
        <v>0</v>
      </c>
      <c r="O892" s="1" t="b">
        <f t="shared" si="96"/>
        <v>0</v>
      </c>
      <c r="P892" s="1" t="b">
        <f t="shared" si="97"/>
        <v>0</v>
      </c>
    </row>
    <row r="893" spans="1:16" x14ac:dyDescent="0.2">
      <c r="A893">
        <v>7353173</v>
      </c>
      <c r="B893" t="s">
        <v>1723</v>
      </c>
      <c r="C893" t="s">
        <v>18</v>
      </c>
      <c r="D893" t="s">
        <v>60</v>
      </c>
      <c r="E893" s="1">
        <v>44715</v>
      </c>
      <c r="F893" t="s">
        <v>1724</v>
      </c>
      <c r="G893" s="1">
        <v>44721</v>
      </c>
      <c r="H893" s="1">
        <v>44777</v>
      </c>
      <c r="I893" t="s">
        <v>28</v>
      </c>
      <c r="J893" s="1" t="b">
        <f t="shared" si="91"/>
        <v>1</v>
      </c>
      <c r="K893" s="1" t="b">
        <f t="shared" si="92"/>
        <v>0</v>
      </c>
      <c r="L893" s="1" t="b">
        <f t="shared" si="93"/>
        <v>0</v>
      </c>
      <c r="M893" s="1" t="b">
        <f t="shared" si="94"/>
        <v>0</v>
      </c>
      <c r="N893" s="1" t="b">
        <f t="shared" si="95"/>
        <v>0</v>
      </c>
      <c r="O893" s="1" t="b">
        <f t="shared" si="96"/>
        <v>0</v>
      </c>
      <c r="P893" s="1" t="b">
        <f t="shared" si="97"/>
        <v>1</v>
      </c>
    </row>
    <row r="894" spans="1:16" x14ac:dyDescent="0.2">
      <c r="A894">
        <v>3426109</v>
      </c>
      <c r="B894" t="s">
        <v>1725</v>
      </c>
      <c r="C894" t="s">
        <v>38</v>
      </c>
      <c r="D894" t="s">
        <v>56</v>
      </c>
      <c r="E894" s="1">
        <v>45018</v>
      </c>
      <c r="F894" t="s">
        <v>1726</v>
      </c>
      <c r="G894" s="1">
        <v>45028</v>
      </c>
      <c r="I894" t="s">
        <v>25</v>
      </c>
      <c r="J894" s="1" t="b">
        <f t="shared" si="91"/>
        <v>0</v>
      </c>
      <c r="K894" s="1" t="b">
        <f t="shared" si="92"/>
        <v>0</v>
      </c>
      <c r="L894" s="1" t="b">
        <f t="shared" si="93"/>
        <v>1</v>
      </c>
      <c r="M894" s="1" t="b">
        <f t="shared" si="94"/>
        <v>0</v>
      </c>
      <c r="N894" s="1" t="b">
        <f t="shared" si="95"/>
        <v>0</v>
      </c>
      <c r="O894" s="1" t="b">
        <f t="shared" si="96"/>
        <v>0</v>
      </c>
      <c r="P894" s="1" t="b">
        <f t="shared" si="97"/>
        <v>0</v>
      </c>
    </row>
    <row r="895" spans="1:16" x14ac:dyDescent="0.2">
      <c r="A895">
        <v>3426109</v>
      </c>
      <c r="B895" t="s">
        <v>1727</v>
      </c>
      <c r="C895" t="s">
        <v>38</v>
      </c>
      <c r="D895" t="s">
        <v>56</v>
      </c>
      <c r="E895" s="1">
        <v>44769</v>
      </c>
      <c r="F895" t="s">
        <v>1728</v>
      </c>
      <c r="G895" s="1">
        <v>44770</v>
      </c>
      <c r="H895" s="1">
        <v>44810</v>
      </c>
      <c r="I895" t="s">
        <v>16</v>
      </c>
      <c r="J895" s="1" t="b">
        <f t="shared" si="91"/>
        <v>1</v>
      </c>
      <c r="K895" s="1" t="b">
        <f t="shared" si="92"/>
        <v>0</v>
      </c>
      <c r="L895" s="1" t="b">
        <f t="shared" si="93"/>
        <v>0</v>
      </c>
      <c r="M895" s="1" t="b">
        <f t="shared" si="94"/>
        <v>0</v>
      </c>
      <c r="N895" s="1" t="b">
        <f t="shared" si="95"/>
        <v>1</v>
      </c>
      <c r="O895" s="1" t="b">
        <f t="shared" si="96"/>
        <v>0</v>
      </c>
      <c r="P895" s="1" t="b">
        <f t="shared" si="97"/>
        <v>0</v>
      </c>
    </row>
    <row r="896" spans="1:16" x14ac:dyDescent="0.2">
      <c r="A896">
        <v>3426109</v>
      </c>
      <c r="B896" t="s">
        <v>1729</v>
      </c>
      <c r="C896" t="s">
        <v>38</v>
      </c>
      <c r="D896" t="s">
        <v>56</v>
      </c>
      <c r="E896" s="1">
        <v>45072</v>
      </c>
      <c r="F896" t="s">
        <v>1730</v>
      </c>
      <c r="G896" s="1">
        <v>45090</v>
      </c>
      <c r="H896" s="1">
        <v>45142</v>
      </c>
      <c r="I896" t="s">
        <v>16</v>
      </c>
      <c r="J896" s="1" t="b">
        <f t="shared" si="91"/>
        <v>1</v>
      </c>
      <c r="K896" s="1" t="b">
        <f t="shared" si="92"/>
        <v>0</v>
      </c>
      <c r="L896" s="1" t="b">
        <f t="shared" si="93"/>
        <v>0</v>
      </c>
      <c r="M896" s="1" t="b">
        <f t="shared" si="94"/>
        <v>0</v>
      </c>
      <c r="N896" s="1" t="b">
        <f t="shared" si="95"/>
        <v>1</v>
      </c>
      <c r="O896" s="1" t="b">
        <f t="shared" si="96"/>
        <v>0</v>
      </c>
      <c r="P896" s="1" t="b">
        <f t="shared" si="97"/>
        <v>0</v>
      </c>
    </row>
    <row r="897" spans="1:16" x14ac:dyDescent="0.2">
      <c r="A897">
        <v>3426109</v>
      </c>
      <c r="B897" t="s">
        <v>1731</v>
      </c>
      <c r="C897" t="s">
        <v>38</v>
      </c>
      <c r="D897" t="s">
        <v>56</v>
      </c>
      <c r="E897" s="1">
        <v>44805</v>
      </c>
      <c r="F897" t="s">
        <v>1732</v>
      </c>
      <c r="G897" s="1">
        <v>44812</v>
      </c>
      <c r="I897" t="s">
        <v>13</v>
      </c>
      <c r="J897" s="1" t="b">
        <f t="shared" si="91"/>
        <v>0</v>
      </c>
      <c r="K897" s="1" t="b">
        <f t="shared" si="92"/>
        <v>1</v>
      </c>
      <c r="L897" s="1" t="b">
        <f t="shared" si="93"/>
        <v>0</v>
      </c>
      <c r="M897" s="1" t="b">
        <f t="shared" si="94"/>
        <v>0</v>
      </c>
      <c r="N897" s="1" t="b">
        <f t="shared" si="95"/>
        <v>0</v>
      </c>
      <c r="O897" s="1" t="b">
        <f t="shared" si="96"/>
        <v>0</v>
      </c>
      <c r="P897" s="1" t="b">
        <f t="shared" si="97"/>
        <v>0</v>
      </c>
    </row>
    <row r="898" spans="1:16" x14ac:dyDescent="0.2">
      <c r="A898">
        <v>8981122</v>
      </c>
      <c r="B898" t="s">
        <v>1733</v>
      </c>
      <c r="C898" t="s">
        <v>287</v>
      </c>
      <c r="D898" t="s">
        <v>60</v>
      </c>
      <c r="E898" s="1">
        <v>44673</v>
      </c>
      <c r="F898" t="s">
        <v>1734</v>
      </c>
      <c r="G898" s="1">
        <v>44687</v>
      </c>
      <c r="I898" t="s">
        <v>13</v>
      </c>
      <c r="J898" s="1" t="b">
        <f t="shared" si="91"/>
        <v>0</v>
      </c>
      <c r="K898" s="1" t="b">
        <f t="shared" si="92"/>
        <v>1</v>
      </c>
      <c r="L898" s="1" t="b">
        <f t="shared" si="93"/>
        <v>0</v>
      </c>
      <c r="M898" s="1" t="b">
        <f t="shared" si="94"/>
        <v>0</v>
      </c>
      <c r="N898" s="1" t="b">
        <f t="shared" si="95"/>
        <v>0</v>
      </c>
      <c r="O898" s="1" t="b">
        <f t="shared" si="96"/>
        <v>0</v>
      </c>
      <c r="P898" s="1" t="b">
        <f t="shared" si="97"/>
        <v>0</v>
      </c>
    </row>
    <row r="899" spans="1:16" x14ac:dyDescent="0.2">
      <c r="A899">
        <v>8981122</v>
      </c>
      <c r="B899" t="s">
        <v>1735</v>
      </c>
      <c r="C899" t="s">
        <v>287</v>
      </c>
      <c r="D899" t="s">
        <v>60</v>
      </c>
      <c r="E899" s="1">
        <v>44846</v>
      </c>
      <c r="F899" t="s">
        <v>1552</v>
      </c>
      <c r="G899" s="1">
        <v>44866</v>
      </c>
      <c r="H899" s="1">
        <v>44907</v>
      </c>
      <c r="I899" t="s">
        <v>43</v>
      </c>
      <c r="J899" s="1" t="b">
        <f t="shared" ref="J899:J962" si="98">AND(NOT(ISBLANK(H899)), NOT(OR(ISNUMBER(SEARCH("decline", I899)), ISNUMBER(SEARCH("rescind", I899)), ISNUMBER(SEARCH("cancel", I899)))))</f>
        <v>1</v>
      </c>
      <c r="K899" s="1" t="b">
        <f t="shared" ref="K899:K962" si="99">ISNUMBER(SEARCH("decline", I899))</f>
        <v>0</v>
      </c>
      <c r="L899" s="1" t="b">
        <f t="shared" ref="L899:L962" si="100">ISNUMBER(SEARCH("rescind", I899))</f>
        <v>0</v>
      </c>
      <c r="M899" s="1" t="b">
        <f t="shared" ref="M899:M962" si="101">ISNUMBER(SEARCH("cancel", I899))</f>
        <v>0</v>
      </c>
      <c r="N899" s="1" t="b">
        <f t="shared" ref="N899:N962" si="102">ISNUMBER(SEARCH("transfer", I899))</f>
        <v>0</v>
      </c>
      <c r="O899" s="1" t="b">
        <f t="shared" ref="O899:O962" si="103">ISNUMBER(SEARCH("promo", I899))</f>
        <v>1</v>
      </c>
      <c r="P899" s="1" t="b">
        <f t="shared" ref="P899:P962" si="104">ISNUMBER(SEARCH("new", I899))</f>
        <v>0</v>
      </c>
    </row>
    <row r="900" spans="1:16" x14ac:dyDescent="0.2">
      <c r="A900">
        <v>8981122</v>
      </c>
      <c r="B900" t="s">
        <v>1736</v>
      </c>
      <c r="C900" t="s">
        <v>287</v>
      </c>
      <c r="D900" t="s">
        <v>60</v>
      </c>
      <c r="E900" s="1">
        <v>44713</v>
      </c>
      <c r="F900" t="s">
        <v>1737</v>
      </c>
      <c r="G900" s="1">
        <v>44715</v>
      </c>
      <c r="H900" s="1">
        <v>44757</v>
      </c>
      <c r="I900" t="s">
        <v>43</v>
      </c>
      <c r="J900" s="1" t="b">
        <f t="shared" si="98"/>
        <v>1</v>
      </c>
      <c r="K900" s="1" t="b">
        <f t="shared" si="99"/>
        <v>0</v>
      </c>
      <c r="L900" s="1" t="b">
        <f t="shared" si="100"/>
        <v>0</v>
      </c>
      <c r="M900" s="1" t="b">
        <f t="shared" si="101"/>
        <v>0</v>
      </c>
      <c r="N900" s="1" t="b">
        <f t="shared" si="102"/>
        <v>0</v>
      </c>
      <c r="O900" s="1" t="b">
        <f t="shared" si="103"/>
        <v>1</v>
      </c>
      <c r="P900" s="1" t="b">
        <f t="shared" si="104"/>
        <v>0</v>
      </c>
    </row>
    <row r="901" spans="1:16" x14ac:dyDescent="0.2">
      <c r="A901">
        <v>8981122</v>
      </c>
      <c r="B901" t="s">
        <v>1738</v>
      </c>
      <c r="C901" t="s">
        <v>287</v>
      </c>
      <c r="D901" t="s">
        <v>60</v>
      </c>
      <c r="E901" s="1">
        <v>44867</v>
      </c>
      <c r="F901" t="s">
        <v>1739</v>
      </c>
      <c r="G901" s="1">
        <v>44878</v>
      </c>
      <c r="H901" s="1">
        <v>44937</v>
      </c>
      <c r="I901" t="s">
        <v>43</v>
      </c>
      <c r="J901" s="1" t="b">
        <f t="shared" si="98"/>
        <v>1</v>
      </c>
      <c r="K901" s="1" t="b">
        <f t="shared" si="99"/>
        <v>0</v>
      </c>
      <c r="L901" s="1" t="b">
        <f t="shared" si="100"/>
        <v>0</v>
      </c>
      <c r="M901" s="1" t="b">
        <f t="shared" si="101"/>
        <v>0</v>
      </c>
      <c r="N901" s="1" t="b">
        <f t="shared" si="102"/>
        <v>0</v>
      </c>
      <c r="O901" s="1" t="b">
        <f t="shared" si="103"/>
        <v>1</v>
      </c>
      <c r="P901" s="1" t="b">
        <f t="shared" si="104"/>
        <v>0</v>
      </c>
    </row>
    <row r="902" spans="1:16" x14ac:dyDescent="0.2">
      <c r="A902">
        <v>3990511</v>
      </c>
      <c r="B902" t="s">
        <v>1740</v>
      </c>
      <c r="C902" t="s">
        <v>38</v>
      </c>
      <c r="D902" t="s">
        <v>11</v>
      </c>
      <c r="E902" s="1">
        <v>44930</v>
      </c>
      <c r="F902" t="s">
        <v>1741</v>
      </c>
      <c r="G902" s="1">
        <v>44960</v>
      </c>
      <c r="H902" s="1">
        <v>44963</v>
      </c>
      <c r="I902" t="s">
        <v>43</v>
      </c>
      <c r="J902" s="1" t="b">
        <f t="shared" si="98"/>
        <v>1</v>
      </c>
      <c r="K902" s="1" t="b">
        <f t="shared" si="99"/>
        <v>0</v>
      </c>
      <c r="L902" s="1" t="b">
        <f t="shared" si="100"/>
        <v>0</v>
      </c>
      <c r="M902" s="1" t="b">
        <f t="shared" si="101"/>
        <v>0</v>
      </c>
      <c r="N902" s="1" t="b">
        <f t="shared" si="102"/>
        <v>0</v>
      </c>
      <c r="O902" s="1" t="b">
        <f t="shared" si="103"/>
        <v>1</v>
      </c>
      <c r="P902" s="1" t="b">
        <f t="shared" si="104"/>
        <v>0</v>
      </c>
    </row>
    <row r="903" spans="1:16" x14ac:dyDescent="0.2">
      <c r="A903">
        <v>3990511</v>
      </c>
      <c r="B903" t="s">
        <v>1742</v>
      </c>
      <c r="C903" t="s">
        <v>38</v>
      </c>
      <c r="D903" t="s">
        <v>11</v>
      </c>
      <c r="E903" s="1">
        <v>44939</v>
      </c>
      <c r="F903" t="s">
        <v>1743</v>
      </c>
      <c r="G903" s="1">
        <v>44968</v>
      </c>
      <c r="I903" t="s">
        <v>13</v>
      </c>
      <c r="J903" s="1" t="b">
        <f t="shared" si="98"/>
        <v>0</v>
      </c>
      <c r="K903" s="1" t="b">
        <f t="shared" si="99"/>
        <v>1</v>
      </c>
      <c r="L903" s="1" t="b">
        <f t="shared" si="100"/>
        <v>0</v>
      </c>
      <c r="M903" s="1" t="b">
        <f t="shared" si="101"/>
        <v>0</v>
      </c>
      <c r="N903" s="1" t="b">
        <f t="shared" si="102"/>
        <v>0</v>
      </c>
      <c r="O903" s="1" t="b">
        <f t="shared" si="103"/>
        <v>0</v>
      </c>
      <c r="P903" s="1" t="b">
        <f t="shared" si="104"/>
        <v>0</v>
      </c>
    </row>
    <row r="904" spans="1:16" x14ac:dyDescent="0.2">
      <c r="A904">
        <v>3990511</v>
      </c>
      <c r="B904" t="s">
        <v>1744</v>
      </c>
      <c r="C904" t="s">
        <v>38</v>
      </c>
      <c r="D904" t="s">
        <v>11</v>
      </c>
      <c r="E904" s="1">
        <v>44628</v>
      </c>
      <c r="F904" t="s">
        <v>1745</v>
      </c>
      <c r="G904" s="1">
        <v>44638</v>
      </c>
      <c r="H904" s="1">
        <v>44669</v>
      </c>
      <c r="I904" t="s">
        <v>16</v>
      </c>
      <c r="J904" s="1" t="b">
        <f t="shared" si="98"/>
        <v>1</v>
      </c>
      <c r="K904" s="1" t="b">
        <f t="shared" si="99"/>
        <v>0</v>
      </c>
      <c r="L904" s="1" t="b">
        <f t="shared" si="100"/>
        <v>0</v>
      </c>
      <c r="M904" s="1" t="b">
        <f t="shared" si="101"/>
        <v>0</v>
      </c>
      <c r="N904" s="1" t="b">
        <f t="shared" si="102"/>
        <v>1</v>
      </c>
      <c r="O904" s="1" t="b">
        <f t="shared" si="103"/>
        <v>0</v>
      </c>
      <c r="P904" s="1" t="b">
        <f t="shared" si="104"/>
        <v>0</v>
      </c>
    </row>
    <row r="905" spans="1:16" x14ac:dyDescent="0.2">
      <c r="A905">
        <v>3990511</v>
      </c>
      <c r="B905" t="s">
        <v>1746</v>
      </c>
      <c r="C905" t="s">
        <v>38</v>
      </c>
      <c r="D905" t="s">
        <v>11</v>
      </c>
      <c r="E905" s="1">
        <v>44843</v>
      </c>
      <c r="F905" t="s">
        <v>932</v>
      </c>
      <c r="G905" s="1">
        <v>44854</v>
      </c>
      <c r="I905" t="s">
        <v>13</v>
      </c>
      <c r="J905" s="1" t="b">
        <f t="shared" si="98"/>
        <v>0</v>
      </c>
      <c r="K905" s="1" t="b">
        <f t="shared" si="99"/>
        <v>1</v>
      </c>
      <c r="L905" s="1" t="b">
        <f t="shared" si="100"/>
        <v>0</v>
      </c>
      <c r="M905" s="1" t="b">
        <f t="shared" si="101"/>
        <v>0</v>
      </c>
      <c r="N905" s="1" t="b">
        <f t="shared" si="102"/>
        <v>0</v>
      </c>
      <c r="O905" s="1" t="b">
        <f t="shared" si="103"/>
        <v>0</v>
      </c>
      <c r="P905" s="1" t="b">
        <f t="shared" si="104"/>
        <v>0</v>
      </c>
    </row>
    <row r="906" spans="1:16" x14ac:dyDescent="0.2">
      <c r="A906">
        <v>3990511</v>
      </c>
      <c r="B906" t="s">
        <v>1747</v>
      </c>
      <c r="C906" t="s">
        <v>38</v>
      </c>
      <c r="D906" t="s">
        <v>11</v>
      </c>
      <c r="E906" s="1">
        <v>44621</v>
      </c>
      <c r="F906" t="s">
        <v>678</v>
      </c>
      <c r="G906" s="1">
        <v>44625</v>
      </c>
      <c r="H906" s="1">
        <v>44662</v>
      </c>
      <c r="I906" t="s">
        <v>43</v>
      </c>
      <c r="J906" s="1" t="b">
        <f t="shared" si="98"/>
        <v>1</v>
      </c>
      <c r="K906" s="1" t="b">
        <f t="shared" si="99"/>
        <v>0</v>
      </c>
      <c r="L906" s="1" t="b">
        <f t="shared" si="100"/>
        <v>0</v>
      </c>
      <c r="M906" s="1" t="b">
        <f t="shared" si="101"/>
        <v>0</v>
      </c>
      <c r="N906" s="1" t="b">
        <f t="shared" si="102"/>
        <v>0</v>
      </c>
      <c r="O906" s="1" t="b">
        <f t="shared" si="103"/>
        <v>1</v>
      </c>
      <c r="P906" s="1" t="b">
        <f t="shared" si="104"/>
        <v>0</v>
      </c>
    </row>
    <row r="907" spans="1:16" x14ac:dyDescent="0.2">
      <c r="A907">
        <v>9874251</v>
      </c>
      <c r="B907" t="s">
        <v>1748</v>
      </c>
      <c r="C907" t="s">
        <v>76</v>
      </c>
      <c r="D907" t="s">
        <v>77</v>
      </c>
      <c r="E907" s="1">
        <v>44886</v>
      </c>
      <c r="F907" t="s">
        <v>1749</v>
      </c>
      <c r="G907" s="1">
        <v>44895</v>
      </c>
      <c r="H907" s="1">
        <v>44929</v>
      </c>
      <c r="I907" t="s">
        <v>28</v>
      </c>
      <c r="J907" s="1" t="b">
        <f t="shared" si="98"/>
        <v>1</v>
      </c>
      <c r="K907" s="1" t="b">
        <f t="shared" si="99"/>
        <v>0</v>
      </c>
      <c r="L907" s="1" t="b">
        <f t="shared" si="100"/>
        <v>0</v>
      </c>
      <c r="M907" s="1" t="b">
        <f t="shared" si="101"/>
        <v>0</v>
      </c>
      <c r="N907" s="1" t="b">
        <f t="shared" si="102"/>
        <v>0</v>
      </c>
      <c r="O907" s="1" t="b">
        <f t="shared" si="103"/>
        <v>0</v>
      </c>
      <c r="P907" s="1" t="b">
        <f t="shared" si="104"/>
        <v>1</v>
      </c>
    </row>
    <row r="908" spans="1:16" x14ac:dyDescent="0.2">
      <c r="A908">
        <v>9874251</v>
      </c>
      <c r="B908" t="s">
        <v>1750</v>
      </c>
      <c r="C908" t="s">
        <v>76</v>
      </c>
      <c r="D908" t="s">
        <v>77</v>
      </c>
      <c r="E908" s="1">
        <v>45070</v>
      </c>
      <c r="F908" t="s">
        <v>1751</v>
      </c>
      <c r="G908" s="1">
        <v>45087</v>
      </c>
      <c r="H908" s="1">
        <v>45134</v>
      </c>
      <c r="I908" t="s">
        <v>28</v>
      </c>
      <c r="J908" s="1" t="b">
        <f t="shared" si="98"/>
        <v>1</v>
      </c>
      <c r="K908" s="1" t="b">
        <f t="shared" si="99"/>
        <v>0</v>
      </c>
      <c r="L908" s="1" t="b">
        <f t="shared" si="100"/>
        <v>0</v>
      </c>
      <c r="M908" s="1" t="b">
        <f t="shared" si="101"/>
        <v>0</v>
      </c>
      <c r="N908" s="1" t="b">
        <f t="shared" si="102"/>
        <v>0</v>
      </c>
      <c r="O908" s="1" t="b">
        <f t="shared" si="103"/>
        <v>0</v>
      </c>
      <c r="P908" s="1" t="b">
        <f t="shared" si="104"/>
        <v>1</v>
      </c>
    </row>
    <row r="909" spans="1:16" x14ac:dyDescent="0.2">
      <c r="A909">
        <v>9874251</v>
      </c>
      <c r="B909" t="s">
        <v>1752</v>
      </c>
      <c r="C909" t="s">
        <v>76</v>
      </c>
      <c r="D909" t="s">
        <v>77</v>
      </c>
      <c r="E909" s="1">
        <v>44800</v>
      </c>
      <c r="F909" t="s">
        <v>1753</v>
      </c>
      <c r="G909" s="1">
        <v>44823</v>
      </c>
      <c r="H909" s="1">
        <v>44842</v>
      </c>
      <c r="J909" s="1" t="b">
        <f t="shared" si="98"/>
        <v>1</v>
      </c>
      <c r="K909" s="1" t="b">
        <f t="shared" si="99"/>
        <v>0</v>
      </c>
      <c r="L909" s="1" t="b">
        <f t="shared" si="100"/>
        <v>0</v>
      </c>
      <c r="M909" s="1" t="b">
        <f t="shared" si="101"/>
        <v>0</v>
      </c>
      <c r="N909" s="1" t="b">
        <f t="shared" si="102"/>
        <v>0</v>
      </c>
      <c r="O909" s="1" t="b">
        <f t="shared" si="103"/>
        <v>0</v>
      </c>
      <c r="P909" s="1" t="b">
        <f t="shared" si="104"/>
        <v>0</v>
      </c>
    </row>
    <row r="910" spans="1:16" x14ac:dyDescent="0.2">
      <c r="A910">
        <v>9874251</v>
      </c>
      <c r="B910" t="s">
        <v>1754</v>
      </c>
      <c r="C910" t="s">
        <v>76</v>
      </c>
      <c r="D910" t="s">
        <v>77</v>
      </c>
      <c r="E910" s="1">
        <v>45038</v>
      </c>
      <c r="F910" t="s">
        <v>598</v>
      </c>
      <c r="G910" s="1">
        <v>45059</v>
      </c>
      <c r="H910" s="1">
        <v>45110</v>
      </c>
      <c r="I910" t="s">
        <v>16</v>
      </c>
      <c r="J910" s="1" t="b">
        <f t="shared" si="98"/>
        <v>1</v>
      </c>
      <c r="K910" s="1" t="b">
        <f t="shared" si="99"/>
        <v>0</v>
      </c>
      <c r="L910" s="1" t="b">
        <f t="shared" si="100"/>
        <v>0</v>
      </c>
      <c r="M910" s="1" t="b">
        <f t="shared" si="101"/>
        <v>0</v>
      </c>
      <c r="N910" s="1" t="b">
        <f t="shared" si="102"/>
        <v>1</v>
      </c>
      <c r="O910" s="1" t="b">
        <f t="shared" si="103"/>
        <v>0</v>
      </c>
      <c r="P910" s="1" t="b">
        <f t="shared" si="104"/>
        <v>0</v>
      </c>
    </row>
    <row r="911" spans="1:16" x14ac:dyDescent="0.2">
      <c r="A911">
        <v>9874251</v>
      </c>
      <c r="B911" t="s">
        <v>1755</v>
      </c>
      <c r="C911" t="s">
        <v>76</v>
      </c>
      <c r="D911" t="s">
        <v>77</v>
      </c>
      <c r="E911" s="1">
        <v>44986</v>
      </c>
      <c r="F911" t="s">
        <v>1756</v>
      </c>
      <c r="G911" s="1">
        <v>45000</v>
      </c>
      <c r="I911" t="s">
        <v>13</v>
      </c>
      <c r="J911" s="1" t="b">
        <f t="shared" si="98"/>
        <v>0</v>
      </c>
      <c r="K911" s="1" t="b">
        <f t="shared" si="99"/>
        <v>1</v>
      </c>
      <c r="L911" s="1" t="b">
        <f t="shared" si="100"/>
        <v>0</v>
      </c>
      <c r="M911" s="1" t="b">
        <f t="shared" si="101"/>
        <v>0</v>
      </c>
      <c r="N911" s="1" t="b">
        <f t="shared" si="102"/>
        <v>0</v>
      </c>
      <c r="O911" s="1" t="b">
        <f t="shared" si="103"/>
        <v>0</v>
      </c>
      <c r="P911" s="1" t="b">
        <f t="shared" si="104"/>
        <v>0</v>
      </c>
    </row>
    <row r="912" spans="1:16" x14ac:dyDescent="0.2">
      <c r="A912">
        <v>1763232</v>
      </c>
      <c r="B912" t="s">
        <v>1757</v>
      </c>
      <c r="C912" t="s">
        <v>720</v>
      </c>
      <c r="D912" t="s">
        <v>39</v>
      </c>
      <c r="E912" s="1">
        <v>44768</v>
      </c>
      <c r="F912" t="s">
        <v>1758</v>
      </c>
      <c r="G912" s="1">
        <v>44791</v>
      </c>
      <c r="H912" s="1">
        <v>44810</v>
      </c>
      <c r="I912" t="s">
        <v>43</v>
      </c>
      <c r="J912" s="1" t="b">
        <f t="shared" si="98"/>
        <v>1</v>
      </c>
      <c r="K912" s="1" t="b">
        <f t="shared" si="99"/>
        <v>0</v>
      </c>
      <c r="L912" s="1" t="b">
        <f t="shared" si="100"/>
        <v>0</v>
      </c>
      <c r="M912" s="1" t="b">
        <f t="shared" si="101"/>
        <v>0</v>
      </c>
      <c r="N912" s="1" t="b">
        <f t="shared" si="102"/>
        <v>0</v>
      </c>
      <c r="O912" s="1" t="b">
        <f t="shared" si="103"/>
        <v>1</v>
      </c>
      <c r="P912" s="1" t="b">
        <f t="shared" si="104"/>
        <v>0</v>
      </c>
    </row>
    <row r="913" spans="1:16" x14ac:dyDescent="0.2">
      <c r="A913">
        <v>1763232</v>
      </c>
      <c r="B913" t="s">
        <v>1759</v>
      </c>
      <c r="C913" t="s">
        <v>720</v>
      </c>
      <c r="D913" t="s">
        <v>39</v>
      </c>
      <c r="E913" s="1">
        <v>44869</v>
      </c>
      <c r="F913" t="s">
        <v>1760</v>
      </c>
      <c r="G913" s="1">
        <v>44886</v>
      </c>
      <c r="I913" t="s">
        <v>25</v>
      </c>
      <c r="J913" s="1" t="b">
        <f t="shared" si="98"/>
        <v>0</v>
      </c>
      <c r="K913" s="1" t="b">
        <f t="shared" si="99"/>
        <v>0</v>
      </c>
      <c r="L913" s="1" t="b">
        <f t="shared" si="100"/>
        <v>1</v>
      </c>
      <c r="M913" s="1" t="b">
        <f t="shared" si="101"/>
        <v>0</v>
      </c>
      <c r="N913" s="1" t="b">
        <f t="shared" si="102"/>
        <v>0</v>
      </c>
      <c r="O913" s="1" t="b">
        <f t="shared" si="103"/>
        <v>0</v>
      </c>
      <c r="P913" s="1" t="b">
        <f t="shared" si="104"/>
        <v>0</v>
      </c>
    </row>
    <row r="914" spans="1:16" x14ac:dyDescent="0.2">
      <c r="A914">
        <v>1763232</v>
      </c>
      <c r="B914" t="s">
        <v>1761</v>
      </c>
      <c r="C914" t="s">
        <v>720</v>
      </c>
      <c r="D914" t="s">
        <v>39</v>
      </c>
      <c r="E914" s="1">
        <v>44903</v>
      </c>
      <c r="F914" t="s">
        <v>734</v>
      </c>
      <c r="G914" s="1">
        <v>44914</v>
      </c>
      <c r="H914" s="1">
        <v>44940</v>
      </c>
      <c r="I914" t="s">
        <v>16</v>
      </c>
      <c r="J914" s="1" t="b">
        <f t="shared" si="98"/>
        <v>1</v>
      </c>
      <c r="K914" s="1" t="b">
        <f t="shared" si="99"/>
        <v>0</v>
      </c>
      <c r="L914" s="1" t="b">
        <f t="shared" si="100"/>
        <v>0</v>
      </c>
      <c r="M914" s="1" t="b">
        <f t="shared" si="101"/>
        <v>0</v>
      </c>
      <c r="N914" s="1" t="b">
        <f t="shared" si="102"/>
        <v>1</v>
      </c>
      <c r="O914" s="1" t="b">
        <f t="shared" si="103"/>
        <v>0</v>
      </c>
      <c r="P914" s="1" t="b">
        <f t="shared" si="104"/>
        <v>0</v>
      </c>
    </row>
    <row r="915" spans="1:16" x14ac:dyDescent="0.2">
      <c r="A915">
        <v>1763232</v>
      </c>
      <c r="B915" t="s">
        <v>1762</v>
      </c>
      <c r="C915" t="s">
        <v>720</v>
      </c>
      <c r="D915" t="s">
        <v>39</v>
      </c>
      <c r="E915" s="1">
        <v>44760</v>
      </c>
      <c r="F915" t="s">
        <v>1763</v>
      </c>
      <c r="G915" s="1">
        <v>44771</v>
      </c>
      <c r="H915" s="1">
        <v>44825</v>
      </c>
      <c r="I915" t="s">
        <v>16</v>
      </c>
      <c r="J915" s="1" t="b">
        <f t="shared" si="98"/>
        <v>1</v>
      </c>
      <c r="K915" s="1" t="b">
        <f t="shared" si="99"/>
        <v>0</v>
      </c>
      <c r="L915" s="1" t="b">
        <f t="shared" si="100"/>
        <v>0</v>
      </c>
      <c r="M915" s="1" t="b">
        <f t="shared" si="101"/>
        <v>0</v>
      </c>
      <c r="N915" s="1" t="b">
        <f t="shared" si="102"/>
        <v>1</v>
      </c>
      <c r="O915" s="1" t="b">
        <f t="shared" si="103"/>
        <v>0</v>
      </c>
      <c r="P915" s="1" t="b">
        <f t="shared" si="104"/>
        <v>0</v>
      </c>
    </row>
    <row r="916" spans="1:16" x14ac:dyDescent="0.2">
      <c r="A916">
        <v>1763232</v>
      </c>
      <c r="B916" t="s">
        <v>1764</v>
      </c>
      <c r="C916" t="s">
        <v>720</v>
      </c>
      <c r="D916" t="s">
        <v>39</v>
      </c>
      <c r="E916" s="1">
        <v>44598</v>
      </c>
      <c r="F916" t="s">
        <v>1765</v>
      </c>
      <c r="G916" s="1">
        <v>44619</v>
      </c>
      <c r="H916" s="1">
        <v>44628</v>
      </c>
      <c r="J916" s="1" t="b">
        <f t="shared" si="98"/>
        <v>1</v>
      </c>
      <c r="K916" s="1" t="b">
        <f t="shared" si="99"/>
        <v>0</v>
      </c>
      <c r="L916" s="1" t="b">
        <f t="shared" si="100"/>
        <v>0</v>
      </c>
      <c r="M916" s="1" t="b">
        <f t="shared" si="101"/>
        <v>0</v>
      </c>
      <c r="N916" s="1" t="b">
        <f t="shared" si="102"/>
        <v>0</v>
      </c>
      <c r="O916" s="1" t="b">
        <f t="shared" si="103"/>
        <v>0</v>
      </c>
      <c r="P916" s="1" t="b">
        <f t="shared" si="104"/>
        <v>0</v>
      </c>
    </row>
    <row r="917" spans="1:16" x14ac:dyDescent="0.2">
      <c r="A917">
        <v>9078154</v>
      </c>
      <c r="B917" t="s">
        <v>1766</v>
      </c>
      <c r="C917" t="s">
        <v>71</v>
      </c>
      <c r="D917" t="s">
        <v>77</v>
      </c>
      <c r="E917" s="1">
        <v>44985</v>
      </c>
      <c r="F917" t="s">
        <v>1767</v>
      </c>
      <c r="G917" s="1">
        <v>45015</v>
      </c>
      <c r="H917" s="1">
        <v>45063</v>
      </c>
      <c r="J917" s="1" t="b">
        <f t="shared" si="98"/>
        <v>1</v>
      </c>
      <c r="K917" s="1" t="b">
        <f t="shared" si="99"/>
        <v>0</v>
      </c>
      <c r="L917" s="1" t="b">
        <f t="shared" si="100"/>
        <v>0</v>
      </c>
      <c r="M917" s="1" t="b">
        <f t="shared" si="101"/>
        <v>0</v>
      </c>
      <c r="N917" s="1" t="b">
        <f t="shared" si="102"/>
        <v>0</v>
      </c>
      <c r="O917" s="1" t="b">
        <f t="shared" si="103"/>
        <v>0</v>
      </c>
      <c r="P917" s="1" t="b">
        <f t="shared" si="104"/>
        <v>0</v>
      </c>
    </row>
    <row r="918" spans="1:16" x14ac:dyDescent="0.2">
      <c r="A918">
        <v>9078154</v>
      </c>
      <c r="B918" t="s">
        <v>1768</v>
      </c>
      <c r="C918" t="s">
        <v>71</v>
      </c>
      <c r="D918" t="s">
        <v>77</v>
      </c>
      <c r="E918" s="1">
        <v>44885</v>
      </c>
      <c r="F918" t="s">
        <v>1194</v>
      </c>
      <c r="G918" s="1">
        <v>44903</v>
      </c>
      <c r="I918" t="s">
        <v>13</v>
      </c>
      <c r="J918" s="1" t="b">
        <f t="shared" si="98"/>
        <v>0</v>
      </c>
      <c r="K918" s="1" t="b">
        <f t="shared" si="99"/>
        <v>1</v>
      </c>
      <c r="L918" s="1" t="b">
        <f t="shared" si="100"/>
        <v>0</v>
      </c>
      <c r="M918" s="1" t="b">
        <f t="shared" si="101"/>
        <v>0</v>
      </c>
      <c r="N918" s="1" t="b">
        <f t="shared" si="102"/>
        <v>0</v>
      </c>
      <c r="O918" s="1" t="b">
        <f t="shared" si="103"/>
        <v>0</v>
      </c>
      <c r="P918" s="1" t="b">
        <f t="shared" si="104"/>
        <v>0</v>
      </c>
    </row>
    <row r="919" spans="1:16" x14ac:dyDescent="0.2">
      <c r="A919">
        <v>9078154</v>
      </c>
      <c r="B919" t="s">
        <v>1769</v>
      </c>
      <c r="C919" t="s">
        <v>71</v>
      </c>
      <c r="D919" t="s">
        <v>77</v>
      </c>
      <c r="E919" s="1">
        <v>44901</v>
      </c>
      <c r="F919" t="s">
        <v>1770</v>
      </c>
      <c r="G919" s="1">
        <v>44927</v>
      </c>
      <c r="H919" s="1">
        <v>44986</v>
      </c>
      <c r="I919" t="s">
        <v>43</v>
      </c>
      <c r="J919" s="1" t="b">
        <f t="shared" si="98"/>
        <v>1</v>
      </c>
      <c r="K919" s="1" t="b">
        <f t="shared" si="99"/>
        <v>0</v>
      </c>
      <c r="L919" s="1" t="b">
        <f t="shared" si="100"/>
        <v>0</v>
      </c>
      <c r="M919" s="1" t="b">
        <f t="shared" si="101"/>
        <v>0</v>
      </c>
      <c r="N919" s="1" t="b">
        <f t="shared" si="102"/>
        <v>0</v>
      </c>
      <c r="O919" s="1" t="b">
        <f t="shared" si="103"/>
        <v>1</v>
      </c>
      <c r="P919" s="1" t="b">
        <f t="shared" si="104"/>
        <v>0</v>
      </c>
    </row>
    <row r="920" spans="1:16" x14ac:dyDescent="0.2">
      <c r="A920">
        <v>9078154</v>
      </c>
      <c r="B920" t="s">
        <v>1771</v>
      </c>
      <c r="C920" t="s">
        <v>71</v>
      </c>
      <c r="D920" t="s">
        <v>77</v>
      </c>
      <c r="E920" s="1">
        <v>44849</v>
      </c>
      <c r="F920" t="s">
        <v>1772</v>
      </c>
      <c r="G920" s="1">
        <v>44876</v>
      </c>
      <c r="H920" s="1">
        <v>44878</v>
      </c>
      <c r="I920" t="s">
        <v>28</v>
      </c>
      <c r="J920" s="1" t="b">
        <f t="shared" si="98"/>
        <v>1</v>
      </c>
      <c r="K920" s="1" t="b">
        <f t="shared" si="99"/>
        <v>0</v>
      </c>
      <c r="L920" s="1" t="b">
        <f t="shared" si="100"/>
        <v>0</v>
      </c>
      <c r="M920" s="1" t="b">
        <f t="shared" si="101"/>
        <v>0</v>
      </c>
      <c r="N920" s="1" t="b">
        <f t="shared" si="102"/>
        <v>0</v>
      </c>
      <c r="O920" s="1" t="b">
        <f t="shared" si="103"/>
        <v>0</v>
      </c>
      <c r="P920" s="1" t="b">
        <f t="shared" si="104"/>
        <v>1</v>
      </c>
    </row>
    <row r="921" spans="1:16" x14ac:dyDescent="0.2">
      <c r="A921">
        <v>9078154</v>
      </c>
      <c r="B921" t="s">
        <v>1773</v>
      </c>
      <c r="C921" t="s">
        <v>71</v>
      </c>
      <c r="D921" t="s">
        <v>77</v>
      </c>
      <c r="E921" s="1">
        <v>44731</v>
      </c>
      <c r="F921" t="s">
        <v>902</v>
      </c>
      <c r="G921" s="1">
        <v>44750</v>
      </c>
      <c r="H921" s="1">
        <v>44789</v>
      </c>
      <c r="J921" s="1" t="b">
        <f t="shared" si="98"/>
        <v>1</v>
      </c>
      <c r="K921" s="1" t="b">
        <f t="shared" si="99"/>
        <v>0</v>
      </c>
      <c r="L921" s="1" t="b">
        <f t="shared" si="100"/>
        <v>0</v>
      </c>
      <c r="M921" s="1" t="b">
        <f t="shared" si="101"/>
        <v>0</v>
      </c>
      <c r="N921" s="1" t="b">
        <f t="shared" si="102"/>
        <v>0</v>
      </c>
      <c r="O921" s="1" t="b">
        <f t="shared" si="103"/>
        <v>0</v>
      </c>
      <c r="P921" s="1" t="b">
        <f t="shared" si="104"/>
        <v>0</v>
      </c>
    </row>
    <row r="922" spans="1:16" x14ac:dyDescent="0.2">
      <c r="A922">
        <v>7535837</v>
      </c>
      <c r="B922" t="s">
        <v>1774</v>
      </c>
      <c r="C922" t="s">
        <v>38</v>
      </c>
      <c r="D922" t="s">
        <v>81</v>
      </c>
      <c r="E922" s="1">
        <v>44884</v>
      </c>
      <c r="F922" t="s">
        <v>1775</v>
      </c>
      <c r="G922" s="1">
        <v>44907</v>
      </c>
      <c r="H922" s="1">
        <v>44910</v>
      </c>
      <c r="I922" t="s">
        <v>28</v>
      </c>
      <c r="J922" s="1" t="b">
        <f t="shared" si="98"/>
        <v>1</v>
      </c>
      <c r="K922" s="1" t="b">
        <f t="shared" si="99"/>
        <v>0</v>
      </c>
      <c r="L922" s="1" t="b">
        <f t="shared" si="100"/>
        <v>0</v>
      </c>
      <c r="M922" s="1" t="b">
        <f t="shared" si="101"/>
        <v>0</v>
      </c>
      <c r="N922" s="1" t="b">
        <f t="shared" si="102"/>
        <v>0</v>
      </c>
      <c r="O922" s="1" t="b">
        <f t="shared" si="103"/>
        <v>0</v>
      </c>
      <c r="P922" s="1" t="b">
        <f t="shared" si="104"/>
        <v>1</v>
      </c>
    </row>
    <row r="923" spans="1:16" x14ac:dyDescent="0.2">
      <c r="A923">
        <v>5554970</v>
      </c>
      <c r="B923" t="s">
        <v>1776</v>
      </c>
      <c r="C923" t="s">
        <v>315</v>
      </c>
      <c r="D923" t="s">
        <v>122</v>
      </c>
      <c r="E923" s="1">
        <v>44871</v>
      </c>
      <c r="F923" t="s">
        <v>132</v>
      </c>
      <c r="G923" s="1">
        <v>44878</v>
      </c>
      <c r="H923" s="1">
        <v>44912</v>
      </c>
      <c r="I923" t="s">
        <v>28</v>
      </c>
      <c r="J923" s="1" t="b">
        <f t="shared" si="98"/>
        <v>1</v>
      </c>
      <c r="K923" s="1" t="b">
        <f t="shared" si="99"/>
        <v>0</v>
      </c>
      <c r="L923" s="1" t="b">
        <f t="shared" si="100"/>
        <v>0</v>
      </c>
      <c r="M923" s="1" t="b">
        <f t="shared" si="101"/>
        <v>0</v>
      </c>
      <c r="N923" s="1" t="b">
        <f t="shared" si="102"/>
        <v>0</v>
      </c>
      <c r="O923" s="1" t="b">
        <f t="shared" si="103"/>
        <v>0</v>
      </c>
      <c r="P923" s="1" t="b">
        <f t="shared" si="104"/>
        <v>1</v>
      </c>
    </row>
    <row r="924" spans="1:16" x14ac:dyDescent="0.2">
      <c r="A924">
        <v>5554970</v>
      </c>
      <c r="B924" t="s">
        <v>1777</v>
      </c>
      <c r="C924" t="s">
        <v>315</v>
      </c>
      <c r="D924" t="s">
        <v>122</v>
      </c>
      <c r="E924" s="1">
        <v>44600</v>
      </c>
      <c r="F924" t="s">
        <v>1778</v>
      </c>
      <c r="G924" s="1">
        <v>44625</v>
      </c>
      <c r="H924" s="1">
        <v>44638</v>
      </c>
      <c r="I924" t="s">
        <v>16</v>
      </c>
      <c r="J924" s="1" t="b">
        <f t="shared" si="98"/>
        <v>1</v>
      </c>
      <c r="K924" s="1" t="b">
        <f t="shared" si="99"/>
        <v>0</v>
      </c>
      <c r="L924" s="1" t="b">
        <f t="shared" si="100"/>
        <v>0</v>
      </c>
      <c r="M924" s="1" t="b">
        <f t="shared" si="101"/>
        <v>0</v>
      </c>
      <c r="N924" s="1" t="b">
        <f t="shared" si="102"/>
        <v>1</v>
      </c>
      <c r="O924" s="1" t="b">
        <f t="shared" si="103"/>
        <v>0</v>
      </c>
      <c r="P924" s="1" t="b">
        <f t="shared" si="104"/>
        <v>0</v>
      </c>
    </row>
    <row r="925" spans="1:16" x14ac:dyDescent="0.2">
      <c r="A925">
        <v>5554970</v>
      </c>
      <c r="B925" t="s">
        <v>1779</v>
      </c>
      <c r="C925" t="s">
        <v>315</v>
      </c>
      <c r="D925" t="s">
        <v>122</v>
      </c>
      <c r="E925" s="1">
        <v>45056</v>
      </c>
      <c r="F925" t="s">
        <v>1780</v>
      </c>
      <c r="G925" s="1">
        <v>45085</v>
      </c>
      <c r="H925" s="1">
        <v>45118</v>
      </c>
      <c r="J925" s="1" t="b">
        <f t="shared" si="98"/>
        <v>1</v>
      </c>
      <c r="K925" s="1" t="b">
        <f t="shared" si="99"/>
        <v>0</v>
      </c>
      <c r="L925" s="1" t="b">
        <f t="shared" si="100"/>
        <v>0</v>
      </c>
      <c r="M925" s="1" t="b">
        <f t="shared" si="101"/>
        <v>0</v>
      </c>
      <c r="N925" s="1" t="b">
        <f t="shared" si="102"/>
        <v>0</v>
      </c>
      <c r="O925" s="1" t="b">
        <f t="shared" si="103"/>
        <v>0</v>
      </c>
      <c r="P925" s="1" t="b">
        <f t="shared" si="104"/>
        <v>0</v>
      </c>
    </row>
    <row r="926" spans="1:16" x14ac:dyDescent="0.2">
      <c r="A926">
        <v>5554970</v>
      </c>
      <c r="B926" t="s">
        <v>1781</v>
      </c>
      <c r="C926" t="s">
        <v>315</v>
      </c>
      <c r="D926" t="s">
        <v>122</v>
      </c>
      <c r="E926" s="1">
        <v>45098</v>
      </c>
      <c r="F926" t="s">
        <v>1782</v>
      </c>
      <c r="G926" s="1">
        <v>45108</v>
      </c>
      <c r="I926" t="s">
        <v>13</v>
      </c>
      <c r="J926" s="1" t="b">
        <f t="shared" si="98"/>
        <v>0</v>
      </c>
      <c r="K926" s="1" t="b">
        <f t="shared" si="99"/>
        <v>1</v>
      </c>
      <c r="L926" s="1" t="b">
        <f t="shared" si="100"/>
        <v>0</v>
      </c>
      <c r="M926" s="1" t="b">
        <f t="shared" si="101"/>
        <v>0</v>
      </c>
      <c r="N926" s="1" t="b">
        <f t="shared" si="102"/>
        <v>0</v>
      </c>
      <c r="O926" s="1" t="b">
        <f t="shared" si="103"/>
        <v>0</v>
      </c>
      <c r="P926" s="1" t="b">
        <f t="shared" si="104"/>
        <v>0</v>
      </c>
    </row>
    <row r="927" spans="1:16" x14ac:dyDescent="0.2">
      <c r="A927">
        <v>6491819</v>
      </c>
      <c r="B927" t="s">
        <v>1783</v>
      </c>
      <c r="C927" t="s">
        <v>71</v>
      </c>
      <c r="D927" t="s">
        <v>122</v>
      </c>
      <c r="E927" s="1">
        <v>44599</v>
      </c>
      <c r="F927" t="s">
        <v>1784</v>
      </c>
      <c r="G927" s="1">
        <v>44614</v>
      </c>
      <c r="H927" s="1">
        <v>44639</v>
      </c>
      <c r="I927" t="s">
        <v>43</v>
      </c>
      <c r="J927" s="1" t="b">
        <f t="shared" si="98"/>
        <v>1</v>
      </c>
      <c r="K927" s="1" t="b">
        <f t="shared" si="99"/>
        <v>0</v>
      </c>
      <c r="L927" s="1" t="b">
        <f t="shared" si="100"/>
        <v>0</v>
      </c>
      <c r="M927" s="1" t="b">
        <f t="shared" si="101"/>
        <v>0</v>
      </c>
      <c r="N927" s="1" t="b">
        <f t="shared" si="102"/>
        <v>0</v>
      </c>
      <c r="O927" s="1" t="b">
        <f t="shared" si="103"/>
        <v>1</v>
      </c>
      <c r="P927" s="1" t="b">
        <f t="shared" si="104"/>
        <v>0</v>
      </c>
    </row>
    <row r="928" spans="1:16" x14ac:dyDescent="0.2">
      <c r="A928">
        <v>6491819</v>
      </c>
      <c r="B928" t="s">
        <v>1785</v>
      </c>
      <c r="C928" t="s">
        <v>71</v>
      </c>
      <c r="D928" t="s">
        <v>122</v>
      </c>
      <c r="E928" s="1">
        <v>44607</v>
      </c>
      <c r="F928" t="s">
        <v>1786</v>
      </c>
      <c r="G928" s="1">
        <v>44629</v>
      </c>
      <c r="H928" s="1">
        <v>44684</v>
      </c>
      <c r="I928" t="s">
        <v>16</v>
      </c>
      <c r="J928" s="1" t="b">
        <f t="shared" si="98"/>
        <v>1</v>
      </c>
      <c r="K928" s="1" t="b">
        <f t="shared" si="99"/>
        <v>0</v>
      </c>
      <c r="L928" s="1" t="b">
        <f t="shared" si="100"/>
        <v>0</v>
      </c>
      <c r="M928" s="1" t="b">
        <f t="shared" si="101"/>
        <v>0</v>
      </c>
      <c r="N928" s="1" t="b">
        <f t="shared" si="102"/>
        <v>1</v>
      </c>
      <c r="O928" s="1" t="b">
        <f t="shared" si="103"/>
        <v>0</v>
      </c>
      <c r="P928" s="1" t="b">
        <f t="shared" si="104"/>
        <v>0</v>
      </c>
    </row>
    <row r="929" spans="1:16" x14ac:dyDescent="0.2">
      <c r="A929">
        <v>6491819</v>
      </c>
      <c r="B929" t="s">
        <v>1787</v>
      </c>
      <c r="C929" t="s">
        <v>71</v>
      </c>
      <c r="D929" t="s">
        <v>122</v>
      </c>
      <c r="E929" s="1">
        <v>44609</v>
      </c>
      <c r="F929" t="s">
        <v>1788</v>
      </c>
      <c r="G929" s="1">
        <v>44613</v>
      </c>
      <c r="H929" s="1">
        <v>44647</v>
      </c>
      <c r="I929" t="s">
        <v>16</v>
      </c>
      <c r="J929" s="1" t="b">
        <f t="shared" si="98"/>
        <v>1</v>
      </c>
      <c r="K929" s="1" t="b">
        <f t="shared" si="99"/>
        <v>0</v>
      </c>
      <c r="L929" s="1" t="b">
        <f t="shared" si="100"/>
        <v>0</v>
      </c>
      <c r="M929" s="1" t="b">
        <f t="shared" si="101"/>
        <v>0</v>
      </c>
      <c r="N929" s="1" t="b">
        <f t="shared" si="102"/>
        <v>1</v>
      </c>
      <c r="O929" s="1" t="b">
        <f t="shared" si="103"/>
        <v>0</v>
      </c>
      <c r="P929" s="1" t="b">
        <f t="shared" si="104"/>
        <v>0</v>
      </c>
    </row>
    <row r="930" spans="1:16" x14ac:dyDescent="0.2">
      <c r="A930">
        <v>6491819</v>
      </c>
      <c r="B930" t="s">
        <v>1789</v>
      </c>
      <c r="C930" t="s">
        <v>71</v>
      </c>
      <c r="D930" t="s">
        <v>122</v>
      </c>
      <c r="E930" s="1">
        <v>44881</v>
      </c>
      <c r="F930" t="s">
        <v>1790</v>
      </c>
      <c r="G930" s="1">
        <v>44902</v>
      </c>
      <c r="H930" s="1">
        <v>44960</v>
      </c>
      <c r="I930" t="s">
        <v>28</v>
      </c>
      <c r="J930" s="1" t="b">
        <f t="shared" si="98"/>
        <v>1</v>
      </c>
      <c r="K930" s="1" t="b">
        <f t="shared" si="99"/>
        <v>0</v>
      </c>
      <c r="L930" s="1" t="b">
        <f t="shared" si="100"/>
        <v>0</v>
      </c>
      <c r="M930" s="1" t="b">
        <f t="shared" si="101"/>
        <v>0</v>
      </c>
      <c r="N930" s="1" t="b">
        <f t="shared" si="102"/>
        <v>0</v>
      </c>
      <c r="O930" s="1" t="b">
        <f t="shared" si="103"/>
        <v>0</v>
      </c>
      <c r="P930" s="1" t="b">
        <f t="shared" si="104"/>
        <v>1</v>
      </c>
    </row>
    <row r="931" spans="1:16" x14ac:dyDescent="0.2">
      <c r="A931">
        <v>6491819</v>
      </c>
      <c r="B931" t="s">
        <v>1791</v>
      </c>
      <c r="C931" t="s">
        <v>71</v>
      </c>
      <c r="D931" t="s">
        <v>122</v>
      </c>
      <c r="E931" s="1">
        <v>44855</v>
      </c>
      <c r="F931" t="s">
        <v>100</v>
      </c>
      <c r="G931" s="1">
        <v>44864</v>
      </c>
      <c r="I931" t="s">
        <v>25</v>
      </c>
      <c r="J931" s="1" t="b">
        <f t="shared" si="98"/>
        <v>0</v>
      </c>
      <c r="K931" s="1" t="b">
        <f t="shared" si="99"/>
        <v>0</v>
      </c>
      <c r="L931" s="1" t="b">
        <f t="shared" si="100"/>
        <v>1</v>
      </c>
      <c r="M931" s="1" t="b">
        <f t="shared" si="101"/>
        <v>0</v>
      </c>
      <c r="N931" s="1" t="b">
        <f t="shared" si="102"/>
        <v>0</v>
      </c>
      <c r="O931" s="1" t="b">
        <f t="shared" si="103"/>
        <v>0</v>
      </c>
      <c r="P931" s="1" t="b">
        <f t="shared" si="104"/>
        <v>0</v>
      </c>
    </row>
    <row r="932" spans="1:16" x14ac:dyDescent="0.2">
      <c r="A932">
        <v>9930106</v>
      </c>
      <c r="B932" t="s">
        <v>1792</v>
      </c>
      <c r="C932" t="s">
        <v>720</v>
      </c>
      <c r="D932" t="s">
        <v>77</v>
      </c>
      <c r="E932" s="1">
        <v>44679</v>
      </c>
      <c r="F932" t="s">
        <v>1793</v>
      </c>
      <c r="G932" s="1">
        <v>44680</v>
      </c>
      <c r="I932" t="s">
        <v>13</v>
      </c>
      <c r="J932" s="1" t="b">
        <f t="shared" si="98"/>
        <v>0</v>
      </c>
      <c r="K932" s="1" t="b">
        <f t="shared" si="99"/>
        <v>1</v>
      </c>
      <c r="L932" s="1" t="b">
        <f t="shared" si="100"/>
        <v>0</v>
      </c>
      <c r="M932" s="1" t="b">
        <f t="shared" si="101"/>
        <v>0</v>
      </c>
      <c r="N932" s="1" t="b">
        <f t="shared" si="102"/>
        <v>0</v>
      </c>
      <c r="O932" s="1" t="b">
        <f t="shared" si="103"/>
        <v>0</v>
      </c>
      <c r="P932" s="1" t="b">
        <f t="shared" si="104"/>
        <v>0</v>
      </c>
    </row>
    <row r="933" spans="1:16" x14ac:dyDescent="0.2">
      <c r="A933">
        <v>9624506</v>
      </c>
      <c r="B933" t="s">
        <v>1794</v>
      </c>
      <c r="C933" t="s">
        <v>176</v>
      </c>
      <c r="D933" t="s">
        <v>19</v>
      </c>
      <c r="E933" s="1">
        <v>44706</v>
      </c>
      <c r="F933" t="s">
        <v>1795</v>
      </c>
      <c r="G933" s="1">
        <v>44729</v>
      </c>
      <c r="I933" t="s">
        <v>25</v>
      </c>
      <c r="J933" s="1" t="b">
        <f t="shared" si="98"/>
        <v>0</v>
      </c>
      <c r="K933" s="1" t="b">
        <f t="shared" si="99"/>
        <v>0</v>
      </c>
      <c r="L933" s="1" t="b">
        <f t="shared" si="100"/>
        <v>1</v>
      </c>
      <c r="M933" s="1" t="b">
        <f t="shared" si="101"/>
        <v>0</v>
      </c>
      <c r="N933" s="1" t="b">
        <f t="shared" si="102"/>
        <v>0</v>
      </c>
      <c r="O933" s="1" t="b">
        <f t="shared" si="103"/>
        <v>0</v>
      </c>
      <c r="P933" s="1" t="b">
        <f t="shared" si="104"/>
        <v>0</v>
      </c>
    </row>
    <row r="934" spans="1:16" x14ac:dyDescent="0.2">
      <c r="A934">
        <v>9624506</v>
      </c>
      <c r="B934" t="s">
        <v>1796</v>
      </c>
      <c r="C934" t="s">
        <v>176</v>
      </c>
      <c r="D934" t="s">
        <v>19</v>
      </c>
      <c r="E934" s="1">
        <v>44880</v>
      </c>
      <c r="F934" t="s">
        <v>1797</v>
      </c>
      <c r="G934" s="1">
        <v>44900</v>
      </c>
      <c r="H934" s="1">
        <v>44958</v>
      </c>
      <c r="I934" t="s">
        <v>43</v>
      </c>
      <c r="J934" s="1" t="b">
        <f t="shared" si="98"/>
        <v>1</v>
      </c>
      <c r="K934" s="1" t="b">
        <f t="shared" si="99"/>
        <v>0</v>
      </c>
      <c r="L934" s="1" t="b">
        <f t="shared" si="100"/>
        <v>0</v>
      </c>
      <c r="M934" s="1" t="b">
        <f t="shared" si="101"/>
        <v>0</v>
      </c>
      <c r="N934" s="1" t="b">
        <f t="shared" si="102"/>
        <v>0</v>
      </c>
      <c r="O934" s="1" t="b">
        <f t="shared" si="103"/>
        <v>1</v>
      </c>
      <c r="P934" s="1" t="b">
        <f t="shared" si="104"/>
        <v>0</v>
      </c>
    </row>
    <row r="935" spans="1:16" x14ac:dyDescent="0.2">
      <c r="A935">
        <v>9624506</v>
      </c>
      <c r="B935" t="s">
        <v>1798</v>
      </c>
      <c r="C935" t="s">
        <v>176</v>
      </c>
      <c r="D935" t="s">
        <v>19</v>
      </c>
      <c r="E935" s="1">
        <v>44591</v>
      </c>
      <c r="F935" t="s">
        <v>1799</v>
      </c>
      <c r="G935" s="1">
        <v>44607</v>
      </c>
      <c r="H935" s="1">
        <v>44665</v>
      </c>
      <c r="J935" s="1" t="b">
        <f t="shared" si="98"/>
        <v>1</v>
      </c>
      <c r="K935" s="1" t="b">
        <f t="shared" si="99"/>
        <v>0</v>
      </c>
      <c r="L935" s="1" t="b">
        <f t="shared" si="100"/>
        <v>0</v>
      </c>
      <c r="M935" s="1" t="b">
        <f t="shared" si="101"/>
        <v>0</v>
      </c>
      <c r="N935" s="1" t="b">
        <f t="shared" si="102"/>
        <v>0</v>
      </c>
      <c r="O935" s="1" t="b">
        <f t="shared" si="103"/>
        <v>0</v>
      </c>
      <c r="P935" s="1" t="b">
        <f t="shared" si="104"/>
        <v>0</v>
      </c>
    </row>
    <row r="936" spans="1:16" x14ac:dyDescent="0.2">
      <c r="A936">
        <v>9624506</v>
      </c>
      <c r="B936" t="s">
        <v>1800</v>
      </c>
      <c r="C936" t="s">
        <v>176</v>
      </c>
      <c r="D936" t="s">
        <v>19</v>
      </c>
      <c r="E936" s="1">
        <v>44650</v>
      </c>
      <c r="F936" t="s">
        <v>1801</v>
      </c>
      <c r="G936" s="1">
        <v>44664</v>
      </c>
      <c r="H936" s="1">
        <v>44690</v>
      </c>
      <c r="I936" t="s">
        <v>16</v>
      </c>
      <c r="J936" s="1" t="b">
        <f t="shared" si="98"/>
        <v>1</v>
      </c>
      <c r="K936" s="1" t="b">
        <f t="shared" si="99"/>
        <v>0</v>
      </c>
      <c r="L936" s="1" t="b">
        <f t="shared" si="100"/>
        <v>0</v>
      </c>
      <c r="M936" s="1" t="b">
        <f t="shared" si="101"/>
        <v>0</v>
      </c>
      <c r="N936" s="1" t="b">
        <f t="shared" si="102"/>
        <v>1</v>
      </c>
      <c r="O936" s="1" t="b">
        <f t="shared" si="103"/>
        <v>0</v>
      </c>
      <c r="P936" s="1" t="b">
        <f t="shared" si="104"/>
        <v>0</v>
      </c>
    </row>
    <row r="937" spans="1:16" x14ac:dyDescent="0.2">
      <c r="A937">
        <v>9624506</v>
      </c>
      <c r="B937" t="s">
        <v>1802</v>
      </c>
      <c r="C937" t="s">
        <v>176</v>
      </c>
      <c r="D937" t="s">
        <v>19</v>
      </c>
      <c r="E937" s="1">
        <v>45018</v>
      </c>
      <c r="F937" t="s">
        <v>1803</v>
      </c>
      <c r="G937" s="1">
        <v>45038</v>
      </c>
      <c r="I937" t="s">
        <v>13</v>
      </c>
      <c r="J937" s="1" t="b">
        <f t="shared" si="98"/>
        <v>0</v>
      </c>
      <c r="K937" s="1" t="b">
        <f t="shared" si="99"/>
        <v>1</v>
      </c>
      <c r="L937" s="1" t="b">
        <f t="shared" si="100"/>
        <v>0</v>
      </c>
      <c r="M937" s="1" t="b">
        <f t="shared" si="101"/>
        <v>0</v>
      </c>
      <c r="N937" s="1" t="b">
        <f t="shared" si="102"/>
        <v>0</v>
      </c>
      <c r="O937" s="1" t="b">
        <f t="shared" si="103"/>
        <v>0</v>
      </c>
      <c r="P937" s="1" t="b">
        <f t="shared" si="104"/>
        <v>0</v>
      </c>
    </row>
    <row r="938" spans="1:16" x14ac:dyDescent="0.2">
      <c r="A938">
        <v>6966385</v>
      </c>
      <c r="B938" t="s">
        <v>1804</v>
      </c>
      <c r="C938" t="s">
        <v>110</v>
      </c>
      <c r="D938" t="s">
        <v>39</v>
      </c>
      <c r="E938" s="1">
        <v>45038</v>
      </c>
      <c r="F938" t="s">
        <v>1586</v>
      </c>
      <c r="G938" s="1">
        <v>45057</v>
      </c>
      <c r="H938" s="1">
        <v>45066</v>
      </c>
      <c r="I938" t="s">
        <v>16</v>
      </c>
      <c r="J938" s="1" t="b">
        <f t="shared" si="98"/>
        <v>1</v>
      </c>
      <c r="K938" s="1" t="b">
        <f t="shared" si="99"/>
        <v>0</v>
      </c>
      <c r="L938" s="1" t="b">
        <f t="shared" si="100"/>
        <v>0</v>
      </c>
      <c r="M938" s="1" t="b">
        <f t="shared" si="101"/>
        <v>0</v>
      </c>
      <c r="N938" s="1" t="b">
        <f t="shared" si="102"/>
        <v>1</v>
      </c>
      <c r="O938" s="1" t="b">
        <f t="shared" si="103"/>
        <v>0</v>
      </c>
      <c r="P938" s="1" t="b">
        <f t="shared" si="104"/>
        <v>0</v>
      </c>
    </row>
    <row r="939" spans="1:16" x14ac:dyDescent="0.2">
      <c r="A939">
        <v>6966385</v>
      </c>
      <c r="B939" t="s">
        <v>1805</v>
      </c>
      <c r="C939" t="s">
        <v>110</v>
      </c>
      <c r="D939" t="s">
        <v>39</v>
      </c>
      <c r="E939" s="1">
        <v>45041</v>
      </c>
      <c r="F939" t="s">
        <v>1806</v>
      </c>
      <c r="G939" s="1">
        <v>45045</v>
      </c>
      <c r="I939" t="s">
        <v>13</v>
      </c>
      <c r="J939" s="1" t="b">
        <f t="shared" si="98"/>
        <v>0</v>
      </c>
      <c r="K939" s="1" t="b">
        <f t="shared" si="99"/>
        <v>1</v>
      </c>
      <c r="L939" s="1" t="b">
        <f t="shared" si="100"/>
        <v>0</v>
      </c>
      <c r="M939" s="1" t="b">
        <f t="shared" si="101"/>
        <v>0</v>
      </c>
      <c r="N939" s="1" t="b">
        <f t="shared" si="102"/>
        <v>0</v>
      </c>
      <c r="O939" s="1" t="b">
        <f t="shared" si="103"/>
        <v>0</v>
      </c>
      <c r="P939" s="1" t="b">
        <f t="shared" si="104"/>
        <v>0</v>
      </c>
    </row>
    <row r="940" spans="1:16" x14ac:dyDescent="0.2">
      <c r="A940">
        <v>8643434</v>
      </c>
      <c r="B940" t="s">
        <v>1807</v>
      </c>
      <c r="C940" t="s">
        <v>110</v>
      </c>
      <c r="D940" t="s">
        <v>77</v>
      </c>
      <c r="E940" s="1">
        <v>44826</v>
      </c>
      <c r="F940" t="s">
        <v>1808</v>
      </c>
      <c r="G940" s="1">
        <v>44856</v>
      </c>
      <c r="I940" t="s">
        <v>13</v>
      </c>
      <c r="J940" s="1" t="b">
        <f t="shared" si="98"/>
        <v>0</v>
      </c>
      <c r="K940" s="1" t="b">
        <f t="shared" si="99"/>
        <v>1</v>
      </c>
      <c r="L940" s="1" t="b">
        <f t="shared" si="100"/>
        <v>0</v>
      </c>
      <c r="M940" s="1" t="b">
        <f t="shared" si="101"/>
        <v>0</v>
      </c>
      <c r="N940" s="1" t="b">
        <f t="shared" si="102"/>
        <v>0</v>
      </c>
      <c r="O940" s="1" t="b">
        <f t="shared" si="103"/>
        <v>0</v>
      </c>
      <c r="P940" s="1" t="b">
        <f t="shared" si="104"/>
        <v>0</v>
      </c>
    </row>
    <row r="941" spans="1:16" x14ac:dyDescent="0.2">
      <c r="A941">
        <v>8643434</v>
      </c>
      <c r="B941" t="s">
        <v>1809</v>
      </c>
      <c r="C941" t="s">
        <v>110</v>
      </c>
      <c r="D941" t="s">
        <v>77</v>
      </c>
      <c r="E941" s="1">
        <v>44900</v>
      </c>
      <c r="F941" t="s">
        <v>1810</v>
      </c>
      <c r="G941" s="1">
        <v>44926</v>
      </c>
      <c r="I941" t="s">
        <v>25</v>
      </c>
      <c r="J941" s="1" t="b">
        <f t="shared" si="98"/>
        <v>0</v>
      </c>
      <c r="K941" s="1" t="b">
        <f t="shared" si="99"/>
        <v>0</v>
      </c>
      <c r="L941" s="1" t="b">
        <f t="shared" si="100"/>
        <v>1</v>
      </c>
      <c r="M941" s="1" t="b">
        <f t="shared" si="101"/>
        <v>0</v>
      </c>
      <c r="N941" s="1" t="b">
        <f t="shared" si="102"/>
        <v>0</v>
      </c>
      <c r="O941" s="1" t="b">
        <f t="shared" si="103"/>
        <v>0</v>
      </c>
      <c r="P941" s="1" t="b">
        <f t="shared" si="104"/>
        <v>0</v>
      </c>
    </row>
    <row r="942" spans="1:16" x14ac:dyDescent="0.2">
      <c r="A942">
        <v>8643434</v>
      </c>
      <c r="B942" t="s">
        <v>1811</v>
      </c>
      <c r="C942" t="s">
        <v>110</v>
      </c>
      <c r="D942" t="s">
        <v>77</v>
      </c>
      <c r="E942" s="1">
        <v>44592</v>
      </c>
      <c r="F942" t="s">
        <v>1730</v>
      </c>
      <c r="G942" s="1">
        <v>44595</v>
      </c>
      <c r="H942" s="1">
        <v>44626</v>
      </c>
      <c r="I942" t="s">
        <v>28</v>
      </c>
      <c r="J942" s="1" t="b">
        <f t="shared" si="98"/>
        <v>1</v>
      </c>
      <c r="K942" s="1" t="b">
        <f t="shared" si="99"/>
        <v>0</v>
      </c>
      <c r="L942" s="1" t="b">
        <f t="shared" si="100"/>
        <v>0</v>
      </c>
      <c r="M942" s="1" t="b">
        <f t="shared" si="101"/>
        <v>0</v>
      </c>
      <c r="N942" s="1" t="b">
        <f t="shared" si="102"/>
        <v>0</v>
      </c>
      <c r="O942" s="1" t="b">
        <f t="shared" si="103"/>
        <v>0</v>
      </c>
      <c r="P942" s="1" t="b">
        <f t="shared" si="104"/>
        <v>1</v>
      </c>
    </row>
    <row r="943" spans="1:16" x14ac:dyDescent="0.2">
      <c r="A943">
        <v>8643434</v>
      </c>
      <c r="B943" t="s">
        <v>1812</v>
      </c>
      <c r="C943" t="s">
        <v>110</v>
      </c>
      <c r="D943" t="s">
        <v>77</v>
      </c>
      <c r="E943" s="1">
        <v>44736</v>
      </c>
      <c r="F943" t="s">
        <v>1813</v>
      </c>
      <c r="G943" s="1">
        <v>44746</v>
      </c>
      <c r="I943" t="s">
        <v>13</v>
      </c>
      <c r="J943" s="1" t="b">
        <f t="shared" si="98"/>
        <v>0</v>
      </c>
      <c r="K943" s="1" t="b">
        <f t="shared" si="99"/>
        <v>1</v>
      </c>
      <c r="L943" s="1" t="b">
        <f t="shared" si="100"/>
        <v>0</v>
      </c>
      <c r="M943" s="1" t="b">
        <f t="shared" si="101"/>
        <v>0</v>
      </c>
      <c r="N943" s="1" t="b">
        <f t="shared" si="102"/>
        <v>0</v>
      </c>
      <c r="O943" s="1" t="b">
        <f t="shared" si="103"/>
        <v>0</v>
      </c>
      <c r="P943" s="1" t="b">
        <f t="shared" si="104"/>
        <v>0</v>
      </c>
    </row>
    <row r="944" spans="1:16" x14ac:dyDescent="0.2">
      <c r="A944">
        <v>6848796</v>
      </c>
      <c r="B944" t="s">
        <v>1814</v>
      </c>
      <c r="C944" t="s">
        <v>121</v>
      </c>
      <c r="D944" t="s">
        <v>81</v>
      </c>
      <c r="E944" s="1">
        <v>44671</v>
      </c>
      <c r="F944" t="s">
        <v>1815</v>
      </c>
      <c r="G944" s="1">
        <v>44682</v>
      </c>
      <c r="H944" s="1">
        <v>44718</v>
      </c>
      <c r="J944" s="1" t="b">
        <f t="shared" si="98"/>
        <v>1</v>
      </c>
      <c r="K944" s="1" t="b">
        <f t="shared" si="99"/>
        <v>0</v>
      </c>
      <c r="L944" s="1" t="b">
        <f t="shared" si="100"/>
        <v>0</v>
      </c>
      <c r="M944" s="1" t="b">
        <f t="shared" si="101"/>
        <v>0</v>
      </c>
      <c r="N944" s="1" t="b">
        <f t="shared" si="102"/>
        <v>0</v>
      </c>
      <c r="O944" s="1" t="b">
        <f t="shared" si="103"/>
        <v>0</v>
      </c>
      <c r="P944" s="1" t="b">
        <f t="shared" si="104"/>
        <v>0</v>
      </c>
    </row>
    <row r="945" spans="1:16" x14ac:dyDescent="0.2">
      <c r="A945">
        <v>6848796</v>
      </c>
      <c r="B945" t="s">
        <v>1816</v>
      </c>
      <c r="C945" t="s">
        <v>121</v>
      </c>
      <c r="D945" t="s">
        <v>81</v>
      </c>
      <c r="E945" s="1">
        <v>44972</v>
      </c>
      <c r="F945" t="s">
        <v>1817</v>
      </c>
      <c r="G945" s="1">
        <v>44991</v>
      </c>
      <c r="H945" s="1">
        <v>45018</v>
      </c>
      <c r="I945" t="s">
        <v>28</v>
      </c>
      <c r="J945" s="1" t="b">
        <f t="shared" si="98"/>
        <v>1</v>
      </c>
      <c r="K945" s="1" t="b">
        <f t="shared" si="99"/>
        <v>0</v>
      </c>
      <c r="L945" s="1" t="b">
        <f t="shared" si="100"/>
        <v>0</v>
      </c>
      <c r="M945" s="1" t="b">
        <f t="shared" si="101"/>
        <v>0</v>
      </c>
      <c r="N945" s="1" t="b">
        <f t="shared" si="102"/>
        <v>0</v>
      </c>
      <c r="O945" s="1" t="b">
        <f t="shared" si="103"/>
        <v>0</v>
      </c>
      <c r="P945" s="1" t="b">
        <f t="shared" si="104"/>
        <v>1</v>
      </c>
    </row>
    <row r="946" spans="1:16" x14ac:dyDescent="0.2">
      <c r="A946">
        <v>5002629</v>
      </c>
      <c r="B946" t="s">
        <v>1818</v>
      </c>
      <c r="C946" t="s">
        <v>121</v>
      </c>
      <c r="D946" t="s">
        <v>19</v>
      </c>
      <c r="E946" s="1">
        <v>44629</v>
      </c>
      <c r="F946" t="s">
        <v>1819</v>
      </c>
      <c r="G946" s="1">
        <v>44640</v>
      </c>
      <c r="I946" t="s">
        <v>13</v>
      </c>
      <c r="J946" s="1" t="b">
        <f t="shared" si="98"/>
        <v>0</v>
      </c>
      <c r="K946" s="1" t="b">
        <f t="shared" si="99"/>
        <v>1</v>
      </c>
      <c r="L946" s="1" t="b">
        <f t="shared" si="100"/>
        <v>0</v>
      </c>
      <c r="M946" s="1" t="b">
        <f t="shared" si="101"/>
        <v>0</v>
      </c>
      <c r="N946" s="1" t="b">
        <f t="shared" si="102"/>
        <v>0</v>
      </c>
      <c r="O946" s="1" t="b">
        <f t="shared" si="103"/>
        <v>0</v>
      </c>
      <c r="P946" s="1" t="b">
        <f t="shared" si="104"/>
        <v>0</v>
      </c>
    </row>
    <row r="947" spans="1:16" x14ac:dyDescent="0.2">
      <c r="A947">
        <v>5002629</v>
      </c>
      <c r="B947" t="s">
        <v>1820</v>
      </c>
      <c r="C947" t="s">
        <v>121</v>
      </c>
      <c r="D947" t="s">
        <v>19</v>
      </c>
      <c r="E947" s="1">
        <v>45003</v>
      </c>
      <c r="F947" t="s">
        <v>1821</v>
      </c>
      <c r="G947" s="1">
        <v>45029</v>
      </c>
      <c r="I947" t="s">
        <v>13</v>
      </c>
      <c r="J947" s="1" t="b">
        <f t="shared" si="98"/>
        <v>0</v>
      </c>
      <c r="K947" s="1" t="b">
        <f t="shared" si="99"/>
        <v>1</v>
      </c>
      <c r="L947" s="1" t="b">
        <f t="shared" si="100"/>
        <v>0</v>
      </c>
      <c r="M947" s="1" t="b">
        <f t="shared" si="101"/>
        <v>0</v>
      </c>
      <c r="N947" s="1" t="b">
        <f t="shared" si="102"/>
        <v>0</v>
      </c>
      <c r="O947" s="1" t="b">
        <f t="shared" si="103"/>
        <v>0</v>
      </c>
      <c r="P947" s="1" t="b">
        <f t="shared" si="104"/>
        <v>0</v>
      </c>
    </row>
    <row r="948" spans="1:16" x14ac:dyDescent="0.2">
      <c r="A948">
        <v>5002629</v>
      </c>
      <c r="B948" t="s">
        <v>1822</v>
      </c>
      <c r="C948" t="s">
        <v>121</v>
      </c>
      <c r="D948" t="s">
        <v>19</v>
      </c>
      <c r="E948" s="1">
        <v>44803</v>
      </c>
      <c r="F948" t="s">
        <v>1823</v>
      </c>
      <c r="G948" s="1">
        <v>44809</v>
      </c>
      <c r="H948" s="1">
        <v>44852</v>
      </c>
      <c r="I948" t="s">
        <v>28</v>
      </c>
      <c r="J948" s="1" t="b">
        <f t="shared" si="98"/>
        <v>1</v>
      </c>
      <c r="K948" s="1" t="b">
        <f t="shared" si="99"/>
        <v>0</v>
      </c>
      <c r="L948" s="1" t="b">
        <f t="shared" si="100"/>
        <v>0</v>
      </c>
      <c r="M948" s="1" t="b">
        <f t="shared" si="101"/>
        <v>0</v>
      </c>
      <c r="N948" s="1" t="b">
        <f t="shared" si="102"/>
        <v>0</v>
      </c>
      <c r="O948" s="1" t="b">
        <f t="shared" si="103"/>
        <v>0</v>
      </c>
      <c r="P948" s="1" t="b">
        <f t="shared" si="104"/>
        <v>1</v>
      </c>
    </row>
    <row r="949" spans="1:16" x14ac:dyDescent="0.2">
      <c r="A949">
        <v>5002629</v>
      </c>
      <c r="B949" t="s">
        <v>1824</v>
      </c>
      <c r="C949" t="s">
        <v>121</v>
      </c>
      <c r="D949" t="s">
        <v>19</v>
      </c>
      <c r="E949" s="1">
        <v>45036</v>
      </c>
      <c r="F949" t="s">
        <v>1825</v>
      </c>
      <c r="G949" s="1">
        <v>45047</v>
      </c>
      <c r="H949" s="1">
        <v>45083</v>
      </c>
      <c r="J949" s="1" t="b">
        <f t="shared" si="98"/>
        <v>1</v>
      </c>
      <c r="K949" s="1" t="b">
        <f t="shared" si="99"/>
        <v>0</v>
      </c>
      <c r="L949" s="1" t="b">
        <f t="shared" si="100"/>
        <v>0</v>
      </c>
      <c r="M949" s="1" t="b">
        <f t="shared" si="101"/>
        <v>0</v>
      </c>
      <c r="N949" s="1" t="b">
        <f t="shared" si="102"/>
        <v>0</v>
      </c>
      <c r="O949" s="1" t="b">
        <f t="shared" si="103"/>
        <v>0</v>
      </c>
      <c r="P949" s="1" t="b">
        <f t="shared" si="104"/>
        <v>0</v>
      </c>
    </row>
    <row r="950" spans="1:16" x14ac:dyDescent="0.2">
      <c r="A950">
        <v>5002629</v>
      </c>
      <c r="B950" t="s">
        <v>1826</v>
      </c>
      <c r="C950" t="s">
        <v>121</v>
      </c>
      <c r="D950" t="s">
        <v>19</v>
      </c>
      <c r="E950" s="1">
        <v>44877</v>
      </c>
      <c r="F950" t="s">
        <v>1502</v>
      </c>
      <c r="G950" s="1">
        <v>44890</v>
      </c>
      <c r="I950" t="s">
        <v>13</v>
      </c>
      <c r="J950" s="1" t="b">
        <f t="shared" si="98"/>
        <v>0</v>
      </c>
      <c r="K950" s="1" t="b">
        <f t="shared" si="99"/>
        <v>1</v>
      </c>
      <c r="L950" s="1" t="b">
        <f t="shared" si="100"/>
        <v>0</v>
      </c>
      <c r="M950" s="1" t="b">
        <f t="shared" si="101"/>
        <v>0</v>
      </c>
      <c r="N950" s="1" t="b">
        <f t="shared" si="102"/>
        <v>0</v>
      </c>
      <c r="O950" s="1" t="b">
        <f t="shared" si="103"/>
        <v>0</v>
      </c>
      <c r="P950" s="1" t="b">
        <f t="shared" si="104"/>
        <v>0</v>
      </c>
    </row>
    <row r="951" spans="1:16" x14ac:dyDescent="0.2">
      <c r="A951">
        <v>2167822</v>
      </c>
      <c r="B951" t="s">
        <v>1827</v>
      </c>
      <c r="C951" t="s">
        <v>121</v>
      </c>
      <c r="D951" t="s">
        <v>122</v>
      </c>
      <c r="E951" s="1">
        <v>44624</v>
      </c>
      <c r="F951" t="s">
        <v>1828</v>
      </c>
      <c r="G951" s="1">
        <v>44627</v>
      </c>
      <c r="H951" s="1">
        <v>44641</v>
      </c>
      <c r="J951" s="1" t="b">
        <f t="shared" si="98"/>
        <v>1</v>
      </c>
      <c r="K951" s="1" t="b">
        <f t="shared" si="99"/>
        <v>0</v>
      </c>
      <c r="L951" s="1" t="b">
        <f t="shared" si="100"/>
        <v>0</v>
      </c>
      <c r="M951" s="1" t="b">
        <f t="shared" si="101"/>
        <v>0</v>
      </c>
      <c r="N951" s="1" t="b">
        <f t="shared" si="102"/>
        <v>0</v>
      </c>
      <c r="O951" s="1" t="b">
        <f t="shared" si="103"/>
        <v>0</v>
      </c>
      <c r="P951" s="1" t="b">
        <f t="shared" si="104"/>
        <v>0</v>
      </c>
    </row>
    <row r="952" spans="1:16" x14ac:dyDescent="0.2">
      <c r="A952">
        <v>2167822</v>
      </c>
      <c r="B952" t="s">
        <v>1829</v>
      </c>
      <c r="C952" t="s">
        <v>121</v>
      </c>
      <c r="D952" t="s">
        <v>122</v>
      </c>
      <c r="E952" s="1">
        <v>44714</v>
      </c>
      <c r="F952" t="s">
        <v>1830</v>
      </c>
      <c r="G952" s="1">
        <v>44729</v>
      </c>
      <c r="H952" s="1">
        <v>44764</v>
      </c>
      <c r="I952" t="s">
        <v>16</v>
      </c>
      <c r="J952" s="1" t="b">
        <f t="shared" si="98"/>
        <v>1</v>
      </c>
      <c r="K952" s="1" t="b">
        <f t="shared" si="99"/>
        <v>0</v>
      </c>
      <c r="L952" s="1" t="b">
        <f t="shared" si="100"/>
        <v>0</v>
      </c>
      <c r="M952" s="1" t="b">
        <f t="shared" si="101"/>
        <v>0</v>
      </c>
      <c r="N952" s="1" t="b">
        <f t="shared" si="102"/>
        <v>1</v>
      </c>
      <c r="O952" s="1" t="b">
        <f t="shared" si="103"/>
        <v>0</v>
      </c>
      <c r="P952" s="1" t="b">
        <f t="shared" si="104"/>
        <v>0</v>
      </c>
    </row>
    <row r="953" spans="1:16" x14ac:dyDescent="0.2">
      <c r="A953">
        <v>2167822</v>
      </c>
      <c r="B953" t="s">
        <v>1831</v>
      </c>
      <c r="C953" t="s">
        <v>121</v>
      </c>
      <c r="D953" t="s">
        <v>122</v>
      </c>
      <c r="E953" s="1">
        <v>45019</v>
      </c>
      <c r="F953" t="s">
        <v>1832</v>
      </c>
      <c r="G953" s="1">
        <v>45026</v>
      </c>
      <c r="I953" t="s">
        <v>25</v>
      </c>
      <c r="J953" s="1" t="b">
        <f t="shared" si="98"/>
        <v>0</v>
      </c>
      <c r="K953" s="1" t="b">
        <f t="shared" si="99"/>
        <v>0</v>
      </c>
      <c r="L953" s="1" t="b">
        <f t="shared" si="100"/>
        <v>1</v>
      </c>
      <c r="M953" s="1" t="b">
        <f t="shared" si="101"/>
        <v>0</v>
      </c>
      <c r="N953" s="1" t="b">
        <f t="shared" si="102"/>
        <v>0</v>
      </c>
      <c r="O953" s="1" t="b">
        <f t="shared" si="103"/>
        <v>0</v>
      </c>
      <c r="P953" s="1" t="b">
        <f t="shared" si="104"/>
        <v>0</v>
      </c>
    </row>
    <row r="954" spans="1:16" x14ac:dyDescent="0.2">
      <c r="A954">
        <v>2167822</v>
      </c>
      <c r="B954" t="s">
        <v>1833</v>
      </c>
      <c r="C954" t="s">
        <v>121</v>
      </c>
      <c r="D954" t="s">
        <v>122</v>
      </c>
      <c r="E954" s="1">
        <v>44868</v>
      </c>
      <c r="F954" t="s">
        <v>1834</v>
      </c>
      <c r="G954" s="1">
        <v>44887</v>
      </c>
      <c r="I954" t="s">
        <v>25</v>
      </c>
      <c r="J954" s="1" t="b">
        <f t="shared" si="98"/>
        <v>0</v>
      </c>
      <c r="K954" s="1" t="b">
        <f t="shared" si="99"/>
        <v>0</v>
      </c>
      <c r="L954" s="1" t="b">
        <f t="shared" si="100"/>
        <v>1</v>
      </c>
      <c r="M954" s="1" t="b">
        <f t="shared" si="101"/>
        <v>0</v>
      </c>
      <c r="N954" s="1" t="b">
        <f t="shared" si="102"/>
        <v>0</v>
      </c>
      <c r="O954" s="1" t="b">
        <f t="shared" si="103"/>
        <v>0</v>
      </c>
      <c r="P954" s="1" t="b">
        <f t="shared" si="104"/>
        <v>0</v>
      </c>
    </row>
    <row r="955" spans="1:16" x14ac:dyDescent="0.2">
      <c r="A955">
        <v>2167822</v>
      </c>
      <c r="B955" t="s">
        <v>1835</v>
      </c>
      <c r="C955" t="s">
        <v>121</v>
      </c>
      <c r="D955" t="s">
        <v>122</v>
      </c>
      <c r="E955" s="1">
        <v>44914</v>
      </c>
      <c r="F955" t="s">
        <v>1836</v>
      </c>
      <c r="G955" s="1">
        <v>44917</v>
      </c>
      <c r="H955" s="1">
        <v>44955</v>
      </c>
      <c r="I955" t="s">
        <v>28</v>
      </c>
      <c r="J955" s="1" t="b">
        <f t="shared" si="98"/>
        <v>1</v>
      </c>
      <c r="K955" s="1" t="b">
        <f t="shared" si="99"/>
        <v>0</v>
      </c>
      <c r="L955" s="1" t="b">
        <f t="shared" si="100"/>
        <v>0</v>
      </c>
      <c r="M955" s="1" t="b">
        <f t="shared" si="101"/>
        <v>0</v>
      </c>
      <c r="N955" s="1" t="b">
        <f t="shared" si="102"/>
        <v>0</v>
      </c>
      <c r="O955" s="1" t="b">
        <f t="shared" si="103"/>
        <v>0</v>
      </c>
      <c r="P955" s="1" t="b">
        <f t="shared" si="104"/>
        <v>1</v>
      </c>
    </row>
    <row r="956" spans="1:16" x14ac:dyDescent="0.2">
      <c r="A956">
        <v>1136218</v>
      </c>
      <c r="B956" t="s">
        <v>1837</v>
      </c>
      <c r="C956" t="s">
        <v>121</v>
      </c>
      <c r="D956" t="s">
        <v>139</v>
      </c>
      <c r="E956" s="1">
        <v>44616</v>
      </c>
      <c r="F956" t="s">
        <v>1838</v>
      </c>
      <c r="G956" s="1">
        <v>44617</v>
      </c>
      <c r="H956" s="1">
        <v>44663</v>
      </c>
      <c r="I956" t="s">
        <v>28</v>
      </c>
      <c r="J956" s="1" t="b">
        <f t="shared" si="98"/>
        <v>1</v>
      </c>
      <c r="K956" s="1" t="b">
        <f t="shared" si="99"/>
        <v>0</v>
      </c>
      <c r="L956" s="1" t="b">
        <f t="shared" si="100"/>
        <v>0</v>
      </c>
      <c r="M956" s="1" t="b">
        <f t="shared" si="101"/>
        <v>0</v>
      </c>
      <c r="N956" s="1" t="b">
        <f t="shared" si="102"/>
        <v>0</v>
      </c>
      <c r="O956" s="1" t="b">
        <f t="shared" si="103"/>
        <v>0</v>
      </c>
      <c r="P956" s="1" t="b">
        <f t="shared" si="104"/>
        <v>1</v>
      </c>
    </row>
    <row r="957" spans="1:16" x14ac:dyDescent="0.2">
      <c r="A957">
        <v>1136218</v>
      </c>
      <c r="B957" t="s">
        <v>1839</v>
      </c>
      <c r="C957" t="s">
        <v>121</v>
      </c>
      <c r="D957" t="s">
        <v>139</v>
      </c>
      <c r="E957" s="1">
        <v>44850</v>
      </c>
      <c r="F957" t="s">
        <v>1840</v>
      </c>
      <c r="G957" s="1">
        <v>44878</v>
      </c>
      <c r="H957" s="1">
        <v>44880</v>
      </c>
      <c r="I957" t="s">
        <v>28</v>
      </c>
      <c r="J957" s="1" t="b">
        <f t="shared" si="98"/>
        <v>1</v>
      </c>
      <c r="K957" s="1" t="b">
        <f t="shared" si="99"/>
        <v>0</v>
      </c>
      <c r="L957" s="1" t="b">
        <f t="shared" si="100"/>
        <v>0</v>
      </c>
      <c r="M957" s="1" t="b">
        <f t="shared" si="101"/>
        <v>0</v>
      </c>
      <c r="N957" s="1" t="b">
        <f t="shared" si="102"/>
        <v>0</v>
      </c>
      <c r="O957" s="1" t="b">
        <f t="shared" si="103"/>
        <v>0</v>
      </c>
      <c r="P957" s="1" t="b">
        <f t="shared" si="104"/>
        <v>1</v>
      </c>
    </row>
    <row r="958" spans="1:16" x14ac:dyDescent="0.2">
      <c r="A958">
        <v>1136218</v>
      </c>
      <c r="B958" t="s">
        <v>1841</v>
      </c>
      <c r="C958" t="s">
        <v>121</v>
      </c>
      <c r="D958" t="s">
        <v>139</v>
      </c>
      <c r="E958" s="1">
        <v>44965</v>
      </c>
      <c r="F958" t="s">
        <v>1821</v>
      </c>
      <c r="G958" s="1">
        <v>44986</v>
      </c>
      <c r="I958" t="s">
        <v>25</v>
      </c>
      <c r="J958" s="1" t="b">
        <f t="shared" si="98"/>
        <v>0</v>
      </c>
      <c r="K958" s="1" t="b">
        <f t="shared" si="99"/>
        <v>0</v>
      </c>
      <c r="L958" s="1" t="b">
        <f t="shared" si="100"/>
        <v>1</v>
      </c>
      <c r="M958" s="1" t="b">
        <f t="shared" si="101"/>
        <v>0</v>
      </c>
      <c r="N958" s="1" t="b">
        <f t="shared" si="102"/>
        <v>0</v>
      </c>
      <c r="O958" s="1" t="b">
        <f t="shared" si="103"/>
        <v>0</v>
      </c>
      <c r="P958" s="1" t="b">
        <f t="shared" si="104"/>
        <v>0</v>
      </c>
    </row>
    <row r="959" spans="1:16" x14ac:dyDescent="0.2">
      <c r="A959">
        <v>1136218</v>
      </c>
      <c r="B959" t="s">
        <v>1842</v>
      </c>
      <c r="C959" t="s">
        <v>121</v>
      </c>
      <c r="D959" t="s">
        <v>139</v>
      </c>
      <c r="E959" s="1">
        <v>45007</v>
      </c>
      <c r="F959" t="s">
        <v>1843</v>
      </c>
      <c r="G959" s="1">
        <v>45025</v>
      </c>
      <c r="H959" s="1">
        <v>45039</v>
      </c>
      <c r="J959" s="1" t="b">
        <f t="shared" si="98"/>
        <v>1</v>
      </c>
      <c r="K959" s="1" t="b">
        <f t="shared" si="99"/>
        <v>0</v>
      </c>
      <c r="L959" s="1" t="b">
        <f t="shared" si="100"/>
        <v>0</v>
      </c>
      <c r="M959" s="1" t="b">
        <f t="shared" si="101"/>
        <v>0</v>
      </c>
      <c r="N959" s="1" t="b">
        <f t="shared" si="102"/>
        <v>0</v>
      </c>
      <c r="O959" s="1" t="b">
        <f t="shared" si="103"/>
        <v>0</v>
      </c>
      <c r="P959" s="1" t="b">
        <f t="shared" si="104"/>
        <v>0</v>
      </c>
    </row>
    <row r="960" spans="1:16" x14ac:dyDescent="0.2">
      <c r="A960">
        <v>3909338</v>
      </c>
      <c r="B960" t="s">
        <v>1844</v>
      </c>
      <c r="C960" t="s">
        <v>363</v>
      </c>
      <c r="D960" t="s">
        <v>187</v>
      </c>
      <c r="E960" s="1">
        <v>44719</v>
      </c>
      <c r="F960" t="s">
        <v>218</v>
      </c>
      <c r="G960" s="1">
        <v>44729</v>
      </c>
      <c r="H960" s="1">
        <v>44785</v>
      </c>
      <c r="I960" t="s">
        <v>28</v>
      </c>
      <c r="J960" s="1" t="b">
        <f t="shared" si="98"/>
        <v>1</v>
      </c>
      <c r="K960" s="1" t="b">
        <f t="shared" si="99"/>
        <v>0</v>
      </c>
      <c r="L960" s="1" t="b">
        <f t="shared" si="100"/>
        <v>0</v>
      </c>
      <c r="M960" s="1" t="b">
        <f t="shared" si="101"/>
        <v>0</v>
      </c>
      <c r="N960" s="1" t="b">
        <f t="shared" si="102"/>
        <v>0</v>
      </c>
      <c r="O960" s="1" t="b">
        <f t="shared" si="103"/>
        <v>0</v>
      </c>
      <c r="P960" s="1" t="b">
        <f t="shared" si="104"/>
        <v>1</v>
      </c>
    </row>
    <row r="961" spans="1:16" x14ac:dyDescent="0.2">
      <c r="A961">
        <v>3909338</v>
      </c>
      <c r="B961" t="s">
        <v>1845</v>
      </c>
      <c r="C961" t="s">
        <v>363</v>
      </c>
      <c r="D961" t="s">
        <v>187</v>
      </c>
      <c r="E961" s="1">
        <v>44578</v>
      </c>
      <c r="F961" t="s">
        <v>1846</v>
      </c>
      <c r="G961" s="1">
        <v>44583</v>
      </c>
      <c r="H961" s="1">
        <v>44630</v>
      </c>
      <c r="I961" t="s">
        <v>43</v>
      </c>
      <c r="J961" s="1" t="b">
        <f t="shared" si="98"/>
        <v>1</v>
      </c>
      <c r="K961" s="1" t="b">
        <f t="shared" si="99"/>
        <v>0</v>
      </c>
      <c r="L961" s="1" t="b">
        <f t="shared" si="100"/>
        <v>0</v>
      </c>
      <c r="M961" s="1" t="b">
        <f t="shared" si="101"/>
        <v>0</v>
      </c>
      <c r="N961" s="1" t="b">
        <f t="shared" si="102"/>
        <v>0</v>
      </c>
      <c r="O961" s="1" t="b">
        <f t="shared" si="103"/>
        <v>1</v>
      </c>
      <c r="P961" s="1" t="b">
        <f t="shared" si="104"/>
        <v>0</v>
      </c>
    </row>
    <row r="962" spans="1:16" x14ac:dyDescent="0.2">
      <c r="A962">
        <v>9165493</v>
      </c>
      <c r="B962" t="s">
        <v>1847</v>
      </c>
      <c r="C962" t="s">
        <v>167</v>
      </c>
      <c r="D962" t="s">
        <v>60</v>
      </c>
      <c r="E962" s="1">
        <v>44996</v>
      </c>
      <c r="F962" t="s">
        <v>1848</v>
      </c>
      <c r="G962" s="1">
        <v>45014</v>
      </c>
      <c r="I962" t="s">
        <v>13</v>
      </c>
      <c r="J962" s="1" t="b">
        <f t="shared" si="98"/>
        <v>0</v>
      </c>
      <c r="K962" s="1" t="b">
        <f t="shared" si="99"/>
        <v>1</v>
      </c>
      <c r="L962" s="1" t="b">
        <f t="shared" si="100"/>
        <v>0</v>
      </c>
      <c r="M962" s="1" t="b">
        <f t="shared" si="101"/>
        <v>0</v>
      </c>
      <c r="N962" s="1" t="b">
        <f t="shared" si="102"/>
        <v>0</v>
      </c>
      <c r="O962" s="1" t="b">
        <f t="shared" si="103"/>
        <v>0</v>
      </c>
      <c r="P962" s="1" t="b">
        <f t="shared" si="104"/>
        <v>0</v>
      </c>
    </row>
    <row r="963" spans="1:16" x14ac:dyDescent="0.2">
      <c r="A963">
        <v>9165493</v>
      </c>
      <c r="B963" t="s">
        <v>1849</v>
      </c>
      <c r="C963" t="s">
        <v>167</v>
      </c>
      <c r="D963" t="s">
        <v>60</v>
      </c>
      <c r="E963" s="1">
        <v>44997</v>
      </c>
      <c r="F963" t="s">
        <v>1850</v>
      </c>
      <c r="G963" s="1">
        <v>45017</v>
      </c>
      <c r="H963" s="1">
        <v>45029</v>
      </c>
      <c r="J963" s="1" t="b">
        <f t="shared" ref="J963:J1026" si="105">AND(NOT(ISBLANK(H963)), NOT(OR(ISNUMBER(SEARCH("decline", I963)), ISNUMBER(SEARCH("rescind", I963)), ISNUMBER(SEARCH("cancel", I963)))))</f>
        <v>1</v>
      </c>
      <c r="K963" s="1" t="b">
        <f t="shared" ref="K963:K1026" si="106">ISNUMBER(SEARCH("decline", I963))</f>
        <v>0</v>
      </c>
      <c r="L963" s="1" t="b">
        <f t="shared" ref="L963:L1026" si="107">ISNUMBER(SEARCH("rescind", I963))</f>
        <v>0</v>
      </c>
      <c r="M963" s="1" t="b">
        <f t="shared" ref="M963:M1026" si="108">ISNUMBER(SEARCH("cancel", I963))</f>
        <v>0</v>
      </c>
      <c r="N963" s="1" t="b">
        <f t="shared" ref="N963:N1026" si="109">ISNUMBER(SEARCH("transfer", I963))</f>
        <v>0</v>
      </c>
      <c r="O963" s="1" t="b">
        <f t="shared" ref="O963:O1026" si="110">ISNUMBER(SEARCH("promo", I963))</f>
        <v>0</v>
      </c>
      <c r="P963" s="1" t="b">
        <f t="shared" ref="P963:P1026" si="111">ISNUMBER(SEARCH("new", I963))</f>
        <v>0</v>
      </c>
    </row>
    <row r="964" spans="1:16" x14ac:dyDescent="0.2">
      <c r="A964">
        <v>8550515</v>
      </c>
      <c r="B964" t="s">
        <v>1851</v>
      </c>
      <c r="C964" t="s">
        <v>59</v>
      </c>
      <c r="D964" t="s">
        <v>39</v>
      </c>
      <c r="E964" s="1">
        <v>45072</v>
      </c>
      <c r="F964" t="s">
        <v>1852</v>
      </c>
      <c r="G964" s="1">
        <v>45100</v>
      </c>
      <c r="I964" t="s">
        <v>13</v>
      </c>
      <c r="J964" s="1" t="b">
        <f t="shared" si="105"/>
        <v>0</v>
      </c>
      <c r="K964" s="1" t="b">
        <f t="shared" si="106"/>
        <v>1</v>
      </c>
      <c r="L964" s="1" t="b">
        <f t="shared" si="107"/>
        <v>0</v>
      </c>
      <c r="M964" s="1" t="b">
        <f t="shared" si="108"/>
        <v>0</v>
      </c>
      <c r="N964" s="1" t="b">
        <f t="shared" si="109"/>
        <v>0</v>
      </c>
      <c r="O964" s="1" t="b">
        <f t="shared" si="110"/>
        <v>0</v>
      </c>
      <c r="P964" s="1" t="b">
        <f t="shared" si="111"/>
        <v>0</v>
      </c>
    </row>
    <row r="965" spans="1:16" x14ac:dyDescent="0.2">
      <c r="A965">
        <v>8550515</v>
      </c>
      <c r="B965" t="s">
        <v>1853</v>
      </c>
      <c r="C965" t="s">
        <v>59</v>
      </c>
      <c r="D965" t="s">
        <v>39</v>
      </c>
      <c r="E965" s="1">
        <v>44937</v>
      </c>
      <c r="F965" t="s">
        <v>1854</v>
      </c>
      <c r="G965" s="1">
        <v>44939</v>
      </c>
      <c r="H965" s="1">
        <v>44942</v>
      </c>
      <c r="I965" t="s">
        <v>28</v>
      </c>
      <c r="J965" s="1" t="b">
        <f t="shared" si="105"/>
        <v>1</v>
      </c>
      <c r="K965" s="1" t="b">
        <f t="shared" si="106"/>
        <v>0</v>
      </c>
      <c r="L965" s="1" t="b">
        <f t="shared" si="107"/>
        <v>0</v>
      </c>
      <c r="M965" s="1" t="b">
        <f t="shared" si="108"/>
        <v>0</v>
      </c>
      <c r="N965" s="1" t="b">
        <f t="shared" si="109"/>
        <v>0</v>
      </c>
      <c r="O965" s="1" t="b">
        <f t="shared" si="110"/>
        <v>0</v>
      </c>
      <c r="P965" s="1" t="b">
        <f t="shared" si="111"/>
        <v>1</v>
      </c>
    </row>
    <row r="966" spans="1:16" x14ac:dyDescent="0.2">
      <c r="A966">
        <v>9107893</v>
      </c>
      <c r="B966" t="s">
        <v>1855</v>
      </c>
      <c r="C966" t="s">
        <v>240</v>
      </c>
      <c r="D966" t="s">
        <v>39</v>
      </c>
      <c r="E966" s="1">
        <v>45101</v>
      </c>
      <c r="F966" t="s">
        <v>1856</v>
      </c>
      <c r="G966" s="1">
        <v>45129</v>
      </c>
      <c r="H966" s="1">
        <v>45178</v>
      </c>
      <c r="I966" t="s">
        <v>16</v>
      </c>
      <c r="J966" s="1" t="b">
        <f t="shared" si="105"/>
        <v>1</v>
      </c>
      <c r="K966" s="1" t="b">
        <f t="shared" si="106"/>
        <v>0</v>
      </c>
      <c r="L966" s="1" t="b">
        <f t="shared" si="107"/>
        <v>0</v>
      </c>
      <c r="M966" s="1" t="b">
        <f t="shared" si="108"/>
        <v>0</v>
      </c>
      <c r="N966" s="1" t="b">
        <f t="shared" si="109"/>
        <v>1</v>
      </c>
      <c r="O966" s="1" t="b">
        <f t="shared" si="110"/>
        <v>0</v>
      </c>
      <c r="P966" s="1" t="b">
        <f t="shared" si="111"/>
        <v>0</v>
      </c>
    </row>
    <row r="967" spans="1:16" x14ac:dyDescent="0.2">
      <c r="A967">
        <v>5687895</v>
      </c>
      <c r="B967" t="s">
        <v>1857</v>
      </c>
      <c r="C967" t="s">
        <v>287</v>
      </c>
      <c r="D967" t="s">
        <v>139</v>
      </c>
      <c r="E967" s="1">
        <v>44641</v>
      </c>
      <c r="F967" t="s">
        <v>1858</v>
      </c>
      <c r="G967" s="1">
        <v>44663</v>
      </c>
      <c r="H967" s="1">
        <v>44704</v>
      </c>
      <c r="I967" t="s">
        <v>16</v>
      </c>
      <c r="J967" s="1" t="b">
        <f t="shared" si="105"/>
        <v>1</v>
      </c>
      <c r="K967" s="1" t="b">
        <f t="shared" si="106"/>
        <v>0</v>
      </c>
      <c r="L967" s="1" t="b">
        <f t="shared" si="107"/>
        <v>0</v>
      </c>
      <c r="M967" s="1" t="b">
        <f t="shared" si="108"/>
        <v>0</v>
      </c>
      <c r="N967" s="1" t="b">
        <f t="shared" si="109"/>
        <v>1</v>
      </c>
      <c r="O967" s="1" t="b">
        <f t="shared" si="110"/>
        <v>0</v>
      </c>
      <c r="P967" s="1" t="b">
        <f t="shared" si="111"/>
        <v>0</v>
      </c>
    </row>
    <row r="968" spans="1:16" x14ac:dyDescent="0.2">
      <c r="A968">
        <v>6242875</v>
      </c>
      <c r="B968" t="s">
        <v>1859</v>
      </c>
      <c r="C968" t="s">
        <v>121</v>
      </c>
      <c r="D968" t="s">
        <v>56</v>
      </c>
      <c r="E968" s="1">
        <v>45086</v>
      </c>
      <c r="F968" t="s">
        <v>1813</v>
      </c>
      <c r="G968" s="1">
        <v>45115</v>
      </c>
      <c r="H968" s="1">
        <v>45146</v>
      </c>
      <c r="I968" t="s">
        <v>16</v>
      </c>
      <c r="J968" s="1" t="b">
        <f t="shared" si="105"/>
        <v>1</v>
      </c>
      <c r="K968" s="1" t="b">
        <f t="shared" si="106"/>
        <v>0</v>
      </c>
      <c r="L968" s="1" t="b">
        <f t="shared" si="107"/>
        <v>0</v>
      </c>
      <c r="M968" s="1" t="b">
        <f t="shared" si="108"/>
        <v>0</v>
      </c>
      <c r="N968" s="1" t="b">
        <f t="shared" si="109"/>
        <v>1</v>
      </c>
      <c r="O968" s="1" t="b">
        <f t="shared" si="110"/>
        <v>0</v>
      </c>
      <c r="P968" s="1" t="b">
        <f t="shared" si="111"/>
        <v>0</v>
      </c>
    </row>
    <row r="969" spans="1:16" x14ac:dyDescent="0.2">
      <c r="A969">
        <v>6242875</v>
      </c>
      <c r="B969" t="s">
        <v>1860</v>
      </c>
      <c r="C969" t="s">
        <v>121</v>
      </c>
      <c r="D969" t="s">
        <v>56</v>
      </c>
      <c r="E969" s="1">
        <v>44863</v>
      </c>
      <c r="F969" t="s">
        <v>1861</v>
      </c>
      <c r="G969" s="1">
        <v>44873</v>
      </c>
      <c r="H969" s="1">
        <v>44884</v>
      </c>
      <c r="I969" t="s">
        <v>28</v>
      </c>
      <c r="J969" s="1" t="b">
        <f t="shared" si="105"/>
        <v>1</v>
      </c>
      <c r="K969" s="1" t="b">
        <f t="shared" si="106"/>
        <v>0</v>
      </c>
      <c r="L969" s="1" t="b">
        <f t="shared" si="107"/>
        <v>0</v>
      </c>
      <c r="M969" s="1" t="b">
        <f t="shared" si="108"/>
        <v>0</v>
      </c>
      <c r="N969" s="1" t="b">
        <f t="shared" si="109"/>
        <v>0</v>
      </c>
      <c r="O969" s="1" t="b">
        <f t="shared" si="110"/>
        <v>0</v>
      </c>
      <c r="P969" s="1" t="b">
        <f t="shared" si="111"/>
        <v>1</v>
      </c>
    </row>
    <row r="970" spans="1:16" x14ac:dyDescent="0.2">
      <c r="A970">
        <v>6242875</v>
      </c>
      <c r="B970" t="s">
        <v>1862</v>
      </c>
      <c r="C970" t="s">
        <v>121</v>
      </c>
      <c r="D970" t="s">
        <v>56</v>
      </c>
      <c r="E970" s="1">
        <v>44873</v>
      </c>
      <c r="F970" t="s">
        <v>1863</v>
      </c>
      <c r="G970" s="1">
        <v>44897</v>
      </c>
      <c r="I970" t="s">
        <v>13</v>
      </c>
      <c r="J970" s="1" t="b">
        <f t="shared" si="105"/>
        <v>0</v>
      </c>
      <c r="K970" s="1" t="b">
        <f t="shared" si="106"/>
        <v>1</v>
      </c>
      <c r="L970" s="1" t="b">
        <f t="shared" si="107"/>
        <v>0</v>
      </c>
      <c r="M970" s="1" t="b">
        <f t="shared" si="108"/>
        <v>0</v>
      </c>
      <c r="N970" s="1" t="b">
        <f t="shared" si="109"/>
        <v>0</v>
      </c>
      <c r="O970" s="1" t="b">
        <f t="shared" si="110"/>
        <v>0</v>
      </c>
      <c r="P970" s="1" t="b">
        <f t="shared" si="111"/>
        <v>0</v>
      </c>
    </row>
    <row r="971" spans="1:16" x14ac:dyDescent="0.2">
      <c r="A971">
        <v>5369510</v>
      </c>
      <c r="B971" t="s">
        <v>1864</v>
      </c>
      <c r="C971" t="s">
        <v>521</v>
      </c>
      <c r="D971" t="s">
        <v>77</v>
      </c>
      <c r="E971" s="1">
        <v>44860</v>
      </c>
      <c r="F971" t="s">
        <v>1865</v>
      </c>
      <c r="G971" s="1">
        <v>44886</v>
      </c>
      <c r="I971" t="s">
        <v>13</v>
      </c>
      <c r="J971" s="1" t="b">
        <f t="shared" si="105"/>
        <v>0</v>
      </c>
      <c r="K971" s="1" t="b">
        <f t="shared" si="106"/>
        <v>1</v>
      </c>
      <c r="L971" s="1" t="b">
        <f t="shared" si="107"/>
        <v>0</v>
      </c>
      <c r="M971" s="1" t="b">
        <f t="shared" si="108"/>
        <v>0</v>
      </c>
      <c r="N971" s="1" t="b">
        <f t="shared" si="109"/>
        <v>0</v>
      </c>
      <c r="O971" s="1" t="b">
        <f t="shared" si="110"/>
        <v>0</v>
      </c>
      <c r="P971" s="1" t="b">
        <f t="shared" si="111"/>
        <v>0</v>
      </c>
    </row>
    <row r="972" spans="1:16" x14ac:dyDescent="0.2">
      <c r="A972">
        <v>5369510</v>
      </c>
      <c r="B972" t="s">
        <v>1866</v>
      </c>
      <c r="C972" t="s">
        <v>521</v>
      </c>
      <c r="D972" t="s">
        <v>77</v>
      </c>
      <c r="E972" s="1">
        <v>44646</v>
      </c>
      <c r="F972" t="s">
        <v>1867</v>
      </c>
      <c r="G972" s="1">
        <v>44651</v>
      </c>
      <c r="H972" s="1">
        <v>44684</v>
      </c>
      <c r="I972" t="s">
        <v>16</v>
      </c>
      <c r="J972" s="1" t="b">
        <f t="shared" si="105"/>
        <v>1</v>
      </c>
      <c r="K972" s="1" t="b">
        <f t="shared" si="106"/>
        <v>0</v>
      </c>
      <c r="L972" s="1" t="b">
        <f t="shared" si="107"/>
        <v>0</v>
      </c>
      <c r="M972" s="1" t="b">
        <f t="shared" si="108"/>
        <v>0</v>
      </c>
      <c r="N972" s="1" t="b">
        <f t="shared" si="109"/>
        <v>1</v>
      </c>
      <c r="O972" s="1" t="b">
        <f t="shared" si="110"/>
        <v>0</v>
      </c>
      <c r="P972" s="1" t="b">
        <f t="shared" si="111"/>
        <v>0</v>
      </c>
    </row>
    <row r="973" spans="1:16" x14ac:dyDescent="0.2">
      <c r="A973">
        <v>5369510</v>
      </c>
      <c r="B973" t="s">
        <v>1868</v>
      </c>
      <c r="C973" t="s">
        <v>521</v>
      </c>
      <c r="D973" t="s">
        <v>77</v>
      </c>
      <c r="E973" s="1">
        <v>44820</v>
      </c>
      <c r="F973" t="s">
        <v>1869</v>
      </c>
      <c r="G973" s="1">
        <v>44825</v>
      </c>
      <c r="I973" t="s">
        <v>13</v>
      </c>
      <c r="J973" s="1" t="b">
        <f t="shared" si="105"/>
        <v>0</v>
      </c>
      <c r="K973" s="1" t="b">
        <f t="shared" si="106"/>
        <v>1</v>
      </c>
      <c r="L973" s="1" t="b">
        <f t="shared" si="107"/>
        <v>0</v>
      </c>
      <c r="M973" s="1" t="b">
        <f t="shared" si="108"/>
        <v>0</v>
      </c>
      <c r="N973" s="1" t="b">
        <f t="shared" si="109"/>
        <v>0</v>
      </c>
      <c r="O973" s="1" t="b">
        <f t="shared" si="110"/>
        <v>0</v>
      </c>
      <c r="P973" s="1" t="b">
        <f t="shared" si="111"/>
        <v>0</v>
      </c>
    </row>
    <row r="974" spans="1:16" x14ac:dyDescent="0.2">
      <c r="A974">
        <v>5369510</v>
      </c>
      <c r="B974" t="s">
        <v>1870</v>
      </c>
      <c r="C974" t="s">
        <v>521</v>
      </c>
      <c r="D974" t="s">
        <v>77</v>
      </c>
      <c r="E974" s="1">
        <v>44576</v>
      </c>
      <c r="F974" t="s">
        <v>1327</v>
      </c>
      <c r="G974" s="1">
        <v>44600</v>
      </c>
      <c r="H974" s="1">
        <v>44608</v>
      </c>
      <c r="I974" t="s">
        <v>28</v>
      </c>
      <c r="J974" s="1" t="b">
        <f t="shared" si="105"/>
        <v>1</v>
      </c>
      <c r="K974" s="1" t="b">
        <f t="shared" si="106"/>
        <v>0</v>
      </c>
      <c r="L974" s="1" t="b">
        <f t="shared" si="107"/>
        <v>0</v>
      </c>
      <c r="M974" s="1" t="b">
        <f t="shared" si="108"/>
        <v>0</v>
      </c>
      <c r="N974" s="1" t="b">
        <f t="shared" si="109"/>
        <v>0</v>
      </c>
      <c r="O974" s="1" t="b">
        <f t="shared" si="110"/>
        <v>0</v>
      </c>
      <c r="P974" s="1" t="b">
        <f t="shared" si="111"/>
        <v>1</v>
      </c>
    </row>
    <row r="975" spans="1:16" x14ac:dyDescent="0.2">
      <c r="A975">
        <v>5369510</v>
      </c>
      <c r="B975" t="s">
        <v>1871</v>
      </c>
      <c r="C975" t="s">
        <v>521</v>
      </c>
      <c r="D975" t="s">
        <v>77</v>
      </c>
      <c r="E975" s="1">
        <v>44940</v>
      </c>
      <c r="F975" t="s">
        <v>1872</v>
      </c>
      <c r="G975" s="1">
        <v>44966</v>
      </c>
      <c r="H975" s="1">
        <v>44978</v>
      </c>
      <c r="I975" t="s">
        <v>43</v>
      </c>
      <c r="J975" s="1" t="b">
        <f t="shared" si="105"/>
        <v>1</v>
      </c>
      <c r="K975" s="1" t="b">
        <f t="shared" si="106"/>
        <v>0</v>
      </c>
      <c r="L975" s="1" t="b">
        <f t="shared" si="107"/>
        <v>0</v>
      </c>
      <c r="M975" s="1" t="b">
        <f t="shared" si="108"/>
        <v>0</v>
      </c>
      <c r="N975" s="1" t="b">
        <f t="shared" si="109"/>
        <v>0</v>
      </c>
      <c r="O975" s="1" t="b">
        <f t="shared" si="110"/>
        <v>1</v>
      </c>
      <c r="P975" s="1" t="b">
        <f t="shared" si="111"/>
        <v>0</v>
      </c>
    </row>
    <row r="976" spans="1:16" x14ac:dyDescent="0.2">
      <c r="A976">
        <v>5383091</v>
      </c>
      <c r="B976" t="s">
        <v>1873</v>
      </c>
      <c r="C976" t="s">
        <v>47</v>
      </c>
      <c r="D976" t="s">
        <v>19</v>
      </c>
      <c r="E976" s="1">
        <v>44595</v>
      </c>
      <c r="F976" t="s">
        <v>1430</v>
      </c>
      <c r="G976" s="1">
        <v>44606</v>
      </c>
      <c r="I976" t="s">
        <v>13</v>
      </c>
      <c r="J976" s="1" t="b">
        <f t="shared" si="105"/>
        <v>0</v>
      </c>
      <c r="K976" s="1" t="b">
        <f t="shared" si="106"/>
        <v>1</v>
      </c>
      <c r="L976" s="1" t="b">
        <f t="shared" si="107"/>
        <v>0</v>
      </c>
      <c r="M976" s="1" t="b">
        <f t="shared" si="108"/>
        <v>0</v>
      </c>
      <c r="N976" s="1" t="b">
        <f t="shared" si="109"/>
        <v>0</v>
      </c>
      <c r="O976" s="1" t="b">
        <f t="shared" si="110"/>
        <v>0</v>
      </c>
      <c r="P976" s="1" t="b">
        <f t="shared" si="111"/>
        <v>0</v>
      </c>
    </row>
    <row r="977" spans="1:16" x14ac:dyDescent="0.2">
      <c r="A977">
        <v>5383091</v>
      </c>
      <c r="B977" t="s">
        <v>1874</v>
      </c>
      <c r="C977" t="s">
        <v>47</v>
      </c>
      <c r="D977" t="s">
        <v>19</v>
      </c>
      <c r="E977" s="1">
        <v>44719</v>
      </c>
      <c r="F977" t="s">
        <v>1875</v>
      </c>
      <c r="G977" s="1">
        <v>44746</v>
      </c>
      <c r="H977" s="1">
        <v>44778</v>
      </c>
      <c r="I977" t="s">
        <v>43</v>
      </c>
      <c r="J977" s="1" t="b">
        <f t="shared" si="105"/>
        <v>1</v>
      </c>
      <c r="K977" s="1" t="b">
        <f t="shared" si="106"/>
        <v>0</v>
      </c>
      <c r="L977" s="1" t="b">
        <f t="shared" si="107"/>
        <v>0</v>
      </c>
      <c r="M977" s="1" t="b">
        <f t="shared" si="108"/>
        <v>0</v>
      </c>
      <c r="N977" s="1" t="b">
        <f t="shared" si="109"/>
        <v>0</v>
      </c>
      <c r="O977" s="1" t="b">
        <f t="shared" si="110"/>
        <v>1</v>
      </c>
      <c r="P977" s="1" t="b">
        <f t="shared" si="111"/>
        <v>0</v>
      </c>
    </row>
    <row r="978" spans="1:16" x14ac:dyDescent="0.2">
      <c r="A978">
        <v>5383091</v>
      </c>
      <c r="B978" t="s">
        <v>1876</v>
      </c>
      <c r="C978" t="s">
        <v>47</v>
      </c>
      <c r="D978" t="s">
        <v>19</v>
      </c>
      <c r="E978" s="1">
        <v>44805</v>
      </c>
      <c r="F978" t="s">
        <v>1877</v>
      </c>
      <c r="G978" s="1">
        <v>44827</v>
      </c>
      <c r="H978" s="1">
        <v>44856</v>
      </c>
      <c r="J978" s="1" t="b">
        <f t="shared" si="105"/>
        <v>1</v>
      </c>
      <c r="K978" s="1" t="b">
        <f t="shared" si="106"/>
        <v>0</v>
      </c>
      <c r="L978" s="1" t="b">
        <f t="shared" si="107"/>
        <v>0</v>
      </c>
      <c r="M978" s="1" t="b">
        <f t="shared" si="108"/>
        <v>0</v>
      </c>
      <c r="N978" s="1" t="b">
        <f t="shared" si="109"/>
        <v>0</v>
      </c>
      <c r="O978" s="1" t="b">
        <f t="shared" si="110"/>
        <v>0</v>
      </c>
      <c r="P978" s="1" t="b">
        <f t="shared" si="111"/>
        <v>0</v>
      </c>
    </row>
    <row r="979" spans="1:16" x14ac:dyDescent="0.2">
      <c r="A979">
        <v>5383091</v>
      </c>
      <c r="B979" t="s">
        <v>1878</v>
      </c>
      <c r="C979" t="s">
        <v>47</v>
      </c>
      <c r="D979" t="s">
        <v>19</v>
      </c>
      <c r="E979" s="1">
        <v>44915</v>
      </c>
      <c r="F979" t="s">
        <v>1879</v>
      </c>
      <c r="G979" s="1">
        <v>44917</v>
      </c>
      <c r="H979" s="1">
        <v>44959</v>
      </c>
      <c r="I979" t="s">
        <v>43</v>
      </c>
      <c r="J979" s="1" t="b">
        <f t="shared" si="105"/>
        <v>1</v>
      </c>
      <c r="K979" s="1" t="b">
        <f t="shared" si="106"/>
        <v>0</v>
      </c>
      <c r="L979" s="1" t="b">
        <f t="shared" si="107"/>
        <v>0</v>
      </c>
      <c r="M979" s="1" t="b">
        <f t="shared" si="108"/>
        <v>0</v>
      </c>
      <c r="N979" s="1" t="b">
        <f t="shared" si="109"/>
        <v>0</v>
      </c>
      <c r="O979" s="1" t="b">
        <f t="shared" si="110"/>
        <v>1</v>
      </c>
      <c r="P979" s="1" t="b">
        <f t="shared" si="111"/>
        <v>0</v>
      </c>
    </row>
    <row r="980" spans="1:16" x14ac:dyDescent="0.2">
      <c r="A980">
        <v>5435820</v>
      </c>
      <c r="B980" t="s">
        <v>1880</v>
      </c>
      <c r="C980" t="s">
        <v>35</v>
      </c>
      <c r="D980" t="s">
        <v>122</v>
      </c>
      <c r="E980" s="1">
        <v>44870</v>
      </c>
      <c r="F980" t="s">
        <v>1881</v>
      </c>
      <c r="G980" s="1">
        <v>44886</v>
      </c>
      <c r="I980" t="s">
        <v>13</v>
      </c>
      <c r="J980" s="1" t="b">
        <f t="shared" si="105"/>
        <v>0</v>
      </c>
      <c r="K980" s="1" t="b">
        <f t="shared" si="106"/>
        <v>1</v>
      </c>
      <c r="L980" s="1" t="b">
        <f t="shared" si="107"/>
        <v>0</v>
      </c>
      <c r="M980" s="1" t="b">
        <f t="shared" si="108"/>
        <v>0</v>
      </c>
      <c r="N980" s="1" t="b">
        <f t="shared" si="109"/>
        <v>0</v>
      </c>
      <c r="O980" s="1" t="b">
        <f t="shared" si="110"/>
        <v>0</v>
      </c>
      <c r="P980" s="1" t="b">
        <f t="shared" si="111"/>
        <v>0</v>
      </c>
    </row>
    <row r="981" spans="1:16" x14ac:dyDescent="0.2">
      <c r="A981">
        <v>9934217</v>
      </c>
      <c r="B981" t="s">
        <v>1882</v>
      </c>
      <c r="C981" t="s">
        <v>93</v>
      </c>
      <c r="D981" t="s">
        <v>60</v>
      </c>
      <c r="E981" s="1">
        <v>45007</v>
      </c>
      <c r="F981" t="s">
        <v>1430</v>
      </c>
      <c r="G981" s="1">
        <v>45008</v>
      </c>
      <c r="H981" s="1">
        <v>45027</v>
      </c>
      <c r="I981" t="s">
        <v>43</v>
      </c>
      <c r="J981" s="1" t="b">
        <f t="shared" si="105"/>
        <v>1</v>
      </c>
      <c r="K981" s="1" t="b">
        <f t="shared" si="106"/>
        <v>0</v>
      </c>
      <c r="L981" s="1" t="b">
        <f t="shared" si="107"/>
        <v>0</v>
      </c>
      <c r="M981" s="1" t="b">
        <f t="shared" si="108"/>
        <v>0</v>
      </c>
      <c r="N981" s="1" t="b">
        <f t="shared" si="109"/>
        <v>0</v>
      </c>
      <c r="O981" s="1" t="b">
        <f t="shared" si="110"/>
        <v>1</v>
      </c>
      <c r="P981" s="1" t="b">
        <f t="shared" si="111"/>
        <v>0</v>
      </c>
    </row>
    <row r="982" spans="1:16" x14ac:dyDescent="0.2">
      <c r="A982">
        <v>9934217</v>
      </c>
      <c r="B982" t="s">
        <v>1883</v>
      </c>
      <c r="C982" t="s">
        <v>93</v>
      </c>
      <c r="D982" t="s">
        <v>60</v>
      </c>
      <c r="E982" s="1">
        <v>44885</v>
      </c>
      <c r="F982" t="s">
        <v>1358</v>
      </c>
      <c r="G982" s="1">
        <v>44902</v>
      </c>
      <c r="H982" s="1">
        <v>44946</v>
      </c>
      <c r="J982" s="1" t="b">
        <f t="shared" si="105"/>
        <v>1</v>
      </c>
      <c r="K982" s="1" t="b">
        <f t="shared" si="106"/>
        <v>0</v>
      </c>
      <c r="L982" s="1" t="b">
        <f t="shared" si="107"/>
        <v>0</v>
      </c>
      <c r="M982" s="1" t="b">
        <f t="shared" si="108"/>
        <v>0</v>
      </c>
      <c r="N982" s="1" t="b">
        <f t="shared" si="109"/>
        <v>0</v>
      </c>
      <c r="O982" s="1" t="b">
        <f t="shared" si="110"/>
        <v>0</v>
      </c>
      <c r="P982" s="1" t="b">
        <f t="shared" si="111"/>
        <v>0</v>
      </c>
    </row>
    <row r="983" spans="1:16" x14ac:dyDescent="0.2">
      <c r="A983">
        <v>9934217</v>
      </c>
      <c r="B983" t="s">
        <v>1884</v>
      </c>
      <c r="C983" t="s">
        <v>93</v>
      </c>
      <c r="D983" t="s">
        <v>60</v>
      </c>
      <c r="E983" s="1">
        <v>44924</v>
      </c>
      <c r="F983" t="s">
        <v>1885</v>
      </c>
      <c r="G983" s="1">
        <v>44952</v>
      </c>
      <c r="H983" s="1">
        <v>44980</v>
      </c>
      <c r="I983" t="s">
        <v>16</v>
      </c>
      <c r="J983" s="1" t="b">
        <f t="shared" si="105"/>
        <v>1</v>
      </c>
      <c r="K983" s="1" t="b">
        <f t="shared" si="106"/>
        <v>0</v>
      </c>
      <c r="L983" s="1" t="b">
        <f t="shared" si="107"/>
        <v>0</v>
      </c>
      <c r="M983" s="1" t="b">
        <f t="shared" si="108"/>
        <v>0</v>
      </c>
      <c r="N983" s="1" t="b">
        <f t="shared" si="109"/>
        <v>1</v>
      </c>
      <c r="O983" s="1" t="b">
        <f t="shared" si="110"/>
        <v>0</v>
      </c>
      <c r="P983" s="1" t="b">
        <f t="shared" si="111"/>
        <v>0</v>
      </c>
    </row>
    <row r="984" spans="1:16" x14ac:dyDescent="0.2">
      <c r="A984">
        <v>9934217</v>
      </c>
      <c r="B984" t="s">
        <v>1886</v>
      </c>
      <c r="C984" t="s">
        <v>93</v>
      </c>
      <c r="D984" t="s">
        <v>60</v>
      </c>
      <c r="E984" s="1">
        <v>44835</v>
      </c>
      <c r="F984" t="s">
        <v>1887</v>
      </c>
      <c r="G984" s="1">
        <v>44861</v>
      </c>
      <c r="H984" s="1">
        <v>44868</v>
      </c>
      <c r="I984" t="s">
        <v>28</v>
      </c>
      <c r="J984" s="1" t="b">
        <f t="shared" si="105"/>
        <v>1</v>
      </c>
      <c r="K984" s="1" t="b">
        <f t="shared" si="106"/>
        <v>0</v>
      </c>
      <c r="L984" s="1" t="b">
        <f t="shared" si="107"/>
        <v>0</v>
      </c>
      <c r="M984" s="1" t="b">
        <f t="shared" si="108"/>
        <v>0</v>
      </c>
      <c r="N984" s="1" t="b">
        <f t="shared" si="109"/>
        <v>0</v>
      </c>
      <c r="O984" s="1" t="b">
        <f t="shared" si="110"/>
        <v>0</v>
      </c>
      <c r="P984" s="1" t="b">
        <f t="shared" si="111"/>
        <v>1</v>
      </c>
    </row>
    <row r="985" spans="1:16" x14ac:dyDescent="0.2">
      <c r="A985">
        <v>5283960</v>
      </c>
      <c r="B985" t="s">
        <v>1888</v>
      </c>
      <c r="C985" t="s">
        <v>265</v>
      </c>
      <c r="D985" t="s">
        <v>81</v>
      </c>
      <c r="E985" s="1">
        <v>44761</v>
      </c>
      <c r="F985" t="s">
        <v>1889</v>
      </c>
      <c r="G985" s="1">
        <v>44778</v>
      </c>
      <c r="H985" s="1">
        <v>44800</v>
      </c>
      <c r="I985" t="s">
        <v>43</v>
      </c>
      <c r="J985" s="1" t="b">
        <f t="shared" si="105"/>
        <v>1</v>
      </c>
      <c r="K985" s="1" t="b">
        <f t="shared" si="106"/>
        <v>0</v>
      </c>
      <c r="L985" s="1" t="b">
        <f t="shared" si="107"/>
        <v>0</v>
      </c>
      <c r="M985" s="1" t="b">
        <f t="shared" si="108"/>
        <v>0</v>
      </c>
      <c r="N985" s="1" t="b">
        <f t="shared" si="109"/>
        <v>0</v>
      </c>
      <c r="O985" s="1" t="b">
        <f t="shared" si="110"/>
        <v>1</v>
      </c>
      <c r="P985" s="1" t="b">
        <f t="shared" si="111"/>
        <v>0</v>
      </c>
    </row>
    <row r="986" spans="1:16" x14ac:dyDescent="0.2">
      <c r="A986">
        <v>5283960</v>
      </c>
      <c r="B986" t="s">
        <v>1890</v>
      </c>
      <c r="C986" t="s">
        <v>265</v>
      </c>
      <c r="D986" t="s">
        <v>81</v>
      </c>
      <c r="E986" s="1">
        <v>44572</v>
      </c>
      <c r="F986" t="s">
        <v>1891</v>
      </c>
      <c r="G986" s="1">
        <v>44594</v>
      </c>
      <c r="H986" s="1">
        <v>44595</v>
      </c>
      <c r="I986" t="s">
        <v>43</v>
      </c>
      <c r="J986" s="1" t="b">
        <f t="shared" si="105"/>
        <v>1</v>
      </c>
      <c r="K986" s="1" t="b">
        <f t="shared" si="106"/>
        <v>0</v>
      </c>
      <c r="L986" s="1" t="b">
        <f t="shared" si="107"/>
        <v>0</v>
      </c>
      <c r="M986" s="1" t="b">
        <f t="shared" si="108"/>
        <v>0</v>
      </c>
      <c r="N986" s="1" t="b">
        <f t="shared" si="109"/>
        <v>0</v>
      </c>
      <c r="O986" s="1" t="b">
        <f t="shared" si="110"/>
        <v>1</v>
      </c>
      <c r="P986" s="1" t="b">
        <f t="shared" si="111"/>
        <v>0</v>
      </c>
    </row>
    <row r="987" spans="1:16" x14ac:dyDescent="0.2">
      <c r="A987">
        <v>5283960</v>
      </c>
      <c r="B987" t="s">
        <v>1892</v>
      </c>
      <c r="C987" t="s">
        <v>265</v>
      </c>
      <c r="D987" t="s">
        <v>81</v>
      </c>
      <c r="E987" s="1">
        <v>45099</v>
      </c>
      <c r="F987" t="s">
        <v>1893</v>
      </c>
      <c r="G987" s="1">
        <v>45103</v>
      </c>
      <c r="H987" s="1">
        <v>45147</v>
      </c>
      <c r="I987" t="s">
        <v>16</v>
      </c>
      <c r="J987" s="1" t="b">
        <f t="shared" si="105"/>
        <v>1</v>
      </c>
      <c r="K987" s="1" t="b">
        <f t="shared" si="106"/>
        <v>0</v>
      </c>
      <c r="L987" s="1" t="b">
        <f t="shared" si="107"/>
        <v>0</v>
      </c>
      <c r="M987" s="1" t="b">
        <f t="shared" si="108"/>
        <v>0</v>
      </c>
      <c r="N987" s="1" t="b">
        <f t="shared" si="109"/>
        <v>1</v>
      </c>
      <c r="O987" s="1" t="b">
        <f t="shared" si="110"/>
        <v>0</v>
      </c>
      <c r="P987" s="1" t="b">
        <f t="shared" si="111"/>
        <v>0</v>
      </c>
    </row>
    <row r="988" spans="1:16" x14ac:dyDescent="0.2">
      <c r="A988">
        <v>5283960</v>
      </c>
      <c r="B988" t="s">
        <v>1894</v>
      </c>
      <c r="C988" t="s">
        <v>265</v>
      </c>
      <c r="D988" t="s">
        <v>81</v>
      </c>
      <c r="E988" s="1">
        <v>44819</v>
      </c>
      <c r="F988" t="s">
        <v>1895</v>
      </c>
      <c r="G988" s="1">
        <v>44826</v>
      </c>
      <c r="H988" s="1">
        <v>44829</v>
      </c>
      <c r="I988" t="s">
        <v>43</v>
      </c>
      <c r="J988" s="1" t="b">
        <f t="shared" si="105"/>
        <v>1</v>
      </c>
      <c r="K988" s="1" t="b">
        <f t="shared" si="106"/>
        <v>0</v>
      </c>
      <c r="L988" s="1" t="b">
        <f t="shared" si="107"/>
        <v>0</v>
      </c>
      <c r="M988" s="1" t="b">
        <f t="shared" si="108"/>
        <v>0</v>
      </c>
      <c r="N988" s="1" t="b">
        <f t="shared" si="109"/>
        <v>0</v>
      </c>
      <c r="O988" s="1" t="b">
        <f t="shared" si="110"/>
        <v>1</v>
      </c>
      <c r="P988" s="1" t="b">
        <f t="shared" si="111"/>
        <v>0</v>
      </c>
    </row>
    <row r="989" spans="1:16" x14ac:dyDescent="0.2">
      <c r="A989">
        <v>1397627</v>
      </c>
      <c r="B989" t="s">
        <v>1896</v>
      </c>
      <c r="C989" t="s">
        <v>121</v>
      </c>
      <c r="D989" t="s">
        <v>122</v>
      </c>
      <c r="E989" s="1">
        <v>44686</v>
      </c>
      <c r="F989" t="s">
        <v>1897</v>
      </c>
      <c r="G989" s="1">
        <v>44709</v>
      </c>
      <c r="H989" s="1">
        <v>44717</v>
      </c>
      <c r="I989" t="s">
        <v>43</v>
      </c>
      <c r="J989" s="1" t="b">
        <f t="shared" si="105"/>
        <v>1</v>
      </c>
      <c r="K989" s="1" t="b">
        <f t="shared" si="106"/>
        <v>0</v>
      </c>
      <c r="L989" s="1" t="b">
        <f t="shared" si="107"/>
        <v>0</v>
      </c>
      <c r="M989" s="1" t="b">
        <f t="shared" si="108"/>
        <v>0</v>
      </c>
      <c r="N989" s="1" t="b">
        <f t="shared" si="109"/>
        <v>0</v>
      </c>
      <c r="O989" s="1" t="b">
        <f t="shared" si="110"/>
        <v>1</v>
      </c>
      <c r="P989" s="1" t="b">
        <f t="shared" si="111"/>
        <v>0</v>
      </c>
    </row>
    <row r="990" spans="1:16" x14ac:dyDescent="0.2">
      <c r="A990">
        <v>2449322</v>
      </c>
      <c r="B990" t="s">
        <v>1898</v>
      </c>
      <c r="C990" t="s">
        <v>90</v>
      </c>
      <c r="D990" t="s">
        <v>81</v>
      </c>
      <c r="E990" s="1">
        <v>44751</v>
      </c>
      <c r="F990" t="s">
        <v>1899</v>
      </c>
      <c r="G990" s="1">
        <v>44780</v>
      </c>
      <c r="I990" t="s">
        <v>25</v>
      </c>
      <c r="J990" s="1" t="b">
        <f t="shared" si="105"/>
        <v>0</v>
      </c>
      <c r="K990" s="1" t="b">
        <f t="shared" si="106"/>
        <v>0</v>
      </c>
      <c r="L990" s="1" t="b">
        <f t="shared" si="107"/>
        <v>1</v>
      </c>
      <c r="M990" s="1" t="b">
        <f t="shared" si="108"/>
        <v>0</v>
      </c>
      <c r="N990" s="1" t="b">
        <f t="shared" si="109"/>
        <v>0</v>
      </c>
      <c r="O990" s="1" t="b">
        <f t="shared" si="110"/>
        <v>0</v>
      </c>
      <c r="P990" s="1" t="b">
        <f t="shared" si="111"/>
        <v>0</v>
      </c>
    </row>
    <row r="991" spans="1:16" x14ac:dyDescent="0.2">
      <c r="A991">
        <v>2449322</v>
      </c>
      <c r="B991" t="s">
        <v>1900</v>
      </c>
      <c r="C991" t="s">
        <v>90</v>
      </c>
      <c r="D991" t="s">
        <v>81</v>
      </c>
      <c r="E991" s="1">
        <v>44863</v>
      </c>
      <c r="F991" t="s">
        <v>419</v>
      </c>
      <c r="G991" s="1">
        <v>44878</v>
      </c>
      <c r="I991" t="s">
        <v>13</v>
      </c>
      <c r="J991" s="1" t="b">
        <f t="shared" si="105"/>
        <v>0</v>
      </c>
      <c r="K991" s="1" t="b">
        <f t="shared" si="106"/>
        <v>1</v>
      </c>
      <c r="L991" s="1" t="b">
        <f t="shared" si="107"/>
        <v>0</v>
      </c>
      <c r="M991" s="1" t="b">
        <f t="shared" si="108"/>
        <v>0</v>
      </c>
      <c r="N991" s="1" t="b">
        <f t="shared" si="109"/>
        <v>0</v>
      </c>
      <c r="O991" s="1" t="b">
        <f t="shared" si="110"/>
        <v>0</v>
      </c>
      <c r="P991" s="1" t="b">
        <f t="shared" si="111"/>
        <v>0</v>
      </c>
    </row>
    <row r="992" spans="1:16" x14ac:dyDescent="0.2">
      <c r="A992">
        <v>2270273</v>
      </c>
      <c r="B992" t="s">
        <v>1901</v>
      </c>
      <c r="C992" t="s">
        <v>265</v>
      </c>
      <c r="D992" t="s">
        <v>77</v>
      </c>
      <c r="E992" s="1">
        <v>44637</v>
      </c>
      <c r="F992" t="s">
        <v>1902</v>
      </c>
      <c r="G992" s="1">
        <v>44646</v>
      </c>
      <c r="H992" s="1">
        <v>44696</v>
      </c>
      <c r="I992" t="s">
        <v>28</v>
      </c>
      <c r="J992" s="1" t="b">
        <f t="shared" si="105"/>
        <v>1</v>
      </c>
      <c r="K992" s="1" t="b">
        <f t="shared" si="106"/>
        <v>0</v>
      </c>
      <c r="L992" s="1" t="b">
        <f t="shared" si="107"/>
        <v>0</v>
      </c>
      <c r="M992" s="1" t="b">
        <f t="shared" si="108"/>
        <v>0</v>
      </c>
      <c r="N992" s="1" t="b">
        <f t="shared" si="109"/>
        <v>0</v>
      </c>
      <c r="O992" s="1" t="b">
        <f t="shared" si="110"/>
        <v>0</v>
      </c>
      <c r="P992" s="1" t="b">
        <f t="shared" si="111"/>
        <v>1</v>
      </c>
    </row>
    <row r="993" spans="1:16" x14ac:dyDescent="0.2">
      <c r="A993">
        <v>2270273</v>
      </c>
      <c r="B993" t="s">
        <v>1903</v>
      </c>
      <c r="C993" t="s">
        <v>265</v>
      </c>
      <c r="D993" t="s">
        <v>77</v>
      </c>
      <c r="E993" s="1">
        <v>44623</v>
      </c>
      <c r="F993" t="s">
        <v>1904</v>
      </c>
      <c r="G993" s="1">
        <v>44632</v>
      </c>
      <c r="I993" t="s">
        <v>13</v>
      </c>
      <c r="J993" s="1" t="b">
        <f t="shared" si="105"/>
        <v>0</v>
      </c>
      <c r="K993" s="1" t="b">
        <f t="shared" si="106"/>
        <v>1</v>
      </c>
      <c r="L993" s="1" t="b">
        <f t="shared" si="107"/>
        <v>0</v>
      </c>
      <c r="M993" s="1" t="b">
        <f t="shared" si="108"/>
        <v>0</v>
      </c>
      <c r="N993" s="1" t="b">
        <f t="shared" si="109"/>
        <v>0</v>
      </c>
      <c r="O993" s="1" t="b">
        <f t="shared" si="110"/>
        <v>0</v>
      </c>
      <c r="P993" s="1" t="b">
        <f t="shared" si="111"/>
        <v>0</v>
      </c>
    </row>
    <row r="994" spans="1:16" x14ac:dyDescent="0.2">
      <c r="A994">
        <v>2270273</v>
      </c>
      <c r="B994" t="s">
        <v>1905</v>
      </c>
      <c r="C994" t="s">
        <v>265</v>
      </c>
      <c r="D994" t="s">
        <v>77</v>
      </c>
      <c r="E994" s="1">
        <v>44633</v>
      </c>
      <c r="F994" t="s">
        <v>1906</v>
      </c>
      <c r="G994" s="1">
        <v>44649</v>
      </c>
      <c r="H994" s="1">
        <v>44709</v>
      </c>
      <c r="I994" t="s">
        <v>28</v>
      </c>
      <c r="J994" s="1" t="b">
        <f t="shared" si="105"/>
        <v>1</v>
      </c>
      <c r="K994" s="1" t="b">
        <f t="shared" si="106"/>
        <v>0</v>
      </c>
      <c r="L994" s="1" t="b">
        <f t="shared" si="107"/>
        <v>0</v>
      </c>
      <c r="M994" s="1" t="b">
        <f t="shared" si="108"/>
        <v>0</v>
      </c>
      <c r="N994" s="1" t="b">
        <f t="shared" si="109"/>
        <v>0</v>
      </c>
      <c r="O994" s="1" t="b">
        <f t="shared" si="110"/>
        <v>0</v>
      </c>
      <c r="P994" s="1" t="b">
        <f t="shared" si="111"/>
        <v>1</v>
      </c>
    </row>
    <row r="995" spans="1:16" x14ac:dyDescent="0.2">
      <c r="A995">
        <v>4366669</v>
      </c>
      <c r="B995" t="s">
        <v>1907</v>
      </c>
      <c r="C995" t="s">
        <v>121</v>
      </c>
      <c r="D995" t="s">
        <v>60</v>
      </c>
      <c r="E995" s="1">
        <v>45003</v>
      </c>
      <c r="F995" t="s">
        <v>1908</v>
      </c>
      <c r="G995" s="1">
        <v>45010</v>
      </c>
      <c r="H995" s="1">
        <v>45050</v>
      </c>
      <c r="I995" t="s">
        <v>16</v>
      </c>
      <c r="J995" s="1" t="b">
        <f t="shared" si="105"/>
        <v>1</v>
      </c>
      <c r="K995" s="1" t="b">
        <f t="shared" si="106"/>
        <v>0</v>
      </c>
      <c r="L995" s="1" t="b">
        <f t="shared" si="107"/>
        <v>0</v>
      </c>
      <c r="M995" s="1" t="b">
        <f t="shared" si="108"/>
        <v>0</v>
      </c>
      <c r="N995" s="1" t="b">
        <f t="shared" si="109"/>
        <v>1</v>
      </c>
      <c r="O995" s="1" t="b">
        <f t="shared" si="110"/>
        <v>0</v>
      </c>
      <c r="P995" s="1" t="b">
        <f t="shared" si="111"/>
        <v>0</v>
      </c>
    </row>
    <row r="996" spans="1:16" x14ac:dyDescent="0.2">
      <c r="A996">
        <v>4366669</v>
      </c>
      <c r="B996" t="s">
        <v>1909</v>
      </c>
      <c r="C996" t="s">
        <v>121</v>
      </c>
      <c r="D996" t="s">
        <v>60</v>
      </c>
      <c r="E996" s="1">
        <v>44667</v>
      </c>
      <c r="F996" t="s">
        <v>1910</v>
      </c>
      <c r="G996" s="1">
        <v>44669</v>
      </c>
      <c r="H996" s="1">
        <v>44674</v>
      </c>
      <c r="J996" s="1" t="b">
        <f t="shared" si="105"/>
        <v>1</v>
      </c>
      <c r="K996" s="1" t="b">
        <f t="shared" si="106"/>
        <v>0</v>
      </c>
      <c r="L996" s="1" t="b">
        <f t="shared" si="107"/>
        <v>0</v>
      </c>
      <c r="M996" s="1" t="b">
        <f t="shared" si="108"/>
        <v>0</v>
      </c>
      <c r="N996" s="1" t="b">
        <f t="shared" si="109"/>
        <v>0</v>
      </c>
      <c r="O996" s="1" t="b">
        <f t="shared" si="110"/>
        <v>0</v>
      </c>
      <c r="P996" s="1" t="b">
        <f t="shared" si="111"/>
        <v>0</v>
      </c>
    </row>
    <row r="997" spans="1:16" x14ac:dyDescent="0.2">
      <c r="A997">
        <v>2181322</v>
      </c>
      <c r="B997" t="s">
        <v>1911</v>
      </c>
      <c r="C997" t="s">
        <v>32</v>
      </c>
      <c r="D997" t="s">
        <v>11</v>
      </c>
      <c r="E997" s="1">
        <v>45055</v>
      </c>
      <c r="F997" t="s">
        <v>1912</v>
      </c>
      <c r="G997" s="1">
        <v>45059</v>
      </c>
      <c r="I997" t="s">
        <v>13</v>
      </c>
      <c r="J997" s="1" t="b">
        <f t="shared" si="105"/>
        <v>0</v>
      </c>
      <c r="K997" s="1" t="b">
        <f t="shared" si="106"/>
        <v>1</v>
      </c>
      <c r="L997" s="1" t="b">
        <f t="shared" si="107"/>
        <v>0</v>
      </c>
      <c r="M997" s="1" t="b">
        <f t="shared" si="108"/>
        <v>0</v>
      </c>
      <c r="N997" s="1" t="b">
        <f t="shared" si="109"/>
        <v>0</v>
      </c>
      <c r="O997" s="1" t="b">
        <f t="shared" si="110"/>
        <v>0</v>
      </c>
      <c r="P997" s="1" t="b">
        <f t="shared" si="111"/>
        <v>0</v>
      </c>
    </row>
    <row r="998" spans="1:16" x14ac:dyDescent="0.2">
      <c r="A998">
        <v>2181322</v>
      </c>
      <c r="B998" t="s">
        <v>1913</v>
      </c>
      <c r="C998" t="s">
        <v>32</v>
      </c>
      <c r="D998" t="s">
        <v>11</v>
      </c>
      <c r="E998" s="1">
        <v>44961</v>
      </c>
      <c r="F998" t="s">
        <v>1914</v>
      </c>
      <c r="G998" s="1">
        <v>44970</v>
      </c>
      <c r="H998" s="1">
        <v>44980</v>
      </c>
      <c r="I998" t="s">
        <v>16</v>
      </c>
      <c r="J998" s="1" t="b">
        <f t="shared" si="105"/>
        <v>1</v>
      </c>
      <c r="K998" s="1" t="b">
        <f t="shared" si="106"/>
        <v>0</v>
      </c>
      <c r="L998" s="1" t="b">
        <f t="shared" si="107"/>
        <v>0</v>
      </c>
      <c r="M998" s="1" t="b">
        <f t="shared" si="108"/>
        <v>0</v>
      </c>
      <c r="N998" s="1" t="b">
        <f t="shared" si="109"/>
        <v>1</v>
      </c>
      <c r="O998" s="1" t="b">
        <f t="shared" si="110"/>
        <v>0</v>
      </c>
      <c r="P998" s="1" t="b">
        <f t="shared" si="111"/>
        <v>0</v>
      </c>
    </row>
    <row r="999" spans="1:16" x14ac:dyDescent="0.2">
      <c r="A999">
        <v>2181322</v>
      </c>
      <c r="B999" t="s">
        <v>1915</v>
      </c>
      <c r="C999" t="s">
        <v>32</v>
      </c>
      <c r="D999" t="s">
        <v>11</v>
      </c>
      <c r="E999" s="1">
        <v>45089</v>
      </c>
      <c r="F999" t="s">
        <v>1916</v>
      </c>
      <c r="G999" s="1">
        <v>45112</v>
      </c>
      <c r="H999" s="1">
        <v>45162</v>
      </c>
      <c r="J999" s="1" t="b">
        <f t="shared" si="105"/>
        <v>1</v>
      </c>
      <c r="K999" s="1" t="b">
        <f t="shared" si="106"/>
        <v>0</v>
      </c>
      <c r="L999" s="1" t="b">
        <f t="shared" si="107"/>
        <v>0</v>
      </c>
      <c r="M999" s="1" t="b">
        <f t="shared" si="108"/>
        <v>0</v>
      </c>
      <c r="N999" s="1" t="b">
        <f t="shared" si="109"/>
        <v>0</v>
      </c>
      <c r="O999" s="1" t="b">
        <f t="shared" si="110"/>
        <v>0</v>
      </c>
      <c r="P999" s="1" t="b">
        <f t="shared" si="111"/>
        <v>0</v>
      </c>
    </row>
    <row r="1000" spans="1:16" x14ac:dyDescent="0.2">
      <c r="A1000">
        <v>2181322</v>
      </c>
      <c r="B1000" t="s">
        <v>1917</v>
      </c>
      <c r="C1000" t="s">
        <v>32</v>
      </c>
      <c r="D1000" t="s">
        <v>11</v>
      </c>
      <c r="E1000" s="1">
        <v>44633</v>
      </c>
      <c r="F1000" t="s">
        <v>1918</v>
      </c>
      <c r="G1000" s="1">
        <v>44651</v>
      </c>
      <c r="H1000" s="1">
        <v>44666</v>
      </c>
      <c r="J1000" s="1" t="b">
        <f t="shared" si="105"/>
        <v>1</v>
      </c>
      <c r="K1000" s="1" t="b">
        <f t="shared" si="106"/>
        <v>0</v>
      </c>
      <c r="L1000" s="1" t="b">
        <f t="shared" si="107"/>
        <v>0</v>
      </c>
      <c r="M1000" s="1" t="b">
        <f t="shared" si="108"/>
        <v>0</v>
      </c>
      <c r="N1000" s="1" t="b">
        <f t="shared" si="109"/>
        <v>0</v>
      </c>
      <c r="O1000" s="1" t="b">
        <f t="shared" si="110"/>
        <v>0</v>
      </c>
      <c r="P1000" s="1" t="b">
        <f t="shared" si="111"/>
        <v>0</v>
      </c>
    </row>
    <row r="1001" spans="1:16" x14ac:dyDescent="0.2">
      <c r="A1001">
        <v>9980912</v>
      </c>
      <c r="B1001" t="s">
        <v>1919</v>
      </c>
      <c r="C1001" t="s">
        <v>310</v>
      </c>
      <c r="D1001" t="s">
        <v>39</v>
      </c>
      <c r="E1001" s="1">
        <v>44654</v>
      </c>
      <c r="F1001" t="s">
        <v>1920</v>
      </c>
      <c r="G1001" s="1">
        <v>44666</v>
      </c>
      <c r="H1001" s="1">
        <v>44701</v>
      </c>
      <c r="J1001" s="1" t="b">
        <f t="shared" si="105"/>
        <v>1</v>
      </c>
      <c r="K1001" s="1" t="b">
        <f t="shared" si="106"/>
        <v>0</v>
      </c>
      <c r="L1001" s="1" t="b">
        <f t="shared" si="107"/>
        <v>0</v>
      </c>
      <c r="M1001" s="1" t="b">
        <f t="shared" si="108"/>
        <v>0</v>
      </c>
      <c r="N1001" s="1" t="b">
        <f t="shared" si="109"/>
        <v>0</v>
      </c>
      <c r="O1001" s="1" t="b">
        <f t="shared" si="110"/>
        <v>0</v>
      </c>
      <c r="P1001" s="1" t="b">
        <f t="shared" si="111"/>
        <v>0</v>
      </c>
    </row>
    <row r="1002" spans="1:16" x14ac:dyDescent="0.2">
      <c r="A1002">
        <v>9980912</v>
      </c>
      <c r="B1002" t="s">
        <v>1921</v>
      </c>
      <c r="C1002" t="s">
        <v>310</v>
      </c>
      <c r="D1002" t="s">
        <v>39</v>
      </c>
      <c r="E1002" s="1">
        <v>45032</v>
      </c>
      <c r="F1002" t="s">
        <v>1922</v>
      </c>
      <c r="G1002" s="1">
        <v>45057</v>
      </c>
      <c r="H1002" s="1">
        <v>45107</v>
      </c>
      <c r="I1002" t="s">
        <v>28</v>
      </c>
      <c r="J1002" s="1" t="b">
        <f t="shared" si="105"/>
        <v>1</v>
      </c>
      <c r="K1002" s="1" t="b">
        <f t="shared" si="106"/>
        <v>0</v>
      </c>
      <c r="L1002" s="1" t="b">
        <f t="shared" si="107"/>
        <v>0</v>
      </c>
      <c r="M1002" s="1" t="b">
        <f t="shared" si="108"/>
        <v>0</v>
      </c>
      <c r="N1002" s="1" t="b">
        <f t="shared" si="109"/>
        <v>0</v>
      </c>
      <c r="O1002" s="1" t="b">
        <f t="shared" si="110"/>
        <v>0</v>
      </c>
      <c r="P1002" s="1" t="b">
        <f t="shared" si="111"/>
        <v>1</v>
      </c>
    </row>
    <row r="1003" spans="1:16" x14ac:dyDescent="0.2">
      <c r="A1003">
        <v>9980912</v>
      </c>
      <c r="B1003" t="s">
        <v>1923</v>
      </c>
      <c r="C1003" t="s">
        <v>310</v>
      </c>
      <c r="D1003" t="s">
        <v>39</v>
      </c>
      <c r="E1003" s="1">
        <v>44602</v>
      </c>
      <c r="F1003" t="s">
        <v>1924</v>
      </c>
      <c r="G1003" s="1">
        <v>44615</v>
      </c>
      <c r="I1003" t="s">
        <v>25</v>
      </c>
      <c r="J1003" s="1" t="b">
        <f t="shared" si="105"/>
        <v>0</v>
      </c>
      <c r="K1003" s="1" t="b">
        <f t="shared" si="106"/>
        <v>0</v>
      </c>
      <c r="L1003" s="1" t="b">
        <f t="shared" si="107"/>
        <v>1</v>
      </c>
      <c r="M1003" s="1" t="b">
        <f t="shared" si="108"/>
        <v>0</v>
      </c>
      <c r="N1003" s="1" t="b">
        <f t="shared" si="109"/>
        <v>0</v>
      </c>
      <c r="O1003" s="1" t="b">
        <f t="shared" si="110"/>
        <v>0</v>
      </c>
      <c r="P1003" s="1" t="b">
        <f t="shared" si="111"/>
        <v>0</v>
      </c>
    </row>
    <row r="1004" spans="1:16" x14ac:dyDescent="0.2">
      <c r="A1004">
        <v>4204501</v>
      </c>
      <c r="B1004" t="s">
        <v>1925</v>
      </c>
      <c r="C1004" t="s">
        <v>110</v>
      </c>
      <c r="D1004" t="s">
        <v>60</v>
      </c>
      <c r="E1004" s="1">
        <v>45010</v>
      </c>
      <c r="F1004" t="s">
        <v>1926</v>
      </c>
      <c r="G1004" s="1">
        <v>45034</v>
      </c>
      <c r="H1004" s="1">
        <v>45047</v>
      </c>
      <c r="I1004" t="s">
        <v>28</v>
      </c>
      <c r="J1004" s="1" t="b">
        <f t="shared" si="105"/>
        <v>1</v>
      </c>
      <c r="K1004" s="1" t="b">
        <f t="shared" si="106"/>
        <v>0</v>
      </c>
      <c r="L1004" s="1" t="b">
        <f t="shared" si="107"/>
        <v>0</v>
      </c>
      <c r="M1004" s="1" t="b">
        <f t="shared" si="108"/>
        <v>0</v>
      </c>
      <c r="N1004" s="1" t="b">
        <f t="shared" si="109"/>
        <v>0</v>
      </c>
      <c r="O1004" s="1" t="b">
        <f t="shared" si="110"/>
        <v>0</v>
      </c>
      <c r="P1004" s="1" t="b">
        <f t="shared" si="111"/>
        <v>1</v>
      </c>
    </row>
    <row r="1005" spans="1:16" x14ac:dyDescent="0.2">
      <c r="A1005">
        <v>3347853</v>
      </c>
      <c r="B1005" t="s">
        <v>1927</v>
      </c>
      <c r="C1005" t="s">
        <v>521</v>
      </c>
      <c r="D1005" t="s">
        <v>19</v>
      </c>
      <c r="E1005" s="1">
        <v>44626</v>
      </c>
      <c r="F1005" t="s">
        <v>1928</v>
      </c>
      <c r="G1005" s="1">
        <v>44652</v>
      </c>
      <c r="H1005" s="1">
        <v>44687</v>
      </c>
      <c r="I1005" t="s">
        <v>43</v>
      </c>
      <c r="J1005" s="1" t="b">
        <f t="shared" si="105"/>
        <v>1</v>
      </c>
      <c r="K1005" s="1" t="b">
        <f t="shared" si="106"/>
        <v>0</v>
      </c>
      <c r="L1005" s="1" t="b">
        <f t="shared" si="107"/>
        <v>0</v>
      </c>
      <c r="M1005" s="1" t="b">
        <f t="shared" si="108"/>
        <v>0</v>
      </c>
      <c r="N1005" s="1" t="b">
        <f t="shared" si="109"/>
        <v>0</v>
      </c>
      <c r="O1005" s="1" t="b">
        <f t="shared" si="110"/>
        <v>1</v>
      </c>
      <c r="P1005" s="1" t="b">
        <f t="shared" si="111"/>
        <v>0</v>
      </c>
    </row>
    <row r="1006" spans="1:16" x14ac:dyDescent="0.2">
      <c r="A1006">
        <v>6162867</v>
      </c>
      <c r="B1006" t="s">
        <v>1929</v>
      </c>
      <c r="C1006" t="s">
        <v>363</v>
      </c>
      <c r="D1006" t="s">
        <v>139</v>
      </c>
      <c r="E1006" s="1">
        <v>44619</v>
      </c>
      <c r="F1006" t="s">
        <v>1930</v>
      </c>
      <c r="G1006" s="1">
        <v>44630</v>
      </c>
      <c r="H1006" s="1">
        <v>44681</v>
      </c>
      <c r="I1006" t="s">
        <v>16</v>
      </c>
      <c r="J1006" s="1" t="b">
        <f t="shared" si="105"/>
        <v>1</v>
      </c>
      <c r="K1006" s="1" t="b">
        <f t="shared" si="106"/>
        <v>0</v>
      </c>
      <c r="L1006" s="1" t="b">
        <f t="shared" si="107"/>
        <v>0</v>
      </c>
      <c r="M1006" s="1" t="b">
        <f t="shared" si="108"/>
        <v>0</v>
      </c>
      <c r="N1006" s="1" t="b">
        <f t="shared" si="109"/>
        <v>1</v>
      </c>
      <c r="O1006" s="1" t="b">
        <f t="shared" si="110"/>
        <v>0</v>
      </c>
      <c r="P1006" s="1" t="b">
        <f t="shared" si="111"/>
        <v>0</v>
      </c>
    </row>
    <row r="1007" spans="1:16" x14ac:dyDescent="0.2">
      <c r="A1007">
        <v>6162867</v>
      </c>
      <c r="B1007" t="s">
        <v>1931</v>
      </c>
      <c r="C1007" t="s">
        <v>363</v>
      </c>
      <c r="D1007" t="s">
        <v>139</v>
      </c>
      <c r="E1007" s="1">
        <v>45097</v>
      </c>
      <c r="F1007" t="s">
        <v>1932</v>
      </c>
      <c r="G1007" s="1">
        <v>45112</v>
      </c>
      <c r="H1007" s="1">
        <v>45156</v>
      </c>
      <c r="J1007" s="1" t="b">
        <f t="shared" si="105"/>
        <v>1</v>
      </c>
      <c r="K1007" s="1" t="b">
        <f t="shared" si="106"/>
        <v>0</v>
      </c>
      <c r="L1007" s="1" t="b">
        <f t="shared" si="107"/>
        <v>0</v>
      </c>
      <c r="M1007" s="1" t="b">
        <f t="shared" si="108"/>
        <v>0</v>
      </c>
      <c r="N1007" s="1" t="b">
        <f t="shared" si="109"/>
        <v>0</v>
      </c>
      <c r="O1007" s="1" t="b">
        <f t="shared" si="110"/>
        <v>0</v>
      </c>
      <c r="P1007" s="1" t="b">
        <f t="shared" si="111"/>
        <v>0</v>
      </c>
    </row>
    <row r="1008" spans="1:16" x14ac:dyDescent="0.2">
      <c r="A1008">
        <v>6162867</v>
      </c>
      <c r="B1008" t="s">
        <v>1933</v>
      </c>
      <c r="C1008" t="s">
        <v>363</v>
      </c>
      <c r="D1008" t="s">
        <v>139</v>
      </c>
      <c r="E1008" s="1">
        <v>44800</v>
      </c>
      <c r="F1008" t="s">
        <v>1934</v>
      </c>
      <c r="G1008" s="1">
        <v>44830</v>
      </c>
      <c r="H1008" s="1">
        <v>44835</v>
      </c>
      <c r="I1008" t="s">
        <v>43</v>
      </c>
      <c r="J1008" s="1" t="b">
        <f t="shared" si="105"/>
        <v>1</v>
      </c>
      <c r="K1008" s="1" t="b">
        <f t="shared" si="106"/>
        <v>0</v>
      </c>
      <c r="L1008" s="1" t="b">
        <f t="shared" si="107"/>
        <v>0</v>
      </c>
      <c r="M1008" s="1" t="b">
        <f t="shared" si="108"/>
        <v>0</v>
      </c>
      <c r="N1008" s="1" t="b">
        <f t="shared" si="109"/>
        <v>0</v>
      </c>
      <c r="O1008" s="1" t="b">
        <f t="shared" si="110"/>
        <v>1</v>
      </c>
      <c r="P1008" s="1" t="b">
        <f t="shared" si="111"/>
        <v>0</v>
      </c>
    </row>
    <row r="1009" spans="1:16" x14ac:dyDescent="0.2">
      <c r="A1009">
        <v>6162867</v>
      </c>
      <c r="B1009" t="s">
        <v>1935</v>
      </c>
      <c r="C1009" t="s">
        <v>363</v>
      </c>
      <c r="D1009" t="s">
        <v>139</v>
      </c>
      <c r="E1009" s="1">
        <v>44581</v>
      </c>
      <c r="F1009" t="s">
        <v>1936</v>
      </c>
      <c r="G1009" s="1">
        <v>44597</v>
      </c>
      <c r="I1009" t="s">
        <v>13</v>
      </c>
      <c r="J1009" s="1" t="b">
        <f t="shared" si="105"/>
        <v>0</v>
      </c>
      <c r="K1009" s="1" t="b">
        <f t="shared" si="106"/>
        <v>1</v>
      </c>
      <c r="L1009" s="1" t="b">
        <f t="shared" si="107"/>
        <v>0</v>
      </c>
      <c r="M1009" s="1" t="b">
        <f t="shared" si="108"/>
        <v>0</v>
      </c>
      <c r="N1009" s="1" t="b">
        <f t="shared" si="109"/>
        <v>0</v>
      </c>
      <c r="O1009" s="1" t="b">
        <f t="shared" si="110"/>
        <v>0</v>
      </c>
      <c r="P1009" s="1" t="b">
        <f t="shared" si="111"/>
        <v>0</v>
      </c>
    </row>
    <row r="1010" spans="1:16" x14ac:dyDescent="0.2">
      <c r="A1010">
        <v>1768424</v>
      </c>
      <c r="B1010" t="s">
        <v>1937</v>
      </c>
      <c r="C1010" t="s">
        <v>93</v>
      </c>
      <c r="D1010" t="s">
        <v>187</v>
      </c>
      <c r="E1010" s="1">
        <v>44876</v>
      </c>
      <c r="F1010" t="s">
        <v>1938</v>
      </c>
      <c r="G1010" s="1">
        <v>44903</v>
      </c>
      <c r="I1010" t="s">
        <v>13</v>
      </c>
      <c r="J1010" s="1" t="b">
        <f t="shared" si="105"/>
        <v>0</v>
      </c>
      <c r="K1010" s="1" t="b">
        <f t="shared" si="106"/>
        <v>1</v>
      </c>
      <c r="L1010" s="1" t="b">
        <f t="shared" si="107"/>
        <v>0</v>
      </c>
      <c r="M1010" s="1" t="b">
        <f t="shared" si="108"/>
        <v>0</v>
      </c>
      <c r="N1010" s="1" t="b">
        <f t="shared" si="109"/>
        <v>0</v>
      </c>
      <c r="O1010" s="1" t="b">
        <f t="shared" si="110"/>
        <v>0</v>
      </c>
      <c r="P1010" s="1" t="b">
        <f t="shared" si="111"/>
        <v>0</v>
      </c>
    </row>
    <row r="1011" spans="1:16" x14ac:dyDescent="0.2">
      <c r="A1011">
        <v>2632292</v>
      </c>
      <c r="B1011" t="s">
        <v>1939</v>
      </c>
      <c r="C1011" t="s">
        <v>287</v>
      </c>
      <c r="D1011" t="s">
        <v>81</v>
      </c>
      <c r="E1011" s="1">
        <v>44670</v>
      </c>
      <c r="F1011" t="s">
        <v>1940</v>
      </c>
      <c r="G1011" s="1">
        <v>44674</v>
      </c>
      <c r="H1011" s="1">
        <v>44706</v>
      </c>
      <c r="I1011" t="s">
        <v>16</v>
      </c>
      <c r="J1011" s="1" t="b">
        <f t="shared" si="105"/>
        <v>1</v>
      </c>
      <c r="K1011" s="1" t="b">
        <f t="shared" si="106"/>
        <v>0</v>
      </c>
      <c r="L1011" s="1" t="b">
        <f t="shared" si="107"/>
        <v>0</v>
      </c>
      <c r="M1011" s="1" t="b">
        <f t="shared" si="108"/>
        <v>0</v>
      </c>
      <c r="N1011" s="1" t="b">
        <f t="shared" si="109"/>
        <v>1</v>
      </c>
      <c r="O1011" s="1" t="b">
        <f t="shared" si="110"/>
        <v>0</v>
      </c>
      <c r="P1011" s="1" t="b">
        <f t="shared" si="111"/>
        <v>0</v>
      </c>
    </row>
    <row r="1012" spans="1:16" x14ac:dyDescent="0.2">
      <c r="A1012">
        <v>2632292</v>
      </c>
      <c r="B1012" t="s">
        <v>1941</v>
      </c>
      <c r="C1012" t="s">
        <v>287</v>
      </c>
      <c r="D1012" t="s">
        <v>81</v>
      </c>
      <c r="E1012" s="1">
        <v>44769</v>
      </c>
      <c r="F1012" t="s">
        <v>1942</v>
      </c>
      <c r="G1012" s="1">
        <v>44783</v>
      </c>
      <c r="H1012" s="1">
        <v>44805</v>
      </c>
      <c r="I1012" t="s">
        <v>43</v>
      </c>
      <c r="J1012" s="1" t="b">
        <f t="shared" si="105"/>
        <v>1</v>
      </c>
      <c r="K1012" s="1" t="b">
        <f t="shared" si="106"/>
        <v>0</v>
      </c>
      <c r="L1012" s="1" t="b">
        <f t="shared" si="107"/>
        <v>0</v>
      </c>
      <c r="M1012" s="1" t="b">
        <f t="shared" si="108"/>
        <v>0</v>
      </c>
      <c r="N1012" s="1" t="b">
        <f t="shared" si="109"/>
        <v>0</v>
      </c>
      <c r="O1012" s="1" t="b">
        <f t="shared" si="110"/>
        <v>1</v>
      </c>
      <c r="P1012" s="1" t="b">
        <f t="shared" si="111"/>
        <v>0</v>
      </c>
    </row>
    <row r="1013" spans="1:16" x14ac:dyDescent="0.2">
      <c r="A1013">
        <v>7744585</v>
      </c>
      <c r="B1013" t="s">
        <v>1943</v>
      </c>
      <c r="C1013" t="s">
        <v>720</v>
      </c>
      <c r="D1013" t="s">
        <v>122</v>
      </c>
      <c r="E1013" s="1">
        <v>44780</v>
      </c>
      <c r="F1013" t="s">
        <v>1944</v>
      </c>
      <c r="G1013" s="1">
        <v>44805</v>
      </c>
      <c r="H1013" s="1">
        <v>44808</v>
      </c>
      <c r="I1013" t="s">
        <v>28</v>
      </c>
      <c r="J1013" s="1" t="b">
        <f t="shared" si="105"/>
        <v>1</v>
      </c>
      <c r="K1013" s="1" t="b">
        <f t="shared" si="106"/>
        <v>0</v>
      </c>
      <c r="L1013" s="1" t="b">
        <f t="shared" si="107"/>
        <v>0</v>
      </c>
      <c r="M1013" s="1" t="b">
        <f t="shared" si="108"/>
        <v>0</v>
      </c>
      <c r="N1013" s="1" t="b">
        <f t="shared" si="109"/>
        <v>0</v>
      </c>
      <c r="O1013" s="1" t="b">
        <f t="shared" si="110"/>
        <v>0</v>
      </c>
      <c r="P1013" s="1" t="b">
        <f t="shared" si="111"/>
        <v>1</v>
      </c>
    </row>
    <row r="1014" spans="1:16" x14ac:dyDescent="0.2">
      <c r="A1014">
        <v>7744585</v>
      </c>
      <c r="B1014" t="s">
        <v>1945</v>
      </c>
      <c r="C1014" t="s">
        <v>720</v>
      </c>
      <c r="D1014" t="s">
        <v>122</v>
      </c>
      <c r="E1014" s="1">
        <v>44842</v>
      </c>
      <c r="F1014" t="s">
        <v>553</v>
      </c>
      <c r="G1014" s="1">
        <v>44847</v>
      </c>
      <c r="H1014" s="1">
        <v>44896</v>
      </c>
      <c r="I1014" t="s">
        <v>28</v>
      </c>
      <c r="J1014" s="1" t="b">
        <f t="shared" si="105"/>
        <v>1</v>
      </c>
      <c r="K1014" s="1" t="b">
        <f t="shared" si="106"/>
        <v>0</v>
      </c>
      <c r="L1014" s="1" t="b">
        <f t="shared" si="107"/>
        <v>0</v>
      </c>
      <c r="M1014" s="1" t="b">
        <f t="shared" si="108"/>
        <v>0</v>
      </c>
      <c r="N1014" s="1" t="b">
        <f t="shared" si="109"/>
        <v>0</v>
      </c>
      <c r="O1014" s="1" t="b">
        <f t="shared" si="110"/>
        <v>0</v>
      </c>
      <c r="P1014" s="1" t="b">
        <f t="shared" si="111"/>
        <v>1</v>
      </c>
    </row>
    <row r="1015" spans="1:16" x14ac:dyDescent="0.2">
      <c r="A1015">
        <v>7744585</v>
      </c>
      <c r="B1015" t="s">
        <v>1946</v>
      </c>
      <c r="C1015" t="s">
        <v>720</v>
      </c>
      <c r="D1015" t="s">
        <v>122</v>
      </c>
      <c r="E1015" s="1">
        <v>45011</v>
      </c>
      <c r="F1015" t="s">
        <v>1947</v>
      </c>
      <c r="G1015" s="1">
        <v>45019</v>
      </c>
      <c r="H1015" s="1">
        <v>45079</v>
      </c>
      <c r="I1015" t="s">
        <v>28</v>
      </c>
      <c r="J1015" s="1" t="b">
        <f t="shared" si="105"/>
        <v>1</v>
      </c>
      <c r="K1015" s="1" t="b">
        <f t="shared" si="106"/>
        <v>0</v>
      </c>
      <c r="L1015" s="1" t="b">
        <f t="shared" si="107"/>
        <v>0</v>
      </c>
      <c r="M1015" s="1" t="b">
        <f t="shared" si="108"/>
        <v>0</v>
      </c>
      <c r="N1015" s="1" t="b">
        <f t="shared" si="109"/>
        <v>0</v>
      </c>
      <c r="O1015" s="1" t="b">
        <f t="shared" si="110"/>
        <v>0</v>
      </c>
      <c r="P1015" s="1" t="b">
        <f t="shared" si="111"/>
        <v>1</v>
      </c>
    </row>
    <row r="1016" spans="1:16" x14ac:dyDescent="0.2">
      <c r="A1016">
        <v>7744585</v>
      </c>
      <c r="B1016" t="s">
        <v>1948</v>
      </c>
      <c r="C1016" t="s">
        <v>720</v>
      </c>
      <c r="D1016" t="s">
        <v>122</v>
      </c>
      <c r="E1016" s="1">
        <v>44947</v>
      </c>
      <c r="F1016" t="s">
        <v>1949</v>
      </c>
      <c r="G1016" s="1">
        <v>44972</v>
      </c>
      <c r="H1016" s="1">
        <v>44983</v>
      </c>
      <c r="I1016" t="s">
        <v>43</v>
      </c>
      <c r="J1016" s="1" t="b">
        <f t="shared" si="105"/>
        <v>1</v>
      </c>
      <c r="K1016" s="1" t="b">
        <f t="shared" si="106"/>
        <v>0</v>
      </c>
      <c r="L1016" s="1" t="b">
        <f t="shared" si="107"/>
        <v>0</v>
      </c>
      <c r="M1016" s="1" t="b">
        <f t="shared" si="108"/>
        <v>0</v>
      </c>
      <c r="N1016" s="1" t="b">
        <f t="shared" si="109"/>
        <v>0</v>
      </c>
      <c r="O1016" s="1" t="b">
        <f t="shared" si="110"/>
        <v>1</v>
      </c>
      <c r="P1016" s="1" t="b">
        <f t="shared" si="111"/>
        <v>0</v>
      </c>
    </row>
    <row r="1017" spans="1:16" x14ac:dyDescent="0.2">
      <c r="A1017">
        <v>7744585</v>
      </c>
      <c r="B1017" t="s">
        <v>1950</v>
      </c>
      <c r="C1017" t="s">
        <v>720</v>
      </c>
      <c r="D1017" t="s">
        <v>122</v>
      </c>
      <c r="E1017" s="1">
        <v>44568</v>
      </c>
      <c r="F1017" t="s">
        <v>1926</v>
      </c>
      <c r="G1017" s="1">
        <v>44569</v>
      </c>
      <c r="I1017" t="s">
        <v>13</v>
      </c>
      <c r="J1017" s="1" t="b">
        <f t="shared" si="105"/>
        <v>0</v>
      </c>
      <c r="K1017" s="1" t="b">
        <f t="shared" si="106"/>
        <v>1</v>
      </c>
      <c r="L1017" s="1" t="b">
        <f t="shared" si="107"/>
        <v>0</v>
      </c>
      <c r="M1017" s="1" t="b">
        <f t="shared" si="108"/>
        <v>0</v>
      </c>
      <c r="N1017" s="1" t="b">
        <f t="shared" si="109"/>
        <v>0</v>
      </c>
      <c r="O1017" s="1" t="b">
        <f t="shared" si="110"/>
        <v>0</v>
      </c>
      <c r="P1017" s="1" t="b">
        <f t="shared" si="111"/>
        <v>0</v>
      </c>
    </row>
    <row r="1018" spans="1:16" x14ac:dyDescent="0.2">
      <c r="A1018">
        <v>4010048</v>
      </c>
      <c r="B1018" t="s">
        <v>1951</v>
      </c>
      <c r="C1018" t="s">
        <v>310</v>
      </c>
      <c r="D1018" t="s">
        <v>122</v>
      </c>
      <c r="E1018" s="1">
        <v>45049</v>
      </c>
      <c r="F1018" t="s">
        <v>1952</v>
      </c>
      <c r="G1018" s="1">
        <v>45072</v>
      </c>
      <c r="H1018" s="1">
        <v>45081</v>
      </c>
      <c r="J1018" s="1" t="b">
        <f t="shared" si="105"/>
        <v>1</v>
      </c>
      <c r="K1018" s="1" t="b">
        <f t="shared" si="106"/>
        <v>0</v>
      </c>
      <c r="L1018" s="1" t="b">
        <f t="shared" si="107"/>
        <v>0</v>
      </c>
      <c r="M1018" s="1" t="b">
        <f t="shared" si="108"/>
        <v>0</v>
      </c>
      <c r="N1018" s="1" t="b">
        <f t="shared" si="109"/>
        <v>0</v>
      </c>
      <c r="O1018" s="1" t="b">
        <f t="shared" si="110"/>
        <v>0</v>
      </c>
      <c r="P1018" s="1" t="b">
        <f t="shared" si="111"/>
        <v>0</v>
      </c>
    </row>
    <row r="1019" spans="1:16" x14ac:dyDescent="0.2">
      <c r="A1019">
        <v>4010048</v>
      </c>
      <c r="B1019" t="s">
        <v>1953</v>
      </c>
      <c r="C1019" t="s">
        <v>310</v>
      </c>
      <c r="D1019" t="s">
        <v>122</v>
      </c>
      <c r="E1019" s="1">
        <v>45097</v>
      </c>
      <c r="F1019" t="s">
        <v>1954</v>
      </c>
      <c r="G1019" s="1">
        <v>45112</v>
      </c>
      <c r="I1019" t="s">
        <v>25</v>
      </c>
      <c r="J1019" s="1" t="b">
        <f t="shared" si="105"/>
        <v>0</v>
      </c>
      <c r="K1019" s="1" t="b">
        <f t="shared" si="106"/>
        <v>0</v>
      </c>
      <c r="L1019" s="1" t="b">
        <f t="shared" si="107"/>
        <v>1</v>
      </c>
      <c r="M1019" s="1" t="b">
        <f t="shared" si="108"/>
        <v>0</v>
      </c>
      <c r="N1019" s="1" t="b">
        <f t="shared" si="109"/>
        <v>0</v>
      </c>
      <c r="O1019" s="1" t="b">
        <f t="shared" si="110"/>
        <v>0</v>
      </c>
      <c r="P1019" s="1" t="b">
        <f t="shared" si="111"/>
        <v>0</v>
      </c>
    </row>
    <row r="1020" spans="1:16" x14ac:dyDescent="0.2">
      <c r="A1020">
        <v>4010048</v>
      </c>
      <c r="B1020" t="s">
        <v>1955</v>
      </c>
      <c r="C1020" t="s">
        <v>310</v>
      </c>
      <c r="D1020" t="s">
        <v>122</v>
      </c>
      <c r="E1020" s="1">
        <v>44600</v>
      </c>
      <c r="F1020" t="s">
        <v>1956</v>
      </c>
      <c r="G1020" s="1">
        <v>44620</v>
      </c>
      <c r="H1020" s="1">
        <v>44632</v>
      </c>
      <c r="I1020" t="s">
        <v>43</v>
      </c>
      <c r="J1020" s="1" t="b">
        <f t="shared" si="105"/>
        <v>1</v>
      </c>
      <c r="K1020" s="1" t="b">
        <f t="shared" si="106"/>
        <v>0</v>
      </c>
      <c r="L1020" s="1" t="b">
        <f t="shared" si="107"/>
        <v>0</v>
      </c>
      <c r="M1020" s="1" t="b">
        <f t="shared" si="108"/>
        <v>0</v>
      </c>
      <c r="N1020" s="1" t="b">
        <f t="shared" si="109"/>
        <v>0</v>
      </c>
      <c r="O1020" s="1" t="b">
        <f t="shared" si="110"/>
        <v>1</v>
      </c>
      <c r="P1020" s="1" t="b">
        <f t="shared" si="111"/>
        <v>0</v>
      </c>
    </row>
    <row r="1021" spans="1:16" x14ac:dyDescent="0.2">
      <c r="A1021">
        <v>4010048</v>
      </c>
      <c r="B1021" t="s">
        <v>1957</v>
      </c>
      <c r="C1021" t="s">
        <v>310</v>
      </c>
      <c r="D1021" t="s">
        <v>122</v>
      </c>
      <c r="E1021" s="1">
        <v>44870</v>
      </c>
      <c r="F1021" t="s">
        <v>311</v>
      </c>
      <c r="G1021" s="1">
        <v>44882</v>
      </c>
      <c r="H1021" s="1">
        <v>44909</v>
      </c>
      <c r="I1021" t="s">
        <v>16</v>
      </c>
      <c r="J1021" s="1" t="b">
        <f t="shared" si="105"/>
        <v>1</v>
      </c>
      <c r="K1021" s="1" t="b">
        <f t="shared" si="106"/>
        <v>0</v>
      </c>
      <c r="L1021" s="1" t="b">
        <f t="shared" si="107"/>
        <v>0</v>
      </c>
      <c r="M1021" s="1" t="b">
        <f t="shared" si="108"/>
        <v>0</v>
      </c>
      <c r="N1021" s="1" t="b">
        <f t="shared" si="109"/>
        <v>1</v>
      </c>
      <c r="O1021" s="1" t="b">
        <f t="shared" si="110"/>
        <v>0</v>
      </c>
      <c r="P1021" s="1" t="b">
        <f t="shared" si="111"/>
        <v>0</v>
      </c>
    </row>
    <row r="1022" spans="1:16" x14ac:dyDescent="0.2">
      <c r="A1022">
        <v>4010048</v>
      </c>
      <c r="B1022" t="s">
        <v>1958</v>
      </c>
      <c r="C1022" t="s">
        <v>310</v>
      </c>
      <c r="D1022" t="s">
        <v>122</v>
      </c>
      <c r="E1022" s="1">
        <v>44682</v>
      </c>
      <c r="F1022" t="s">
        <v>1959</v>
      </c>
      <c r="G1022" s="1">
        <v>44699</v>
      </c>
      <c r="I1022" t="s">
        <v>13</v>
      </c>
      <c r="J1022" s="1" t="b">
        <f t="shared" si="105"/>
        <v>0</v>
      </c>
      <c r="K1022" s="1" t="b">
        <f t="shared" si="106"/>
        <v>1</v>
      </c>
      <c r="L1022" s="1" t="b">
        <f t="shared" si="107"/>
        <v>0</v>
      </c>
      <c r="M1022" s="1" t="b">
        <f t="shared" si="108"/>
        <v>0</v>
      </c>
      <c r="N1022" s="1" t="b">
        <f t="shared" si="109"/>
        <v>0</v>
      </c>
      <c r="O1022" s="1" t="b">
        <f t="shared" si="110"/>
        <v>0</v>
      </c>
      <c r="P1022" s="1" t="b">
        <f t="shared" si="111"/>
        <v>0</v>
      </c>
    </row>
    <row r="1023" spans="1:16" x14ac:dyDescent="0.2">
      <c r="A1023">
        <v>2605308</v>
      </c>
      <c r="B1023" t="s">
        <v>1960</v>
      </c>
      <c r="C1023" t="s">
        <v>121</v>
      </c>
      <c r="D1023" t="s">
        <v>39</v>
      </c>
      <c r="E1023" s="1">
        <v>44775</v>
      </c>
      <c r="F1023" t="s">
        <v>1961</v>
      </c>
      <c r="G1023" s="1">
        <v>44784</v>
      </c>
      <c r="H1023" s="1">
        <v>44788</v>
      </c>
      <c r="J1023" s="1" t="b">
        <f t="shared" si="105"/>
        <v>1</v>
      </c>
      <c r="K1023" s="1" t="b">
        <f t="shared" si="106"/>
        <v>0</v>
      </c>
      <c r="L1023" s="1" t="b">
        <f t="shared" si="107"/>
        <v>0</v>
      </c>
      <c r="M1023" s="1" t="b">
        <f t="shared" si="108"/>
        <v>0</v>
      </c>
      <c r="N1023" s="1" t="b">
        <f t="shared" si="109"/>
        <v>0</v>
      </c>
      <c r="O1023" s="1" t="b">
        <f t="shared" si="110"/>
        <v>0</v>
      </c>
      <c r="P1023" s="1" t="b">
        <f t="shared" si="111"/>
        <v>0</v>
      </c>
    </row>
    <row r="1024" spans="1:16" x14ac:dyDescent="0.2">
      <c r="A1024">
        <v>2605308</v>
      </c>
      <c r="B1024" t="s">
        <v>1962</v>
      </c>
      <c r="C1024" t="s">
        <v>121</v>
      </c>
      <c r="D1024" t="s">
        <v>39</v>
      </c>
      <c r="E1024" s="1">
        <v>45047</v>
      </c>
      <c r="F1024" t="s">
        <v>545</v>
      </c>
      <c r="G1024" s="1">
        <v>45063</v>
      </c>
      <c r="I1024" t="s">
        <v>13</v>
      </c>
      <c r="J1024" s="1" t="b">
        <f t="shared" si="105"/>
        <v>0</v>
      </c>
      <c r="K1024" s="1" t="b">
        <f t="shared" si="106"/>
        <v>1</v>
      </c>
      <c r="L1024" s="1" t="b">
        <f t="shared" si="107"/>
        <v>0</v>
      </c>
      <c r="M1024" s="1" t="b">
        <f t="shared" si="108"/>
        <v>0</v>
      </c>
      <c r="N1024" s="1" t="b">
        <f t="shared" si="109"/>
        <v>0</v>
      </c>
      <c r="O1024" s="1" t="b">
        <f t="shared" si="110"/>
        <v>0</v>
      </c>
      <c r="P1024" s="1" t="b">
        <f t="shared" si="111"/>
        <v>0</v>
      </c>
    </row>
    <row r="1025" spans="1:16" x14ac:dyDescent="0.2">
      <c r="A1025">
        <v>2605308</v>
      </c>
      <c r="B1025" t="s">
        <v>1963</v>
      </c>
      <c r="C1025" t="s">
        <v>121</v>
      </c>
      <c r="D1025" t="s">
        <v>39</v>
      </c>
      <c r="E1025" s="1">
        <v>44617</v>
      </c>
      <c r="F1025" t="s">
        <v>1964</v>
      </c>
      <c r="G1025" s="1">
        <v>44638</v>
      </c>
      <c r="I1025" t="s">
        <v>13</v>
      </c>
      <c r="J1025" s="1" t="b">
        <f t="shared" si="105"/>
        <v>0</v>
      </c>
      <c r="K1025" s="1" t="b">
        <f t="shared" si="106"/>
        <v>1</v>
      </c>
      <c r="L1025" s="1" t="b">
        <f t="shared" si="107"/>
        <v>0</v>
      </c>
      <c r="M1025" s="1" t="b">
        <f t="shared" si="108"/>
        <v>0</v>
      </c>
      <c r="N1025" s="1" t="b">
        <f t="shared" si="109"/>
        <v>0</v>
      </c>
      <c r="O1025" s="1" t="b">
        <f t="shared" si="110"/>
        <v>0</v>
      </c>
      <c r="P1025" s="1" t="b">
        <f t="shared" si="111"/>
        <v>0</v>
      </c>
    </row>
    <row r="1026" spans="1:16" x14ac:dyDescent="0.2">
      <c r="A1026">
        <v>2605308</v>
      </c>
      <c r="B1026" t="s">
        <v>1965</v>
      </c>
      <c r="C1026" t="s">
        <v>121</v>
      </c>
      <c r="D1026" t="s">
        <v>39</v>
      </c>
      <c r="E1026" s="1">
        <v>44904</v>
      </c>
      <c r="F1026" t="s">
        <v>1966</v>
      </c>
      <c r="G1026" s="1">
        <v>44924</v>
      </c>
      <c r="H1026" s="1">
        <v>44976</v>
      </c>
      <c r="I1026" t="s">
        <v>43</v>
      </c>
      <c r="J1026" s="1" t="b">
        <f t="shared" si="105"/>
        <v>1</v>
      </c>
      <c r="K1026" s="1" t="b">
        <f t="shared" si="106"/>
        <v>0</v>
      </c>
      <c r="L1026" s="1" t="b">
        <f t="shared" si="107"/>
        <v>0</v>
      </c>
      <c r="M1026" s="1" t="b">
        <f t="shared" si="108"/>
        <v>0</v>
      </c>
      <c r="N1026" s="1" t="b">
        <f t="shared" si="109"/>
        <v>0</v>
      </c>
      <c r="O1026" s="1" t="b">
        <f t="shared" si="110"/>
        <v>1</v>
      </c>
      <c r="P1026" s="1" t="b">
        <f t="shared" si="111"/>
        <v>0</v>
      </c>
    </row>
    <row r="1027" spans="1:16" x14ac:dyDescent="0.2">
      <c r="A1027">
        <v>2605308</v>
      </c>
      <c r="B1027" t="s">
        <v>1967</v>
      </c>
      <c r="C1027" t="s">
        <v>121</v>
      </c>
      <c r="D1027" t="s">
        <v>39</v>
      </c>
      <c r="E1027" s="1">
        <v>44615</v>
      </c>
      <c r="F1027" t="s">
        <v>944</v>
      </c>
      <c r="G1027" s="1">
        <v>44645</v>
      </c>
      <c r="H1027" s="1">
        <v>44680</v>
      </c>
      <c r="J1027" s="1" t="b">
        <f t="shared" ref="J1027:J1090" si="112">AND(NOT(ISBLANK(H1027)), NOT(OR(ISNUMBER(SEARCH("decline", I1027)), ISNUMBER(SEARCH("rescind", I1027)), ISNUMBER(SEARCH("cancel", I1027)))))</f>
        <v>1</v>
      </c>
      <c r="K1027" s="1" t="b">
        <f t="shared" ref="K1027:K1090" si="113">ISNUMBER(SEARCH("decline", I1027))</f>
        <v>0</v>
      </c>
      <c r="L1027" s="1" t="b">
        <f t="shared" ref="L1027:L1090" si="114">ISNUMBER(SEARCH("rescind", I1027))</f>
        <v>0</v>
      </c>
      <c r="M1027" s="1" t="b">
        <f t="shared" ref="M1027:M1090" si="115">ISNUMBER(SEARCH("cancel", I1027))</f>
        <v>0</v>
      </c>
      <c r="N1027" s="1" t="b">
        <f t="shared" ref="N1027:N1090" si="116">ISNUMBER(SEARCH("transfer", I1027))</f>
        <v>0</v>
      </c>
      <c r="O1027" s="1" t="b">
        <f t="shared" ref="O1027:O1090" si="117">ISNUMBER(SEARCH("promo", I1027))</f>
        <v>0</v>
      </c>
      <c r="P1027" s="1" t="b">
        <f t="shared" ref="P1027:P1090" si="118">ISNUMBER(SEARCH("new", I1027))</f>
        <v>0</v>
      </c>
    </row>
    <row r="1028" spans="1:16" x14ac:dyDescent="0.2">
      <c r="A1028">
        <v>3950904</v>
      </c>
      <c r="B1028" t="s">
        <v>1968</v>
      </c>
      <c r="C1028" t="s">
        <v>38</v>
      </c>
      <c r="D1028" t="s">
        <v>56</v>
      </c>
      <c r="E1028" s="1">
        <v>45017</v>
      </c>
      <c r="F1028" t="s">
        <v>1969</v>
      </c>
      <c r="G1028" s="1">
        <v>45036</v>
      </c>
      <c r="H1028" s="1">
        <v>45074</v>
      </c>
      <c r="I1028" t="s">
        <v>16</v>
      </c>
      <c r="J1028" s="1" t="b">
        <f t="shared" si="112"/>
        <v>1</v>
      </c>
      <c r="K1028" s="1" t="b">
        <f t="shared" si="113"/>
        <v>0</v>
      </c>
      <c r="L1028" s="1" t="b">
        <f t="shared" si="114"/>
        <v>0</v>
      </c>
      <c r="M1028" s="1" t="b">
        <f t="shared" si="115"/>
        <v>0</v>
      </c>
      <c r="N1028" s="1" t="b">
        <f t="shared" si="116"/>
        <v>1</v>
      </c>
      <c r="O1028" s="1" t="b">
        <f t="shared" si="117"/>
        <v>0</v>
      </c>
      <c r="P1028" s="1" t="b">
        <f t="shared" si="118"/>
        <v>0</v>
      </c>
    </row>
    <row r="1029" spans="1:16" x14ac:dyDescent="0.2">
      <c r="A1029">
        <v>3950904</v>
      </c>
      <c r="B1029" t="s">
        <v>1970</v>
      </c>
      <c r="C1029" t="s">
        <v>38</v>
      </c>
      <c r="D1029" t="s">
        <v>56</v>
      </c>
      <c r="E1029" s="1">
        <v>44895</v>
      </c>
      <c r="F1029" t="s">
        <v>1481</v>
      </c>
      <c r="G1029" s="1">
        <v>44903</v>
      </c>
      <c r="H1029" s="1">
        <v>44953</v>
      </c>
      <c r="I1029" t="s">
        <v>43</v>
      </c>
      <c r="J1029" s="1" t="b">
        <f t="shared" si="112"/>
        <v>1</v>
      </c>
      <c r="K1029" s="1" t="b">
        <f t="shared" si="113"/>
        <v>0</v>
      </c>
      <c r="L1029" s="1" t="b">
        <f t="shared" si="114"/>
        <v>0</v>
      </c>
      <c r="M1029" s="1" t="b">
        <f t="shared" si="115"/>
        <v>0</v>
      </c>
      <c r="N1029" s="1" t="b">
        <f t="shared" si="116"/>
        <v>0</v>
      </c>
      <c r="O1029" s="1" t="b">
        <f t="shared" si="117"/>
        <v>1</v>
      </c>
      <c r="P1029" s="1" t="b">
        <f t="shared" si="118"/>
        <v>0</v>
      </c>
    </row>
    <row r="1030" spans="1:16" x14ac:dyDescent="0.2">
      <c r="A1030">
        <v>3950904</v>
      </c>
      <c r="B1030" t="s">
        <v>1971</v>
      </c>
      <c r="C1030" t="s">
        <v>38</v>
      </c>
      <c r="D1030" t="s">
        <v>56</v>
      </c>
      <c r="E1030" s="1">
        <v>44804</v>
      </c>
      <c r="F1030" t="s">
        <v>1972</v>
      </c>
      <c r="G1030" s="1">
        <v>44828</v>
      </c>
      <c r="I1030" t="s">
        <v>13</v>
      </c>
      <c r="J1030" s="1" t="b">
        <f t="shared" si="112"/>
        <v>0</v>
      </c>
      <c r="K1030" s="1" t="b">
        <f t="shared" si="113"/>
        <v>1</v>
      </c>
      <c r="L1030" s="1" t="b">
        <f t="shared" si="114"/>
        <v>0</v>
      </c>
      <c r="M1030" s="1" t="b">
        <f t="shared" si="115"/>
        <v>0</v>
      </c>
      <c r="N1030" s="1" t="b">
        <f t="shared" si="116"/>
        <v>0</v>
      </c>
      <c r="O1030" s="1" t="b">
        <f t="shared" si="117"/>
        <v>0</v>
      </c>
      <c r="P1030" s="1" t="b">
        <f t="shared" si="118"/>
        <v>0</v>
      </c>
    </row>
    <row r="1031" spans="1:16" x14ac:dyDescent="0.2">
      <c r="A1031">
        <v>3950904</v>
      </c>
      <c r="B1031" t="s">
        <v>1973</v>
      </c>
      <c r="C1031" t="s">
        <v>38</v>
      </c>
      <c r="D1031" t="s">
        <v>56</v>
      </c>
      <c r="E1031" s="1">
        <v>44787</v>
      </c>
      <c r="F1031" t="s">
        <v>1974</v>
      </c>
      <c r="G1031" s="1">
        <v>44790</v>
      </c>
      <c r="H1031" s="1">
        <v>44821</v>
      </c>
      <c r="I1031" t="s">
        <v>43</v>
      </c>
      <c r="J1031" s="1" t="b">
        <f t="shared" si="112"/>
        <v>1</v>
      </c>
      <c r="K1031" s="1" t="b">
        <f t="shared" si="113"/>
        <v>0</v>
      </c>
      <c r="L1031" s="1" t="b">
        <f t="shared" si="114"/>
        <v>0</v>
      </c>
      <c r="M1031" s="1" t="b">
        <f t="shared" si="115"/>
        <v>0</v>
      </c>
      <c r="N1031" s="1" t="b">
        <f t="shared" si="116"/>
        <v>0</v>
      </c>
      <c r="O1031" s="1" t="b">
        <f t="shared" si="117"/>
        <v>1</v>
      </c>
      <c r="P1031" s="1" t="b">
        <f t="shared" si="118"/>
        <v>0</v>
      </c>
    </row>
    <row r="1032" spans="1:16" x14ac:dyDescent="0.2">
      <c r="A1032">
        <v>9127012</v>
      </c>
      <c r="B1032" t="s">
        <v>1975</v>
      </c>
      <c r="C1032" t="s">
        <v>521</v>
      </c>
      <c r="D1032" t="s">
        <v>60</v>
      </c>
      <c r="E1032" s="1">
        <v>44744</v>
      </c>
      <c r="F1032" t="s">
        <v>1976</v>
      </c>
      <c r="G1032" s="1">
        <v>44757</v>
      </c>
      <c r="I1032" t="s">
        <v>13</v>
      </c>
      <c r="J1032" s="1" t="b">
        <f t="shared" si="112"/>
        <v>0</v>
      </c>
      <c r="K1032" s="1" t="b">
        <f t="shared" si="113"/>
        <v>1</v>
      </c>
      <c r="L1032" s="1" t="b">
        <f t="shared" si="114"/>
        <v>0</v>
      </c>
      <c r="M1032" s="1" t="b">
        <f t="shared" si="115"/>
        <v>0</v>
      </c>
      <c r="N1032" s="1" t="b">
        <f t="shared" si="116"/>
        <v>0</v>
      </c>
      <c r="O1032" s="1" t="b">
        <f t="shared" si="117"/>
        <v>0</v>
      </c>
      <c r="P1032" s="1" t="b">
        <f t="shared" si="118"/>
        <v>0</v>
      </c>
    </row>
    <row r="1033" spans="1:16" x14ac:dyDescent="0.2">
      <c r="A1033">
        <v>9127012</v>
      </c>
      <c r="B1033" t="s">
        <v>1977</v>
      </c>
      <c r="C1033" t="s">
        <v>521</v>
      </c>
      <c r="D1033" t="s">
        <v>60</v>
      </c>
      <c r="E1033" s="1">
        <v>44760</v>
      </c>
      <c r="F1033" t="s">
        <v>1978</v>
      </c>
      <c r="G1033" s="1">
        <v>44781</v>
      </c>
      <c r="I1033" t="s">
        <v>25</v>
      </c>
      <c r="J1033" s="1" t="b">
        <f t="shared" si="112"/>
        <v>0</v>
      </c>
      <c r="K1033" s="1" t="b">
        <f t="shared" si="113"/>
        <v>0</v>
      </c>
      <c r="L1033" s="1" t="b">
        <f t="shared" si="114"/>
        <v>1</v>
      </c>
      <c r="M1033" s="1" t="b">
        <f t="shared" si="115"/>
        <v>0</v>
      </c>
      <c r="N1033" s="1" t="b">
        <f t="shared" si="116"/>
        <v>0</v>
      </c>
      <c r="O1033" s="1" t="b">
        <f t="shared" si="117"/>
        <v>0</v>
      </c>
      <c r="P1033" s="1" t="b">
        <f t="shared" si="118"/>
        <v>0</v>
      </c>
    </row>
    <row r="1034" spans="1:16" x14ac:dyDescent="0.2">
      <c r="A1034">
        <v>7016144</v>
      </c>
      <c r="B1034" t="s">
        <v>1979</v>
      </c>
      <c r="C1034" t="s">
        <v>282</v>
      </c>
      <c r="D1034" t="s">
        <v>19</v>
      </c>
      <c r="E1034" s="1">
        <v>44623</v>
      </c>
      <c r="F1034" t="s">
        <v>1980</v>
      </c>
      <c r="G1034" s="1">
        <v>44632</v>
      </c>
      <c r="I1034" t="s">
        <v>13</v>
      </c>
      <c r="J1034" s="1" t="b">
        <f t="shared" si="112"/>
        <v>0</v>
      </c>
      <c r="K1034" s="1" t="b">
        <f t="shared" si="113"/>
        <v>1</v>
      </c>
      <c r="L1034" s="1" t="b">
        <f t="shared" si="114"/>
        <v>0</v>
      </c>
      <c r="M1034" s="1" t="b">
        <f t="shared" si="115"/>
        <v>0</v>
      </c>
      <c r="N1034" s="1" t="b">
        <f t="shared" si="116"/>
        <v>0</v>
      </c>
      <c r="O1034" s="1" t="b">
        <f t="shared" si="117"/>
        <v>0</v>
      </c>
      <c r="P1034" s="1" t="b">
        <f t="shared" si="118"/>
        <v>0</v>
      </c>
    </row>
    <row r="1035" spans="1:16" x14ac:dyDescent="0.2">
      <c r="A1035">
        <v>7016144</v>
      </c>
      <c r="B1035" t="s">
        <v>1981</v>
      </c>
      <c r="C1035" t="s">
        <v>282</v>
      </c>
      <c r="D1035" t="s">
        <v>19</v>
      </c>
      <c r="E1035" s="1">
        <v>45031</v>
      </c>
      <c r="F1035" t="s">
        <v>1275</v>
      </c>
      <c r="G1035" s="1">
        <v>45045</v>
      </c>
      <c r="I1035" t="s">
        <v>13</v>
      </c>
      <c r="J1035" s="1" t="b">
        <f t="shared" si="112"/>
        <v>0</v>
      </c>
      <c r="K1035" s="1" t="b">
        <f t="shared" si="113"/>
        <v>1</v>
      </c>
      <c r="L1035" s="1" t="b">
        <f t="shared" si="114"/>
        <v>0</v>
      </c>
      <c r="M1035" s="1" t="b">
        <f t="shared" si="115"/>
        <v>0</v>
      </c>
      <c r="N1035" s="1" t="b">
        <f t="shared" si="116"/>
        <v>0</v>
      </c>
      <c r="O1035" s="1" t="b">
        <f t="shared" si="117"/>
        <v>0</v>
      </c>
      <c r="P1035" s="1" t="b">
        <f t="shared" si="118"/>
        <v>0</v>
      </c>
    </row>
    <row r="1036" spans="1:16" x14ac:dyDescent="0.2">
      <c r="A1036">
        <v>7016144</v>
      </c>
      <c r="B1036" t="s">
        <v>1982</v>
      </c>
      <c r="C1036" t="s">
        <v>282</v>
      </c>
      <c r="D1036" t="s">
        <v>19</v>
      </c>
      <c r="E1036" s="1">
        <v>44864</v>
      </c>
      <c r="F1036" t="s">
        <v>1983</v>
      </c>
      <c r="G1036" s="1">
        <v>44884</v>
      </c>
      <c r="I1036" t="s">
        <v>13</v>
      </c>
      <c r="J1036" s="1" t="b">
        <f t="shared" si="112"/>
        <v>0</v>
      </c>
      <c r="K1036" s="1" t="b">
        <f t="shared" si="113"/>
        <v>1</v>
      </c>
      <c r="L1036" s="1" t="b">
        <f t="shared" si="114"/>
        <v>0</v>
      </c>
      <c r="M1036" s="1" t="b">
        <f t="shared" si="115"/>
        <v>0</v>
      </c>
      <c r="N1036" s="1" t="b">
        <f t="shared" si="116"/>
        <v>0</v>
      </c>
      <c r="O1036" s="1" t="b">
        <f t="shared" si="117"/>
        <v>0</v>
      </c>
      <c r="P1036" s="1" t="b">
        <f t="shared" si="118"/>
        <v>0</v>
      </c>
    </row>
    <row r="1037" spans="1:16" x14ac:dyDescent="0.2">
      <c r="A1037">
        <v>3630468</v>
      </c>
      <c r="B1037" t="s">
        <v>1984</v>
      </c>
      <c r="C1037" t="s">
        <v>47</v>
      </c>
      <c r="D1037" t="s">
        <v>81</v>
      </c>
      <c r="E1037" s="1">
        <v>45096</v>
      </c>
      <c r="F1037" t="s">
        <v>1985</v>
      </c>
      <c r="G1037" s="1">
        <v>45112</v>
      </c>
      <c r="H1037" s="1">
        <v>45168</v>
      </c>
      <c r="I1037" t="s">
        <v>43</v>
      </c>
      <c r="J1037" s="1" t="b">
        <f t="shared" si="112"/>
        <v>1</v>
      </c>
      <c r="K1037" s="1" t="b">
        <f t="shared" si="113"/>
        <v>0</v>
      </c>
      <c r="L1037" s="1" t="b">
        <f t="shared" si="114"/>
        <v>0</v>
      </c>
      <c r="M1037" s="1" t="b">
        <f t="shared" si="115"/>
        <v>0</v>
      </c>
      <c r="N1037" s="1" t="b">
        <f t="shared" si="116"/>
        <v>0</v>
      </c>
      <c r="O1037" s="1" t="b">
        <f t="shared" si="117"/>
        <v>1</v>
      </c>
      <c r="P1037" s="1" t="b">
        <f t="shared" si="118"/>
        <v>0</v>
      </c>
    </row>
    <row r="1038" spans="1:16" x14ac:dyDescent="0.2">
      <c r="A1038">
        <v>3630468</v>
      </c>
      <c r="B1038" t="s">
        <v>1986</v>
      </c>
      <c r="C1038" t="s">
        <v>47</v>
      </c>
      <c r="D1038" t="s">
        <v>81</v>
      </c>
      <c r="E1038" s="1">
        <v>44847</v>
      </c>
      <c r="F1038" t="s">
        <v>1987</v>
      </c>
      <c r="G1038" s="1">
        <v>44848</v>
      </c>
      <c r="H1038" s="1">
        <v>44895</v>
      </c>
      <c r="J1038" s="1" t="b">
        <f t="shared" si="112"/>
        <v>1</v>
      </c>
      <c r="K1038" s="1" t="b">
        <f t="shared" si="113"/>
        <v>0</v>
      </c>
      <c r="L1038" s="1" t="b">
        <f t="shared" si="114"/>
        <v>0</v>
      </c>
      <c r="M1038" s="1" t="b">
        <f t="shared" si="115"/>
        <v>0</v>
      </c>
      <c r="N1038" s="1" t="b">
        <f t="shared" si="116"/>
        <v>0</v>
      </c>
      <c r="O1038" s="1" t="b">
        <f t="shared" si="117"/>
        <v>0</v>
      </c>
      <c r="P1038" s="1" t="b">
        <f t="shared" si="118"/>
        <v>0</v>
      </c>
    </row>
    <row r="1039" spans="1:16" x14ac:dyDescent="0.2">
      <c r="A1039">
        <v>8182500</v>
      </c>
      <c r="B1039" t="s">
        <v>1988</v>
      </c>
      <c r="C1039" t="s">
        <v>138</v>
      </c>
      <c r="D1039" t="s">
        <v>19</v>
      </c>
      <c r="E1039" s="1">
        <v>44714</v>
      </c>
      <c r="F1039" t="s">
        <v>1989</v>
      </c>
      <c r="G1039" s="1">
        <v>44744</v>
      </c>
      <c r="I1039" t="s">
        <v>25</v>
      </c>
      <c r="J1039" s="1" t="b">
        <f t="shared" si="112"/>
        <v>0</v>
      </c>
      <c r="K1039" s="1" t="b">
        <f t="shared" si="113"/>
        <v>0</v>
      </c>
      <c r="L1039" s="1" t="b">
        <f t="shared" si="114"/>
        <v>1</v>
      </c>
      <c r="M1039" s="1" t="b">
        <f t="shared" si="115"/>
        <v>0</v>
      </c>
      <c r="N1039" s="1" t="b">
        <f t="shared" si="116"/>
        <v>0</v>
      </c>
      <c r="O1039" s="1" t="b">
        <f t="shared" si="117"/>
        <v>0</v>
      </c>
      <c r="P1039" s="1" t="b">
        <f t="shared" si="118"/>
        <v>0</v>
      </c>
    </row>
    <row r="1040" spans="1:16" x14ac:dyDescent="0.2">
      <c r="A1040">
        <v>8182500</v>
      </c>
      <c r="B1040" t="s">
        <v>1990</v>
      </c>
      <c r="C1040" t="s">
        <v>138</v>
      </c>
      <c r="D1040" t="s">
        <v>19</v>
      </c>
      <c r="E1040" s="1">
        <v>44603</v>
      </c>
      <c r="F1040" t="s">
        <v>1287</v>
      </c>
      <c r="G1040" s="1">
        <v>44619</v>
      </c>
      <c r="H1040" s="1">
        <v>44666</v>
      </c>
      <c r="I1040" t="s">
        <v>16</v>
      </c>
      <c r="J1040" s="1" t="b">
        <f t="shared" si="112"/>
        <v>1</v>
      </c>
      <c r="K1040" s="1" t="b">
        <f t="shared" si="113"/>
        <v>0</v>
      </c>
      <c r="L1040" s="1" t="b">
        <f t="shared" si="114"/>
        <v>0</v>
      </c>
      <c r="M1040" s="1" t="b">
        <f t="shared" si="115"/>
        <v>0</v>
      </c>
      <c r="N1040" s="1" t="b">
        <f t="shared" si="116"/>
        <v>1</v>
      </c>
      <c r="O1040" s="1" t="b">
        <f t="shared" si="117"/>
        <v>0</v>
      </c>
      <c r="P1040" s="1" t="b">
        <f t="shared" si="118"/>
        <v>0</v>
      </c>
    </row>
    <row r="1041" spans="1:16" x14ac:dyDescent="0.2">
      <c r="A1041">
        <v>9459346</v>
      </c>
      <c r="B1041" t="s">
        <v>1991</v>
      </c>
      <c r="C1041" t="s">
        <v>521</v>
      </c>
      <c r="D1041" t="s">
        <v>60</v>
      </c>
      <c r="E1041" s="1">
        <v>44662</v>
      </c>
      <c r="F1041" t="s">
        <v>1992</v>
      </c>
      <c r="G1041" s="1">
        <v>44677</v>
      </c>
      <c r="I1041" t="s">
        <v>25</v>
      </c>
      <c r="J1041" s="1" t="b">
        <f t="shared" si="112"/>
        <v>0</v>
      </c>
      <c r="K1041" s="1" t="b">
        <f t="shared" si="113"/>
        <v>0</v>
      </c>
      <c r="L1041" s="1" t="b">
        <f t="shared" si="114"/>
        <v>1</v>
      </c>
      <c r="M1041" s="1" t="b">
        <f t="shared" si="115"/>
        <v>0</v>
      </c>
      <c r="N1041" s="1" t="b">
        <f t="shared" si="116"/>
        <v>0</v>
      </c>
      <c r="O1041" s="1" t="b">
        <f t="shared" si="117"/>
        <v>0</v>
      </c>
      <c r="P1041" s="1" t="b">
        <f t="shared" si="118"/>
        <v>0</v>
      </c>
    </row>
    <row r="1042" spans="1:16" x14ac:dyDescent="0.2">
      <c r="A1042">
        <v>9459346</v>
      </c>
      <c r="B1042" t="s">
        <v>1993</v>
      </c>
      <c r="C1042" t="s">
        <v>521</v>
      </c>
      <c r="D1042" t="s">
        <v>60</v>
      </c>
      <c r="E1042" s="1">
        <v>44574</v>
      </c>
      <c r="F1042" t="s">
        <v>1994</v>
      </c>
      <c r="G1042" s="1">
        <v>44597</v>
      </c>
      <c r="H1042" s="1">
        <v>44644</v>
      </c>
      <c r="I1042" t="s">
        <v>16</v>
      </c>
      <c r="J1042" s="1" t="b">
        <f t="shared" si="112"/>
        <v>1</v>
      </c>
      <c r="K1042" s="1" t="b">
        <f t="shared" si="113"/>
        <v>0</v>
      </c>
      <c r="L1042" s="1" t="b">
        <f t="shared" si="114"/>
        <v>0</v>
      </c>
      <c r="M1042" s="1" t="b">
        <f t="shared" si="115"/>
        <v>0</v>
      </c>
      <c r="N1042" s="1" t="b">
        <f t="shared" si="116"/>
        <v>1</v>
      </c>
      <c r="O1042" s="1" t="b">
        <f t="shared" si="117"/>
        <v>0</v>
      </c>
      <c r="P1042" s="1" t="b">
        <f t="shared" si="118"/>
        <v>0</v>
      </c>
    </row>
    <row r="1043" spans="1:16" x14ac:dyDescent="0.2">
      <c r="A1043">
        <v>9459346</v>
      </c>
      <c r="B1043" t="s">
        <v>1995</v>
      </c>
      <c r="C1043" t="s">
        <v>521</v>
      </c>
      <c r="D1043" t="s">
        <v>60</v>
      </c>
      <c r="E1043" s="1">
        <v>44864</v>
      </c>
      <c r="F1043" t="s">
        <v>1996</v>
      </c>
      <c r="G1043" s="1">
        <v>44872</v>
      </c>
      <c r="H1043" s="1">
        <v>44914</v>
      </c>
      <c r="I1043" t="s">
        <v>43</v>
      </c>
      <c r="J1043" s="1" t="b">
        <f t="shared" si="112"/>
        <v>1</v>
      </c>
      <c r="K1043" s="1" t="b">
        <f t="shared" si="113"/>
        <v>0</v>
      </c>
      <c r="L1043" s="1" t="b">
        <f t="shared" si="114"/>
        <v>0</v>
      </c>
      <c r="M1043" s="1" t="b">
        <f t="shared" si="115"/>
        <v>0</v>
      </c>
      <c r="N1043" s="1" t="b">
        <f t="shared" si="116"/>
        <v>0</v>
      </c>
      <c r="O1043" s="1" t="b">
        <f t="shared" si="117"/>
        <v>1</v>
      </c>
      <c r="P1043" s="1" t="b">
        <f t="shared" si="118"/>
        <v>0</v>
      </c>
    </row>
    <row r="1044" spans="1:16" x14ac:dyDescent="0.2">
      <c r="A1044">
        <v>9459346</v>
      </c>
      <c r="B1044" t="s">
        <v>1997</v>
      </c>
      <c r="C1044" t="s">
        <v>521</v>
      </c>
      <c r="D1044" t="s">
        <v>60</v>
      </c>
      <c r="E1044" s="1">
        <v>44874</v>
      </c>
      <c r="F1044" t="s">
        <v>1433</v>
      </c>
      <c r="G1044" s="1">
        <v>44880</v>
      </c>
      <c r="H1044" s="1">
        <v>44926</v>
      </c>
      <c r="I1044" t="s">
        <v>16</v>
      </c>
      <c r="J1044" s="1" t="b">
        <f t="shared" si="112"/>
        <v>1</v>
      </c>
      <c r="K1044" s="1" t="b">
        <f t="shared" si="113"/>
        <v>0</v>
      </c>
      <c r="L1044" s="1" t="b">
        <f t="shared" si="114"/>
        <v>0</v>
      </c>
      <c r="M1044" s="1" t="b">
        <f t="shared" si="115"/>
        <v>0</v>
      </c>
      <c r="N1044" s="1" t="b">
        <f t="shared" si="116"/>
        <v>1</v>
      </c>
      <c r="O1044" s="1" t="b">
        <f t="shared" si="117"/>
        <v>0</v>
      </c>
      <c r="P1044" s="1" t="b">
        <f t="shared" si="118"/>
        <v>0</v>
      </c>
    </row>
    <row r="1045" spans="1:16" x14ac:dyDescent="0.2">
      <c r="A1045">
        <v>9459346</v>
      </c>
      <c r="B1045" t="s">
        <v>1998</v>
      </c>
      <c r="C1045" t="s">
        <v>521</v>
      </c>
      <c r="D1045" t="s">
        <v>60</v>
      </c>
      <c r="E1045" s="1">
        <v>44703</v>
      </c>
      <c r="F1045" t="s">
        <v>1999</v>
      </c>
      <c r="G1045" s="1">
        <v>44731</v>
      </c>
      <c r="H1045" s="1">
        <v>44777</v>
      </c>
      <c r="I1045" t="s">
        <v>16</v>
      </c>
      <c r="J1045" s="1" t="b">
        <f t="shared" si="112"/>
        <v>1</v>
      </c>
      <c r="K1045" s="1" t="b">
        <f t="shared" si="113"/>
        <v>0</v>
      </c>
      <c r="L1045" s="1" t="b">
        <f t="shared" si="114"/>
        <v>0</v>
      </c>
      <c r="M1045" s="1" t="b">
        <f t="shared" si="115"/>
        <v>0</v>
      </c>
      <c r="N1045" s="1" t="b">
        <f t="shared" si="116"/>
        <v>1</v>
      </c>
      <c r="O1045" s="1" t="b">
        <f t="shared" si="117"/>
        <v>0</v>
      </c>
      <c r="P1045" s="1" t="b">
        <f t="shared" si="118"/>
        <v>0</v>
      </c>
    </row>
    <row r="1046" spans="1:16" x14ac:dyDescent="0.2">
      <c r="A1046">
        <v>7800818</v>
      </c>
      <c r="B1046" t="s">
        <v>2000</v>
      </c>
      <c r="C1046" t="s">
        <v>38</v>
      </c>
      <c r="D1046" t="s">
        <v>39</v>
      </c>
      <c r="E1046" s="1">
        <v>44634</v>
      </c>
      <c r="F1046" t="s">
        <v>487</v>
      </c>
      <c r="G1046" s="1">
        <v>44647</v>
      </c>
      <c r="H1046" s="1">
        <v>44705</v>
      </c>
      <c r="I1046" t="s">
        <v>16</v>
      </c>
      <c r="J1046" s="1" t="b">
        <f t="shared" si="112"/>
        <v>1</v>
      </c>
      <c r="K1046" s="1" t="b">
        <f t="shared" si="113"/>
        <v>0</v>
      </c>
      <c r="L1046" s="1" t="b">
        <f t="shared" si="114"/>
        <v>0</v>
      </c>
      <c r="M1046" s="1" t="b">
        <f t="shared" si="115"/>
        <v>0</v>
      </c>
      <c r="N1046" s="1" t="b">
        <f t="shared" si="116"/>
        <v>1</v>
      </c>
      <c r="O1046" s="1" t="b">
        <f t="shared" si="117"/>
        <v>0</v>
      </c>
      <c r="P1046" s="1" t="b">
        <f t="shared" si="118"/>
        <v>0</v>
      </c>
    </row>
    <row r="1047" spans="1:16" x14ac:dyDescent="0.2">
      <c r="A1047">
        <v>7800818</v>
      </c>
      <c r="B1047" t="s">
        <v>2001</v>
      </c>
      <c r="C1047" t="s">
        <v>38</v>
      </c>
      <c r="D1047" t="s">
        <v>39</v>
      </c>
      <c r="E1047" s="1">
        <v>44838</v>
      </c>
      <c r="F1047" t="s">
        <v>65</v>
      </c>
      <c r="G1047" s="1">
        <v>44861</v>
      </c>
      <c r="H1047" s="1">
        <v>44901</v>
      </c>
      <c r="I1047" t="s">
        <v>16</v>
      </c>
      <c r="J1047" s="1" t="b">
        <f t="shared" si="112"/>
        <v>1</v>
      </c>
      <c r="K1047" s="1" t="b">
        <f t="shared" si="113"/>
        <v>0</v>
      </c>
      <c r="L1047" s="1" t="b">
        <f t="shared" si="114"/>
        <v>0</v>
      </c>
      <c r="M1047" s="1" t="b">
        <f t="shared" si="115"/>
        <v>0</v>
      </c>
      <c r="N1047" s="1" t="b">
        <f t="shared" si="116"/>
        <v>1</v>
      </c>
      <c r="O1047" s="1" t="b">
        <f t="shared" si="117"/>
        <v>0</v>
      </c>
      <c r="P1047" s="1" t="b">
        <f t="shared" si="118"/>
        <v>0</v>
      </c>
    </row>
    <row r="1048" spans="1:16" x14ac:dyDescent="0.2">
      <c r="A1048">
        <v>7800818</v>
      </c>
      <c r="B1048" t="s">
        <v>2002</v>
      </c>
      <c r="C1048" t="s">
        <v>38</v>
      </c>
      <c r="D1048" t="s">
        <v>39</v>
      </c>
      <c r="E1048" s="1">
        <v>44644</v>
      </c>
      <c r="F1048" t="s">
        <v>1360</v>
      </c>
      <c r="G1048" s="1">
        <v>44664</v>
      </c>
      <c r="H1048" s="1">
        <v>44721</v>
      </c>
      <c r="I1048" t="s">
        <v>43</v>
      </c>
      <c r="J1048" s="1" t="b">
        <f t="shared" si="112"/>
        <v>1</v>
      </c>
      <c r="K1048" s="1" t="b">
        <f t="shared" si="113"/>
        <v>0</v>
      </c>
      <c r="L1048" s="1" t="b">
        <f t="shared" si="114"/>
        <v>0</v>
      </c>
      <c r="M1048" s="1" t="b">
        <f t="shared" si="115"/>
        <v>0</v>
      </c>
      <c r="N1048" s="1" t="b">
        <f t="shared" si="116"/>
        <v>0</v>
      </c>
      <c r="O1048" s="1" t="b">
        <f t="shared" si="117"/>
        <v>1</v>
      </c>
      <c r="P1048" s="1" t="b">
        <f t="shared" si="118"/>
        <v>0</v>
      </c>
    </row>
    <row r="1049" spans="1:16" x14ac:dyDescent="0.2">
      <c r="A1049">
        <v>7800818</v>
      </c>
      <c r="B1049" t="s">
        <v>2003</v>
      </c>
      <c r="C1049" t="s">
        <v>38</v>
      </c>
      <c r="D1049" t="s">
        <v>39</v>
      </c>
      <c r="E1049" s="1">
        <v>44934</v>
      </c>
      <c r="F1049" t="s">
        <v>2004</v>
      </c>
      <c r="G1049" s="1">
        <v>44963</v>
      </c>
      <c r="H1049" s="1">
        <v>44967</v>
      </c>
      <c r="I1049" t="s">
        <v>16</v>
      </c>
      <c r="J1049" s="1" t="b">
        <f t="shared" si="112"/>
        <v>1</v>
      </c>
      <c r="K1049" s="1" t="b">
        <f t="shared" si="113"/>
        <v>0</v>
      </c>
      <c r="L1049" s="1" t="b">
        <f t="shared" si="114"/>
        <v>0</v>
      </c>
      <c r="M1049" s="1" t="b">
        <f t="shared" si="115"/>
        <v>0</v>
      </c>
      <c r="N1049" s="1" t="b">
        <f t="shared" si="116"/>
        <v>1</v>
      </c>
      <c r="O1049" s="1" t="b">
        <f t="shared" si="117"/>
        <v>0</v>
      </c>
      <c r="P1049" s="1" t="b">
        <f t="shared" si="118"/>
        <v>0</v>
      </c>
    </row>
    <row r="1050" spans="1:16" x14ac:dyDescent="0.2">
      <c r="A1050">
        <v>2861709</v>
      </c>
      <c r="B1050" t="s">
        <v>2005</v>
      </c>
      <c r="C1050" t="s">
        <v>59</v>
      </c>
      <c r="D1050" t="s">
        <v>39</v>
      </c>
      <c r="E1050" s="1">
        <v>44630</v>
      </c>
      <c r="F1050" t="s">
        <v>1500</v>
      </c>
      <c r="G1050" s="1">
        <v>44648</v>
      </c>
      <c r="H1050" s="1">
        <v>44694</v>
      </c>
      <c r="I1050" t="s">
        <v>28</v>
      </c>
      <c r="J1050" s="1" t="b">
        <f t="shared" si="112"/>
        <v>1</v>
      </c>
      <c r="K1050" s="1" t="b">
        <f t="shared" si="113"/>
        <v>0</v>
      </c>
      <c r="L1050" s="1" t="b">
        <f t="shared" si="114"/>
        <v>0</v>
      </c>
      <c r="M1050" s="1" t="b">
        <f t="shared" si="115"/>
        <v>0</v>
      </c>
      <c r="N1050" s="1" t="b">
        <f t="shared" si="116"/>
        <v>0</v>
      </c>
      <c r="O1050" s="1" t="b">
        <f t="shared" si="117"/>
        <v>0</v>
      </c>
      <c r="P1050" s="1" t="b">
        <f t="shared" si="118"/>
        <v>1</v>
      </c>
    </row>
    <row r="1051" spans="1:16" x14ac:dyDescent="0.2">
      <c r="A1051">
        <v>2861709</v>
      </c>
      <c r="B1051" t="s">
        <v>2006</v>
      </c>
      <c r="C1051" t="s">
        <v>59</v>
      </c>
      <c r="D1051" t="s">
        <v>39</v>
      </c>
      <c r="E1051" s="1">
        <v>44678</v>
      </c>
      <c r="F1051" t="s">
        <v>2007</v>
      </c>
      <c r="G1051" s="1">
        <v>44699</v>
      </c>
      <c r="H1051" s="1">
        <v>44730</v>
      </c>
      <c r="I1051" t="s">
        <v>43</v>
      </c>
      <c r="J1051" s="1" t="b">
        <f t="shared" si="112"/>
        <v>1</v>
      </c>
      <c r="K1051" s="1" t="b">
        <f t="shared" si="113"/>
        <v>0</v>
      </c>
      <c r="L1051" s="1" t="b">
        <f t="shared" si="114"/>
        <v>0</v>
      </c>
      <c r="M1051" s="1" t="b">
        <f t="shared" si="115"/>
        <v>0</v>
      </c>
      <c r="N1051" s="1" t="b">
        <f t="shared" si="116"/>
        <v>0</v>
      </c>
      <c r="O1051" s="1" t="b">
        <f t="shared" si="117"/>
        <v>1</v>
      </c>
      <c r="P1051" s="1" t="b">
        <f t="shared" si="118"/>
        <v>0</v>
      </c>
    </row>
    <row r="1052" spans="1:16" x14ac:dyDescent="0.2">
      <c r="A1052">
        <v>2861709</v>
      </c>
      <c r="B1052" t="s">
        <v>2008</v>
      </c>
      <c r="C1052" t="s">
        <v>59</v>
      </c>
      <c r="D1052" t="s">
        <v>39</v>
      </c>
      <c r="E1052" s="1">
        <v>44792</v>
      </c>
      <c r="F1052" t="s">
        <v>1362</v>
      </c>
      <c r="G1052" s="1">
        <v>44803</v>
      </c>
      <c r="H1052" s="1">
        <v>44826</v>
      </c>
      <c r="I1052" t="s">
        <v>43</v>
      </c>
      <c r="J1052" s="1" t="b">
        <f t="shared" si="112"/>
        <v>1</v>
      </c>
      <c r="K1052" s="1" t="b">
        <f t="shared" si="113"/>
        <v>0</v>
      </c>
      <c r="L1052" s="1" t="b">
        <f t="shared" si="114"/>
        <v>0</v>
      </c>
      <c r="M1052" s="1" t="b">
        <f t="shared" si="115"/>
        <v>0</v>
      </c>
      <c r="N1052" s="1" t="b">
        <f t="shared" si="116"/>
        <v>0</v>
      </c>
      <c r="O1052" s="1" t="b">
        <f t="shared" si="117"/>
        <v>1</v>
      </c>
      <c r="P1052" s="1" t="b">
        <f t="shared" si="118"/>
        <v>0</v>
      </c>
    </row>
    <row r="1053" spans="1:16" x14ac:dyDescent="0.2">
      <c r="A1053">
        <v>2861709</v>
      </c>
      <c r="B1053" t="s">
        <v>2009</v>
      </c>
      <c r="C1053" t="s">
        <v>59</v>
      </c>
      <c r="D1053" t="s">
        <v>39</v>
      </c>
      <c r="E1053" s="1">
        <v>44626</v>
      </c>
      <c r="F1053" t="s">
        <v>2010</v>
      </c>
      <c r="G1053" s="1">
        <v>44638</v>
      </c>
      <c r="H1053" s="1">
        <v>44661</v>
      </c>
      <c r="J1053" s="1" t="b">
        <f t="shared" si="112"/>
        <v>1</v>
      </c>
      <c r="K1053" s="1" t="b">
        <f t="shared" si="113"/>
        <v>0</v>
      </c>
      <c r="L1053" s="1" t="b">
        <f t="shared" si="114"/>
        <v>0</v>
      </c>
      <c r="M1053" s="1" t="b">
        <f t="shared" si="115"/>
        <v>0</v>
      </c>
      <c r="N1053" s="1" t="b">
        <f t="shared" si="116"/>
        <v>0</v>
      </c>
      <c r="O1053" s="1" t="b">
        <f t="shared" si="117"/>
        <v>0</v>
      </c>
      <c r="P1053" s="1" t="b">
        <f t="shared" si="118"/>
        <v>0</v>
      </c>
    </row>
    <row r="1054" spans="1:16" x14ac:dyDescent="0.2">
      <c r="A1054">
        <v>8590191</v>
      </c>
      <c r="B1054" t="s">
        <v>2011</v>
      </c>
      <c r="C1054" t="s">
        <v>363</v>
      </c>
      <c r="D1054" t="s">
        <v>139</v>
      </c>
      <c r="E1054" s="1">
        <v>45107</v>
      </c>
      <c r="F1054" t="s">
        <v>2012</v>
      </c>
      <c r="G1054" s="1">
        <v>45136</v>
      </c>
      <c r="H1054" s="1">
        <v>45155</v>
      </c>
      <c r="J1054" s="1" t="b">
        <f t="shared" si="112"/>
        <v>1</v>
      </c>
      <c r="K1054" s="1" t="b">
        <f t="shared" si="113"/>
        <v>0</v>
      </c>
      <c r="L1054" s="1" t="b">
        <f t="shared" si="114"/>
        <v>0</v>
      </c>
      <c r="M1054" s="1" t="b">
        <f t="shared" si="115"/>
        <v>0</v>
      </c>
      <c r="N1054" s="1" t="b">
        <f t="shared" si="116"/>
        <v>0</v>
      </c>
      <c r="O1054" s="1" t="b">
        <f t="shared" si="117"/>
        <v>0</v>
      </c>
      <c r="P1054" s="1" t="b">
        <f t="shared" si="118"/>
        <v>0</v>
      </c>
    </row>
    <row r="1055" spans="1:16" x14ac:dyDescent="0.2">
      <c r="A1055">
        <v>8590191</v>
      </c>
      <c r="B1055" t="s">
        <v>2013</v>
      </c>
      <c r="C1055" t="s">
        <v>363</v>
      </c>
      <c r="D1055" t="s">
        <v>139</v>
      </c>
      <c r="E1055" s="1">
        <v>44629</v>
      </c>
      <c r="F1055" t="s">
        <v>2014</v>
      </c>
      <c r="G1055" s="1">
        <v>44636</v>
      </c>
      <c r="H1055" s="1">
        <v>44694</v>
      </c>
      <c r="I1055" t="s">
        <v>28</v>
      </c>
      <c r="J1055" s="1" t="b">
        <f t="shared" si="112"/>
        <v>1</v>
      </c>
      <c r="K1055" s="1" t="b">
        <f t="shared" si="113"/>
        <v>0</v>
      </c>
      <c r="L1055" s="1" t="b">
        <f t="shared" si="114"/>
        <v>0</v>
      </c>
      <c r="M1055" s="1" t="b">
        <f t="shared" si="115"/>
        <v>0</v>
      </c>
      <c r="N1055" s="1" t="b">
        <f t="shared" si="116"/>
        <v>0</v>
      </c>
      <c r="O1055" s="1" t="b">
        <f t="shared" si="117"/>
        <v>0</v>
      </c>
      <c r="P1055" s="1" t="b">
        <f t="shared" si="118"/>
        <v>1</v>
      </c>
    </row>
    <row r="1056" spans="1:16" x14ac:dyDescent="0.2">
      <c r="A1056">
        <v>8590191</v>
      </c>
      <c r="B1056" t="s">
        <v>2015</v>
      </c>
      <c r="C1056" t="s">
        <v>363</v>
      </c>
      <c r="D1056" t="s">
        <v>139</v>
      </c>
      <c r="E1056" s="1">
        <v>44745</v>
      </c>
      <c r="F1056" t="s">
        <v>2016</v>
      </c>
      <c r="G1056" s="1">
        <v>44755</v>
      </c>
      <c r="H1056" s="1">
        <v>44760</v>
      </c>
      <c r="I1056" t="s">
        <v>16</v>
      </c>
      <c r="J1056" s="1" t="b">
        <f t="shared" si="112"/>
        <v>1</v>
      </c>
      <c r="K1056" s="1" t="b">
        <f t="shared" si="113"/>
        <v>0</v>
      </c>
      <c r="L1056" s="1" t="b">
        <f t="shared" si="114"/>
        <v>0</v>
      </c>
      <c r="M1056" s="1" t="b">
        <f t="shared" si="115"/>
        <v>0</v>
      </c>
      <c r="N1056" s="1" t="b">
        <f t="shared" si="116"/>
        <v>1</v>
      </c>
      <c r="O1056" s="1" t="b">
        <f t="shared" si="117"/>
        <v>0</v>
      </c>
      <c r="P1056" s="1" t="b">
        <f t="shared" si="118"/>
        <v>0</v>
      </c>
    </row>
    <row r="1057" spans="1:16" x14ac:dyDescent="0.2">
      <c r="A1057">
        <v>8590191</v>
      </c>
      <c r="B1057" t="s">
        <v>2017</v>
      </c>
      <c r="C1057" t="s">
        <v>363</v>
      </c>
      <c r="D1057" t="s">
        <v>139</v>
      </c>
      <c r="E1057" s="1">
        <v>44713</v>
      </c>
      <c r="F1057" t="s">
        <v>2018</v>
      </c>
      <c r="G1057" s="1">
        <v>44729</v>
      </c>
      <c r="I1057" t="s">
        <v>13</v>
      </c>
      <c r="J1057" s="1" t="b">
        <f t="shared" si="112"/>
        <v>0</v>
      </c>
      <c r="K1057" s="1" t="b">
        <f t="shared" si="113"/>
        <v>1</v>
      </c>
      <c r="L1057" s="1" t="b">
        <f t="shared" si="114"/>
        <v>0</v>
      </c>
      <c r="M1057" s="1" t="b">
        <f t="shared" si="115"/>
        <v>0</v>
      </c>
      <c r="N1057" s="1" t="b">
        <f t="shared" si="116"/>
        <v>0</v>
      </c>
      <c r="O1057" s="1" t="b">
        <f t="shared" si="117"/>
        <v>0</v>
      </c>
      <c r="P1057" s="1" t="b">
        <f t="shared" si="118"/>
        <v>0</v>
      </c>
    </row>
    <row r="1058" spans="1:16" x14ac:dyDescent="0.2">
      <c r="A1058">
        <v>8590191</v>
      </c>
      <c r="B1058" t="s">
        <v>2019</v>
      </c>
      <c r="C1058" t="s">
        <v>363</v>
      </c>
      <c r="D1058" t="s">
        <v>139</v>
      </c>
      <c r="E1058" s="1">
        <v>44585</v>
      </c>
      <c r="F1058" t="s">
        <v>967</v>
      </c>
      <c r="G1058" s="1">
        <v>44595</v>
      </c>
      <c r="I1058" t="s">
        <v>13</v>
      </c>
      <c r="J1058" s="1" t="b">
        <f t="shared" si="112"/>
        <v>0</v>
      </c>
      <c r="K1058" s="1" t="b">
        <f t="shared" si="113"/>
        <v>1</v>
      </c>
      <c r="L1058" s="1" t="b">
        <f t="shared" si="114"/>
        <v>0</v>
      </c>
      <c r="M1058" s="1" t="b">
        <f t="shared" si="115"/>
        <v>0</v>
      </c>
      <c r="N1058" s="1" t="b">
        <f t="shared" si="116"/>
        <v>0</v>
      </c>
      <c r="O1058" s="1" t="b">
        <f t="shared" si="117"/>
        <v>0</v>
      </c>
      <c r="P1058" s="1" t="b">
        <f t="shared" si="118"/>
        <v>0</v>
      </c>
    </row>
    <row r="1059" spans="1:16" x14ac:dyDescent="0.2">
      <c r="A1059">
        <v>7988325</v>
      </c>
      <c r="B1059" t="s">
        <v>2020</v>
      </c>
      <c r="C1059" t="s">
        <v>167</v>
      </c>
      <c r="D1059" t="s">
        <v>139</v>
      </c>
      <c r="E1059" s="1">
        <v>44583</v>
      </c>
      <c r="F1059" t="s">
        <v>2021</v>
      </c>
      <c r="G1059" s="1">
        <v>44593</v>
      </c>
      <c r="H1059" s="1">
        <v>44606</v>
      </c>
      <c r="J1059" s="1" t="b">
        <f t="shared" si="112"/>
        <v>1</v>
      </c>
      <c r="K1059" s="1" t="b">
        <f t="shared" si="113"/>
        <v>0</v>
      </c>
      <c r="L1059" s="1" t="b">
        <f t="shared" si="114"/>
        <v>0</v>
      </c>
      <c r="M1059" s="1" t="b">
        <f t="shared" si="115"/>
        <v>0</v>
      </c>
      <c r="N1059" s="1" t="b">
        <f t="shared" si="116"/>
        <v>0</v>
      </c>
      <c r="O1059" s="1" t="b">
        <f t="shared" si="117"/>
        <v>0</v>
      </c>
      <c r="P1059" s="1" t="b">
        <f t="shared" si="118"/>
        <v>0</v>
      </c>
    </row>
    <row r="1060" spans="1:16" x14ac:dyDescent="0.2">
      <c r="A1060">
        <v>7988325</v>
      </c>
      <c r="B1060" t="s">
        <v>2022</v>
      </c>
      <c r="C1060" t="s">
        <v>167</v>
      </c>
      <c r="D1060" t="s">
        <v>139</v>
      </c>
      <c r="E1060" s="1">
        <v>44799</v>
      </c>
      <c r="F1060" t="s">
        <v>2023</v>
      </c>
      <c r="G1060" s="1">
        <v>44826</v>
      </c>
      <c r="I1060" t="s">
        <v>13</v>
      </c>
      <c r="J1060" s="1" t="b">
        <f t="shared" si="112"/>
        <v>0</v>
      </c>
      <c r="K1060" s="1" t="b">
        <f t="shared" si="113"/>
        <v>1</v>
      </c>
      <c r="L1060" s="1" t="b">
        <f t="shared" si="114"/>
        <v>0</v>
      </c>
      <c r="M1060" s="1" t="b">
        <f t="shared" si="115"/>
        <v>0</v>
      </c>
      <c r="N1060" s="1" t="b">
        <f t="shared" si="116"/>
        <v>0</v>
      </c>
      <c r="O1060" s="1" t="b">
        <f t="shared" si="117"/>
        <v>0</v>
      </c>
      <c r="P1060" s="1" t="b">
        <f t="shared" si="118"/>
        <v>0</v>
      </c>
    </row>
    <row r="1061" spans="1:16" x14ac:dyDescent="0.2">
      <c r="A1061">
        <v>9717785</v>
      </c>
      <c r="B1061" t="s">
        <v>2024</v>
      </c>
      <c r="C1061" t="s">
        <v>265</v>
      </c>
      <c r="D1061" t="s">
        <v>39</v>
      </c>
      <c r="E1061" s="1">
        <v>45104</v>
      </c>
      <c r="F1061" t="s">
        <v>2025</v>
      </c>
      <c r="G1061" s="1">
        <v>45131</v>
      </c>
      <c r="H1061" s="1">
        <v>45167</v>
      </c>
      <c r="I1061" t="s">
        <v>28</v>
      </c>
      <c r="J1061" s="1" t="b">
        <f t="shared" si="112"/>
        <v>1</v>
      </c>
      <c r="K1061" s="1" t="b">
        <f t="shared" si="113"/>
        <v>0</v>
      </c>
      <c r="L1061" s="1" t="b">
        <f t="shared" si="114"/>
        <v>0</v>
      </c>
      <c r="M1061" s="1" t="b">
        <f t="shared" si="115"/>
        <v>0</v>
      </c>
      <c r="N1061" s="1" t="b">
        <f t="shared" si="116"/>
        <v>0</v>
      </c>
      <c r="O1061" s="1" t="b">
        <f t="shared" si="117"/>
        <v>0</v>
      </c>
      <c r="P1061" s="1" t="b">
        <f t="shared" si="118"/>
        <v>1</v>
      </c>
    </row>
    <row r="1062" spans="1:16" x14ac:dyDescent="0.2">
      <c r="A1062">
        <v>9717785</v>
      </c>
      <c r="B1062" t="s">
        <v>2026</v>
      </c>
      <c r="C1062" t="s">
        <v>265</v>
      </c>
      <c r="D1062" t="s">
        <v>39</v>
      </c>
      <c r="E1062" s="1">
        <v>44875</v>
      </c>
      <c r="F1062" t="s">
        <v>1491</v>
      </c>
      <c r="G1062" s="1">
        <v>44881</v>
      </c>
      <c r="H1062" s="1">
        <v>44932</v>
      </c>
      <c r="I1062" t="s">
        <v>28</v>
      </c>
      <c r="J1062" s="1" t="b">
        <f t="shared" si="112"/>
        <v>1</v>
      </c>
      <c r="K1062" s="1" t="b">
        <f t="shared" si="113"/>
        <v>0</v>
      </c>
      <c r="L1062" s="1" t="b">
        <f t="shared" si="114"/>
        <v>0</v>
      </c>
      <c r="M1062" s="1" t="b">
        <f t="shared" si="115"/>
        <v>0</v>
      </c>
      <c r="N1062" s="1" t="b">
        <f t="shared" si="116"/>
        <v>0</v>
      </c>
      <c r="O1062" s="1" t="b">
        <f t="shared" si="117"/>
        <v>0</v>
      </c>
      <c r="P1062" s="1" t="b">
        <f t="shared" si="118"/>
        <v>1</v>
      </c>
    </row>
    <row r="1063" spans="1:16" x14ac:dyDescent="0.2">
      <c r="A1063">
        <v>9717785</v>
      </c>
      <c r="B1063" t="s">
        <v>2027</v>
      </c>
      <c r="C1063" t="s">
        <v>265</v>
      </c>
      <c r="D1063" t="s">
        <v>39</v>
      </c>
      <c r="E1063" s="1">
        <v>44857</v>
      </c>
      <c r="F1063" t="s">
        <v>2028</v>
      </c>
      <c r="G1063" s="1">
        <v>44882</v>
      </c>
      <c r="I1063" t="s">
        <v>25</v>
      </c>
      <c r="J1063" s="1" t="b">
        <f t="shared" si="112"/>
        <v>0</v>
      </c>
      <c r="K1063" s="1" t="b">
        <f t="shared" si="113"/>
        <v>0</v>
      </c>
      <c r="L1063" s="1" t="b">
        <f t="shared" si="114"/>
        <v>1</v>
      </c>
      <c r="M1063" s="1" t="b">
        <f t="shared" si="115"/>
        <v>0</v>
      </c>
      <c r="N1063" s="1" t="b">
        <f t="shared" si="116"/>
        <v>0</v>
      </c>
      <c r="O1063" s="1" t="b">
        <f t="shared" si="117"/>
        <v>0</v>
      </c>
      <c r="P1063" s="1" t="b">
        <f t="shared" si="118"/>
        <v>0</v>
      </c>
    </row>
    <row r="1064" spans="1:16" x14ac:dyDescent="0.2">
      <c r="A1064">
        <v>9717785</v>
      </c>
      <c r="B1064" t="s">
        <v>2029</v>
      </c>
      <c r="C1064" t="s">
        <v>265</v>
      </c>
      <c r="D1064" t="s">
        <v>39</v>
      </c>
      <c r="E1064" s="1">
        <v>45028</v>
      </c>
      <c r="F1064" t="s">
        <v>1547</v>
      </c>
      <c r="G1064" s="1">
        <v>45034</v>
      </c>
      <c r="H1064" s="1">
        <v>45074</v>
      </c>
      <c r="I1064" t="s">
        <v>43</v>
      </c>
      <c r="J1064" s="1" t="b">
        <f t="shared" si="112"/>
        <v>1</v>
      </c>
      <c r="K1064" s="1" t="b">
        <f t="shared" si="113"/>
        <v>0</v>
      </c>
      <c r="L1064" s="1" t="b">
        <f t="shared" si="114"/>
        <v>0</v>
      </c>
      <c r="M1064" s="1" t="b">
        <f t="shared" si="115"/>
        <v>0</v>
      </c>
      <c r="N1064" s="1" t="b">
        <f t="shared" si="116"/>
        <v>0</v>
      </c>
      <c r="O1064" s="1" t="b">
        <f t="shared" si="117"/>
        <v>1</v>
      </c>
      <c r="P1064" s="1" t="b">
        <f t="shared" si="118"/>
        <v>0</v>
      </c>
    </row>
    <row r="1065" spans="1:16" x14ac:dyDescent="0.2">
      <c r="A1065">
        <v>3697606</v>
      </c>
      <c r="B1065" t="s">
        <v>2030</v>
      </c>
      <c r="C1065" t="s">
        <v>240</v>
      </c>
      <c r="D1065" t="s">
        <v>139</v>
      </c>
      <c r="E1065" s="1">
        <v>44719</v>
      </c>
      <c r="F1065" t="s">
        <v>2031</v>
      </c>
      <c r="G1065" s="1">
        <v>44725</v>
      </c>
      <c r="I1065" t="s">
        <v>13</v>
      </c>
      <c r="J1065" s="1" t="b">
        <f t="shared" si="112"/>
        <v>0</v>
      </c>
      <c r="K1065" s="1" t="b">
        <f t="shared" si="113"/>
        <v>1</v>
      </c>
      <c r="L1065" s="1" t="b">
        <f t="shared" si="114"/>
        <v>0</v>
      </c>
      <c r="M1065" s="1" t="b">
        <f t="shared" si="115"/>
        <v>0</v>
      </c>
      <c r="N1065" s="1" t="b">
        <f t="shared" si="116"/>
        <v>0</v>
      </c>
      <c r="O1065" s="1" t="b">
        <f t="shared" si="117"/>
        <v>0</v>
      </c>
      <c r="P1065" s="1" t="b">
        <f t="shared" si="118"/>
        <v>0</v>
      </c>
    </row>
    <row r="1066" spans="1:16" x14ac:dyDescent="0.2">
      <c r="A1066">
        <v>3697606</v>
      </c>
      <c r="B1066" t="s">
        <v>2032</v>
      </c>
      <c r="C1066" t="s">
        <v>240</v>
      </c>
      <c r="D1066" t="s">
        <v>139</v>
      </c>
      <c r="E1066" s="1">
        <v>44691</v>
      </c>
      <c r="F1066" t="s">
        <v>2033</v>
      </c>
      <c r="G1066" s="1">
        <v>44706</v>
      </c>
      <c r="I1066" t="s">
        <v>13</v>
      </c>
      <c r="J1066" s="1" t="b">
        <f t="shared" si="112"/>
        <v>0</v>
      </c>
      <c r="K1066" s="1" t="b">
        <f t="shared" si="113"/>
        <v>1</v>
      </c>
      <c r="L1066" s="1" t="b">
        <f t="shared" si="114"/>
        <v>0</v>
      </c>
      <c r="M1066" s="1" t="b">
        <f t="shared" si="115"/>
        <v>0</v>
      </c>
      <c r="N1066" s="1" t="b">
        <f t="shared" si="116"/>
        <v>0</v>
      </c>
      <c r="O1066" s="1" t="b">
        <f t="shared" si="117"/>
        <v>0</v>
      </c>
      <c r="P1066" s="1" t="b">
        <f t="shared" si="118"/>
        <v>0</v>
      </c>
    </row>
    <row r="1067" spans="1:16" x14ac:dyDescent="0.2">
      <c r="A1067">
        <v>3697606</v>
      </c>
      <c r="B1067" t="s">
        <v>2034</v>
      </c>
      <c r="C1067" t="s">
        <v>240</v>
      </c>
      <c r="D1067" t="s">
        <v>139</v>
      </c>
      <c r="E1067" s="1">
        <v>44597</v>
      </c>
      <c r="F1067" t="s">
        <v>2035</v>
      </c>
      <c r="G1067" s="1">
        <v>44619</v>
      </c>
      <c r="I1067" t="s">
        <v>13</v>
      </c>
      <c r="J1067" s="1" t="b">
        <f t="shared" si="112"/>
        <v>0</v>
      </c>
      <c r="K1067" s="1" t="b">
        <f t="shared" si="113"/>
        <v>1</v>
      </c>
      <c r="L1067" s="1" t="b">
        <f t="shared" si="114"/>
        <v>0</v>
      </c>
      <c r="M1067" s="1" t="b">
        <f t="shared" si="115"/>
        <v>0</v>
      </c>
      <c r="N1067" s="1" t="b">
        <f t="shared" si="116"/>
        <v>0</v>
      </c>
      <c r="O1067" s="1" t="b">
        <f t="shared" si="117"/>
        <v>0</v>
      </c>
      <c r="P1067" s="1" t="b">
        <f t="shared" si="118"/>
        <v>0</v>
      </c>
    </row>
    <row r="1068" spans="1:16" x14ac:dyDescent="0.2">
      <c r="A1068">
        <v>6317433</v>
      </c>
      <c r="B1068" t="s">
        <v>2036</v>
      </c>
      <c r="C1068" t="s">
        <v>542</v>
      </c>
      <c r="D1068" t="s">
        <v>187</v>
      </c>
      <c r="E1068" s="1">
        <v>44686</v>
      </c>
      <c r="F1068" t="s">
        <v>2037</v>
      </c>
      <c r="G1068" s="1">
        <v>44716</v>
      </c>
      <c r="H1068" s="1">
        <v>44718</v>
      </c>
      <c r="I1068" t="s">
        <v>43</v>
      </c>
      <c r="J1068" s="1" t="b">
        <f t="shared" si="112"/>
        <v>1</v>
      </c>
      <c r="K1068" s="1" t="b">
        <f t="shared" si="113"/>
        <v>0</v>
      </c>
      <c r="L1068" s="1" t="b">
        <f t="shared" si="114"/>
        <v>0</v>
      </c>
      <c r="M1068" s="1" t="b">
        <f t="shared" si="115"/>
        <v>0</v>
      </c>
      <c r="N1068" s="1" t="b">
        <f t="shared" si="116"/>
        <v>0</v>
      </c>
      <c r="O1068" s="1" t="b">
        <f t="shared" si="117"/>
        <v>1</v>
      </c>
      <c r="P1068" s="1" t="b">
        <f t="shared" si="118"/>
        <v>0</v>
      </c>
    </row>
    <row r="1069" spans="1:16" x14ac:dyDescent="0.2">
      <c r="A1069">
        <v>6317433</v>
      </c>
      <c r="B1069" t="s">
        <v>2038</v>
      </c>
      <c r="C1069" t="s">
        <v>542</v>
      </c>
      <c r="D1069" t="s">
        <v>187</v>
      </c>
      <c r="E1069" s="1">
        <v>45031</v>
      </c>
      <c r="F1069" t="s">
        <v>2039</v>
      </c>
      <c r="G1069" s="1">
        <v>45061</v>
      </c>
      <c r="H1069" s="1">
        <v>45082</v>
      </c>
      <c r="J1069" s="1" t="b">
        <f t="shared" si="112"/>
        <v>1</v>
      </c>
      <c r="K1069" s="1" t="b">
        <f t="shared" si="113"/>
        <v>0</v>
      </c>
      <c r="L1069" s="1" t="b">
        <f t="shared" si="114"/>
        <v>0</v>
      </c>
      <c r="M1069" s="1" t="b">
        <f t="shared" si="115"/>
        <v>0</v>
      </c>
      <c r="N1069" s="1" t="b">
        <f t="shared" si="116"/>
        <v>0</v>
      </c>
      <c r="O1069" s="1" t="b">
        <f t="shared" si="117"/>
        <v>0</v>
      </c>
      <c r="P1069" s="1" t="b">
        <f t="shared" si="118"/>
        <v>0</v>
      </c>
    </row>
    <row r="1070" spans="1:16" x14ac:dyDescent="0.2">
      <c r="A1070">
        <v>6317433</v>
      </c>
      <c r="B1070" t="s">
        <v>2040</v>
      </c>
      <c r="C1070" t="s">
        <v>542</v>
      </c>
      <c r="D1070" t="s">
        <v>187</v>
      </c>
      <c r="E1070" s="1">
        <v>45081</v>
      </c>
      <c r="F1070" t="s">
        <v>2041</v>
      </c>
      <c r="G1070" s="1">
        <v>45092</v>
      </c>
      <c r="I1070" t="s">
        <v>13</v>
      </c>
      <c r="J1070" s="1" t="b">
        <f t="shared" si="112"/>
        <v>0</v>
      </c>
      <c r="K1070" s="1" t="b">
        <f t="shared" si="113"/>
        <v>1</v>
      </c>
      <c r="L1070" s="1" t="b">
        <f t="shared" si="114"/>
        <v>0</v>
      </c>
      <c r="M1070" s="1" t="b">
        <f t="shared" si="115"/>
        <v>0</v>
      </c>
      <c r="N1070" s="1" t="b">
        <f t="shared" si="116"/>
        <v>0</v>
      </c>
      <c r="O1070" s="1" t="b">
        <f t="shared" si="117"/>
        <v>0</v>
      </c>
      <c r="P1070" s="1" t="b">
        <f t="shared" si="118"/>
        <v>0</v>
      </c>
    </row>
    <row r="1071" spans="1:16" x14ac:dyDescent="0.2">
      <c r="A1071">
        <v>5958621</v>
      </c>
      <c r="B1071" t="s">
        <v>2042</v>
      </c>
      <c r="C1071" t="s">
        <v>363</v>
      </c>
      <c r="D1071" t="s">
        <v>11</v>
      </c>
      <c r="E1071" s="1">
        <v>44677</v>
      </c>
      <c r="F1071" t="s">
        <v>2043</v>
      </c>
      <c r="G1071" s="1">
        <v>44701</v>
      </c>
      <c r="H1071" s="1">
        <v>44732</v>
      </c>
      <c r="J1071" s="1" t="b">
        <f t="shared" si="112"/>
        <v>1</v>
      </c>
      <c r="K1071" s="1" t="b">
        <f t="shared" si="113"/>
        <v>0</v>
      </c>
      <c r="L1071" s="1" t="b">
        <f t="shared" si="114"/>
        <v>0</v>
      </c>
      <c r="M1071" s="1" t="b">
        <f t="shared" si="115"/>
        <v>0</v>
      </c>
      <c r="N1071" s="1" t="b">
        <f t="shared" si="116"/>
        <v>0</v>
      </c>
      <c r="O1071" s="1" t="b">
        <f t="shared" si="117"/>
        <v>0</v>
      </c>
      <c r="P1071" s="1" t="b">
        <f t="shared" si="118"/>
        <v>0</v>
      </c>
    </row>
    <row r="1072" spans="1:16" x14ac:dyDescent="0.2">
      <c r="A1072">
        <v>5958621</v>
      </c>
      <c r="B1072" t="s">
        <v>2044</v>
      </c>
      <c r="C1072" t="s">
        <v>363</v>
      </c>
      <c r="D1072" t="s">
        <v>11</v>
      </c>
      <c r="E1072" s="1">
        <v>44681</v>
      </c>
      <c r="F1072" t="s">
        <v>2045</v>
      </c>
      <c r="G1072" s="1">
        <v>44691</v>
      </c>
      <c r="H1072" s="1">
        <v>44693</v>
      </c>
      <c r="I1072" t="s">
        <v>43</v>
      </c>
      <c r="J1072" s="1" t="b">
        <f t="shared" si="112"/>
        <v>1</v>
      </c>
      <c r="K1072" s="1" t="b">
        <f t="shared" si="113"/>
        <v>0</v>
      </c>
      <c r="L1072" s="1" t="b">
        <f t="shared" si="114"/>
        <v>0</v>
      </c>
      <c r="M1072" s="1" t="b">
        <f t="shared" si="115"/>
        <v>0</v>
      </c>
      <c r="N1072" s="1" t="b">
        <f t="shared" si="116"/>
        <v>0</v>
      </c>
      <c r="O1072" s="1" t="b">
        <f t="shared" si="117"/>
        <v>1</v>
      </c>
      <c r="P1072" s="1" t="b">
        <f t="shared" si="118"/>
        <v>0</v>
      </c>
    </row>
    <row r="1073" spans="1:16" x14ac:dyDescent="0.2">
      <c r="A1073">
        <v>5958621</v>
      </c>
      <c r="B1073" t="s">
        <v>2046</v>
      </c>
      <c r="C1073" t="s">
        <v>363</v>
      </c>
      <c r="D1073" t="s">
        <v>11</v>
      </c>
      <c r="E1073" s="1">
        <v>44656</v>
      </c>
      <c r="F1073" t="s">
        <v>2047</v>
      </c>
      <c r="G1073" s="1">
        <v>44667</v>
      </c>
      <c r="H1073" s="1">
        <v>44671</v>
      </c>
      <c r="I1073" t="s">
        <v>43</v>
      </c>
      <c r="J1073" s="1" t="b">
        <f t="shared" si="112"/>
        <v>1</v>
      </c>
      <c r="K1073" s="1" t="b">
        <f t="shared" si="113"/>
        <v>0</v>
      </c>
      <c r="L1073" s="1" t="b">
        <f t="shared" si="114"/>
        <v>0</v>
      </c>
      <c r="M1073" s="1" t="b">
        <f t="shared" si="115"/>
        <v>0</v>
      </c>
      <c r="N1073" s="1" t="b">
        <f t="shared" si="116"/>
        <v>0</v>
      </c>
      <c r="O1073" s="1" t="b">
        <f t="shared" si="117"/>
        <v>1</v>
      </c>
      <c r="P1073" s="1" t="b">
        <f t="shared" si="118"/>
        <v>0</v>
      </c>
    </row>
    <row r="1074" spans="1:16" x14ac:dyDescent="0.2">
      <c r="A1074">
        <v>5958621</v>
      </c>
      <c r="B1074" t="s">
        <v>2048</v>
      </c>
      <c r="C1074" t="s">
        <v>363</v>
      </c>
      <c r="D1074" t="s">
        <v>11</v>
      </c>
      <c r="E1074" s="1">
        <v>44789</v>
      </c>
      <c r="F1074" t="s">
        <v>2049</v>
      </c>
      <c r="G1074" s="1">
        <v>44815</v>
      </c>
      <c r="H1074" s="1">
        <v>44875</v>
      </c>
      <c r="I1074" t="s">
        <v>43</v>
      </c>
      <c r="J1074" s="1" t="b">
        <f t="shared" si="112"/>
        <v>1</v>
      </c>
      <c r="K1074" s="1" t="b">
        <f t="shared" si="113"/>
        <v>0</v>
      </c>
      <c r="L1074" s="1" t="b">
        <f t="shared" si="114"/>
        <v>0</v>
      </c>
      <c r="M1074" s="1" t="b">
        <f t="shared" si="115"/>
        <v>0</v>
      </c>
      <c r="N1074" s="1" t="b">
        <f t="shared" si="116"/>
        <v>0</v>
      </c>
      <c r="O1074" s="1" t="b">
        <f t="shared" si="117"/>
        <v>1</v>
      </c>
      <c r="P1074" s="1" t="b">
        <f t="shared" si="118"/>
        <v>0</v>
      </c>
    </row>
    <row r="1075" spans="1:16" x14ac:dyDescent="0.2">
      <c r="A1075">
        <v>5958621</v>
      </c>
      <c r="B1075" t="s">
        <v>2050</v>
      </c>
      <c r="C1075" t="s">
        <v>363</v>
      </c>
      <c r="D1075" t="s">
        <v>11</v>
      </c>
      <c r="E1075" s="1">
        <v>45018</v>
      </c>
      <c r="F1075" t="s">
        <v>2051</v>
      </c>
      <c r="G1075" s="1">
        <v>45040</v>
      </c>
      <c r="H1075" s="1">
        <v>45083</v>
      </c>
      <c r="I1075" t="s">
        <v>43</v>
      </c>
      <c r="J1075" s="1" t="b">
        <f t="shared" si="112"/>
        <v>1</v>
      </c>
      <c r="K1075" s="1" t="b">
        <f t="shared" si="113"/>
        <v>0</v>
      </c>
      <c r="L1075" s="1" t="b">
        <f t="shared" si="114"/>
        <v>0</v>
      </c>
      <c r="M1075" s="1" t="b">
        <f t="shared" si="115"/>
        <v>0</v>
      </c>
      <c r="N1075" s="1" t="b">
        <f t="shared" si="116"/>
        <v>0</v>
      </c>
      <c r="O1075" s="1" t="b">
        <f t="shared" si="117"/>
        <v>1</v>
      </c>
      <c r="P1075" s="1" t="b">
        <f t="shared" si="118"/>
        <v>0</v>
      </c>
    </row>
    <row r="1076" spans="1:16" x14ac:dyDescent="0.2">
      <c r="A1076">
        <v>2465941</v>
      </c>
      <c r="B1076" t="s">
        <v>2052</v>
      </c>
      <c r="C1076" t="s">
        <v>80</v>
      </c>
      <c r="D1076" t="s">
        <v>60</v>
      </c>
      <c r="E1076" s="1">
        <v>44931</v>
      </c>
      <c r="F1076" t="s">
        <v>1183</v>
      </c>
      <c r="G1076" s="1">
        <v>44944</v>
      </c>
      <c r="H1076" s="1">
        <v>44954</v>
      </c>
      <c r="I1076" t="s">
        <v>16</v>
      </c>
      <c r="J1076" s="1" t="b">
        <f t="shared" si="112"/>
        <v>1</v>
      </c>
      <c r="K1076" s="1" t="b">
        <f t="shared" si="113"/>
        <v>0</v>
      </c>
      <c r="L1076" s="1" t="b">
        <f t="shared" si="114"/>
        <v>0</v>
      </c>
      <c r="M1076" s="1" t="b">
        <f t="shared" si="115"/>
        <v>0</v>
      </c>
      <c r="N1076" s="1" t="b">
        <f t="shared" si="116"/>
        <v>1</v>
      </c>
      <c r="O1076" s="1" t="b">
        <f t="shared" si="117"/>
        <v>0</v>
      </c>
      <c r="P1076" s="1" t="b">
        <f t="shared" si="118"/>
        <v>0</v>
      </c>
    </row>
    <row r="1077" spans="1:16" x14ac:dyDescent="0.2">
      <c r="A1077">
        <v>2465941</v>
      </c>
      <c r="B1077" t="s">
        <v>2053</v>
      </c>
      <c r="C1077" t="s">
        <v>80</v>
      </c>
      <c r="D1077" t="s">
        <v>60</v>
      </c>
      <c r="E1077" s="1">
        <v>44943</v>
      </c>
      <c r="F1077" t="s">
        <v>2054</v>
      </c>
      <c r="G1077" s="1">
        <v>44944</v>
      </c>
      <c r="H1077" s="1">
        <v>44963</v>
      </c>
      <c r="J1077" s="1" t="b">
        <f t="shared" si="112"/>
        <v>1</v>
      </c>
      <c r="K1077" s="1" t="b">
        <f t="shared" si="113"/>
        <v>0</v>
      </c>
      <c r="L1077" s="1" t="b">
        <f t="shared" si="114"/>
        <v>0</v>
      </c>
      <c r="M1077" s="1" t="b">
        <f t="shared" si="115"/>
        <v>0</v>
      </c>
      <c r="N1077" s="1" t="b">
        <f t="shared" si="116"/>
        <v>0</v>
      </c>
      <c r="O1077" s="1" t="b">
        <f t="shared" si="117"/>
        <v>0</v>
      </c>
      <c r="P1077" s="1" t="b">
        <f t="shared" si="118"/>
        <v>0</v>
      </c>
    </row>
    <row r="1078" spans="1:16" x14ac:dyDescent="0.2">
      <c r="A1078">
        <v>6786800</v>
      </c>
      <c r="B1078" t="s">
        <v>2055</v>
      </c>
      <c r="C1078" t="s">
        <v>542</v>
      </c>
      <c r="D1078" t="s">
        <v>11</v>
      </c>
      <c r="E1078" s="1">
        <v>45016</v>
      </c>
      <c r="F1078" t="s">
        <v>1784</v>
      </c>
      <c r="G1078" s="1">
        <v>45040</v>
      </c>
      <c r="H1078" s="1">
        <v>45067</v>
      </c>
      <c r="I1078" t="s">
        <v>16</v>
      </c>
      <c r="J1078" s="1" t="b">
        <f t="shared" si="112"/>
        <v>1</v>
      </c>
      <c r="K1078" s="1" t="b">
        <f t="shared" si="113"/>
        <v>0</v>
      </c>
      <c r="L1078" s="1" t="b">
        <f t="shared" si="114"/>
        <v>0</v>
      </c>
      <c r="M1078" s="1" t="b">
        <f t="shared" si="115"/>
        <v>0</v>
      </c>
      <c r="N1078" s="1" t="b">
        <f t="shared" si="116"/>
        <v>1</v>
      </c>
      <c r="O1078" s="1" t="b">
        <f t="shared" si="117"/>
        <v>0</v>
      </c>
      <c r="P1078" s="1" t="b">
        <f t="shared" si="118"/>
        <v>0</v>
      </c>
    </row>
    <row r="1079" spans="1:16" x14ac:dyDescent="0.2">
      <c r="A1079">
        <v>6786800</v>
      </c>
      <c r="B1079" t="s">
        <v>2056</v>
      </c>
      <c r="C1079" t="s">
        <v>542</v>
      </c>
      <c r="D1079" t="s">
        <v>11</v>
      </c>
      <c r="E1079" s="1">
        <v>44996</v>
      </c>
      <c r="F1079" t="s">
        <v>475</v>
      </c>
      <c r="G1079" s="1">
        <v>45020</v>
      </c>
      <c r="H1079" s="1">
        <v>45078</v>
      </c>
      <c r="I1079" t="s">
        <v>28</v>
      </c>
      <c r="J1079" s="1" t="b">
        <f t="shared" si="112"/>
        <v>1</v>
      </c>
      <c r="K1079" s="1" t="b">
        <f t="shared" si="113"/>
        <v>0</v>
      </c>
      <c r="L1079" s="1" t="b">
        <f t="shared" si="114"/>
        <v>0</v>
      </c>
      <c r="M1079" s="1" t="b">
        <f t="shared" si="115"/>
        <v>0</v>
      </c>
      <c r="N1079" s="1" t="b">
        <f t="shared" si="116"/>
        <v>0</v>
      </c>
      <c r="O1079" s="1" t="b">
        <f t="shared" si="117"/>
        <v>0</v>
      </c>
      <c r="P1079" s="1" t="b">
        <f t="shared" si="118"/>
        <v>1</v>
      </c>
    </row>
    <row r="1080" spans="1:16" x14ac:dyDescent="0.2">
      <c r="A1080">
        <v>6786800</v>
      </c>
      <c r="B1080" t="s">
        <v>2057</v>
      </c>
      <c r="C1080" t="s">
        <v>542</v>
      </c>
      <c r="D1080" t="s">
        <v>11</v>
      </c>
      <c r="E1080" s="1">
        <v>44872</v>
      </c>
      <c r="F1080" t="s">
        <v>2058</v>
      </c>
      <c r="G1080" s="1">
        <v>44888</v>
      </c>
      <c r="H1080" s="1">
        <v>44944</v>
      </c>
      <c r="I1080" t="s">
        <v>16</v>
      </c>
      <c r="J1080" s="1" t="b">
        <f t="shared" si="112"/>
        <v>1</v>
      </c>
      <c r="K1080" s="1" t="b">
        <f t="shared" si="113"/>
        <v>0</v>
      </c>
      <c r="L1080" s="1" t="b">
        <f t="shared" si="114"/>
        <v>0</v>
      </c>
      <c r="M1080" s="1" t="b">
        <f t="shared" si="115"/>
        <v>0</v>
      </c>
      <c r="N1080" s="1" t="b">
        <f t="shared" si="116"/>
        <v>1</v>
      </c>
      <c r="O1080" s="1" t="b">
        <f t="shared" si="117"/>
        <v>0</v>
      </c>
      <c r="P1080" s="1" t="b">
        <f t="shared" si="118"/>
        <v>0</v>
      </c>
    </row>
    <row r="1081" spans="1:16" x14ac:dyDescent="0.2">
      <c r="A1081">
        <v>6786800</v>
      </c>
      <c r="B1081" t="s">
        <v>2059</v>
      </c>
      <c r="C1081" t="s">
        <v>542</v>
      </c>
      <c r="D1081" t="s">
        <v>11</v>
      </c>
      <c r="E1081" s="1">
        <v>44946</v>
      </c>
      <c r="F1081" t="s">
        <v>2060</v>
      </c>
      <c r="G1081" s="1">
        <v>44949</v>
      </c>
      <c r="H1081" s="1">
        <v>44950</v>
      </c>
      <c r="I1081" t="s">
        <v>28</v>
      </c>
      <c r="J1081" s="1" t="b">
        <f t="shared" si="112"/>
        <v>1</v>
      </c>
      <c r="K1081" s="1" t="b">
        <f t="shared" si="113"/>
        <v>0</v>
      </c>
      <c r="L1081" s="1" t="b">
        <f t="shared" si="114"/>
        <v>0</v>
      </c>
      <c r="M1081" s="1" t="b">
        <f t="shared" si="115"/>
        <v>0</v>
      </c>
      <c r="N1081" s="1" t="b">
        <f t="shared" si="116"/>
        <v>0</v>
      </c>
      <c r="O1081" s="1" t="b">
        <f t="shared" si="117"/>
        <v>0</v>
      </c>
      <c r="P1081" s="1" t="b">
        <f t="shared" si="118"/>
        <v>1</v>
      </c>
    </row>
    <row r="1082" spans="1:16" x14ac:dyDescent="0.2">
      <c r="A1082">
        <v>7869609</v>
      </c>
      <c r="B1082" t="s">
        <v>2061</v>
      </c>
      <c r="C1082" t="s">
        <v>265</v>
      </c>
      <c r="D1082" t="s">
        <v>11</v>
      </c>
      <c r="E1082" s="1">
        <v>44702</v>
      </c>
      <c r="F1082" t="s">
        <v>2062</v>
      </c>
      <c r="G1082" s="1">
        <v>44709</v>
      </c>
      <c r="I1082" t="s">
        <v>13</v>
      </c>
      <c r="J1082" s="1" t="b">
        <f t="shared" si="112"/>
        <v>0</v>
      </c>
      <c r="K1082" s="1" t="b">
        <f t="shared" si="113"/>
        <v>1</v>
      </c>
      <c r="L1082" s="1" t="b">
        <f t="shared" si="114"/>
        <v>0</v>
      </c>
      <c r="M1082" s="1" t="b">
        <f t="shared" si="115"/>
        <v>0</v>
      </c>
      <c r="N1082" s="1" t="b">
        <f t="shared" si="116"/>
        <v>0</v>
      </c>
      <c r="O1082" s="1" t="b">
        <f t="shared" si="117"/>
        <v>0</v>
      </c>
      <c r="P1082" s="1" t="b">
        <f t="shared" si="118"/>
        <v>0</v>
      </c>
    </row>
    <row r="1083" spans="1:16" x14ac:dyDescent="0.2">
      <c r="A1083">
        <v>7869609</v>
      </c>
      <c r="B1083" t="s">
        <v>2063</v>
      </c>
      <c r="C1083" t="s">
        <v>265</v>
      </c>
      <c r="D1083" t="s">
        <v>11</v>
      </c>
      <c r="E1083" s="1">
        <v>45064</v>
      </c>
      <c r="F1083" t="s">
        <v>2064</v>
      </c>
      <c r="G1083" s="1">
        <v>45066</v>
      </c>
      <c r="I1083" t="s">
        <v>13</v>
      </c>
      <c r="J1083" s="1" t="b">
        <f t="shared" si="112"/>
        <v>0</v>
      </c>
      <c r="K1083" s="1" t="b">
        <f t="shared" si="113"/>
        <v>1</v>
      </c>
      <c r="L1083" s="1" t="b">
        <f t="shared" si="114"/>
        <v>0</v>
      </c>
      <c r="M1083" s="1" t="b">
        <f t="shared" si="115"/>
        <v>0</v>
      </c>
      <c r="N1083" s="1" t="b">
        <f t="shared" si="116"/>
        <v>0</v>
      </c>
      <c r="O1083" s="1" t="b">
        <f t="shared" si="117"/>
        <v>0</v>
      </c>
      <c r="P1083" s="1" t="b">
        <f t="shared" si="118"/>
        <v>0</v>
      </c>
    </row>
    <row r="1084" spans="1:16" x14ac:dyDescent="0.2">
      <c r="A1084">
        <v>7869609</v>
      </c>
      <c r="B1084" t="s">
        <v>2065</v>
      </c>
      <c r="C1084" t="s">
        <v>265</v>
      </c>
      <c r="D1084" t="s">
        <v>11</v>
      </c>
      <c r="E1084" s="1">
        <v>44873</v>
      </c>
      <c r="F1084" t="s">
        <v>2066</v>
      </c>
      <c r="G1084" s="1">
        <v>44889</v>
      </c>
      <c r="H1084" s="1">
        <v>44925</v>
      </c>
      <c r="I1084" t="s">
        <v>28</v>
      </c>
      <c r="J1084" s="1" t="b">
        <f t="shared" si="112"/>
        <v>1</v>
      </c>
      <c r="K1084" s="1" t="b">
        <f t="shared" si="113"/>
        <v>0</v>
      </c>
      <c r="L1084" s="1" t="b">
        <f t="shared" si="114"/>
        <v>0</v>
      </c>
      <c r="M1084" s="1" t="b">
        <f t="shared" si="115"/>
        <v>0</v>
      </c>
      <c r="N1084" s="1" t="b">
        <f t="shared" si="116"/>
        <v>0</v>
      </c>
      <c r="O1084" s="1" t="b">
        <f t="shared" si="117"/>
        <v>0</v>
      </c>
      <c r="P1084" s="1" t="b">
        <f t="shared" si="118"/>
        <v>1</v>
      </c>
    </row>
    <row r="1085" spans="1:16" x14ac:dyDescent="0.2">
      <c r="A1085">
        <v>7869609</v>
      </c>
      <c r="B1085" t="s">
        <v>2067</v>
      </c>
      <c r="C1085" t="s">
        <v>265</v>
      </c>
      <c r="D1085" t="s">
        <v>11</v>
      </c>
      <c r="E1085" s="1">
        <v>44564</v>
      </c>
      <c r="F1085" t="s">
        <v>910</v>
      </c>
      <c r="G1085" s="1">
        <v>44569</v>
      </c>
      <c r="H1085" s="1">
        <v>44586</v>
      </c>
      <c r="I1085" t="s">
        <v>43</v>
      </c>
      <c r="J1085" s="1" t="b">
        <f t="shared" si="112"/>
        <v>1</v>
      </c>
      <c r="K1085" s="1" t="b">
        <f t="shared" si="113"/>
        <v>0</v>
      </c>
      <c r="L1085" s="1" t="b">
        <f t="shared" si="114"/>
        <v>0</v>
      </c>
      <c r="M1085" s="1" t="b">
        <f t="shared" si="115"/>
        <v>0</v>
      </c>
      <c r="N1085" s="1" t="b">
        <f t="shared" si="116"/>
        <v>0</v>
      </c>
      <c r="O1085" s="1" t="b">
        <f t="shared" si="117"/>
        <v>1</v>
      </c>
      <c r="P1085" s="1" t="b">
        <f t="shared" si="118"/>
        <v>0</v>
      </c>
    </row>
    <row r="1086" spans="1:16" x14ac:dyDescent="0.2">
      <c r="A1086">
        <v>6036006</v>
      </c>
      <c r="B1086" t="s">
        <v>2068</v>
      </c>
      <c r="C1086" t="s">
        <v>265</v>
      </c>
      <c r="D1086" t="s">
        <v>77</v>
      </c>
      <c r="E1086" s="1">
        <v>45065</v>
      </c>
      <c r="F1086" t="s">
        <v>2069</v>
      </c>
      <c r="G1086" s="1">
        <v>45095</v>
      </c>
      <c r="H1086" s="1">
        <v>45140</v>
      </c>
      <c r="I1086" t="s">
        <v>28</v>
      </c>
      <c r="J1086" s="1" t="b">
        <f t="shared" si="112"/>
        <v>1</v>
      </c>
      <c r="K1086" s="1" t="b">
        <f t="shared" si="113"/>
        <v>0</v>
      </c>
      <c r="L1086" s="1" t="b">
        <f t="shared" si="114"/>
        <v>0</v>
      </c>
      <c r="M1086" s="1" t="b">
        <f t="shared" si="115"/>
        <v>0</v>
      </c>
      <c r="N1086" s="1" t="b">
        <f t="shared" si="116"/>
        <v>0</v>
      </c>
      <c r="O1086" s="1" t="b">
        <f t="shared" si="117"/>
        <v>0</v>
      </c>
      <c r="P1086" s="1" t="b">
        <f t="shared" si="118"/>
        <v>1</v>
      </c>
    </row>
    <row r="1087" spans="1:16" x14ac:dyDescent="0.2">
      <c r="A1087">
        <v>5106228</v>
      </c>
      <c r="B1087" t="s">
        <v>2070</v>
      </c>
      <c r="C1087" t="s">
        <v>10</v>
      </c>
      <c r="D1087" t="s">
        <v>122</v>
      </c>
      <c r="E1087" s="1">
        <v>44932</v>
      </c>
      <c r="F1087" t="s">
        <v>241</v>
      </c>
      <c r="G1087" s="1">
        <v>44951</v>
      </c>
      <c r="H1087" s="1">
        <v>44982</v>
      </c>
      <c r="I1087" t="s">
        <v>16</v>
      </c>
      <c r="J1087" s="1" t="b">
        <f t="shared" si="112"/>
        <v>1</v>
      </c>
      <c r="K1087" s="1" t="b">
        <f t="shared" si="113"/>
        <v>0</v>
      </c>
      <c r="L1087" s="1" t="b">
        <f t="shared" si="114"/>
        <v>0</v>
      </c>
      <c r="M1087" s="1" t="b">
        <f t="shared" si="115"/>
        <v>0</v>
      </c>
      <c r="N1087" s="1" t="b">
        <f t="shared" si="116"/>
        <v>1</v>
      </c>
      <c r="O1087" s="1" t="b">
        <f t="shared" si="117"/>
        <v>0</v>
      </c>
      <c r="P1087" s="1" t="b">
        <f t="shared" si="118"/>
        <v>0</v>
      </c>
    </row>
    <row r="1088" spans="1:16" x14ac:dyDescent="0.2">
      <c r="A1088">
        <v>5106228</v>
      </c>
      <c r="B1088" t="s">
        <v>2071</v>
      </c>
      <c r="C1088" t="s">
        <v>10</v>
      </c>
      <c r="D1088" t="s">
        <v>122</v>
      </c>
      <c r="E1088" s="1">
        <v>45049</v>
      </c>
      <c r="F1088" t="s">
        <v>763</v>
      </c>
      <c r="G1088" s="1">
        <v>45072</v>
      </c>
      <c r="H1088" s="1">
        <v>45125</v>
      </c>
      <c r="I1088" t="s">
        <v>28</v>
      </c>
      <c r="J1088" s="1" t="b">
        <f t="shared" si="112"/>
        <v>1</v>
      </c>
      <c r="K1088" s="1" t="b">
        <f t="shared" si="113"/>
        <v>0</v>
      </c>
      <c r="L1088" s="1" t="b">
        <f t="shared" si="114"/>
        <v>0</v>
      </c>
      <c r="M1088" s="1" t="b">
        <f t="shared" si="115"/>
        <v>0</v>
      </c>
      <c r="N1088" s="1" t="b">
        <f t="shared" si="116"/>
        <v>0</v>
      </c>
      <c r="O1088" s="1" t="b">
        <f t="shared" si="117"/>
        <v>0</v>
      </c>
      <c r="P1088" s="1" t="b">
        <f t="shared" si="118"/>
        <v>1</v>
      </c>
    </row>
    <row r="1089" spans="1:16" x14ac:dyDescent="0.2">
      <c r="A1089">
        <v>5106228</v>
      </c>
      <c r="B1089" t="s">
        <v>2072</v>
      </c>
      <c r="C1089" t="s">
        <v>10</v>
      </c>
      <c r="D1089" t="s">
        <v>122</v>
      </c>
      <c r="E1089" s="1">
        <v>44579</v>
      </c>
      <c r="F1089" t="s">
        <v>2073</v>
      </c>
      <c r="G1089" s="1">
        <v>44607</v>
      </c>
      <c r="I1089" t="s">
        <v>13</v>
      </c>
      <c r="J1089" s="1" t="b">
        <f t="shared" si="112"/>
        <v>0</v>
      </c>
      <c r="K1089" s="1" t="b">
        <f t="shared" si="113"/>
        <v>1</v>
      </c>
      <c r="L1089" s="1" t="b">
        <f t="shared" si="114"/>
        <v>0</v>
      </c>
      <c r="M1089" s="1" t="b">
        <f t="shared" si="115"/>
        <v>0</v>
      </c>
      <c r="N1089" s="1" t="b">
        <f t="shared" si="116"/>
        <v>0</v>
      </c>
      <c r="O1089" s="1" t="b">
        <f t="shared" si="117"/>
        <v>0</v>
      </c>
      <c r="P1089" s="1" t="b">
        <f t="shared" si="118"/>
        <v>0</v>
      </c>
    </row>
    <row r="1090" spans="1:16" x14ac:dyDescent="0.2">
      <c r="A1090">
        <v>5354311</v>
      </c>
      <c r="B1090" t="s">
        <v>2074</v>
      </c>
      <c r="C1090" t="s">
        <v>38</v>
      </c>
      <c r="D1090" t="s">
        <v>81</v>
      </c>
      <c r="E1090" s="1">
        <v>44700</v>
      </c>
      <c r="F1090" t="s">
        <v>2075</v>
      </c>
      <c r="G1090" s="1">
        <v>44712</v>
      </c>
      <c r="I1090" t="s">
        <v>13</v>
      </c>
      <c r="J1090" s="1" t="b">
        <f t="shared" si="112"/>
        <v>0</v>
      </c>
      <c r="K1090" s="1" t="b">
        <f t="shared" si="113"/>
        <v>1</v>
      </c>
      <c r="L1090" s="1" t="b">
        <f t="shared" si="114"/>
        <v>0</v>
      </c>
      <c r="M1090" s="1" t="b">
        <f t="shared" si="115"/>
        <v>0</v>
      </c>
      <c r="N1090" s="1" t="b">
        <f t="shared" si="116"/>
        <v>0</v>
      </c>
      <c r="O1090" s="1" t="b">
        <f t="shared" si="117"/>
        <v>0</v>
      </c>
      <c r="P1090" s="1" t="b">
        <f t="shared" si="118"/>
        <v>0</v>
      </c>
    </row>
    <row r="1091" spans="1:16" x14ac:dyDescent="0.2">
      <c r="A1091">
        <v>3739867</v>
      </c>
      <c r="B1091" t="s">
        <v>2076</v>
      </c>
      <c r="C1091" t="s">
        <v>521</v>
      </c>
      <c r="D1091" t="s">
        <v>11</v>
      </c>
      <c r="E1091" s="1">
        <v>44860</v>
      </c>
      <c r="F1091" t="s">
        <v>2077</v>
      </c>
      <c r="G1091" s="1">
        <v>44877</v>
      </c>
      <c r="H1091" s="1">
        <v>44918</v>
      </c>
      <c r="I1091" t="s">
        <v>28</v>
      </c>
      <c r="J1091" s="1" t="b">
        <f t="shared" ref="J1091:J1154" si="119">AND(NOT(ISBLANK(H1091)), NOT(OR(ISNUMBER(SEARCH("decline", I1091)), ISNUMBER(SEARCH("rescind", I1091)), ISNUMBER(SEARCH("cancel", I1091)))))</f>
        <v>1</v>
      </c>
      <c r="K1091" s="1" t="b">
        <f t="shared" ref="K1091:K1154" si="120">ISNUMBER(SEARCH("decline", I1091))</f>
        <v>0</v>
      </c>
      <c r="L1091" s="1" t="b">
        <f t="shared" ref="L1091:L1154" si="121">ISNUMBER(SEARCH("rescind", I1091))</f>
        <v>0</v>
      </c>
      <c r="M1091" s="1" t="b">
        <f t="shared" ref="M1091:M1154" si="122">ISNUMBER(SEARCH("cancel", I1091))</f>
        <v>0</v>
      </c>
      <c r="N1091" s="1" t="b">
        <f t="shared" ref="N1091:N1154" si="123">ISNUMBER(SEARCH("transfer", I1091))</f>
        <v>0</v>
      </c>
      <c r="O1091" s="1" t="b">
        <f t="shared" ref="O1091:O1154" si="124">ISNUMBER(SEARCH("promo", I1091))</f>
        <v>0</v>
      </c>
      <c r="P1091" s="1" t="b">
        <f t="shared" ref="P1091:P1154" si="125">ISNUMBER(SEARCH("new", I1091))</f>
        <v>1</v>
      </c>
    </row>
    <row r="1092" spans="1:16" x14ac:dyDescent="0.2">
      <c r="A1092">
        <v>3739867</v>
      </c>
      <c r="B1092" t="s">
        <v>2078</v>
      </c>
      <c r="C1092" t="s">
        <v>521</v>
      </c>
      <c r="D1092" t="s">
        <v>11</v>
      </c>
      <c r="E1092" s="1">
        <v>44749</v>
      </c>
      <c r="F1092" t="s">
        <v>1961</v>
      </c>
      <c r="G1092" s="1">
        <v>44774</v>
      </c>
      <c r="H1092" s="1">
        <v>44781</v>
      </c>
      <c r="I1092" t="s">
        <v>43</v>
      </c>
      <c r="J1092" s="1" t="b">
        <f t="shared" si="119"/>
        <v>1</v>
      </c>
      <c r="K1092" s="1" t="b">
        <f t="shared" si="120"/>
        <v>0</v>
      </c>
      <c r="L1092" s="1" t="b">
        <f t="shared" si="121"/>
        <v>0</v>
      </c>
      <c r="M1092" s="1" t="b">
        <f t="shared" si="122"/>
        <v>0</v>
      </c>
      <c r="N1092" s="1" t="b">
        <f t="shared" si="123"/>
        <v>0</v>
      </c>
      <c r="O1092" s="1" t="b">
        <f t="shared" si="124"/>
        <v>1</v>
      </c>
      <c r="P1092" s="1" t="b">
        <f t="shared" si="125"/>
        <v>0</v>
      </c>
    </row>
    <row r="1093" spans="1:16" x14ac:dyDescent="0.2">
      <c r="A1093">
        <v>3739867</v>
      </c>
      <c r="B1093" t="s">
        <v>2079</v>
      </c>
      <c r="C1093" t="s">
        <v>521</v>
      </c>
      <c r="D1093" t="s">
        <v>11</v>
      </c>
      <c r="E1093" s="1">
        <v>44885</v>
      </c>
      <c r="F1093" t="s">
        <v>2080</v>
      </c>
      <c r="G1093" s="1">
        <v>44912</v>
      </c>
      <c r="H1093" s="1">
        <v>44967</v>
      </c>
      <c r="I1093" t="s">
        <v>43</v>
      </c>
      <c r="J1093" s="1" t="b">
        <f t="shared" si="119"/>
        <v>1</v>
      </c>
      <c r="K1093" s="1" t="b">
        <f t="shared" si="120"/>
        <v>0</v>
      </c>
      <c r="L1093" s="1" t="b">
        <f t="shared" si="121"/>
        <v>0</v>
      </c>
      <c r="M1093" s="1" t="b">
        <f t="shared" si="122"/>
        <v>0</v>
      </c>
      <c r="N1093" s="1" t="b">
        <f t="shared" si="123"/>
        <v>0</v>
      </c>
      <c r="O1093" s="1" t="b">
        <f t="shared" si="124"/>
        <v>1</v>
      </c>
      <c r="P1093" s="1" t="b">
        <f t="shared" si="125"/>
        <v>0</v>
      </c>
    </row>
    <row r="1094" spans="1:16" x14ac:dyDescent="0.2">
      <c r="A1094">
        <v>6051155</v>
      </c>
      <c r="B1094" t="s">
        <v>2081</v>
      </c>
      <c r="C1094" t="s">
        <v>282</v>
      </c>
      <c r="D1094" t="s">
        <v>39</v>
      </c>
      <c r="E1094" s="1">
        <v>44575</v>
      </c>
      <c r="F1094" t="s">
        <v>2082</v>
      </c>
      <c r="G1094" s="1">
        <v>44580</v>
      </c>
      <c r="H1094" s="1">
        <v>44614</v>
      </c>
      <c r="I1094" t="s">
        <v>28</v>
      </c>
      <c r="J1094" s="1" t="b">
        <f t="shared" si="119"/>
        <v>1</v>
      </c>
      <c r="K1094" s="1" t="b">
        <f t="shared" si="120"/>
        <v>0</v>
      </c>
      <c r="L1094" s="1" t="b">
        <f t="shared" si="121"/>
        <v>0</v>
      </c>
      <c r="M1094" s="1" t="b">
        <f t="shared" si="122"/>
        <v>0</v>
      </c>
      <c r="N1094" s="1" t="b">
        <f t="shared" si="123"/>
        <v>0</v>
      </c>
      <c r="O1094" s="1" t="b">
        <f t="shared" si="124"/>
        <v>0</v>
      </c>
      <c r="P1094" s="1" t="b">
        <f t="shared" si="125"/>
        <v>1</v>
      </c>
    </row>
    <row r="1095" spans="1:16" x14ac:dyDescent="0.2">
      <c r="A1095">
        <v>5721406</v>
      </c>
      <c r="B1095" t="s">
        <v>2083</v>
      </c>
      <c r="C1095" t="s">
        <v>542</v>
      </c>
      <c r="D1095" t="s">
        <v>77</v>
      </c>
      <c r="E1095" s="1">
        <v>44666</v>
      </c>
      <c r="F1095" t="s">
        <v>2084</v>
      </c>
      <c r="G1095" s="1">
        <v>44673</v>
      </c>
      <c r="I1095" t="s">
        <v>25</v>
      </c>
      <c r="J1095" s="1" t="b">
        <f t="shared" si="119"/>
        <v>0</v>
      </c>
      <c r="K1095" s="1" t="b">
        <f t="shared" si="120"/>
        <v>0</v>
      </c>
      <c r="L1095" s="1" t="b">
        <f t="shared" si="121"/>
        <v>1</v>
      </c>
      <c r="M1095" s="1" t="b">
        <f t="shared" si="122"/>
        <v>0</v>
      </c>
      <c r="N1095" s="1" t="b">
        <f t="shared" si="123"/>
        <v>0</v>
      </c>
      <c r="O1095" s="1" t="b">
        <f t="shared" si="124"/>
        <v>0</v>
      </c>
      <c r="P1095" s="1" t="b">
        <f t="shared" si="125"/>
        <v>0</v>
      </c>
    </row>
    <row r="1096" spans="1:16" x14ac:dyDescent="0.2">
      <c r="A1096">
        <v>5721406</v>
      </c>
      <c r="B1096" t="s">
        <v>2085</v>
      </c>
      <c r="C1096" t="s">
        <v>542</v>
      </c>
      <c r="D1096" t="s">
        <v>77</v>
      </c>
      <c r="E1096" s="1">
        <v>44754</v>
      </c>
      <c r="F1096" t="s">
        <v>1118</v>
      </c>
      <c r="G1096" s="1">
        <v>44780</v>
      </c>
      <c r="I1096" t="s">
        <v>13</v>
      </c>
      <c r="J1096" s="1" t="b">
        <f t="shared" si="119"/>
        <v>0</v>
      </c>
      <c r="K1096" s="1" t="b">
        <f t="shared" si="120"/>
        <v>1</v>
      </c>
      <c r="L1096" s="1" t="b">
        <f t="shared" si="121"/>
        <v>0</v>
      </c>
      <c r="M1096" s="1" t="b">
        <f t="shared" si="122"/>
        <v>0</v>
      </c>
      <c r="N1096" s="1" t="b">
        <f t="shared" si="123"/>
        <v>0</v>
      </c>
      <c r="O1096" s="1" t="b">
        <f t="shared" si="124"/>
        <v>0</v>
      </c>
      <c r="P1096" s="1" t="b">
        <f t="shared" si="125"/>
        <v>0</v>
      </c>
    </row>
    <row r="1097" spans="1:16" x14ac:dyDescent="0.2">
      <c r="A1097">
        <v>5721406</v>
      </c>
      <c r="B1097" t="s">
        <v>2086</v>
      </c>
      <c r="C1097" t="s">
        <v>542</v>
      </c>
      <c r="D1097" t="s">
        <v>77</v>
      </c>
      <c r="E1097" s="1">
        <v>44640</v>
      </c>
      <c r="F1097" t="s">
        <v>2087</v>
      </c>
      <c r="G1097" s="1">
        <v>44644</v>
      </c>
      <c r="H1097" s="1">
        <v>44697</v>
      </c>
      <c r="I1097" t="s">
        <v>16</v>
      </c>
      <c r="J1097" s="1" t="b">
        <f t="shared" si="119"/>
        <v>1</v>
      </c>
      <c r="K1097" s="1" t="b">
        <f t="shared" si="120"/>
        <v>0</v>
      </c>
      <c r="L1097" s="1" t="b">
        <f t="shared" si="121"/>
        <v>0</v>
      </c>
      <c r="M1097" s="1" t="b">
        <f t="shared" si="122"/>
        <v>0</v>
      </c>
      <c r="N1097" s="1" t="b">
        <f t="shared" si="123"/>
        <v>1</v>
      </c>
      <c r="O1097" s="1" t="b">
        <f t="shared" si="124"/>
        <v>0</v>
      </c>
      <c r="P1097" s="1" t="b">
        <f t="shared" si="125"/>
        <v>0</v>
      </c>
    </row>
    <row r="1098" spans="1:16" x14ac:dyDescent="0.2">
      <c r="A1098">
        <v>5721406</v>
      </c>
      <c r="B1098" t="s">
        <v>2088</v>
      </c>
      <c r="C1098" t="s">
        <v>542</v>
      </c>
      <c r="D1098" t="s">
        <v>77</v>
      </c>
      <c r="E1098" s="1">
        <v>44918</v>
      </c>
      <c r="F1098" t="s">
        <v>2089</v>
      </c>
      <c r="G1098" s="1">
        <v>44928</v>
      </c>
      <c r="I1098" t="s">
        <v>13</v>
      </c>
      <c r="J1098" s="1" t="b">
        <f t="shared" si="119"/>
        <v>0</v>
      </c>
      <c r="K1098" s="1" t="b">
        <f t="shared" si="120"/>
        <v>1</v>
      </c>
      <c r="L1098" s="1" t="b">
        <f t="shared" si="121"/>
        <v>0</v>
      </c>
      <c r="M1098" s="1" t="b">
        <f t="shared" si="122"/>
        <v>0</v>
      </c>
      <c r="N1098" s="1" t="b">
        <f t="shared" si="123"/>
        <v>0</v>
      </c>
      <c r="O1098" s="1" t="b">
        <f t="shared" si="124"/>
        <v>0</v>
      </c>
      <c r="P1098" s="1" t="b">
        <f t="shared" si="125"/>
        <v>0</v>
      </c>
    </row>
    <row r="1099" spans="1:16" x14ac:dyDescent="0.2">
      <c r="A1099">
        <v>7082891</v>
      </c>
      <c r="B1099" t="s">
        <v>2090</v>
      </c>
      <c r="C1099" t="s">
        <v>71</v>
      </c>
      <c r="D1099" t="s">
        <v>77</v>
      </c>
      <c r="E1099" s="1">
        <v>44873</v>
      </c>
      <c r="F1099" t="s">
        <v>2091</v>
      </c>
      <c r="G1099" s="1">
        <v>44874</v>
      </c>
      <c r="H1099" s="1">
        <v>44922</v>
      </c>
      <c r="I1099" t="s">
        <v>28</v>
      </c>
      <c r="J1099" s="1" t="b">
        <f t="shared" si="119"/>
        <v>1</v>
      </c>
      <c r="K1099" s="1" t="b">
        <f t="shared" si="120"/>
        <v>0</v>
      </c>
      <c r="L1099" s="1" t="b">
        <f t="shared" si="121"/>
        <v>0</v>
      </c>
      <c r="M1099" s="1" t="b">
        <f t="shared" si="122"/>
        <v>0</v>
      </c>
      <c r="N1099" s="1" t="b">
        <f t="shared" si="123"/>
        <v>0</v>
      </c>
      <c r="O1099" s="1" t="b">
        <f t="shared" si="124"/>
        <v>0</v>
      </c>
      <c r="P1099" s="1" t="b">
        <f t="shared" si="125"/>
        <v>1</v>
      </c>
    </row>
    <row r="1100" spans="1:16" x14ac:dyDescent="0.2">
      <c r="A1100">
        <v>7082891</v>
      </c>
      <c r="B1100" t="s">
        <v>2092</v>
      </c>
      <c r="C1100" t="s">
        <v>71</v>
      </c>
      <c r="D1100" t="s">
        <v>77</v>
      </c>
      <c r="E1100" s="1">
        <v>44707</v>
      </c>
      <c r="F1100" t="s">
        <v>2093</v>
      </c>
      <c r="G1100" s="1">
        <v>44730</v>
      </c>
      <c r="H1100" s="1">
        <v>44745</v>
      </c>
      <c r="I1100" t="s">
        <v>43</v>
      </c>
      <c r="J1100" s="1" t="b">
        <f t="shared" si="119"/>
        <v>1</v>
      </c>
      <c r="K1100" s="1" t="b">
        <f t="shared" si="120"/>
        <v>0</v>
      </c>
      <c r="L1100" s="1" t="b">
        <f t="shared" si="121"/>
        <v>0</v>
      </c>
      <c r="M1100" s="1" t="b">
        <f t="shared" si="122"/>
        <v>0</v>
      </c>
      <c r="N1100" s="1" t="b">
        <f t="shared" si="123"/>
        <v>0</v>
      </c>
      <c r="O1100" s="1" t="b">
        <f t="shared" si="124"/>
        <v>1</v>
      </c>
      <c r="P1100" s="1" t="b">
        <f t="shared" si="125"/>
        <v>0</v>
      </c>
    </row>
    <row r="1101" spans="1:16" x14ac:dyDescent="0.2">
      <c r="A1101">
        <v>7082891</v>
      </c>
      <c r="B1101" t="s">
        <v>2094</v>
      </c>
      <c r="C1101" t="s">
        <v>71</v>
      </c>
      <c r="D1101" t="s">
        <v>77</v>
      </c>
      <c r="E1101" s="1">
        <v>44997</v>
      </c>
      <c r="F1101" t="s">
        <v>2095</v>
      </c>
      <c r="G1101" s="1">
        <v>45020</v>
      </c>
      <c r="H1101" s="1">
        <v>45069</v>
      </c>
      <c r="I1101" t="s">
        <v>43</v>
      </c>
      <c r="J1101" s="1" t="b">
        <f t="shared" si="119"/>
        <v>1</v>
      </c>
      <c r="K1101" s="1" t="b">
        <f t="shared" si="120"/>
        <v>0</v>
      </c>
      <c r="L1101" s="1" t="b">
        <f t="shared" si="121"/>
        <v>0</v>
      </c>
      <c r="M1101" s="1" t="b">
        <f t="shared" si="122"/>
        <v>0</v>
      </c>
      <c r="N1101" s="1" t="b">
        <f t="shared" si="123"/>
        <v>0</v>
      </c>
      <c r="O1101" s="1" t="b">
        <f t="shared" si="124"/>
        <v>1</v>
      </c>
      <c r="P1101" s="1" t="b">
        <f t="shared" si="125"/>
        <v>0</v>
      </c>
    </row>
    <row r="1102" spans="1:16" x14ac:dyDescent="0.2">
      <c r="A1102">
        <v>7082891</v>
      </c>
      <c r="B1102" t="s">
        <v>2096</v>
      </c>
      <c r="C1102" t="s">
        <v>71</v>
      </c>
      <c r="D1102" t="s">
        <v>77</v>
      </c>
      <c r="E1102" s="1">
        <v>45057</v>
      </c>
      <c r="F1102" t="s">
        <v>1531</v>
      </c>
      <c r="G1102" s="1">
        <v>45082</v>
      </c>
      <c r="H1102" s="1">
        <v>45110</v>
      </c>
      <c r="I1102" t="s">
        <v>16</v>
      </c>
      <c r="J1102" s="1" t="b">
        <f t="shared" si="119"/>
        <v>1</v>
      </c>
      <c r="K1102" s="1" t="b">
        <f t="shared" si="120"/>
        <v>0</v>
      </c>
      <c r="L1102" s="1" t="b">
        <f t="shared" si="121"/>
        <v>0</v>
      </c>
      <c r="M1102" s="1" t="b">
        <f t="shared" si="122"/>
        <v>0</v>
      </c>
      <c r="N1102" s="1" t="b">
        <f t="shared" si="123"/>
        <v>1</v>
      </c>
      <c r="O1102" s="1" t="b">
        <f t="shared" si="124"/>
        <v>0</v>
      </c>
      <c r="P1102" s="1" t="b">
        <f t="shared" si="125"/>
        <v>0</v>
      </c>
    </row>
    <row r="1103" spans="1:16" x14ac:dyDescent="0.2">
      <c r="A1103">
        <v>7082891</v>
      </c>
      <c r="B1103" t="s">
        <v>2097</v>
      </c>
      <c r="C1103" t="s">
        <v>71</v>
      </c>
      <c r="D1103" t="s">
        <v>77</v>
      </c>
      <c r="E1103" s="1">
        <v>45087</v>
      </c>
      <c r="F1103" t="s">
        <v>1633</v>
      </c>
      <c r="G1103" s="1">
        <v>45106</v>
      </c>
      <c r="I1103" t="s">
        <v>13</v>
      </c>
      <c r="J1103" s="1" t="b">
        <f t="shared" si="119"/>
        <v>0</v>
      </c>
      <c r="K1103" s="1" t="b">
        <f t="shared" si="120"/>
        <v>1</v>
      </c>
      <c r="L1103" s="1" t="b">
        <f t="shared" si="121"/>
        <v>0</v>
      </c>
      <c r="M1103" s="1" t="b">
        <f t="shared" si="122"/>
        <v>0</v>
      </c>
      <c r="N1103" s="1" t="b">
        <f t="shared" si="123"/>
        <v>0</v>
      </c>
      <c r="O1103" s="1" t="b">
        <f t="shared" si="124"/>
        <v>0</v>
      </c>
      <c r="P1103" s="1" t="b">
        <f t="shared" si="125"/>
        <v>0</v>
      </c>
    </row>
    <row r="1104" spans="1:16" x14ac:dyDescent="0.2">
      <c r="A1104">
        <v>1994305</v>
      </c>
      <c r="B1104" t="s">
        <v>2098</v>
      </c>
      <c r="C1104" t="s">
        <v>363</v>
      </c>
      <c r="D1104" t="s">
        <v>122</v>
      </c>
      <c r="I1104" t="s">
        <v>33</v>
      </c>
      <c r="J1104" s="1" t="b">
        <f t="shared" si="119"/>
        <v>0</v>
      </c>
      <c r="K1104" s="1" t="b">
        <f t="shared" si="120"/>
        <v>0</v>
      </c>
      <c r="L1104" s="1" t="b">
        <f t="shared" si="121"/>
        <v>0</v>
      </c>
      <c r="M1104" s="1" t="b">
        <f t="shared" si="122"/>
        <v>1</v>
      </c>
      <c r="N1104" s="1" t="b">
        <f t="shared" si="123"/>
        <v>0</v>
      </c>
      <c r="O1104" s="1" t="b">
        <f t="shared" si="124"/>
        <v>0</v>
      </c>
      <c r="P1104" s="1" t="b">
        <f t="shared" si="125"/>
        <v>0</v>
      </c>
    </row>
    <row r="1105" spans="1:16" x14ac:dyDescent="0.2">
      <c r="A1105">
        <v>1994305</v>
      </c>
      <c r="B1105" t="s">
        <v>2099</v>
      </c>
      <c r="C1105" t="s">
        <v>363</v>
      </c>
      <c r="D1105" t="s">
        <v>122</v>
      </c>
      <c r="E1105" s="1">
        <v>44660</v>
      </c>
      <c r="F1105" t="s">
        <v>2100</v>
      </c>
      <c r="G1105" s="1">
        <v>44686</v>
      </c>
      <c r="I1105" t="s">
        <v>25</v>
      </c>
      <c r="J1105" s="1" t="b">
        <f t="shared" si="119"/>
        <v>0</v>
      </c>
      <c r="K1105" s="1" t="b">
        <f t="shared" si="120"/>
        <v>0</v>
      </c>
      <c r="L1105" s="1" t="b">
        <f t="shared" si="121"/>
        <v>1</v>
      </c>
      <c r="M1105" s="1" t="b">
        <f t="shared" si="122"/>
        <v>0</v>
      </c>
      <c r="N1105" s="1" t="b">
        <f t="shared" si="123"/>
        <v>0</v>
      </c>
      <c r="O1105" s="1" t="b">
        <f t="shared" si="124"/>
        <v>0</v>
      </c>
      <c r="P1105" s="1" t="b">
        <f t="shared" si="125"/>
        <v>0</v>
      </c>
    </row>
    <row r="1106" spans="1:16" x14ac:dyDescent="0.2">
      <c r="A1106">
        <v>1994305</v>
      </c>
      <c r="B1106" t="s">
        <v>2101</v>
      </c>
      <c r="C1106" t="s">
        <v>363</v>
      </c>
      <c r="D1106" t="s">
        <v>122</v>
      </c>
      <c r="E1106" s="1">
        <v>44766</v>
      </c>
      <c r="F1106" t="s">
        <v>140</v>
      </c>
      <c r="G1106" s="1">
        <v>44772</v>
      </c>
      <c r="I1106" t="s">
        <v>13</v>
      </c>
      <c r="J1106" s="1" t="b">
        <f t="shared" si="119"/>
        <v>0</v>
      </c>
      <c r="K1106" s="1" t="b">
        <f t="shared" si="120"/>
        <v>1</v>
      </c>
      <c r="L1106" s="1" t="b">
        <f t="shared" si="121"/>
        <v>0</v>
      </c>
      <c r="M1106" s="1" t="b">
        <f t="shared" si="122"/>
        <v>0</v>
      </c>
      <c r="N1106" s="1" t="b">
        <f t="shared" si="123"/>
        <v>0</v>
      </c>
      <c r="O1106" s="1" t="b">
        <f t="shared" si="124"/>
        <v>0</v>
      </c>
      <c r="P1106" s="1" t="b">
        <f t="shared" si="125"/>
        <v>0</v>
      </c>
    </row>
    <row r="1107" spans="1:16" x14ac:dyDescent="0.2">
      <c r="A1107">
        <v>6897756</v>
      </c>
      <c r="B1107" t="s">
        <v>2102</v>
      </c>
      <c r="C1107" t="s">
        <v>10</v>
      </c>
      <c r="D1107" t="s">
        <v>122</v>
      </c>
      <c r="E1107" s="1">
        <v>44918</v>
      </c>
      <c r="F1107" t="s">
        <v>2103</v>
      </c>
      <c r="G1107" s="1">
        <v>44930</v>
      </c>
      <c r="H1107" s="1">
        <v>44941</v>
      </c>
      <c r="I1107" t="s">
        <v>28</v>
      </c>
      <c r="J1107" s="1" t="b">
        <f t="shared" si="119"/>
        <v>1</v>
      </c>
      <c r="K1107" s="1" t="b">
        <f t="shared" si="120"/>
        <v>0</v>
      </c>
      <c r="L1107" s="1" t="b">
        <f t="shared" si="121"/>
        <v>0</v>
      </c>
      <c r="M1107" s="1" t="b">
        <f t="shared" si="122"/>
        <v>0</v>
      </c>
      <c r="N1107" s="1" t="b">
        <f t="shared" si="123"/>
        <v>0</v>
      </c>
      <c r="O1107" s="1" t="b">
        <f t="shared" si="124"/>
        <v>0</v>
      </c>
      <c r="P1107" s="1" t="b">
        <f t="shared" si="125"/>
        <v>1</v>
      </c>
    </row>
    <row r="1108" spans="1:16" x14ac:dyDescent="0.2">
      <c r="A1108">
        <v>6897756</v>
      </c>
      <c r="B1108" t="s">
        <v>2104</v>
      </c>
      <c r="C1108" t="s">
        <v>10</v>
      </c>
      <c r="D1108" t="s">
        <v>122</v>
      </c>
      <c r="E1108" s="1">
        <v>44631</v>
      </c>
      <c r="F1108" t="s">
        <v>555</v>
      </c>
      <c r="G1108" s="1">
        <v>44635</v>
      </c>
      <c r="H1108" s="1">
        <v>44688</v>
      </c>
      <c r="I1108" t="s">
        <v>43</v>
      </c>
      <c r="J1108" s="1" t="b">
        <f t="shared" si="119"/>
        <v>1</v>
      </c>
      <c r="K1108" s="1" t="b">
        <f t="shared" si="120"/>
        <v>0</v>
      </c>
      <c r="L1108" s="1" t="b">
        <f t="shared" si="121"/>
        <v>0</v>
      </c>
      <c r="M1108" s="1" t="b">
        <f t="shared" si="122"/>
        <v>0</v>
      </c>
      <c r="N1108" s="1" t="b">
        <f t="shared" si="123"/>
        <v>0</v>
      </c>
      <c r="O1108" s="1" t="b">
        <f t="shared" si="124"/>
        <v>1</v>
      </c>
      <c r="P1108" s="1" t="b">
        <f t="shared" si="125"/>
        <v>0</v>
      </c>
    </row>
    <row r="1109" spans="1:16" x14ac:dyDescent="0.2">
      <c r="A1109">
        <v>1234617</v>
      </c>
      <c r="B1109" t="s">
        <v>2105</v>
      </c>
      <c r="C1109" t="s">
        <v>80</v>
      </c>
      <c r="D1109" t="s">
        <v>19</v>
      </c>
      <c r="E1109" s="1">
        <v>44566</v>
      </c>
      <c r="F1109" t="s">
        <v>2106</v>
      </c>
      <c r="G1109" s="1">
        <v>44590</v>
      </c>
      <c r="H1109" s="1">
        <v>44597</v>
      </c>
      <c r="I1109" t="s">
        <v>43</v>
      </c>
      <c r="J1109" s="1" t="b">
        <f t="shared" si="119"/>
        <v>1</v>
      </c>
      <c r="K1109" s="1" t="b">
        <f t="shared" si="120"/>
        <v>0</v>
      </c>
      <c r="L1109" s="1" t="b">
        <f t="shared" si="121"/>
        <v>0</v>
      </c>
      <c r="M1109" s="1" t="b">
        <f t="shared" si="122"/>
        <v>0</v>
      </c>
      <c r="N1109" s="1" t="b">
        <f t="shared" si="123"/>
        <v>0</v>
      </c>
      <c r="O1109" s="1" t="b">
        <f t="shared" si="124"/>
        <v>1</v>
      </c>
      <c r="P1109" s="1" t="b">
        <f t="shared" si="125"/>
        <v>0</v>
      </c>
    </row>
    <row r="1110" spans="1:16" x14ac:dyDescent="0.2">
      <c r="A1110">
        <v>1234617</v>
      </c>
      <c r="B1110" t="s">
        <v>2107</v>
      </c>
      <c r="C1110" t="s">
        <v>80</v>
      </c>
      <c r="D1110" t="s">
        <v>19</v>
      </c>
      <c r="E1110" s="1">
        <v>44751</v>
      </c>
      <c r="F1110" t="s">
        <v>723</v>
      </c>
      <c r="G1110" s="1">
        <v>44766</v>
      </c>
      <c r="H1110" s="1">
        <v>44810</v>
      </c>
      <c r="J1110" s="1" t="b">
        <f t="shared" si="119"/>
        <v>1</v>
      </c>
      <c r="K1110" s="1" t="b">
        <f t="shared" si="120"/>
        <v>0</v>
      </c>
      <c r="L1110" s="1" t="b">
        <f t="shared" si="121"/>
        <v>0</v>
      </c>
      <c r="M1110" s="1" t="b">
        <f t="shared" si="122"/>
        <v>0</v>
      </c>
      <c r="N1110" s="1" t="b">
        <f t="shared" si="123"/>
        <v>0</v>
      </c>
      <c r="O1110" s="1" t="b">
        <f t="shared" si="124"/>
        <v>0</v>
      </c>
      <c r="P1110" s="1" t="b">
        <f t="shared" si="125"/>
        <v>0</v>
      </c>
    </row>
    <row r="1111" spans="1:16" x14ac:dyDescent="0.2">
      <c r="A1111">
        <v>2800606</v>
      </c>
      <c r="B1111" t="s">
        <v>2108</v>
      </c>
      <c r="C1111" t="s">
        <v>38</v>
      </c>
      <c r="D1111" t="s">
        <v>39</v>
      </c>
      <c r="E1111" s="1">
        <v>44883</v>
      </c>
      <c r="F1111" t="s">
        <v>2109</v>
      </c>
      <c r="G1111" s="1">
        <v>44887</v>
      </c>
      <c r="H1111" s="1">
        <v>44917</v>
      </c>
      <c r="I1111" t="s">
        <v>43</v>
      </c>
      <c r="J1111" s="1" t="b">
        <f t="shared" si="119"/>
        <v>1</v>
      </c>
      <c r="K1111" s="1" t="b">
        <f t="shared" si="120"/>
        <v>0</v>
      </c>
      <c r="L1111" s="1" t="b">
        <f t="shared" si="121"/>
        <v>0</v>
      </c>
      <c r="M1111" s="1" t="b">
        <f t="shared" si="122"/>
        <v>0</v>
      </c>
      <c r="N1111" s="1" t="b">
        <f t="shared" si="123"/>
        <v>0</v>
      </c>
      <c r="O1111" s="1" t="b">
        <f t="shared" si="124"/>
        <v>1</v>
      </c>
      <c r="P1111" s="1" t="b">
        <f t="shared" si="125"/>
        <v>0</v>
      </c>
    </row>
    <row r="1112" spans="1:16" x14ac:dyDescent="0.2">
      <c r="A1112">
        <v>2800606</v>
      </c>
      <c r="B1112" t="s">
        <v>2110</v>
      </c>
      <c r="C1112" t="s">
        <v>38</v>
      </c>
      <c r="D1112" t="s">
        <v>39</v>
      </c>
      <c r="E1112" s="1">
        <v>44931</v>
      </c>
      <c r="F1112" t="s">
        <v>1588</v>
      </c>
      <c r="G1112" s="1">
        <v>44954</v>
      </c>
      <c r="I1112" t="s">
        <v>13</v>
      </c>
      <c r="J1112" s="1" t="b">
        <f t="shared" si="119"/>
        <v>0</v>
      </c>
      <c r="K1112" s="1" t="b">
        <f t="shared" si="120"/>
        <v>1</v>
      </c>
      <c r="L1112" s="1" t="b">
        <f t="shared" si="121"/>
        <v>0</v>
      </c>
      <c r="M1112" s="1" t="b">
        <f t="shared" si="122"/>
        <v>0</v>
      </c>
      <c r="N1112" s="1" t="b">
        <f t="shared" si="123"/>
        <v>0</v>
      </c>
      <c r="O1112" s="1" t="b">
        <f t="shared" si="124"/>
        <v>0</v>
      </c>
      <c r="P1112" s="1" t="b">
        <f t="shared" si="125"/>
        <v>0</v>
      </c>
    </row>
    <row r="1113" spans="1:16" x14ac:dyDescent="0.2">
      <c r="A1113">
        <v>2800606</v>
      </c>
      <c r="B1113" t="s">
        <v>2111</v>
      </c>
      <c r="C1113" t="s">
        <v>38</v>
      </c>
      <c r="D1113" t="s">
        <v>39</v>
      </c>
      <c r="E1113" s="1">
        <v>44646</v>
      </c>
      <c r="F1113" t="s">
        <v>2112</v>
      </c>
      <c r="G1113" s="1">
        <v>44657</v>
      </c>
      <c r="I1113" t="s">
        <v>25</v>
      </c>
      <c r="J1113" s="1" t="b">
        <f t="shared" si="119"/>
        <v>0</v>
      </c>
      <c r="K1113" s="1" t="b">
        <f t="shared" si="120"/>
        <v>0</v>
      </c>
      <c r="L1113" s="1" t="b">
        <f t="shared" si="121"/>
        <v>1</v>
      </c>
      <c r="M1113" s="1" t="b">
        <f t="shared" si="122"/>
        <v>0</v>
      </c>
      <c r="N1113" s="1" t="b">
        <f t="shared" si="123"/>
        <v>0</v>
      </c>
      <c r="O1113" s="1" t="b">
        <f t="shared" si="124"/>
        <v>0</v>
      </c>
      <c r="P1113" s="1" t="b">
        <f t="shared" si="125"/>
        <v>0</v>
      </c>
    </row>
    <row r="1114" spans="1:16" x14ac:dyDescent="0.2">
      <c r="A1114">
        <v>2800606</v>
      </c>
      <c r="B1114" t="s">
        <v>2113</v>
      </c>
      <c r="C1114" t="s">
        <v>38</v>
      </c>
      <c r="D1114" t="s">
        <v>39</v>
      </c>
      <c r="E1114" s="1">
        <v>44881</v>
      </c>
      <c r="F1114" t="s">
        <v>2114</v>
      </c>
      <c r="G1114" s="1">
        <v>44903</v>
      </c>
      <c r="H1114" s="1">
        <v>44957</v>
      </c>
      <c r="J1114" s="1" t="b">
        <f t="shared" si="119"/>
        <v>1</v>
      </c>
      <c r="K1114" s="1" t="b">
        <f t="shared" si="120"/>
        <v>0</v>
      </c>
      <c r="L1114" s="1" t="b">
        <f t="shared" si="121"/>
        <v>0</v>
      </c>
      <c r="M1114" s="1" t="b">
        <f t="shared" si="122"/>
        <v>0</v>
      </c>
      <c r="N1114" s="1" t="b">
        <f t="shared" si="123"/>
        <v>0</v>
      </c>
      <c r="O1114" s="1" t="b">
        <f t="shared" si="124"/>
        <v>0</v>
      </c>
      <c r="P1114" s="1" t="b">
        <f t="shared" si="125"/>
        <v>0</v>
      </c>
    </row>
    <row r="1115" spans="1:16" x14ac:dyDescent="0.2">
      <c r="A1115">
        <v>8448343</v>
      </c>
      <c r="B1115" t="s">
        <v>2115</v>
      </c>
      <c r="C1115" t="s">
        <v>93</v>
      </c>
      <c r="D1115" t="s">
        <v>139</v>
      </c>
      <c r="E1115" s="1">
        <v>44755</v>
      </c>
      <c r="F1115" t="s">
        <v>2116</v>
      </c>
      <c r="G1115" s="1">
        <v>44783</v>
      </c>
      <c r="I1115" t="s">
        <v>13</v>
      </c>
      <c r="J1115" s="1" t="b">
        <f t="shared" si="119"/>
        <v>0</v>
      </c>
      <c r="K1115" s="1" t="b">
        <f t="shared" si="120"/>
        <v>1</v>
      </c>
      <c r="L1115" s="1" t="b">
        <f t="shared" si="121"/>
        <v>0</v>
      </c>
      <c r="M1115" s="1" t="b">
        <f t="shared" si="122"/>
        <v>0</v>
      </c>
      <c r="N1115" s="1" t="b">
        <f t="shared" si="123"/>
        <v>0</v>
      </c>
      <c r="O1115" s="1" t="b">
        <f t="shared" si="124"/>
        <v>0</v>
      </c>
      <c r="P1115" s="1" t="b">
        <f t="shared" si="125"/>
        <v>0</v>
      </c>
    </row>
    <row r="1116" spans="1:16" x14ac:dyDescent="0.2">
      <c r="A1116">
        <v>8448343</v>
      </c>
      <c r="B1116" t="s">
        <v>2117</v>
      </c>
      <c r="C1116" t="s">
        <v>93</v>
      </c>
      <c r="D1116" t="s">
        <v>139</v>
      </c>
      <c r="E1116" s="1">
        <v>44649</v>
      </c>
      <c r="F1116" t="s">
        <v>2118</v>
      </c>
      <c r="G1116" s="1">
        <v>44653</v>
      </c>
      <c r="I1116" t="s">
        <v>13</v>
      </c>
      <c r="J1116" s="1" t="b">
        <f t="shared" si="119"/>
        <v>0</v>
      </c>
      <c r="K1116" s="1" t="b">
        <f t="shared" si="120"/>
        <v>1</v>
      </c>
      <c r="L1116" s="1" t="b">
        <f t="shared" si="121"/>
        <v>0</v>
      </c>
      <c r="M1116" s="1" t="b">
        <f t="shared" si="122"/>
        <v>0</v>
      </c>
      <c r="N1116" s="1" t="b">
        <f t="shared" si="123"/>
        <v>0</v>
      </c>
      <c r="O1116" s="1" t="b">
        <f t="shared" si="124"/>
        <v>0</v>
      </c>
      <c r="P1116" s="1" t="b">
        <f t="shared" si="125"/>
        <v>0</v>
      </c>
    </row>
    <row r="1117" spans="1:16" x14ac:dyDescent="0.2">
      <c r="A1117">
        <v>8448343</v>
      </c>
      <c r="B1117" t="s">
        <v>2119</v>
      </c>
      <c r="C1117" t="s">
        <v>93</v>
      </c>
      <c r="D1117" t="s">
        <v>139</v>
      </c>
      <c r="E1117" s="1">
        <v>44938</v>
      </c>
      <c r="F1117" t="s">
        <v>2120</v>
      </c>
      <c r="G1117" s="1">
        <v>44944</v>
      </c>
      <c r="H1117" s="1">
        <v>44945</v>
      </c>
      <c r="J1117" s="1" t="b">
        <f t="shared" si="119"/>
        <v>1</v>
      </c>
      <c r="K1117" s="1" t="b">
        <f t="shared" si="120"/>
        <v>0</v>
      </c>
      <c r="L1117" s="1" t="b">
        <f t="shared" si="121"/>
        <v>0</v>
      </c>
      <c r="M1117" s="1" t="b">
        <f t="shared" si="122"/>
        <v>0</v>
      </c>
      <c r="N1117" s="1" t="b">
        <f t="shared" si="123"/>
        <v>0</v>
      </c>
      <c r="O1117" s="1" t="b">
        <f t="shared" si="124"/>
        <v>0</v>
      </c>
      <c r="P1117" s="1" t="b">
        <f t="shared" si="125"/>
        <v>0</v>
      </c>
    </row>
    <row r="1118" spans="1:16" x14ac:dyDescent="0.2">
      <c r="A1118">
        <v>8448343</v>
      </c>
      <c r="B1118" t="s">
        <v>2121</v>
      </c>
      <c r="C1118" t="s">
        <v>93</v>
      </c>
      <c r="D1118" t="s">
        <v>139</v>
      </c>
      <c r="E1118" s="1">
        <v>44967</v>
      </c>
      <c r="F1118" t="s">
        <v>427</v>
      </c>
      <c r="G1118" s="1">
        <v>44982</v>
      </c>
      <c r="H1118" s="1">
        <v>45016</v>
      </c>
      <c r="J1118" s="1" t="b">
        <f t="shared" si="119"/>
        <v>1</v>
      </c>
      <c r="K1118" s="1" t="b">
        <f t="shared" si="120"/>
        <v>0</v>
      </c>
      <c r="L1118" s="1" t="b">
        <f t="shared" si="121"/>
        <v>0</v>
      </c>
      <c r="M1118" s="1" t="b">
        <f t="shared" si="122"/>
        <v>0</v>
      </c>
      <c r="N1118" s="1" t="b">
        <f t="shared" si="123"/>
        <v>0</v>
      </c>
      <c r="O1118" s="1" t="b">
        <f t="shared" si="124"/>
        <v>0</v>
      </c>
      <c r="P1118" s="1" t="b">
        <f t="shared" si="125"/>
        <v>0</v>
      </c>
    </row>
    <row r="1119" spans="1:16" x14ac:dyDescent="0.2">
      <c r="A1119">
        <v>3405308</v>
      </c>
      <c r="B1119" t="s">
        <v>2122</v>
      </c>
      <c r="C1119" t="s">
        <v>59</v>
      </c>
      <c r="D1119" t="s">
        <v>60</v>
      </c>
      <c r="E1119" s="1">
        <v>44765</v>
      </c>
      <c r="F1119" t="s">
        <v>2123</v>
      </c>
      <c r="G1119" s="1">
        <v>44776</v>
      </c>
      <c r="H1119" s="1">
        <v>44789</v>
      </c>
      <c r="I1119" t="s">
        <v>43</v>
      </c>
      <c r="J1119" s="1" t="b">
        <f t="shared" si="119"/>
        <v>1</v>
      </c>
      <c r="K1119" s="1" t="b">
        <f t="shared" si="120"/>
        <v>0</v>
      </c>
      <c r="L1119" s="1" t="b">
        <f t="shared" si="121"/>
        <v>0</v>
      </c>
      <c r="M1119" s="1" t="b">
        <f t="shared" si="122"/>
        <v>0</v>
      </c>
      <c r="N1119" s="1" t="b">
        <f t="shared" si="123"/>
        <v>0</v>
      </c>
      <c r="O1119" s="1" t="b">
        <f t="shared" si="124"/>
        <v>1</v>
      </c>
      <c r="P1119" s="1" t="b">
        <f t="shared" si="125"/>
        <v>0</v>
      </c>
    </row>
    <row r="1120" spans="1:16" x14ac:dyDescent="0.2">
      <c r="A1120">
        <v>3405308</v>
      </c>
      <c r="B1120" t="s">
        <v>2124</v>
      </c>
      <c r="C1120" t="s">
        <v>59</v>
      </c>
      <c r="D1120" t="s">
        <v>60</v>
      </c>
      <c r="E1120" s="1">
        <v>44996</v>
      </c>
      <c r="F1120" t="s">
        <v>2125</v>
      </c>
      <c r="G1120" s="1">
        <v>45020</v>
      </c>
      <c r="H1120" s="1">
        <v>45052</v>
      </c>
      <c r="J1120" s="1" t="b">
        <f t="shared" si="119"/>
        <v>1</v>
      </c>
      <c r="K1120" s="1" t="b">
        <f t="shared" si="120"/>
        <v>0</v>
      </c>
      <c r="L1120" s="1" t="b">
        <f t="shared" si="121"/>
        <v>0</v>
      </c>
      <c r="M1120" s="1" t="b">
        <f t="shared" si="122"/>
        <v>0</v>
      </c>
      <c r="N1120" s="1" t="b">
        <f t="shared" si="123"/>
        <v>0</v>
      </c>
      <c r="O1120" s="1" t="b">
        <f t="shared" si="124"/>
        <v>0</v>
      </c>
      <c r="P1120" s="1" t="b">
        <f t="shared" si="125"/>
        <v>0</v>
      </c>
    </row>
    <row r="1121" spans="1:16" x14ac:dyDescent="0.2">
      <c r="A1121">
        <v>3405308</v>
      </c>
      <c r="B1121" t="s">
        <v>2126</v>
      </c>
      <c r="C1121" t="s">
        <v>59</v>
      </c>
      <c r="D1121" t="s">
        <v>60</v>
      </c>
      <c r="E1121" s="1">
        <v>44841</v>
      </c>
      <c r="F1121" t="s">
        <v>2127</v>
      </c>
      <c r="G1121" s="1">
        <v>44866</v>
      </c>
      <c r="I1121" t="s">
        <v>25</v>
      </c>
      <c r="J1121" s="1" t="b">
        <f t="shared" si="119"/>
        <v>0</v>
      </c>
      <c r="K1121" s="1" t="b">
        <f t="shared" si="120"/>
        <v>0</v>
      </c>
      <c r="L1121" s="1" t="b">
        <f t="shared" si="121"/>
        <v>1</v>
      </c>
      <c r="M1121" s="1" t="b">
        <f t="shared" si="122"/>
        <v>0</v>
      </c>
      <c r="N1121" s="1" t="b">
        <f t="shared" si="123"/>
        <v>0</v>
      </c>
      <c r="O1121" s="1" t="b">
        <f t="shared" si="124"/>
        <v>0</v>
      </c>
      <c r="P1121" s="1" t="b">
        <f t="shared" si="125"/>
        <v>0</v>
      </c>
    </row>
    <row r="1122" spans="1:16" x14ac:dyDescent="0.2">
      <c r="A1122">
        <v>3405308</v>
      </c>
      <c r="B1122" t="s">
        <v>2128</v>
      </c>
      <c r="C1122" t="s">
        <v>59</v>
      </c>
      <c r="D1122" t="s">
        <v>60</v>
      </c>
      <c r="E1122" s="1">
        <v>44976</v>
      </c>
      <c r="F1122" t="s">
        <v>2129</v>
      </c>
      <c r="G1122" s="1">
        <v>44992</v>
      </c>
      <c r="H1122" s="1">
        <v>45025</v>
      </c>
      <c r="J1122" s="1" t="b">
        <f t="shared" si="119"/>
        <v>1</v>
      </c>
      <c r="K1122" s="1" t="b">
        <f t="shared" si="120"/>
        <v>0</v>
      </c>
      <c r="L1122" s="1" t="b">
        <f t="shared" si="121"/>
        <v>0</v>
      </c>
      <c r="M1122" s="1" t="b">
        <f t="shared" si="122"/>
        <v>0</v>
      </c>
      <c r="N1122" s="1" t="b">
        <f t="shared" si="123"/>
        <v>0</v>
      </c>
      <c r="O1122" s="1" t="b">
        <f t="shared" si="124"/>
        <v>0</v>
      </c>
      <c r="P1122" s="1" t="b">
        <f t="shared" si="125"/>
        <v>0</v>
      </c>
    </row>
    <row r="1123" spans="1:16" x14ac:dyDescent="0.2">
      <c r="A1123">
        <v>3405308</v>
      </c>
      <c r="B1123" t="s">
        <v>2130</v>
      </c>
      <c r="C1123" t="s">
        <v>59</v>
      </c>
      <c r="D1123" t="s">
        <v>60</v>
      </c>
      <c r="E1123" s="1">
        <v>44672</v>
      </c>
      <c r="F1123" t="s">
        <v>1473</v>
      </c>
      <c r="G1123" s="1">
        <v>44676</v>
      </c>
      <c r="I1123" t="s">
        <v>25</v>
      </c>
      <c r="J1123" s="1" t="b">
        <f t="shared" si="119"/>
        <v>0</v>
      </c>
      <c r="K1123" s="1" t="b">
        <f t="shared" si="120"/>
        <v>0</v>
      </c>
      <c r="L1123" s="1" t="b">
        <f t="shared" si="121"/>
        <v>1</v>
      </c>
      <c r="M1123" s="1" t="b">
        <f t="shared" si="122"/>
        <v>0</v>
      </c>
      <c r="N1123" s="1" t="b">
        <f t="shared" si="123"/>
        <v>0</v>
      </c>
      <c r="O1123" s="1" t="b">
        <f t="shared" si="124"/>
        <v>0</v>
      </c>
      <c r="P1123" s="1" t="b">
        <f t="shared" si="125"/>
        <v>0</v>
      </c>
    </row>
    <row r="1124" spans="1:16" x14ac:dyDescent="0.2">
      <c r="A1124">
        <v>5205877</v>
      </c>
      <c r="B1124" t="s">
        <v>2131</v>
      </c>
      <c r="C1124" t="s">
        <v>363</v>
      </c>
      <c r="D1124" t="s">
        <v>77</v>
      </c>
      <c r="E1124" s="1">
        <v>44616</v>
      </c>
      <c r="F1124" t="s">
        <v>2132</v>
      </c>
      <c r="G1124" s="1">
        <v>44643</v>
      </c>
      <c r="H1124" s="1">
        <v>44648</v>
      </c>
      <c r="I1124" t="s">
        <v>43</v>
      </c>
      <c r="J1124" s="1" t="b">
        <f t="shared" si="119"/>
        <v>1</v>
      </c>
      <c r="K1124" s="1" t="b">
        <f t="shared" si="120"/>
        <v>0</v>
      </c>
      <c r="L1124" s="1" t="b">
        <f t="shared" si="121"/>
        <v>0</v>
      </c>
      <c r="M1124" s="1" t="b">
        <f t="shared" si="122"/>
        <v>0</v>
      </c>
      <c r="N1124" s="1" t="b">
        <f t="shared" si="123"/>
        <v>0</v>
      </c>
      <c r="O1124" s="1" t="b">
        <f t="shared" si="124"/>
        <v>1</v>
      </c>
      <c r="P1124" s="1" t="b">
        <f t="shared" si="125"/>
        <v>0</v>
      </c>
    </row>
    <row r="1125" spans="1:16" x14ac:dyDescent="0.2">
      <c r="A1125">
        <v>5205877</v>
      </c>
      <c r="B1125" t="s">
        <v>2133</v>
      </c>
      <c r="C1125" t="s">
        <v>363</v>
      </c>
      <c r="D1125" t="s">
        <v>77</v>
      </c>
      <c r="E1125" s="1">
        <v>44896</v>
      </c>
      <c r="F1125" t="s">
        <v>2134</v>
      </c>
      <c r="G1125" s="1">
        <v>44901</v>
      </c>
      <c r="H1125" s="1">
        <v>44921</v>
      </c>
      <c r="I1125" t="s">
        <v>16</v>
      </c>
      <c r="J1125" s="1" t="b">
        <f t="shared" si="119"/>
        <v>1</v>
      </c>
      <c r="K1125" s="1" t="b">
        <f t="shared" si="120"/>
        <v>0</v>
      </c>
      <c r="L1125" s="1" t="b">
        <f t="shared" si="121"/>
        <v>0</v>
      </c>
      <c r="M1125" s="1" t="b">
        <f t="shared" si="122"/>
        <v>0</v>
      </c>
      <c r="N1125" s="1" t="b">
        <f t="shared" si="123"/>
        <v>1</v>
      </c>
      <c r="O1125" s="1" t="b">
        <f t="shared" si="124"/>
        <v>0</v>
      </c>
      <c r="P1125" s="1" t="b">
        <f t="shared" si="125"/>
        <v>0</v>
      </c>
    </row>
    <row r="1126" spans="1:16" x14ac:dyDescent="0.2">
      <c r="A1126">
        <v>2616210</v>
      </c>
      <c r="B1126" t="s">
        <v>2135</v>
      </c>
      <c r="C1126" t="s">
        <v>35</v>
      </c>
      <c r="D1126" t="s">
        <v>122</v>
      </c>
      <c r="E1126" s="1">
        <v>45071</v>
      </c>
      <c r="F1126" t="s">
        <v>2136</v>
      </c>
      <c r="G1126" s="1">
        <v>45087</v>
      </c>
      <c r="H1126" s="1">
        <v>45120</v>
      </c>
      <c r="J1126" s="1" t="b">
        <f t="shared" si="119"/>
        <v>1</v>
      </c>
      <c r="K1126" s="1" t="b">
        <f t="shared" si="120"/>
        <v>0</v>
      </c>
      <c r="L1126" s="1" t="b">
        <f t="shared" si="121"/>
        <v>0</v>
      </c>
      <c r="M1126" s="1" t="b">
        <f t="shared" si="122"/>
        <v>0</v>
      </c>
      <c r="N1126" s="1" t="b">
        <f t="shared" si="123"/>
        <v>0</v>
      </c>
      <c r="O1126" s="1" t="b">
        <f t="shared" si="124"/>
        <v>0</v>
      </c>
      <c r="P1126" s="1" t="b">
        <f t="shared" si="125"/>
        <v>0</v>
      </c>
    </row>
    <row r="1127" spans="1:16" x14ac:dyDescent="0.2">
      <c r="A1127">
        <v>2616210</v>
      </c>
      <c r="B1127" t="s">
        <v>2137</v>
      </c>
      <c r="C1127" t="s">
        <v>35</v>
      </c>
      <c r="D1127" t="s">
        <v>122</v>
      </c>
      <c r="E1127" s="1">
        <v>44580</v>
      </c>
      <c r="F1127" t="s">
        <v>2138</v>
      </c>
      <c r="G1127" s="1">
        <v>44605</v>
      </c>
      <c r="I1127" t="s">
        <v>25</v>
      </c>
      <c r="J1127" s="1" t="b">
        <f t="shared" si="119"/>
        <v>0</v>
      </c>
      <c r="K1127" s="1" t="b">
        <f t="shared" si="120"/>
        <v>0</v>
      </c>
      <c r="L1127" s="1" t="b">
        <f t="shared" si="121"/>
        <v>1</v>
      </c>
      <c r="M1127" s="1" t="b">
        <f t="shared" si="122"/>
        <v>0</v>
      </c>
      <c r="N1127" s="1" t="b">
        <f t="shared" si="123"/>
        <v>0</v>
      </c>
      <c r="O1127" s="1" t="b">
        <f t="shared" si="124"/>
        <v>0</v>
      </c>
      <c r="P1127" s="1" t="b">
        <f t="shared" si="125"/>
        <v>0</v>
      </c>
    </row>
    <row r="1128" spans="1:16" x14ac:dyDescent="0.2">
      <c r="A1128">
        <v>2616210</v>
      </c>
      <c r="B1128" t="s">
        <v>2139</v>
      </c>
      <c r="C1128" t="s">
        <v>35</v>
      </c>
      <c r="D1128" t="s">
        <v>122</v>
      </c>
      <c r="E1128" s="1">
        <v>44683</v>
      </c>
      <c r="F1128" t="s">
        <v>1213</v>
      </c>
      <c r="G1128" s="1">
        <v>44696</v>
      </c>
      <c r="I1128" t="s">
        <v>13</v>
      </c>
      <c r="J1128" s="1" t="b">
        <f t="shared" si="119"/>
        <v>0</v>
      </c>
      <c r="K1128" s="1" t="b">
        <f t="shared" si="120"/>
        <v>1</v>
      </c>
      <c r="L1128" s="1" t="b">
        <f t="shared" si="121"/>
        <v>0</v>
      </c>
      <c r="M1128" s="1" t="b">
        <f t="shared" si="122"/>
        <v>0</v>
      </c>
      <c r="N1128" s="1" t="b">
        <f t="shared" si="123"/>
        <v>0</v>
      </c>
      <c r="O1128" s="1" t="b">
        <f t="shared" si="124"/>
        <v>0</v>
      </c>
      <c r="P1128" s="1" t="b">
        <f t="shared" si="125"/>
        <v>0</v>
      </c>
    </row>
    <row r="1129" spans="1:16" x14ac:dyDescent="0.2">
      <c r="A1129">
        <v>2616210</v>
      </c>
      <c r="B1129" t="s">
        <v>2140</v>
      </c>
      <c r="C1129" t="s">
        <v>35</v>
      </c>
      <c r="D1129" t="s">
        <v>122</v>
      </c>
      <c r="E1129" s="1">
        <v>44598</v>
      </c>
      <c r="F1129" t="s">
        <v>946</v>
      </c>
      <c r="G1129" s="1">
        <v>44600</v>
      </c>
      <c r="H1129" s="1">
        <v>44612</v>
      </c>
      <c r="J1129" s="1" t="b">
        <f t="shared" si="119"/>
        <v>1</v>
      </c>
      <c r="K1129" s="1" t="b">
        <f t="shared" si="120"/>
        <v>0</v>
      </c>
      <c r="L1129" s="1" t="b">
        <f t="shared" si="121"/>
        <v>0</v>
      </c>
      <c r="M1129" s="1" t="b">
        <f t="shared" si="122"/>
        <v>0</v>
      </c>
      <c r="N1129" s="1" t="b">
        <f t="shared" si="123"/>
        <v>0</v>
      </c>
      <c r="O1129" s="1" t="b">
        <f t="shared" si="124"/>
        <v>0</v>
      </c>
      <c r="P1129" s="1" t="b">
        <f t="shared" si="125"/>
        <v>0</v>
      </c>
    </row>
    <row r="1130" spans="1:16" x14ac:dyDescent="0.2">
      <c r="A1130">
        <v>2616210</v>
      </c>
      <c r="B1130" t="s">
        <v>2141</v>
      </c>
      <c r="C1130" t="s">
        <v>35</v>
      </c>
      <c r="D1130" t="s">
        <v>122</v>
      </c>
      <c r="E1130" s="1">
        <v>44730</v>
      </c>
      <c r="F1130" t="s">
        <v>2142</v>
      </c>
      <c r="G1130" s="1">
        <v>44746</v>
      </c>
      <c r="H1130" s="1">
        <v>44774</v>
      </c>
      <c r="I1130" t="s">
        <v>28</v>
      </c>
      <c r="J1130" s="1" t="b">
        <f t="shared" si="119"/>
        <v>1</v>
      </c>
      <c r="K1130" s="1" t="b">
        <f t="shared" si="120"/>
        <v>0</v>
      </c>
      <c r="L1130" s="1" t="b">
        <f t="shared" si="121"/>
        <v>0</v>
      </c>
      <c r="M1130" s="1" t="b">
        <f t="shared" si="122"/>
        <v>0</v>
      </c>
      <c r="N1130" s="1" t="b">
        <f t="shared" si="123"/>
        <v>0</v>
      </c>
      <c r="O1130" s="1" t="b">
        <f t="shared" si="124"/>
        <v>0</v>
      </c>
      <c r="P1130" s="1" t="b">
        <f t="shared" si="125"/>
        <v>1</v>
      </c>
    </row>
    <row r="1131" spans="1:16" x14ac:dyDescent="0.2">
      <c r="A1131">
        <v>3256338</v>
      </c>
      <c r="B1131" t="s">
        <v>2143</v>
      </c>
      <c r="C1131" t="s">
        <v>110</v>
      </c>
      <c r="D1131" t="s">
        <v>60</v>
      </c>
      <c r="E1131" s="1">
        <v>45043</v>
      </c>
      <c r="F1131" t="s">
        <v>2144</v>
      </c>
      <c r="G1131" s="1">
        <v>45059</v>
      </c>
      <c r="H1131" s="1">
        <v>45095</v>
      </c>
      <c r="J1131" s="1" t="b">
        <f t="shared" si="119"/>
        <v>1</v>
      </c>
      <c r="K1131" s="1" t="b">
        <f t="shared" si="120"/>
        <v>0</v>
      </c>
      <c r="L1131" s="1" t="b">
        <f t="shared" si="121"/>
        <v>0</v>
      </c>
      <c r="M1131" s="1" t="b">
        <f t="shared" si="122"/>
        <v>0</v>
      </c>
      <c r="N1131" s="1" t="b">
        <f t="shared" si="123"/>
        <v>0</v>
      </c>
      <c r="O1131" s="1" t="b">
        <f t="shared" si="124"/>
        <v>0</v>
      </c>
      <c r="P1131" s="1" t="b">
        <f t="shared" si="125"/>
        <v>0</v>
      </c>
    </row>
    <row r="1132" spans="1:16" x14ac:dyDescent="0.2">
      <c r="A1132">
        <v>3256338</v>
      </c>
      <c r="B1132" t="s">
        <v>2145</v>
      </c>
      <c r="C1132" t="s">
        <v>110</v>
      </c>
      <c r="D1132" t="s">
        <v>60</v>
      </c>
      <c r="E1132" s="1">
        <v>45068</v>
      </c>
      <c r="F1132" t="s">
        <v>2146</v>
      </c>
      <c r="G1132" s="1">
        <v>45087</v>
      </c>
      <c r="H1132" s="1">
        <v>45112</v>
      </c>
      <c r="I1132" t="s">
        <v>16</v>
      </c>
      <c r="J1132" s="1" t="b">
        <f t="shared" si="119"/>
        <v>1</v>
      </c>
      <c r="K1132" s="1" t="b">
        <f t="shared" si="120"/>
        <v>0</v>
      </c>
      <c r="L1132" s="1" t="b">
        <f t="shared" si="121"/>
        <v>0</v>
      </c>
      <c r="M1132" s="1" t="b">
        <f t="shared" si="122"/>
        <v>0</v>
      </c>
      <c r="N1132" s="1" t="b">
        <f t="shared" si="123"/>
        <v>1</v>
      </c>
      <c r="O1132" s="1" t="b">
        <f t="shared" si="124"/>
        <v>0</v>
      </c>
      <c r="P1132" s="1" t="b">
        <f t="shared" si="125"/>
        <v>0</v>
      </c>
    </row>
    <row r="1133" spans="1:16" x14ac:dyDescent="0.2">
      <c r="A1133">
        <v>3256338</v>
      </c>
      <c r="B1133" t="s">
        <v>2147</v>
      </c>
      <c r="C1133" t="s">
        <v>110</v>
      </c>
      <c r="D1133" t="s">
        <v>60</v>
      </c>
      <c r="E1133" s="1">
        <v>44890</v>
      </c>
      <c r="F1133" t="s">
        <v>2148</v>
      </c>
      <c r="G1133" s="1">
        <v>44892</v>
      </c>
      <c r="H1133" s="1">
        <v>44894</v>
      </c>
      <c r="I1133" t="s">
        <v>28</v>
      </c>
      <c r="J1133" s="1" t="b">
        <f t="shared" si="119"/>
        <v>1</v>
      </c>
      <c r="K1133" s="1" t="b">
        <f t="shared" si="120"/>
        <v>0</v>
      </c>
      <c r="L1133" s="1" t="b">
        <f t="shared" si="121"/>
        <v>0</v>
      </c>
      <c r="M1133" s="1" t="b">
        <f t="shared" si="122"/>
        <v>0</v>
      </c>
      <c r="N1133" s="1" t="b">
        <f t="shared" si="123"/>
        <v>0</v>
      </c>
      <c r="O1133" s="1" t="b">
        <f t="shared" si="124"/>
        <v>0</v>
      </c>
      <c r="P1133" s="1" t="b">
        <f t="shared" si="125"/>
        <v>1</v>
      </c>
    </row>
    <row r="1134" spans="1:16" x14ac:dyDescent="0.2">
      <c r="A1134">
        <v>3256338</v>
      </c>
      <c r="B1134" t="s">
        <v>2149</v>
      </c>
      <c r="C1134" t="s">
        <v>110</v>
      </c>
      <c r="D1134" t="s">
        <v>60</v>
      </c>
      <c r="E1134" s="1">
        <v>44919</v>
      </c>
      <c r="F1134" t="s">
        <v>2150</v>
      </c>
      <c r="G1134" s="1">
        <v>44945</v>
      </c>
      <c r="H1134" s="1">
        <v>44993</v>
      </c>
      <c r="I1134" t="s">
        <v>43</v>
      </c>
      <c r="J1134" s="1" t="b">
        <f t="shared" si="119"/>
        <v>1</v>
      </c>
      <c r="K1134" s="1" t="b">
        <f t="shared" si="120"/>
        <v>0</v>
      </c>
      <c r="L1134" s="1" t="b">
        <f t="shared" si="121"/>
        <v>0</v>
      </c>
      <c r="M1134" s="1" t="b">
        <f t="shared" si="122"/>
        <v>0</v>
      </c>
      <c r="N1134" s="1" t="b">
        <f t="shared" si="123"/>
        <v>0</v>
      </c>
      <c r="O1134" s="1" t="b">
        <f t="shared" si="124"/>
        <v>1</v>
      </c>
      <c r="P1134" s="1" t="b">
        <f t="shared" si="125"/>
        <v>0</v>
      </c>
    </row>
    <row r="1135" spans="1:16" x14ac:dyDescent="0.2">
      <c r="A1135">
        <v>1451304</v>
      </c>
      <c r="B1135" t="s">
        <v>2151</v>
      </c>
      <c r="C1135" t="s">
        <v>35</v>
      </c>
      <c r="D1135" t="s">
        <v>39</v>
      </c>
      <c r="E1135" s="1">
        <v>44895</v>
      </c>
      <c r="F1135" t="s">
        <v>2152</v>
      </c>
      <c r="G1135" s="1">
        <v>44897</v>
      </c>
      <c r="I1135" t="s">
        <v>13</v>
      </c>
      <c r="J1135" s="1" t="b">
        <f t="shared" si="119"/>
        <v>0</v>
      </c>
      <c r="K1135" s="1" t="b">
        <f t="shared" si="120"/>
        <v>1</v>
      </c>
      <c r="L1135" s="1" t="b">
        <f t="shared" si="121"/>
        <v>0</v>
      </c>
      <c r="M1135" s="1" t="b">
        <f t="shared" si="122"/>
        <v>0</v>
      </c>
      <c r="N1135" s="1" t="b">
        <f t="shared" si="123"/>
        <v>0</v>
      </c>
      <c r="O1135" s="1" t="b">
        <f t="shared" si="124"/>
        <v>0</v>
      </c>
      <c r="P1135" s="1" t="b">
        <f t="shared" si="125"/>
        <v>0</v>
      </c>
    </row>
    <row r="1136" spans="1:16" x14ac:dyDescent="0.2">
      <c r="A1136">
        <v>1451304</v>
      </c>
      <c r="B1136" t="s">
        <v>2153</v>
      </c>
      <c r="C1136" t="s">
        <v>35</v>
      </c>
      <c r="D1136" t="s">
        <v>39</v>
      </c>
      <c r="E1136" s="1">
        <v>44921</v>
      </c>
      <c r="F1136" t="s">
        <v>2154</v>
      </c>
      <c r="G1136" s="1">
        <v>44923</v>
      </c>
      <c r="I1136" t="s">
        <v>25</v>
      </c>
      <c r="J1136" s="1" t="b">
        <f t="shared" si="119"/>
        <v>0</v>
      </c>
      <c r="K1136" s="1" t="b">
        <f t="shared" si="120"/>
        <v>0</v>
      </c>
      <c r="L1136" s="1" t="b">
        <f t="shared" si="121"/>
        <v>1</v>
      </c>
      <c r="M1136" s="1" t="b">
        <f t="shared" si="122"/>
        <v>0</v>
      </c>
      <c r="N1136" s="1" t="b">
        <f t="shared" si="123"/>
        <v>0</v>
      </c>
      <c r="O1136" s="1" t="b">
        <f t="shared" si="124"/>
        <v>0</v>
      </c>
      <c r="P1136" s="1" t="b">
        <f t="shared" si="125"/>
        <v>0</v>
      </c>
    </row>
    <row r="1137" spans="1:16" x14ac:dyDescent="0.2">
      <c r="A1137">
        <v>1451304</v>
      </c>
      <c r="B1137" t="s">
        <v>2155</v>
      </c>
      <c r="C1137" t="s">
        <v>35</v>
      </c>
      <c r="D1137" t="s">
        <v>39</v>
      </c>
      <c r="E1137" s="1">
        <v>44881</v>
      </c>
      <c r="F1137" t="s">
        <v>2156</v>
      </c>
      <c r="G1137" s="1">
        <v>44900</v>
      </c>
      <c r="H1137" s="1">
        <v>44906</v>
      </c>
      <c r="I1137" t="s">
        <v>43</v>
      </c>
      <c r="J1137" s="1" t="b">
        <f t="shared" si="119"/>
        <v>1</v>
      </c>
      <c r="K1137" s="1" t="b">
        <f t="shared" si="120"/>
        <v>0</v>
      </c>
      <c r="L1137" s="1" t="b">
        <f t="shared" si="121"/>
        <v>0</v>
      </c>
      <c r="M1137" s="1" t="b">
        <f t="shared" si="122"/>
        <v>0</v>
      </c>
      <c r="N1137" s="1" t="b">
        <f t="shared" si="123"/>
        <v>0</v>
      </c>
      <c r="O1137" s="1" t="b">
        <f t="shared" si="124"/>
        <v>1</v>
      </c>
      <c r="P1137" s="1" t="b">
        <f t="shared" si="125"/>
        <v>0</v>
      </c>
    </row>
    <row r="1138" spans="1:16" x14ac:dyDescent="0.2">
      <c r="A1138">
        <v>1451304</v>
      </c>
      <c r="B1138" t="s">
        <v>2157</v>
      </c>
      <c r="C1138" t="s">
        <v>35</v>
      </c>
      <c r="D1138" t="s">
        <v>39</v>
      </c>
      <c r="E1138" s="1">
        <v>44679</v>
      </c>
      <c r="F1138" t="s">
        <v>2158</v>
      </c>
      <c r="G1138" s="1">
        <v>44690</v>
      </c>
      <c r="H1138" s="1">
        <v>44701</v>
      </c>
      <c r="I1138" t="s">
        <v>16</v>
      </c>
      <c r="J1138" s="1" t="b">
        <f t="shared" si="119"/>
        <v>1</v>
      </c>
      <c r="K1138" s="1" t="b">
        <f t="shared" si="120"/>
        <v>0</v>
      </c>
      <c r="L1138" s="1" t="b">
        <f t="shared" si="121"/>
        <v>0</v>
      </c>
      <c r="M1138" s="1" t="b">
        <f t="shared" si="122"/>
        <v>0</v>
      </c>
      <c r="N1138" s="1" t="b">
        <f t="shared" si="123"/>
        <v>1</v>
      </c>
      <c r="O1138" s="1" t="b">
        <f t="shared" si="124"/>
        <v>0</v>
      </c>
      <c r="P1138" s="1" t="b">
        <f t="shared" si="125"/>
        <v>0</v>
      </c>
    </row>
    <row r="1139" spans="1:16" x14ac:dyDescent="0.2">
      <c r="A1139">
        <v>8732776</v>
      </c>
      <c r="B1139" t="s">
        <v>2159</v>
      </c>
      <c r="C1139" t="s">
        <v>167</v>
      </c>
      <c r="D1139" t="s">
        <v>60</v>
      </c>
      <c r="E1139" s="1">
        <v>45042</v>
      </c>
      <c r="F1139" t="s">
        <v>2160</v>
      </c>
      <c r="G1139" s="1">
        <v>45061</v>
      </c>
      <c r="H1139" s="1">
        <v>45063</v>
      </c>
      <c r="J1139" s="1" t="b">
        <f t="shared" si="119"/>
        <v>1</v>
      </c>
      <c r="K1139" s="1" t="b">
        <f t="shared" si="120"/>
        <v>0</v>
      </c>
      <c r="L1139" s="1" t="b">
        <f t="shared" si="121"/>
        <v>0</v>
      </c>
      <c r="M1139" s="1" t="b">
        <f t="shared" si="122"/>
        <v>0</v>
      </c>
      <c r="N1139" s="1" t="b">
        <f t="shared" si="123"/>
        <v>0</v>
      </c>
      <c r="O1139" s="1" t="b">
        <f t="shared" si="124"/>
        <v>0</v>
      </c>
      <c r="P1139" s="1" t="b">
        <f t="shared" si="125"/>
        <v>0</v>
      </c>
    </row>
    <row r="1140" spans="1:16" x14ac:dyDescent="0.2">
      <c r="A1140">
        <v>8732776</v>
      </c>
      <c r="B1140" t="s">
        <v>2161</v>
      </c>
      <c r="C1140" t="s">
        <v>167</v>
      </c>
      <c r="D1140" t="s">
        <v>60</v>
      </c>
      <c r="E1140" s="1">
        <v>44892</v>
      </c>
      <c r="F1140" t="s">
        <v>2162</v>
      </c>
      <c r="G1140" s="1">
        <v>44911</v>
      </c>
      <c r="H1140" s="1">
        <v>44918</v>
      </c>
      <c r="J1140" s="1" t="b">
        <f t="shared" si="119"/>
        <v>1</v>
      </c>
      <c r="K1140" s="1" t="b">
        <f t="shared" si="120"/>
        <v>0</v>
      </c>
      <c r="L1140" s="1" t="b">
        <f t="shared" si="121"/>
        <v>0</v>
      </c>
      <c r="M1140" s="1" t="b">
        <f t="shared" si="122"/>
        <v>0</v>
      </c>
      <c r="N1140" s="1" t="b">
        <f t="shared" si="123"/>
        <v>0</v>
      </c>
      <c r="O1140" s="1" t="b">
        <f t="shared" si="124"/>
        <v>0</v>
      </c>
      <c r="P1140" s="1" t="b">
        <f t="shared" si="125"/>
        <v>0</v>
      </c>
    </row>
    <row r="1141" spans="1:16" x14ac:dyDescent="0.2">
      <c r="A1141">
        <v>8732776</v>
      </c>
      <c r="B1141" t="s">
        <v>2163</v>
      </c>
      <c r="C1141" t="s">
        <v>167</v>
      </c>
      <c r="D1141" t="s">
        <v>60</v>
      </c>
      <c r="E1141" s="1">
        <v>44772</v>
      </c>
      <c r="F1141" t="s">
        <v>2164</v>
      </c>
      <c r="G1141" s="1">
        <v>44783</v>
      </c>
      <c r="H1141" s="1">
        <v>44815</v>
      </c>
      <c r="I1141" t="s">
        <v>16</v>
      </c>
      <c r="J1141" s="1" t="b">
        <f t="shared" si="119"/>
        <v>1</v>
      </c>
      <c r="K1141" s="1" t="b">
        <f t="shared" si="120"/>
        <v>0</v>
      </c>
      <c r="L1141" s="1" t="b">
        <f t="shared" si="121"/>
        <v>0</v>
      </c>
      <c r="M1141" s="1" t="b">
        <f t="shared" si="122"/>
        <v>0</v>
      </c>
      <c r="N1141" s="1" t="b">
        <f t="shared" si="123"/>
        <v>1</v>
      </c>
      <c r="O1141" s="1" t="b">
        <f t="shared" si="124"/>
        <v>0</v>
      </c>
      <c r="P1141" s="1" t="b">
        <f t="shared" si="125"/>
        <v>0</v>
      </c>
    </row>
    <row r="1142" spans="1:16" x14ac:dyDescent="0.2">
      <c r="A1142">
        <v>8732776</v>
      </c>
      <c r="B1142" t="s">
        <v>2165</v>
      </c>
      <c r="C1142" t="s">
        <v>167</v>
      </c>
      <c r="D1142" t="s">
        <v>60</v>
      </c>
      <c r="E1142" s="1">
        <v>44868</v>
      </c>
      <c r="F1142" t="s">
        <v>2166</v>
      </c>
      <c r="G1142" s="1">
        <v>44880</v>
      </c>
      <c r="H1142" s="1">
        <v>44908</v>
      </c>
      <c r="I1142" t="s">
        <v>28</v>
      </c>
      <c r="J1142" s="1" t="b">
        <f t="shared" si="119"/>
        <v>1</v>
      </c>
      <c r="K1142" s="1" t="b">
        <f t="shared" si="120"/>
        <v>0</v>
      </c>
      <c r="L1142" s="1" t="b">
        <f t="shared" si="121"/>
        <v>0</v>
      </c>
      <c r="M1142" s="1" t="b">
        <f t="shared" si="122"/>
        <v>0</v>
      </c>
      <c r="N1142" s="1" t="b">
        <f t="shared" si="123"/>
        <v>0</v>
      </c>
      <c r="O1142" s="1" t="b">
        <f t="shared" si="124"/>
        <v>0</v>
      </c>
      <c r="P1142" s="1" t="b">
        <f t="shared" si="125"/>
        <v>1</v>
      </c>
    </row>
    <row r="1143" spans="1:16" x14ac:dyDescent="0.2">
      <c r="A1143">
        <v>8732776</v>
      </c>
      <c r="B1143" t="s">
        <v>2167</v>
      </c>
      <c r="C1143" t="s">
        <v>167</v>
      </c>
      <c r="D1143" t="s">
        <v>60</v>
      </c>
      <c r="E1143" s="1">
        <v>44639</v>
      </c>
      <c r="F1143" t="s">
        <v>2168</v>
      </c>
      <c r="G1143" s="1">
        <v>44666</v>
      </c>
      <c r="I1143" t="s">
        <v>25</v>
      </c>
      <c r="J1143" s="1" t="b">
        <f t="shared" si="119"/>
        <v>0</v>
      </c>
      <c r="K1143" s="1" t="b">
        <f t="shared" si="120"/>
        <v>0</v>
      </c>
      <c r="L1143" s="1" t="b">
        <f t="shared" si="121"/>
        <v>1</v>
      </c>
      <c r="M1143" s="1" t="b">
        <f t="shared" si="122"/>
        <v>0</v>
      </c>
      <c r="N1143" s="1" t="b">
        <f t="shared" si="123"/>
        <v>0</v>
      </c>
      <c r="O1143" s="1" t="b">
        <f t="shared" si="124"/>
        <v>0</v>
      </c>
      <c r="P1143" s="1" t="b">
        <f t="shared" si="125"/>
        <v>0</v>
      </c>
    </row>
    <row r="1144" spans="1:16" x14ac:dyDescent="0.2">
      <c r="A1144">
        <v>9989803</v>
      </c>
      <c r="B1144" t="s">
        <v>2169</v>
      </c>
      <c r="C1144" t="s">
        <v>454</v>
      </c>
      <c r="D1144" t="s">
        <v>11</v>
      </c>
      <c r="E1144" s="1">
        <v>44640</v>
      </c>
      <c r="F1144" t="s">
        <v>2170</v>
      </c>
      <c r="G1144" s="1">
        <v>44661</v>
      </c>
      <c r="I1144" t="s">
        <v>13</v>
      </c>
      <c r="J1144" s="1" t="b">
        <f t="shared" si="119"/>
        <v>0</v>
      </c>
      <c r="K1144" s="1" t="b">
        <f t="shared" si="120"/>
        <v>1</v>
      </c>
      <c r="L1144" s="1" t="b">
        <f t="shared" si="121"/>
        <v>0</v>
      </c>
      <c r="M1144" s="1" t="b">
        <f t="shared" si="122"/>
        <v>0</v>
      </c>
      <c r="N1144" s="1" t="b">
        <f t="shared" si="123"/>
        <v>0</v>
      </c>
      <c r="O1144" s="1" t="b">
        <f t="shared" si="124"/>
        <v>0</v>
      </c>
      <c r="P1144" s="1" t="b">
        <f t="shared" si="125"/>
        <v>0</v>
      </c>
    </row>
    <row r="1145" spans="1:16" x14ac:dyDescent="0.2">
      <c r="A1145">
        <v>9989803</v>
      </c>
      <c r="B1145" t="s">
        <v>2171</v>
      </c>
      <c r="C1145" t="s">
        <v>454</v>
      </c>
      <c r="D1145" t="s">
        <v>11</v>
      </c>
      <c r="E1145" s="1">
        <v>44656</v>
      </c>
      <c r="F1145" t="s">
        <v>2172</v>
      </c>
      <c r="G1145" s="1">
        <v>44679</v>
      </c>
      <c r="H1145" s="1">
        <v>44734</v>
      </c>
      <c r="J1145" s="1" t="b">
        <f t="shared" si="119"/>
        <v>1</v>
      </c>
      <c r="K1145" s="1" t="b">
        <f t="shared" si="120"/>
        <v>0</v>
      </c>
      <c r="L1145" s="1" t="b">
        <f t="shared" si="121"/>
        <v>0</v>
      </c>
      <c r="M1145" s="1" t="b">
        <f t="shared" si="122"/>
        <v>0</v>
      </c>
      <c r="N1145" s="1" t="b">
        <f t="shared" si="123"/>
        <v>0</v>
      </c>
      <c r="O1145" s="1" t="b">
        <f t="shared" si="124"/>
        <v>0</v>
      </c>
      <c r="P1145" s="1" t="b">
        <f t="shared" si="125"/>
        <v>0</v>
      </c>
    </row>
    <row r="1146" spans="1:16" x14ac:dyDescent="0.2">
      <c r="A1146">
        <v>9989803</v>
      </c>
      <c r="B1146" t="s">
        <v>2173</v>
      </c>
      <c r="C1146" t="s">
        <v>454</v>
      </c>
      <c r="D1146" t="s">
        <v>11</v>
      </c>
      <c r="E1146" s="1">
        <v>45105</v>
      </c>
      <c r="F1146" t="s">
        <v>2174</v>
      </c>
      <c r="G1146" s="1">
        <v>45121</v>
      </c>
      <c r="H1146" s="1">
        <v>45149</v>
      </c>
      <c r="I1146" t="s">
        <v>28</v>
      </c>
      <c r="J1146" s="1" t="b">
        <f t="shared" si="119"/>
        <v>1</v>
      </c>
      <c r="K1146" s="1" t="b">
        <f t="shared" si="120"/>
        <v>0</v>
      </c>
      <c r="L1146" s="1" t="b">
        <f t="shared" si="121"/>
        <v>0</v>
      </c>
      <c r="M1146" s="1" t="b">
        <f t="shared" si="122"/>
        <v>0</v>
      </c>
      <c r="N1146" s="1" t="b">
        <f t="shared" si="123"/>
        <v>0</v>
      </c>
      <c r="O1146" s="1" t="b">
        <f t="shared" si="124"/>
        <v>0</v>
      </c>
      <c r="P1146" s="1" t="b">
        <f t="shared" si="125"/>
        <v>1</v>
      </c>
    </row>
    <row r="1147" spans="1:16" x14ac:dyDescent="0.2">
      <c r="A1147">
        <v>6064152</v>
      </c>
      <c r="B1147" t="s">
        <v>2175</v>
      </c>
      <c r="C1147" t="s">
        <v>80</v>
      </c>
      <c r="D1147" t="s">
        <v>11</v>
      </c>
      <c r="E1147" s="1">
        <v>44973</v>
      </c>
      <c r="F1147" t="s">
        <v>2176</v>
      </c>
      <c r="G1147" s="1">
        <v>44982</v>
      </c>
      <c r="H1147" s="1">
        <v>45022</v>
      </c>
      <c r="I1147" t="s">
        <v>28</v>
      </c>
      <c r="J1147" s="1" t="b">
        <f t="shared" si="119"/>
        <v>1</v>
      </c>
      <c r="K1147" s="1" t="b">
        <f t="shared" si="120"/>
        <v>0</v>
      </c>
      <c r="L1147" s="1" t="b">
        <f t="shared" si="121"/>
        <v>0</v>
      </c>
      <c r="M1147" s="1" t="b">
        <f t="shared" si="122"/>
        <v>0</v>
      </c>
      <c r="N1147" s="1" t="b">
        <f t="shared" si="123"/>
        <v>0</v>
      </c>
      <c r="O1147" s="1" t="b">
        <f t="shared" si="124"/>
        <v>0</v>
      </c>
      <c r="P1147" s="1" t="b">
        <f t="shared" si="125"/>
        <v>1</v>
      </c>
    </row>
    <row r="1148" spans="1:16" x14ac:dyDescent="0.2">
      <c r="A1148">
        <v>6064152</v>
      </c>
      <c r="B1148" t="s">
        <v>2177</v>
      </c>
      <c r="C1148" t="s">
        <v>80</v>
      </c>
      <c r="D1148" t="s">
        <v>11</v>
      </c>
      <c r="E1148" s="1">
        <v>45090</v>
      </c>
      <c r="F1148" t="s">
        <v>2178</v>
      </c>
      <c r="G1148" s="1">
        <v>45118</v>
      </c>
      <c r="H1148" s="1">
        <v>45130</v>
      </c>
      <c r="I1148" t="s">
        <v>43</v>
      </c>
      <c r="J1148" s="1" t="b">
        <f t="shared" si="119"/>
        <v>1</v>
      </c>
      <c r="K1148" s="1" t="b">
        <f t="shared" si="120"/>
        <v>0</v>
      </c>
      <c r="L1148" s="1" t="b">
        <f t="shared" si="121"/>
        <v>0</v>
      </c>
      <c r="M1148" s="1" t="b">
        <f t="shared" si="122"/>
        <v>0</v>
      </c>
      <c r="N1148" s="1" t="b">
        <f t="shared" si="123"/>
        <v>0</v>
      </c>
      <c r="O1148" s="1" t="b">
        <f t="shared" si="124"/>
        <v>1</v>
      </c>
      <c r="P1148" s="1" t="b">
        <f t="shared" si="125"/>
        <v>0</v>
      </c>
    </row>
    <row r="1149" spans="1:16" x14ac:dyDescent="0.2">
      <c r="A1149">
        <v>6064152</v>
      </c>
      <c r="B1149" t="s">
        <v>2179</v>
      </c>
      <c r="C1149" t="s">
        <v>80</v>
      </c>
      <c r="D1149" t="s">
        <v>11</v>
      </c>
      <c r="E1149" s="1">
        <v>45040</v>
      </c>
      <c r="F1149" t="s">
        <v>134</v>
      </c>
      <c r="G1149" s="1">
        <v>45049</v>
      </c>
      <c r="H1149" s="1">
        <v>45109</v>
      </c>
      <c r="I1149" t="s">
        <v>43</v>
      </c>
      <c r="J1149" s="1" t="b">
        <f t="shared" si="119"/>
        <v>1</v>
      </c>
      <c r="K1149" s="1" t="b">
        <f t="shared" si="120"/>
        <v>0</v>
      </c>
      <c r="L1149" s="1" t="b">
        <f t="shared" si="121"/>
        <v>0</v>
      </c>
      <c r="M1149" s="1" t="b">
        <f t="shared" si="122"/>
        <v>0</v>
      </c>
      <c r="N1149" s="1" t="b">
        <f t="shared" si="123"/>
        <v>0</v>
      </c>
      <c r="O1149" s="1" t="b">
        <f t="shared" si="124"/>
        <v>1</v>
      </c>
      <c r="P1149" s="1" t="b">
        <f t="shared" si="125"/>
        <v>0</v>
      </c>
    </row>
    <row r="1150" spans="1:16" x14ac:dyDescent="0.2">
      <c r="A1150">
        <v>6064152</v>
      </c>
      <c r="B1150" t="s">
        <v>2180</v>
      </c>
      <c r="C1150" t="s">
        <v>80</v>
      </c>
      <c r="D1150" t="s">
        <v>11</v>
      </c>
      <c r="E1150" s="1">
        <v>44623</v>
      </c>
      <c r="F1150" t="s">
        <v>1047</v>
      </c>
      <c r="G1150" s="1">
        <v>44640</v>
      </c>
      <c r="H1150" s="1">
        <v>44653</v>
      </c>
      <c r="J1150" s="1" t="b">
        <f t="shared" si="119"/>
        <v>1</v>
      </c>
      <c r="K1150" s="1" t="b">
        <f t="shared" si="120"/>
        <v>0</v>
      </c>
      <c r="L1150" s="1" t="b">
        <f t="shared" si="121"/>
        <v>0</v>
      </c>
      <c r="M1150" s="1" t="b">
        <f t="shared" si="122"/>
        <v>0</v>
      </c>
      <c r="N1150" s="1" t="b">
        <f t="shared" si="123"/>
        <v>0</v>
      </c>
      <c r="O1150" s="1" t="b">
        <f t="shared" si="124"/>
        <v>0</v>
      </c>
      <c r="P1150" s="1" t="b">
        <f t="shared" si="125"/>
        <v>0</v>
      </c>
    </row>
    <row r="1151" spans="1:16" x14ac:dyDescent="0.2">
      <c r="A1151">
        <v>7111514</v>
      </c>
      <c r="B1151" t="s">
        <v>2181</v>
      </c>
      <c r="C1151" t="s">
        <v>287</v>
      </c>
      <c r="D1151" t="s">
        <v>187</v>
      </c>
      <c r="E1151" s="1">
        <v>44869</v>
      </c>
      <c r="F1151" t="s">
        <v>2182</v>
      </c>
      <c r="G1151" s="1">
        <v>44897</v>
      </c>
      <c r="I1151" t="s">
        <v>13</v>
      </c>
      <c r="J1151" s="1" t="b">
        <f t="shared" si="119"/>
        <v>0</v>
      </c>
      <c r="K1151" s="1" t="b">
        <f t="shared" si="120"/>
        <v>1</v>
      </c>
      <c r="L1151" s="1" t="b">
        <f t="shared" si="121"/>
        <v>0</v>
      </c>
      <c r="M1151" s="1" t="b">
        <f t="shared" si="122"/>
        <v>0</v>
      </c>
      <c r="N1151" s="1" t="b">
        <f t="shared" si="123"/>
        <v>0</v>
      </c>
      <c r="O1151" s="1" t="b">
        <f t="shared" si="124"/>
        <v>0</v>
      </c>
      <c r="P1151" s="1" t="b">
        <f t="shared" si="125"/>
        <v>0</v>
      </c>
    </row>
    <row r="1152" spans="1:16" x14ac:dyDescent="0.2">
      <c r="A1152">
        <v>7111514</v>
      </c>
      <c r="B1152" t="s">
        <v>2183</v>
      </c>
      <c r="C1152" t="s">
        <v>287</v>
      </c>
      <c r="D1152" t="s">
        <v>187</v>
      </c>
      <c r="E1152" s="1">
        <v>44627</v>
      </c>
      <c r="F1152" t="s">
        <v>2184</v>
      </c>
      <c r="G1152" s="1">
        <v>44648</v>
      </c>
      <c r="H1152" s="1">
        <v>44662</v>
      </c>
      <c r="I1152" t="s">
        <v>28</v>
      </c>
      <c r="J1152" s="1" t="b">
        <f t="shared" si="119"/>
        <v>1</v>
      </c>
      <c r="K1152" s="1" t="b">
        <f t="shared" si="120"/>
        <v>0</v>
      </c>
      <c r="L1152" s="1" t="b">
        <f t="shared" si="121"/>
        <v>0</v>
      </c>
      <c r="M1152" s="1" t="b">
        <f t="shared" si="122"/>
        <v>0</v>
      </c>
      <c r="N1152" s="1" t="b">
        <f t="shared" si="123"/>
        <v>0</v>
      </c>
      <c r="O1152" s="1" t="b">
        <f t="shared" si="124"/>
        <v>0</v>
      </c>
      <c r="P1152" s="1" t="b">
        <f t="shared" si="125"/>
        <v>1</v>
      </c>
    </row>
    <row r="1153" spans="1:16" x14ac:dyDescent="0.2">
      <c r="A1153">
        <v>7919567</v>
      </c>
      <c r="B1153" t="s">
        <v>2185</v>
      </c>
      <c r="C1153" t="s">
        <v>282</v>
      </c>
      <c r="D1153" t="s">
        <v>11</v>
      </c>
      <c r="E1153" s="1">
        <v>44977</v>
      </c>
      <c r="F1153" t="s">
        <v>2186</v>
      </c>
      <c r="G1153" s="1">
        <v>44985</v>
      </c>
      <c r="I1153" t="s">
        <v>13</v>
      </c>
      <c r="J1153" s="1" t="b">
        <f t="shared" si="119"/>
        <v>0</v>
      </c>
      <c r="K1153" s="1" t="b">
        <f t="shared" si="120"/>
        <v>1</v>
      </c>
      <c r="L1153" s="1" t="b">
        <f t="shared" si="121"/>
        <v>0</v>
      </c>
      <c r="M1153" s="1" t="b">
        <f t="shared" si="122"/>
        <v>0</v>
      </c>
      <c r="N1153" s="1" t="b">
        <f t="shared" si="123"/>
        <v>0</v>
      </c>
      <c r="O1153" s="1" t="b">
        <f t="shared" si="124"/>
        <v>0</v>
      </c>
      <c r="P1153" s="1" t="b">
        <f t="shared" si="125"/>
        <v>0</v>
      </c>
    </row>
    <row r="1154" spans="1:16" x14ac:dyDescent="0.2">
      <c r="A1154">
        <v>7919567</v>
      </c>
      <c r="B1154" t="s">
        <v>2187</v>
      </c>
      <c r="C1154" t="s">
        <v>282</v>
      </c>
      <c r="D1154" t="s">
        <v>11</v>
      </c>
      <c r="E1154" s="1">
        <v>44813</v>
      </c>
      <c r="F1154" t="s">
        <v>676</v>
      </c>
      <c r="G1154" s="1">
        <v>44839</v>
      </c>
      <c r="I1154" t="s">
        <v>13</v>
      </c>
      <c r="J1154" s="1" t="b">
        <f t="shared" si="119"/>
        <v>0</v>
      </c>
      <c r="K1154" s="1" t="b">
        <f t="shared" si="120"/>
        <v>1</v>
      </c>
      <c r="L1154" s="1" t="b">
        <f t="shared" si="121"/>
        <v>0</v>
      </c>
      <c r="M1154" s="1" t="b">
        <f t="shared" si="122"/>
        <v>0</v>
      </c>
      <c r="N1154" s="1" t="b">
        <f t="shared" si="123"/>
        <v>0</v>
      </c>
      <c r="O1154" s="1" t="b">
        <f t="shared" si="124"/>
        <v>0</v>
      </c>
      <c r="P1154" s="1" t="b">
        <f t="shared" si="125"/>
        <v>0</v>
      </c>
    </row>
    <row r="1155" spans="1:16" x14ac:dyDescent="0.2">
      <c r="A1155">
        <v>6210006</v>
      </c>
      <c r="B1155" t="s">
        <v>2188</v>
      </c>
      <c r="C1155" t="s">
        <v>287</v>
      </c>
      <c r="D1155" t="s">
        <v>77</v>
      </c>
      <c r="E1155" s="1">
        <v>44599</v>
      </c>
      <c r="F1155" t="s">
        <v>2189</v>
      </c>
      <c r="G1155" s="1">
        <v>44606</v>
      </c>
      <c r="H1155" s="1">
        <v>44617</v>
      </c>
      <c r="J1155" s="1" t="b">
        <f t="shared" ref="J1155:J1218" si="126">AND(NOT(ISBLANK(H1155)), NOT(OR(ISNUMBER(SEARCH("decline", I1155)), ISNUMBER(SEARCH("rescind", I1155)), ISNUMBER(SEARCH("cancel", I1155)))))</f>
        <v>1</v>
      </c>
      <c r="K1155" s="1" t="b">
        <f t="shared" ref="K1155:K1218" si="127">ISNUMBER(SEARCH("decline", I1155))</f>
        <v>0</v>
      </c>
      <c r="L1155" s="1" t="b">
        <f t="shared" ref="L1155:L1218" si="128">ISNUMBER(SEARCH("rescind", I1155))</f>
        <v>0</v>
      </c>
      <c r="M1155" s="1" t="b">
        <f t="shared" ref="M1155:M1218" si="129">ISNUMBER(SEARCH("cancel", I1155))</f>
        <v>0</v>
      </c>
      <c r="N1155" s="1" t="b">
        <f t="shared" ref="N1155:N1218" si="130">ISNUMBER(SEARCH("transfer", I1155))</f>
        <v>0</v>
      </c>
      <c r="O1155" s="1" t="b">
        <f t="shared" ref="O1155:O1218" si="131">ISNUMBER(SEARCH("promo", I1155))</f>
        <v>0</v>
      </c>
      <c r="P1155" s="1" t="b">
        <f t="shared" ref="P1155:P1218" si="132">ISNUMBER(SEARCH("new", I1155))</f>
        <v>0</v>
      </c>
    </row>
    <row r="1156" spans="1:16" x14ac:dyDescent="0.2">
      <c r="A1156">
        <v>6210006</v>
      </c>
      <c r="B1156" t="s">
        <v>2190</v>
      </c>
      <c r="C1156" t="s">
        <v>287</v>
      </c>
      <c r="D1156" t="s">
        <v>77</v>
      </c>
      <c r="E1156" s="1">
        <v>44846</v>
      </c>
      <c r="F1156" t="s">
        <v>788</v>
      </c>
      <c r="G1156" s="1">
        <v>44868</v>
      </c>
      <c r="I1156" t="s">
        <v>25</v>
      </c>
      <c r="J1156" s="1" t="b">
        <f t="shared" si="126"/>
        <v>0</v>
      </c>
      <c r="K1156" s="1" t="b">
        <f t="shared" si="127"/>
        <v>0</v>
      </c>
      <c r="L1156" s="1" t="b">
        <f t="shared" si="128"/>
        <v>1</v>
      </c>
      <c r="M1156" s="1" t="b">
        <f t="shared" si="129"/>
        <v>0</v>
      </c>
      <c r="N1156" s="1" t="b">
        <f t="shared" si="130"/>
        <v>0</v>
      </c>
      <c r="O1156" s="1" t="b">
        <f t="shared" si="131"/>
        <v>0</v>
      </c>
      <c r="P1156" s="1" t="b">
        <f t="shared" si="132"/>
        <v>0</v>
      </c>
    </row>
    <row r="1157" spans="1:16" x14ac:dyDescent="0.2">
      <c r="A1157">
        <v>6210006</v>
      </c>
      <c r="B1157" t="s">
        <v>2191</v>
      </c>
      <c r="C1157" t="s">
        <v>287</v>
      </c>
      <c r="D1157" t="s">
        <v>77</v>
      </c>
      <c r="E1157" s="1">
        <v>44582</v>
      </c>
      <c r="F1157" t="s">
        <v>2192</v>
      </c>
      <c r="G1157" s="1">
        <v>44584</v>
      </c>
      <c r="H1157" s="1">
        <v>44640</v>
      </c>
      <c r="I1157" t="s">
        <v>16</v>
      </c>
      <c r="J1157" s="1" t="b">
        <f t="shared" si="126"/>
        <v>1</v>
      </c>
      <c r="K1157" s="1" t="b">
        <f t="shared" si="127"/>
        <v>0</v>
      </c>
      <c r="L1157" s="1" t="b">
        <f t="shared" si="128"/>
        <v>0</v>
      </c>
      <c r="M1157" s="1" t="b">
        <f t="shared" si="129"/>
        <v>0</v>
      </c>
      <c r="N1157" s="1" t="b">
        <f t="shared" si="130"/>
        <v>1</v>
      </c>
      <c r="O1157" s="1" t="b">
        <f t="shared" si="131"/>
        <v>0</v>
      </c>
      <c r="P1157" s="1" t="b">
        <f t="shared" si="132"/>
        <v>0</v>
      </c>
    </row>
    <row r="1158" spans="1:16" x14ac:dyDescent="0.2">
      <c r="A1158">
        <v>6210006</v>
      </c>
      <c r="B1158" t="s">
        <v>2193</v>
      </c>
      <c r="C1158" t="s">
        <v>287</v>
      </c>
      <c r="D1158" t="s">
        <v>77</v>
      </c>
      <c r="E1158" s="1">
        <v>44627</v>
      </c>
      <c r="F1158" t="s">
        <v>2194</v>
      </c>
      <c r="G1158" s="1">
        <v>44656</v>
      </c>
      <c r="H1158" s="1">
        <v>44683</v>
      </c>
      <c r="I1158" t="s">
        <v>28</v>
      </c>
      <c r="J1158" s="1" t="b">
        <f t="shared" si="126"/>
        <v>1</v>
      </c>
      <c r="K1158" s="1" t="b">
        <f t="shared" si="127"/>
        <v>0</v>
      </c>
      <c r="L1158" s="1" t="b">
        <f t="shared" si="128"/>
        <v>0</v>
      </c>
      <c r="M1158" s="1" t="b">
        <f t="shared" si="129"/>
        <v>0</v>
      </c>
      <c r="N1158" s="1" t="b">
        <f t="shared" si="130"/>
        <v>0</v>
      </c>
      <c r="O1158" s="1" t="b">
        <f t="shared" si="131"/>
        <v>0</v>
      </c>
      <c r="P1158" s="1" t="b">
        <f t="shared" si="132"/>
        <v>1</v>
      </c>
    </row>
    <row r="1159" spans="1:16" x14ac:dyDescent="0.2">
      <c r="A1159">
        <v>6210006</v>
      </c>
      <c r="B1159" t="s">
        <v>2195</v>
      </c>
      <c r="C1159" t="s">
        <v>287</v>
      </c>
      <c r="D1159" t="s">
        <v>77</v>
      </c>
      <c r="E1159" s="1">
        <v>44705</v>
      </c>
      <c r="F1159" t="s">
        <v>2196</v>
      </c>
      <c r="G1159" s="1">
        <v>44713</v>
      </c>
      <c r="H1159" s="1">
        <v>44721</v>
      </c>
      <c r="I1159" t="s">
        <v>16</v>
      </c>
      <c r="J1159" s="1" t="b">
        <f t="shared" si="126"/>
        <v>1</v>
      </c>
      <c r="K1159" s="1" t="b">
        <f t="shared" si="127"/>
        <v>0</v>
      </c>
      <c r="L1159" s="1" t="b">
        <f t="shared" si="128"/>
        <v>0</v>
      </c>
      <c r="M1159" s="1" t="b">
        <f t="shared" si="129"/>
        <v>0</v>
      </c>
      <c r="N1159" s="1" t="b">
        <f t="shared" si="130"/>
        <v>1</v>
      </c>
      <c r="O1159" s="1" t="b">
        <f t="shared" si="131"/>
        <v>0</v>
      </c>
      <c r="P1159" s="1" t="b">
        <f t="shared" si="132"/>
        <v>0</v>
      </c>
    </row>
    <row r="1160" spans="1:16" x14ac:dyDescent="0.2">
      <c r="A1160">
        <v>9392777</v>
      </c>
      <c r="B1160" t="s">
        <v>2197</v>
      </c>
      <c r="C1160" t="s">
        <v>310</v>
      </c>
      <c r="D1160" t="s">
        <v>122</v>
      </c>
      <c r="E1160" s="1">
        <v>44654</v>
      </c>
      <c r="F1160" t="s">
        <v>646</v>
      </c>
      <c r="G1160" s="1">
        <v>44662</v>
      </c>
      <c r="H1160" s="1">
        <v>44701</v>
      </c>
      <c r="I1160" t="s">
        <v>28</v>
      </c>
      <c r="J1160" s="1" t="b">
        <f t="shared" si="126"/>
        <v>1</v>
      </c>
      <c r="K1160" s="1" t="b">
        <f t="shared" si="127"/>
        <v>0</v>
      </c>
      <c r="L1160" s="1" t="b">
        <f t="shared" si="128"/>
        <v>0</v>
      </c>
      <c r="M1160" s="1" t="b">
        <f t="shared" si="129"/>
        <v>0</v>
      </c>
      <c r="N1160" s="1" t="b">
        <f t="shared" si="130"/>
        <v>0</v>
      </c>
      <c r="O1160" s="1" t="b">
        <f t="shared" si="131"/>
        <v>0</v>
      </c>
      <c r="P1160" s="1" t="b">
        <f t="shared" si="132"/>
        <v>1</v>
      </c>
    </row>
    <row r="1161" spans="1:16" x14ac:dyDescent="0.2">
      <c r="A1161">
        <v>9392777</v>
      </c>
      <c r="B1161" t="s">
        <v>2198</v>
      </c>
      <c r="C1161" t="s">
        <v>310</v>
      </c>
      <c r="D1161" t="s">
        <v>122</v>
      </c>
      <c r="E1161" s="1">
        <v>44899</v>
      </c>
      <c r="F1161" t="s">
        <v>2199</v>
      </c>
      <c r="G1161" s="1">
        <v>44926</v>
      </c>
      <c r="I1161" t="s">
        <v>13</v>
      </c>
      <c r="J1161" s="1" t="b">
        <f t="shared" si="126"/>
        <v>0</v>
      </c>
      <c r="K1161" s="1" t="b">
        <f t="shared" si="127"/>
        <v>1</v>
      </c>
      <c r="L1161" s="1" t="b">
        <f t="shared" si="128"/>
        <v>0</v>
      </c>
      <c r="M1161" s="1" t="b">
        <f t="shared" si="129"/>
        <v>0</v>
      </c>
      <c r="N1161" s="1" t="b">
        <f t="shared" si="130"/>
        <v>0</v>
      </c>
      <c r="O1161" s="1" t="b">
        <f t="shared" si="131"/>
        <v>0</v>
      </c>
      <c r="P1161" s="1" t="b">
        <f t="shared" si="132"/>
        <v>0</v>
      </c>
    </row>
    <row r="1162" spans="1:16" x14ac:dyDescent="0.2">
      <c r="A1162">
        <v>9392777</v>
      </c>
      <c r="B1162" t="s">
        <v>2200</v>
      </c>
      <c r="C1162" t="s">
        <v>310</v>
      </c>
      <c r="D1162" t="s">
        <v>122</v>
      </c>
      <c r="E1162" s="1">
        <v>44803</v>
      </c>
      <c r="F1162" t="s">
        <v>2201</v>
      </c>
      <c r="G1162" s="1">
        <v>44833</v>
      </c>
      <c r="H1162" s="1">
        <v>44861</v>
      </c>
      <c r="J1162" s="1" t="b">
        <f t="shared" si="126"/>
        <v>1</v>
      </c>
      <c r="K1162" s="1" t="b">
        <f t="shared" si="127"/>
        <v>0</v>
      </c>
      <c r="L1162" s="1" t="b">
        <f t="shared" si="128"/>
        <v>0</v>
      </c>
      <c r="M1162" s="1" t="b">
        <f t="shared" si="129"/>
        <v>0</v>
      </c>
      <c r="N1162" s="1" t="b">
        <f t="shared" si="130"/>
        <v>0</v>
      </c>
      <c r="O1162" s="1" t="b">
        <f t="shared" si="131"/>
        <v>0</v>
      </c>
      <c r="P1162" s="1" t="b">
        <f t="shared" si="132"/>
        <v>0</v>
      </c>
    </row>
    <row r="1163" spans="1:16" x14ac:dyDescent="0.2">
      <c r="A1163">
        <v>9392777</v>
      </c>
      <c r="B1163" t="s">
        <v>2202</v>
      </c>
      <c r="C1163" t="s">
        <v>310</v>
      </c>
      <c r="D1163" t="s">
        <v>122</v>
      </c>
      <c r="E1163" s="1">
        <v>44781</v>
      </c>
      <c r="F1163" t="s">
        <v>2203</v>
      </c>
      <c r="G1163" s="1">
        <v>44790</v>
      </c>
      <c r="I1163" t="s">
        <v>25</v>
      </c>
      <c r="J1163" s="1" t="b">
        <f t="shared" si="126"/>
        <v>0</v>
      </c>
      <c r="K1163" s="1" t="b">
        <f t="shared" si="127"/>
        <v>0</v>
      </c>
      <c r="L1163" s="1" t="b">
        <f t="shared" si="128"/>
        <v>1</v>
      </c>
      <c r="M1163" s="1" t="b">
        <f t="shared" si="129"/>
        <v>0</v>
      </c>
      <c r="N1163" s="1" t="b">
        <f t="shared" si="130"/>
        <v>0</v>
      </c>
      <c r="O1163" s="1" t="b">
        <f t="shared" si="131"/>
        <v>0</v>
      </c>
      <c r="P1163" s="1" t="b">
        <f t="shared" si="132"/>
        <v>0</v>
      </c>
    </row>
    <row r="1164" spans="1:16" x14ac:dyDescent="0.2">
      <c r="A1164">
        <v>9392777</v>
      </c>
      <c r="B1164" t="s">
        <v>2204</v>
      </c>
      <c r="C1164" t="s">
        <v>310</v>
      </c>
      <c r="D1164" t="s">
        <v>122</v>
      </c>
      <c r="E1164" s="1">
        <v>44619</v>
      </c>
      <c r="F1164" t="s">
        <v>2205</v>
      </c>
      <c r="G1164" s="1">
        <v>44635</v>
      </c>
      <c r="H1164" s="1">
        <v>44670</v>
      </c>
      <c r="I1164" t="s">
        <v>28</v>
      </c>
      <c r="J1164" s="1" t="b">
        <f t="shared" si="126"/>
        <v>1</v>
      </c>
      <c r="K1164" s="1" t="b">
        <f t="shared" si="127"/>
        <v>0</v>
      </c>
      <c r="L1164" s="1" t="b">
        <f t="shared" si="128"/>
        <v>0</v>
      </c>
      <c r="M1164" s="1" t="b">
        <f t="shared" si="129"/>
        <v>0</v>
      </c>
      <c r="N1164" s="1" t="b">
        <f t="shared" si="130"/>
        <v>0</v>
      </c>
      <c r="O1164" s="1" t="b">
        <f t="shared" si="131"/>
        <v>0</v>
      </c>
      <c r="P1164" s="1" t="b">
        <f t="shared" si="132"/>
        <v>1</v>
      </c>
    </row>
    <row r="1165" spans="1:16" x14ac:dyDescent="0.2">
      <c r="A1165">
        <v>7286506</v>
      </c>
      <c r="B1165" t="s">
        <v>2206</v>
      </c>
      <c r="C1165" t="s">
        <v>240</v>
      </c>
      <c r="D1165" t="s">
        <v>122</v>
      </c>
      <c r="E1165" s="1">
        <v>44846</v>
      </c>
      <c r="F1165" t="s">
        <v>2207</v>
      </c>
      <c r="G1165" s="1">
        <v>44875</v>
      </c>
      <c r="H1165" s="1">
        <v>44926</v>
      </c>
      <c r="J1165" s="1" t="b">
        <f t="shared" si="126"/>
        <v>1</v>
      </c>
      <c r="K1165" s="1" t="b">
        <f t="shared" si="127"/>
        <v>0</v>
      </c>
      <c r="L1165" s="1" t="b">
        <f t="shared" si="128"/>
        <v>0</v>
      </c>
      <c r="M1165" s="1" t="b">
        <f t="shared" si="129"/>
        <v>0</v>
      </c>
      <c r="N1165" s="1" t="b">
        <f t="shared" si="130"/>
        <v>0</v>
      </c>
      <c r="O1165" s="1" t="b">
        <f t="shared" si="131"/>
        <v>0</v>
      </c>
      <c r="P1165" s="1" t="b">
        <f t="shared" si="132"/>
        <v>0</v>
      </c>
    </row>
    <row r="1166" spans="1:16" x14ac:dyDescent="0.2">
      <c r="A1166">
        <v>7286506</v>
      </c>
      <c r="B1166" t="s">
        <v>2208</v>
      </c>
      <c r="C1166" t="s">
        <v>240</v>
      </c>
      <c r="D1166" t="s">
        <v>122</v>
      </c>
      <c r="E1166" s="1">
        <v>44938</v>
      </c>
      <c r="F1166" t="s">
        <v>2209</v>
      </c>
      <c r="G1166" s="1">
        <v>44965</v>
      </c>
      <c r="H1166" s="1">
        <v>44985</v>
      </c>
      <c r="I1166" t="s">
        <v>28</v>
      </c>
      <c r="J1166" s="1" t="b">
        <f t="shared" si="126"/>
        <v>1</v>
      </c>
      <c r="K1166" s="1" t="b">
        <f t="shared" si="127"/>
        <v>0</v>
      </c>
      <c r="L1166" s="1" t="b">
        <f t="shared" si="128"/>
        <v>0</v>
      </c>
      <c r="M1166" s="1" t="b">
        <f t="shared" si="129"/>
        <v>0</v>
      </c>
      <c r="N1166" s="1" t="b">
        <f t="shared" si="130"/>
        <v>0</v>
      </c>
      <c r="O1166" s="1" t="b">
        <f t="shared" si="131"/>
        <v>0</v>
      </c>
      <c r="P1166" s="1" t="b">
        <f t="shared" si="132"/>
        <v>1</v>
      </c>
    </row>
    <row r="1167" spans="1:16" x14ac:dyDescent="0.2">
      <c r="A1167">
        <v>7286506</v>
      </c>
      <c r="B1167" t="s">
        <v>2210</v>
      </c>
      <c r="C1167" t="s">
        <v>240</v>
      </c>
      <c r="D1167" t="s">
        <v>122</v>
      </c>
      <c r="E1167" s="1">
        <v>44597</v>
      </c>
      <c r="F1167" t="s">
        <v>413</v>
      </c>
      <c r="G1167" s="1">
        <v>44624</v>
      </c>
      <c r="I1167" t="s">
        <v>13</v>
      </c>
      <c r="J1167" s="1" t="b">
        <f t="shared" si="126"/>
        <v>0</v>
      </c>
      <c r="K1167" s="1" t="b">
        <f t="shared" si="127"/>
        <v>1</v>
      </c>
      <c r="L1167" s="1" t="b">
        <f t="shared" si="128"/>
        <v>0</v>
      </c>
      <c r="M1167" s="1" t="b">
        <f t="shared" si="129"/>
        <v>0</v>
      </c>
      <c r="N1167" s="1" t="b">
        <f t="shared" si="130"/>
        <v>0</v>
      </c>
      <c r="O1167" s="1" t="b">
        <f t="shared" si="131"/>
        <v>0</v>
      </c>
      <c r="P1167" s="1" t="b">
        <f t="shared" si="132"/>
        <v>0</v>
      </c>
    </row>
    <row r="1168" spans="1:16" x14ac:dyDescent="0.2">
      <c r="A1168">
        <v>1917249</v>
      </c>
      <c r="B1168" t="s">
        <v>2211</v>
      </c>
      <c r="C1168" t="s">
        <v>240</v>
      </c>
      <c r="D1168" t="s">
        <v>19</v>
      </c>
      <c r="E1168" s="1">
        <v>44933</v>
      </c>
      <c r="F1168" t="s">
        <v>2212</v>
      </c>
      <c r="G1168" s="1">
        <v>44962</v>
      </c>
      <c r="H1168" s="1">
        <v>45014</v>
      </c>
      <c r="I1168" t="s">
        <v>28</v>
      </c>
      <c r="J1168" s="1" t="b">
        <f t="shared" si="126"/>
        <v>1</v>
      </c>
      <c r="K1168" s="1" t="b">
        <f t="shared" si="127"/>
        <v>0</v>
      </c>
      <c r="L1168" s="1" t="b">
        <f t="shared" si="128"/>
        <v>0</v>
      </c>
      <c r="M1168" s="1" t="b">
        <f t="shared" si="129"/>
        <v>0</v>
      </c>
      <c r="N1168" s="1" t="b">
        <f t="shared" si="130"/>
        <v>0</v>
      </c>
      <c r="O1168" s="1" t="b">
        <f t="shared" si="131"/>
        <v>0</v>
      </c>
      <c r="P1168" s="1" t="b">
        <f t="shared" si="132"/>
        <v>1</v>
      </c>
    </row>
    <row r="1169" spans="1:16" x14ac:dyDescent="0.2">
      <c r="A1169">
        <v>1917249</v>
      </c>
      <c r="B1169" t="s">
        <v>2213</v>
      </c>
      <c r="C1169" t="s">
        <v>240</v>
      </c>
      <c r="D1169" t="s">
        <v>19</v>
      </c>
      <c r="E1169" s="1">
        <v>44959</v>
      </c>
      <c r="F1169" t="s">
        <v>2214</v>
      </c>
      <c r="G1169" s="1">
        <v>44960</v>
      </c>
      <c r="H1169" s="1">
        <v>45019</v>
      </c>
      <c r="I1169" t="s">
        <v>43</v>
      </c>
      <c r="J1169" s="1" t="b">
        <f t="shared" si="126"/>
        <v>1</v>
      </c>
      <c r="K1169" s="1" t="b">
        <f t="shared" si="127"/>
        <v>0</v>
      </c>
      <c r="L1169" s="1" t="b">
        <f t="shared" si="128"/>
        <v>0</v>
      </c>
      <c r="M1169" s="1" t="b">
        <f t="shared" si="129"/>
        <v>0</v>
      </c>
      <c r="N1169" s="1" t="b">
        <f t="shared" si="130"/>
        <v>0</v>
      </c>
      <c r="O1169" s="1" t="b">
        <f t="shared" si="131"/>
        <v>1</v>
      </c>
      <c r="P1169" s="1" t="b">
        <f t="shared" si="132"/>
        <v>0</v>
      </c>
    </row>
    <row r="1170" spans="1:16" x14ac:dyDescent="0.2">
      <c r="A1170">
        <v>1917249</v>
      </c>
      <c r="B1170" t="s">
        <v>2215</v>
      </c>
      <c r="C1170" t="s">
        <v>240</v>
      </c>
      <c r="D1170" t="s">
        <v>19</v>
      </c>
      <c r="E1170" s="1">
        <v>44803</v>
      </c>
      <c r="F1170" t="s">
        <v>1124</v>
      </c>
      <c r="G1170" s="1">
        <v>44813</v>
      </c>
      <c r="H1170" s="1">
        <v>44827</v>
      </c>
      <c r="I1170" t="s">
        <v>28</v>
      </c>
      <c r="J1170" s="1" t="b">
        <f t="shared" si="126"/>
        <v>1</v>
      </c>
      <c r="K1170" s="1" t="b">
        <f t="shared" si="127"/>
        <v>0</v>
      </c>
      <c r="L1170" s="1" t="b">
        <f t="shared" si="128"/>
        <v>0</v>
      </c>
      <c r="M1170" s="1" t="b">
        <f t="shared" si="129"/>
        <v>0</v>
      </c>
      <c r="N1170" s="1" t="b">
        <f t="shared" si="130"/>
        <v>0</v>
      </c>
      <c r="O1170" s="1" t="b">
        <f t="shared" si="131"/>
        <v>0</v>
      </c>
      <c r="P1170" s="1" t="b">
        <f t="shared" si="132"/>
        <v>1</v>
      </c>
    </row>
    <row r="1171" spans="1:16" x14ac:dyDescent="0.2">
      <c r="A1171">
        <v>3688166</v>
      </c>
      <c r="B1171" t="s">
        <v>2216</v>
      </c>
      <c r="C1171" t="s">
        <v>310</v>
      </c>
      <c r="D1171" t="s">
        <v>77</v>
      </c>
      <c r="E1171" s="1">
        <v>44842</v>
      </c>
      <c r="F1171" t="s">
        <v>2217</v>
      </c>
      <c r="G1171" s="1">
        <v>44870</v>
      </c>
      <c r="H1171" s="1">
        <v>44876</v>
      </c>
      <c r="J1171" s="1" t="b">
        <f t="shared" si="126"/>
        <v>1</v>
      </c>
      <c r="K1171" s="1" t="b">
        <f t="shared" si="127"/>
        <v>0</v>
      </c>
      <c r="L1171" s="1" t="b">
        <f t="shared" si="128"/>
        <v>0</v>
      </c>
      <c r="M1171" s="1" t="b">
        <f t="shared" si="129"/>
        <v>0</v>
      </c>
      <c r="N1171" s="1" t="b">
        <f t="shared" si="130"/>
        <v>0</v>
      </c>
      <c r="O1171" s="1" t="b">
        <f t="shared" si="131"/>
        <v>0</v>
      </c>
      <c r="P1171" s="1" t="b">
        <f t="shared" si="132"/>
        <v>0</v>
      </c>
    </row>
    <row r="1172" spans="1:16" x14ac:dyDescent="0.2">
      <c r="A1172">
        <v>3688166</v>
      </c>
      <c r="B1172" t="s">
        <v>2218</v>
      </c>
      <c r="C1172" t="s">
        <v>310</v>
      </c>
      <c r="D1172" t="s">
        <v>77</v>
      </c>
      <c r="E1172" s="1">
        <v>44984</v>
      </c>
      <c r="F1172" t="s">
        <v>2219</v>
      </c>
      <c r="G1172" s="1">
        <v>45014</v>
      </c>
      <c r="H1172" s="1">
        <v>45068</v>
      </c>
      <c r="J1172" s="1" t="b">
        <f t="shared" si="126"/>
        <v>1</v>
      </c>
      <c r="K1172" s="1" t="b">
        <f t="shared" si="127"/>
        <v>0</v>
      </c>
      <c r="L1172" s="1" t="b">
        <f t="shared" si="128"/>
        <v>0</v>
      </c>
      <c r="M1172" s="1" t="b">
        <f t="shared" si="129"/>
        <v>0</v>
      </c>
      <c r="N1172" s="1" t="b">
        <f t="shared" si="130"/>
        <v>0</v>
      </c>
      <c r="O1172" s="1" t="b">
        <f t="shared" si="131"/>
        <v>0</v>
      </c>
      <c r="P1172" s="1" t="b">
        <f t="shared" si="132"/>
        <v>0</v>
      </c>
    </row>
    <row r="1173" spans="1:16" x14ac:dyDescent="0.2">
      <c r="A1173">
        <v>3688166</v>
      </c>
      <c r="B1173" t="s">
        <v>2220</v>
      </c>
      <c r="C1173" t="s">
        <v>310</v>
      </c>
      <c r="D1173" t="s">
        <v>77</v>
      </c>
      <c r="E1173" s="1">
        <v>44664</v>
      </c>
      <c r="F1173" t="s">
        <v>50</v>
      </c>
      <c r="G1173" s="1">
        <v>44691</v>
      </c>
      <c r="H1173" s="1">
        <v>44702</v>
      </c>
      <c r="J1173" s="1" t="b">
        <f t="shared" si="126"/>
        <v>1</v>
      </c>
      <c r="K1173" s="1" t="b">
        <f t="shared" si="127"/>
        <v>0</v>
      </c>
      <c r="L1173" s="1" t="b">
        <f t="shared" si="128"/>
        <v>0</v>
      </c>
      <c r="M1173" s="1" t="b">
        <f t="shared" si="129"/>
        <v>0</v>
      </c>
      <c r="N1173" s="1" t="b">
        <f t="shared" si="130"/>
        <v>0</v>
      </c>
      <c r="O1173" s="1" t="b">
        <f t="shared" si="131"/>
        <v>0</v>
      </c>
      <c r="P1173" s="1" t="b">
        <f t="shared" si="132"/>
        <v>0</v>
      </c>
    </row>
    <row r="1174" spans="1:16" x14ac:dyDescent="0.2">
      <c r="A1174">
        <v>5378351</v>
      </c>
      <c r="B1174" t="s">
        <v>2221</v>
      </c>
      <c r="C1174" t="s">
        <v>80</v>
      </c>
      <c r="D1174" t="s">
        <v>122</v>
      </c>
      <c r="E1174" s="1">
        <v>44590</v>
      </c>
      <c r="F1174" t="s">
        <v>2222</v>
      </c>
      <c r="G1174" s="1">
        <v>44615</v>
      </c>
      <c r="H1174" s="1">
        <v>44619</v>
      </c>
      <c r="I1174" t="s">
        <v>28</v>
      </c>
      <c r="J1174" s="1" t="b">
        <f t="shared" si="126"/>
        <v>1</v>
      </c>
      <c r="K1174" s="1" t="b">
        <f t="shared" si="127"/>
        <v>0</v>
      </c>
      <c r="L1174" s="1" t="b">
        <f t="shared" si="128"/>
        <v>0</v>
      </c>
      <c r="M1174" s="1" t="b">
        <f t="shared" si="129"/>
        <v>0</v>
      </c>
      <c r="N1174" s="1" t="b">
        <f t="shared" si="130"/>
        <v>0</v>
      </c>
      <c r="O1174" s="1" t="b">
        <f t="shared" si="131"/>
        <v>0</v>
      </c>
      <c r="P1174" s="1" t="b">
        <f t="shared" si="132"/>
        <v>1</v>
      </c>
    </row>
    <row r="1175" spans="1:16" x14ac:dyDescent="0.2">
      <c r="A1175">
        <v>5378351</v>
      </c>
      <c r="B1175" t="s">
        <v>2223</v>
      </c>
      <c r="C1175" t="s">
        <v>80</v>
      </c>
      <c r="D1175" t="s">
        <v>122</v>
      </c>
      <c r="E1175" s="1">
        <v>44701</v>
      </c>
      <c r="F1175" t="s">
        <v>2224</v>
      </c>
      <c r="G1175" s="1">
        <v>44702</v>
      </c>
      <c r="H1175" s="1">
        <v>44728</v>
      </c>
      <c r="I1175" t="s">
        <v>43</v>
      </c>
      <c r="J1175" s="1" t="b">
        <f t="shared" si="126"/>
        <v>1</v>
      </c>
      <c r="K1175" s="1" t="b">
        <f t="shared" si="127"/>
        <v>0</v>
      </c>
      <c r="L1175" s="1" t="b">
        <f t="shared" si="128"/>
        <v>0</v>
      </c>
      <c r="M1175" s="1" t="b">
        <f t="shared" si="129"/>
        <v>0</v>
      </c>
      <c r="N1175" s="1" t="b">
        <f t="shared" si="130"/>
        <v>0</v>
      </c>
      <c r="O1175" s="1" t="b">
        <f t="shared" si="131"/>
        <v>1</v>
      </c>
      <c r="P1175" s="1" t="b">
        <f t="shared" si="132"/>
        <v>0</v>
      </c>
    </row>
    <row r="1176" spans="1:16" x14ac:dyDescent="0.2">
      <c r="A1176">
        <v>5378351</v>
      </c>
      <c r="B1176" t="s">
        <v>2225</v>
      </c>
      <c r="C1176" t="s">
        <v>80</v>
      </c>
      <c r="D1176" t="s">
        <v>122</v>
      </c>
      <c r="E1176" s="1">
        <v>44646</v>
      </c>
      <c r="F1176" t="s">
        <v>1743</v>
      </c>
      <c r="G1176" s="1">
        <v>44650</v>
      </c>
      <c r="I1176" t="s">
        <v>25</v>
      </c>
      <c r="J1176" s="1" t="b">
        <f t="shared" si="126"/>
        <v>0</v>
      </c>
      <c r="K1176" s="1" t="b">
        <f t="shared" si="127"/>
        <v>0</v>
      </c>
      <c r="L1176" s="1" t="b">
        <f t="shared" si="128"/>
        <v>1</v>
      </c>
      <c r="M1176" s="1" t="b">
        <f t="shared" si="129"/>
        <v>0</v>
      </c>
      <c r="N1176" s="1" t="b">
        <f t="shared" si="130"/>
        <v>0</v>
      </c>
      <c r="O1176" s="1" t="b">
        <f t="shared" si="131"/>
        <v>0</v>
      </c>
      <c r="P1176" s="1" t="b">
        <f t="shared" si="132"/>
        <v>0</v>
      </c>
    </row>
    <row r="1177" spans="1:16" x14ac:dyDescent="0.2">
      <c r="A1177">
        <v>3647821</v>
      </c>
      <c r="B1177" t="s">
        <v>2226</v>
      </c>
      <c r="C1177" t="s">
        <v>93</v>
      </c>
      <c r="D1177" t="s">
        <v>139</v>
      </c>
      <c r="E1177" s="1">
        <v>45024</v>
      </c>
      <c r="F1177" t="s">
        <v>2227</v>
      </c>
      <c r="G1177" s="1">
        <v>45040</v>
      </c>
      <c r="H1177" s="1">
        <v>45096</v>
      </c>
      <c r="J1177" s="1" t="b">
        <f t="shared" si="126"/>
        <v>1</v>
      </c>
      <c r="K1177" s="1" t="b">
        <f t="shared" si="127"/>
        <v>0</v>
      </c>
      <c r="L1177" s="1" t="b">
        <f t="shared" si="128"/>
        <v>0</v>
      </c>
      <c r="M1177" s="1" t="b">
        <f t="shared" si="129"/>
        <v>0</v>
      </c>
      <c r="N1177" s="1" t="b">
        <f t="shared" si="130"/>
        <v>0</v>
      </c>
      <c r="O1177" s="1" t="b">
        <f t="shared" si="131"/>
        <v>0</v>
      </c>
      <c r="P1177" s="1" t="b">
        <f t="shared" si="132"/>
        <v>0</v>
      </c>
    </row>
    <row r="1178" spans="1:16" x14ac:dyDescent="0.2">
      <c r="A1178">
        <v>3647821</v>
      </c>
      <c r="B1178" t="s">
        <v>2228</v>
      </c>
      <c r="C1178" t="s">
        <v>93</v>
      </c>
      <c r="D1178" t="s">
        <v>139</v>
      </c>
      <c r="E1178" s="1">
        <v>44897</v>
      </c>
      <c r="F1178" t="s">
        <v>2229</v>
      </c>
      <c r="G1178" s="1">
        <v>44923</v>
      </c>
      <c r="H1178" s="1">
        <v>44942</v>
      </c>
      <c r="I1178" t="s">
        <v>28</v>
      </c>
      <c r="J1178" s="1" t="b">
        <f t="shared" si="126"/>
        <v>1</v>
      </c>
      <c r="K1178" s="1" t="b">
        <f t="shared" si="127"/>
        <v>0</v>
      </c>
      <c r="L1178" s="1" t="b">
        <f t="shared" si="128"/>
        <v>0</v>
      </c>
      <c r="M1178" s="1" t="b">
        <f t="shared" si="129"/>
        <v>0</v>
      </c>
      <c r="N1178" s="1" t="b">
        <f t="shared" si="130"/>
        <v>0</v>
      </c>
      <c r="O1178" s="1" t="b">
        <f t="shared" si="131"/>
        <v>0</v>
      </c>
      <c r="P1178" s="1" t="b">
        <f t="shared" si="132"/>
        <v>1</v>
      </c>
    </row>
    <row r="1179" spans="1:16" x14ac:dyDescent="0.2">
      <c r="A1179">
        <v>4333024</v>
      </c>
      <c r="B1179" t="s">
        <v>2230</v>
      </c>
      <c r="C1179" t="s">
        <v>76</v>
      </c>
      <c r="D1179" t="s">
        <v>60</v>
      </c>
      <c r="E1179" s="1">
        <v>44791</v>
      </c>
      <c r="F1179" t="s">
        <v>2231</v>
      </c>
      <c r="G1179" s="1">
        <v>44792</v>
      </c>
      <c r="I1179" t="s">
        <v>13</v>
      </c>
      <c r="J1179" s="1" t="b">
        <f t="shared" si="126"/>
        <v>0</v>
      </c>
      <c r="K1179" s="1" t="b">
        <f t="shared" si="127"/>
        <v>1</v>
      </c>
      <c r="L1179" s="1" t="b">
        <f t="shared" si="128"/>
        <v>0</v>
      </c>
      <c r="M1179" s="1" t="b">
        <f t="shared" si="129"/>
        <v>0</v>
      </c>
      <c r="N1179" s="1" t="b">
        <f t="shared" si="130"/>
        <v>0</v>
      </c>
      <c r="O1179" s="1" t="b">
        <f t="shared" si="131"/>
        <v>0</v>
      </c>
      <c r="P1179" s="1" t="b">
        <f t="shared" si="132"/>
        <v>0</v>
      </c>
    </row>
    <row r="1180" spans="1:16" x14ac:dyDescent="0.2">
      <c r="A1180">
        <v>4333024</v>
      </c>
      <c r="B1180" t="s">
        <v>2232</v>
      </c>
      <c r="C1180" t="s">
        <v>76</v>
      </c>
      <c r="D1180" t="s">
        <v>60</v>
      </c>
      <c r="E1180" s="1">
        <v>45035</v>
      </c>
      <c r="F1180" t="s">
        <v>2233</v>
      </c>
      <c r="G1180" s="1">
        <v>45042</v>
      </c>
      <c r="H1180" s="1">
        <v>45059</v>
      </c>
      <c r="I1180" t="s">
        <v>43</v>
      </c>
      <c r="J1180" s="1" t="b">
        <f t="shared" si="126"/>
        <v>1</v>
      </c>
      <c r="K1180" s="1" t="b">
        <f t="shared" si="127"/>
        <v>0</v>
      </c>
      <c r="L1180" s="1" t="b">
        <f t="shared" si="128"/>
        <v>0</v>
      </c>
      <c r="M1180" s="1" t="b">
        <f t="shared" si="129"/>
        <v>0</v>
      </c>
      <c r="N1180" s="1" t="b">
        <f t="shared" si="130"/>
        <v>0</v>
      </c>
      <c r="O1180" s="1" t="b">
        <f t="shared" si="131"/>
        <v>1</v>
      </c>
      <c r="P1180" s="1" t="b">
        <f t="shared" si="132"/>
        <v>0</v>
      </c>
    </row>
    <row r="1181" spans="1:16" x14ac:dyDescent="0.2">
      <c r="A1181">
        <v>4333024</v>
      </c>
      <c r="B1181" t="s">
        <v>2234</v>
      </c>
      <c r="C1181" t="s">
        <v>76</v>
      </c>
      <c r="D1181" t="s">
        <v>60</v>
      </c>
      <c r="E1181" s="1">
        <v>45001</v>
      </c>
      <c r="F1181" t="s">
        <v>98</v>
      </c>
      <c r="G1181" s="1">
        <v>45021</v>
      </c>
      <c r="H1181" s="1">
        <v>45038</v>
      </c>
      <c r="I1181" t="s">
        <v>43</v>
      </c>
      <c r="J1181" s="1" t="b">
        <f t="shared" si="126"/>
        <v>1</v>
      </c>
      <c r="K1181" s="1" t="b">
        <f t="shared" si="127"/>
        <v>0</v>
      </c>
      <c r="L1181" s="1" t="b">
        <f t="shared" si="128"/>
        <v>0</v>
      </c>
      <c r="M1181" s="1" t="b">
        <f t="shared" si="129"/>
        <v>0</v>
      </c>
      <c r="N1181" s="1" t="b">
        <f t="shared" si="130"/>
        <v>0</v>
      </c>
      <c r="O1181" s="1" t="b">
        <f t="shared" si="131"/>
        <v>1</v>
      </c>
      <c r="P1181" s="1" t="b">
        <f t="shared" si="132"/>
        <v>0</v>
      </c>
    </row>
    <row r="1182" spans="1:16" x14ac:dyDescent="0.2">
      <c r="A1182">
        <v>3504019</v>
      </c>
      <c r="B1182" t="s">
        <v>2235</v>
      </c>
      <c r="C1182" t="s">
        <v>76</v>
      </c>
      <c r="D1182" t="s">
        <v>39</v>
      </c>
      <c r="E1182" s="1">
        <v>45100</v>
      </c>
      <c r="F1182" t="s">
        <v>2236</v>
      </c>
      <c r="G1182" s="1">
        <v>45114</v>
      </c>
      <c r="H1182" s="1">
        <v>45164</v>
      </c>
      <c r="I1182" t="s">
        <v>16</v>
      </c>
      <c r="J1182" s="1" t="b">
        <f t="shared" si="126"/>
        <v>1</v>
      </c>
      <c r="K1182" s="1" t="b">
        <f t="shared" si="127"/>
        <v>0</v>
      </c>
      <c r="L1182" s="1" t="b">
        <f t="shared" si="128"/>
        <v>0</v>
      </c>
      <c r="M1182" s="1" t="b">
        <f t="shared" si="129"/>
        <v>0</v>
      </c>
      <c r="N1182" s="1" t="b">
        <f t="shared" si="130"/>
        <v>1</v>
      </c>
      <c r="O1182" s="1" t="b">
        <f t="shared" si="131"/>
        <v>0</v>
      </c>
      <c r="P1182" s="1" t="b">
        <f t="shared" si="132"/>
        <v>0</v>
      </c>
    </row>
    <row r="1183" spans="1:16" x14ac:dyDescent="0.2">
      <c r="A1183">
        <v>3504019</v>
      </c>
      <c r="B1183" t="s">
        <v>2237</v>
      </c>
      <c r="C1183" t="s">
        <v>76</v>
      </c>
      <c r="D1183" t="s">
        <v>39</v>
      </c>
      <c r="E1183" s="1">
        <v>45068</v>
      </c>
      <c r="F1183" t="s">
        <v>2238</v>
      </c>
      <c r="G1183" s="1">
        <v>45072</v>
      </c>
      <c r="H1183" s="1">
        <v>45087</v>
      </c>
      <c r="J1183" s="1" t="b">
        <f t="shared" si="126"/>
        <v>1</v>
      </c>
      <c r="K1183" s="1" t="b">
        <f t="shared" si="127"/>
        <v>0</v>
      </c>
      <c r="L1183" s="1" t="b">
        <f t="shared" si="128"/>
        <v>0</v>
      </c>
      <c r="M1183" s="1" t="b">
        <f t="shared" si="129"/>
        <v>0</v>
      </c>
      <c r="N1183" s="1" t="b">
        <f t="shared" si="130"/>
        <v>0</v>
      </c>
      <c r="O1183" s="1" t="b">
        <f t="shared" si="131"/>
        <v>0</v>
      </c>
      <c r="P1183" s="1" t="b">
        <f t="shared" si="132"/>
        <v>0</v>
      </c>
    </row>
    <row r="1184" spans="1:16" x14ac:dyDescent="0.2">
      <c r="A1184">
        <v>4408213</v>
      </c>
      <c r="B1184" t="s">
        <v>2239</v>
      </c>
      <c r="C1184" t="s">
        <v>454</v>
      </c>
      <c r="D1184" t="s">
        <v>11</v>
      </c>
      <c r="E1184" s="1">
        <v>44773</v>
      </c>
      <c r="F1184" t="s">
        <v>2240</v>
      </c>
      <c r="G1184" s="1">
        <v>44793</v>
      </c>
      <c r="H1184" s="1">
        <v>44807</v>
      </c>
      <c r="J1184" s="1" t="b">
        <f t="shared" si="126"/>
        <v>1</v>
      </c>
      <c r="K1184" s="1" t="b">
        <f t="shared" si="127"/>
        <v>0</v>
      </c>
      <c r="L1184" s="1" t="b">
        <f t="shared" si="128"/>
        <v>0</v>
      </c>
      <c r="M1184" s="1" t="b">
        <f t="shared" si="129"/>
        <v>0</v>
      </c>
      <c r="N1184" s="1" t="b">
        <f t="shared" si="130"/>
        <v>0</v>
      </c>
      <c r="O1184" s="1" t="b">
        <f t="shared" si="131"/>
        <v>0</v>
      </c>
      <c r="P1184" s="1" t="b">
        <f t="shared" si="132"/>
        <v>0</v>
      </c>
    </row>
    <row r="1185" spans="1:16" x14ac:dyDescent="0.2">
      <c r="A1185">
        <v>4408213</v>
      </c>
      <c r="B1185" t="s">
        <v>2241</v>
      </c>
      <c r="C1185" t="s">
        <v>454</v>
      </c>
      <c r="D1185" t="s">
        <v>11</v>
      </c>
      <c r="E1185" s="1">
        <v>44755</v>
      </c>
      <c r="F1185" t="s">
        <v>1889</v>
      </c>
      <c r="G1185" s="1">
        <v>44769</v>
      </c>
      <c r="H1185" s="1">
        <v>44781</v>
      </c>
      <c r="I1185" t="s">
        <v>28</v>
      </c>
      <c r="J1185" s="1" t="b">
        <f t="shared" si="126"/>
        <v>1</v>
      </c>
      <c r="K1185" s="1" t="b">
        <f t="shared" si="127"/>
        <v>0</v>
      </c>
      <c r="L1185" s="1" t="b">
        <f t="shared" si="128"/>
        <v>0</v>
      </c>
      <c r="M1185" s="1" t="b">
        <f t="shared" si="129"/>
        <v>0</v>
      </c>
      <c r="N1185" s="1" t="b">
        <f t="shared" si="130"/>
        <v>0</v>
      </c>
      <c r="O1185" s="1" t="b">
        <f t="shared" si="131"/>
        <v>0</v>
      </c>
      <c r="P1185" s="1" t="b">
        <f t="shared" si="132"/>
        <v>1</v>
      </c>
    </row>
    <row r="1186" spans="1:16" x14ac:dyDescent="0.2">
      <c r="A1186">
        <v>4408213</v>
      </c>
      <c r="B1186" t="s">
        <v>2242</v>
      </c>
      <c r="C1186" t="s">
        <v>454</v>
      </c>
      <c r="D1186" t="s">
        <v>11</v>
      </c>
      <c r="E1186" s="1">
        <v>44830</v>
      </c>
      <c r="F1186" t="s">
        <v>2243</v>
      </c>
      <c r="G1186" s="1">
        <v>44838</v>
      </c>
      <c r="H1186" s="1">
        <v>44878</v>
      </c>
      <c r="I1186" t="s">
        <v>43</v>
      </c>
      <c r="J1186" s="1" t="b">
        <f t="shared" si="126"/>
        <v>1</v>
      </c>
      <c r="K1186" s="1" t="b">
        <f t="shared" si="127"/>
        <v>0</v>
      </c>
      <c r="L1186" s="1" t="b">
        <f t="shared" si="128"/>
        <v>0</v>
      </c>
      <c r="M1186" s="1" t="b">
        <f t="shared" si="129"/>
        <v>0</v>
      </c>
      <c r="N1186" s="1" t="b">
        <f t="shared" si="130"/>
        <v>0</v>
      </c>
      <c r="O1186" s="1" t="b">
        <f t="shared" si="131"/>
        <v>1</v>
      </c>
      <c r="P1186" s="1" t="b">
        <f t="shared" si="132"/>
        <v>0</v>
      </c>
    </row>
    <row r="1187" spans="1:16" x14ac:dyDescent="0.2">
      <c r="A1187">
        <v>8566133</v>
      </c>
      <c r="B1187" t="s">
        <v>2244</v>
      </c>
      <c r="C1187" t="s">
        <v>310</v>
      </c>
      <c r="D1187" t="s">
        <v>19</v>
      </c>
      <c r="E1187" s="1">
        <v>45042</v>
      </c>
      <c r="F1187" t="s">
        <v>2245</v>
      </c>
      <c r="G1187" s="1">
        <v>45047</v>
      </c>
      <c r="H1187" s="1">
        <v>45103</v>
      </c>
      <c r="J1187" s="1" t="b">
        <f t="shared" si="126"/>
        <v>1</v>
      </c>
      <c r="K1187" s="1" t="b">
        <f t="shared" si="127"/>
        <v>0</v>
      </c>
      <c r="L1187" s="1" t="b">
        <f t="shared" si="128"/>
        <v>0</v>
      </c>
      <c r="M1187" s="1" t="b">
        <f t="shared" si="129"/>
        <v>0</v>
      </c>
      <c r="N1187" s="1" t="b">
        <f t="shared" si="130"/>
        <v>0</v>
      </c>
      <c r="O1187" s="1" t="b">
        <f t="shared" si="131"/>
        <v>0</v>
      </c>
      <c r="P1187" s="1" t="b">
        <f t="shared" si="132"/>
        <v>0</v>
      </c>
    </row>
    <row r="1188" spans="1:16" x14ac:dyDescent="0.2">
      <c r="A1188">
        <v>8566133</v>
      </c>
      <c r="B1188" t="s">
        <v>2246</v>
      </c>
      <c r="C1188" t="s">
        <v>310</v>
      </c>
      <c r="D1188" t="s">
        <v>19</v>
      </c>
      <c r="E1188" s="1">
        <v>44954</v>
      </c>
      <c r="F1188" t="s">
        <v>2247</v>
      </c>
      <c r="G1188" s="1">
        <v>44977</v>
      </c>
      <c r="H1188" s="1">
        <v>45005</v>
      </c>
      <c r="J1188" s="1" t="b">
        <f t="shared" si="126"/>
        <v>1</v>
      </c>
      <c r="K1188" s="1" t="b">
        <f t="shared" si="127"/>
        <v>0</v>
      </c>
      <c r="L1188" s="1" t="b">
        <f t="shared" si="128"/>
        <v>0</v>
      </c>
      <c r="M1188" s="1" t="b">
        <f t="shared" si="129"/>
        <v>0</v>
      </c>
      <c r="N1188" s="1" t="b">
        <f t="shared" si="130"/>
        <v>0</v>
      </c>
      <c r="O1188" s="1" t="b">
        <f t="shared" si="131"/>
        <v>0</v>
      </c>
      <c r="P1188" s="1" t="b">
        <f t="shared" si="132"/>
        <v>0</v>
      </c>
    </row>
    <row r="1189" spans="1:16" x14ac:dyDescent="0.2">
      <c r="A1189">
        <v>8566133</v>
      </c>
      <c r="B1189" t="s">
        <v>2248</v>
      </c>
      <c r="C1189" t="s">
        <v>310</v>
      </c>
      <c r="D1189" t="s">
        <v>19</v>
      </c>
      <c r="E1189" s="1">
        <v>44622</v>
      </c>
      <c r="F1189" t="s">
        <v>2249</v>
      </c>
      <c r="G1189" s="1">
        <v>44624</v>
      </c>
      <c r="H1189" s="1">
        <v>44646</v>
      </c>
      <c r="I1189" t="s">
        <v>28</v>
      </c>
      <c r="J1189" s="1" t="b">
        <f t="shared" si="126"/>
        <v>1</v>
      </c>
      <c r="K1189" s="1" t="b">
        <f t="shared" si="127"/>
        <v>0</v>
      </c>
      <c r="L1189" s="1" t="b">
        <f t="shared" si="128"/>
        <v>0</v>
      </c>
      <c r="M1189" s="1" t="b">
        <f t="shared" si="129"/>
        <v>0</v>
      </c>
      <c r="N1189" s="1" t="b">
        <f t="shared" si="130"/>
        <v>0</v>
      </c>
      <c r="O1189" s="1" t="b">
        <f t="shared" si="131"/>
        <v>0</v>
      </c>
      <c r="P1189" s="1" t="b">
        <f t="shared" si="132"/>
        <v>1</v>
      </c>
    </row>
    <row r="1190" spans="1:16" x14ac:dyDescent="0.2">
      <c r="A1190">
        <v>4939985</v>
      </c>
      <c r="B1190" t="s">
        <v>2250</v>
      </c>
      <c r="C1190" t="s">
        <v>363</v>
      </c>
      <c r="D1190" t="s">
        <v>39</v>
      </c>
      <c r="E1190" s="1">
        <v>45078</v>
      </c>
      <c r="F1190" t="s">
        <v>2251</v>
      </c>
      <c r="G1190" s="1">
        <v>45098</v>
      </c>
      <c r="H1190" s="1">
        <v>45123</v>
      </c>
      <c r="I1190" t="s">
        <v>16</v>
      </c>
      <c r="J1190" s="1" t="b">
        <f t="shared" si="126"/>
        <v>1</v>
      </c>
      <c r="K1190" s="1" t="b">
        <f t="shared" si="127"/>
        <v>0</v>
      </c>
      <c r="L1190" s="1" t="b">
        <f t="shared" si="128"/>
        <v>0</v>
      </c>
      <c r="M1190" s="1" t="b">
        <f t="shared" si="129"/>
        <v>0</v>
      </c>
      <c r="N1190" s="1" t="b">
        <f t="shared" si="130"/>
        <v>1</v>
      </c>
      <c r="O1190" s="1" t="b">
        <f t="shared" si="131"/>
        <v>0</v>
      </c>
      <c r="P1190" s="1" t="b">
        <f t="shared" si="132"/>
        <v>0</v>
      </c>
    </row>
    <row r="1191" spans="1:16" x14ac:dyDescent="0.2">
      <c r="A1191">
        <v>4939985</v>
      </c>
      <c r="B1191" t="s">
        <v>2252</v>
      </c>
      <c r="C1191" t="s">
        <v>363</v>
      </c>
      <c r="D1191" t="s">
        <v>39</v>
      </c>
      <c r="E1191" s="1">
        <v>44697</v>
      </c>
      <c r="F1191" t="s">
        <v>2253</v>
      </c>
      <c r="G1191" s="1">
        <v>44726</v>
      </c>
      <c r="H1191" s="1">
        <v>44762</v>
      </c>
      <c r="J1191" s="1" t="b">
        <f t="shared" si="126"/>
        <v>1</v>
      </c>
      <c r="K1191" s="1" t="b">
        <f t="shared" si="127"/>
        <v>0</v>
      </c>
      <c r="L1191" s="1" t="b">
        <f t="shared" si="128"/>
        <v>0</v>
      </c>
      <c r="M1191" s="1" t="b">
        <f t="shared" si="129"/>
        <v>0</v>
      </c>
      <c r="N1191" s="1" t="b">
        <f t="shared" si="130"/>
        <v>0</v>
      </c>
      <c r="O1191" s="1" t="b">
        <f t="shared" si="131"/>
        <v>0</v>
      </c>
      <c r="P1191" s="1" t="b">
        <f t="shared" si="132"/>
        <v>0</v>
      </c>
    </row>
    <row r="1192" spans="1:16" x14ac:dyDescent="0.2">
      <c r="A1192">
        <v>4939985</v>
      </c>
      <c r="B1192" t="s">
        <v>2254</v>
      </c>
      <c r="C1192" t="s">
        <v>363</v>
      </c>
      <c r="D1192" t="s">
        <v>39</v>
      </c>
      <c r="E1192" s="1">
        <v>44735</v>
      </c>
      <c r="F1192" t="s">
        <v>419</v>
      </c>
      <c r="G1192" s="1">
        <v>44752</v>
      </c>
      <c r="I1192" t="s">
        <v>13</v>
      </c>
      <c r="J1192" s="1" t="b">
        <f t="shared" si="126"/>
        <v>0</v>
      </c>
      <c r="K1192" s="1" t="b">
        <f t="shared" si="127"/>
        <v>1</v>
      </c>
      <c r="L1192" s="1" t="b">
        <f t="shared" si="128"/>
        <v>0</v>
      </c>
      <c r="M1192" s="1" t="b">
        <f t="shared" si="129"/>
        <v>0</v>
      </c>
      <c r="N1192" s="1" t="b">
        <f t="shared" si="130"/>
        <v>0</v>
      </c>
      <c r="O1192" s="1" t="b">
        <f t="shared" si="131"/>
        <v>0</v>
      </c>
      <c r="P1192" s="1" t="b">
        <f t="shared" si="132"/>
        <v>0</v>
      </c>
    </row>
    <row r="1193" spans="1:16" x14ac:dyDescent="0.2">
      <c r="A1193">
        <v>4939985</v>
      </c>
      <c r="B1193" t="s">
        <v>2255</v>
      </c>
      <c r="C1193" t="s">
        <v>363</v>
      </c>
      <c r="D1193" t="s">
        <v>39</v>
      </c>
      <c r="E1193" s="1">
        <v>44697</v>
      </c>
      <c r="F1193" t="s">
        <v>1719</v>
      </c>
      <c r="G1193" s="1">
        <v>44700</v>
      </c>
      <c r="H1193" s="1">
        <v>44721</v>
      </c>
      <c r="I1193" t="s">
        <v>28</v>
      </c>
      <c r="J1193" s="1" t="b">
        <f t="shared" si="126"/>
        <v>1</v>
      </c>
      <c r="K1193" s="1" t="b">
        <f t="shared" si="127"/>
        <v>0</v>
      </c>
      <c r="L1193" s="1" t="b">
        <f t="shared" si="128"/>
        <v>0</v>
      </c>
      <c r="M1193" s="1" t="b">
        <f t="shared" si="129"/>
        <v>0</v>
      </c>
      <c r="N1193" s="1" t="b">
        <f t="shared" si="130"/>
        <v>0</v>
      </c>
      <c r="O1193" s="1" t="b">
        <f t="shared" si="131"/>
        <v>0</v>
      </c>
      <c r="P1193" s="1" t="b">
        <f t="shared" si="132"/>
        <v>1</v>
      </c>
    </row>
    <row r="1194" spans="1:16" x14ac:dyDescent="0.2">
      <c r="A1194">
        <v>4939985</v>
      </c>
      <c r="B1194" t="s">
        <v>2256</v>
      </c>
      <c r="C1194" t="s">
        <v>363</v>
      </c>
      <c r="D1194" t="s">
        <v>39</v>
      </c>
      <c r="E1194" s="1">
        <v>44681</v>
      </c>
      <c r="F1194" t="s">
        <v>2257</v>
      </c>
      <c r="G1194" s="1">
        <v>44692</v>
      </c>
      <c r="H1194" s="1">
        <v>44695</v>
      </c>
      <c r="J1194" s="1" t="b">
        <f t="shared" si="126"/>
        <v>1</v>
      </c>
      <c r="K1194" s="1" t="b">
        <f t="shared" si="127"/>
        <v>0</v>
      </c>
      <c r="L1194" s="1" t="b">
        <f t="shared" si="128"/>
        <v>0</v>
      </c>
      <c r="M1194" s="1" t="b">
        <f t="shared" si="129"/>
        <v>0</v>
      </c>
      <c r="N1194" s="1" t="b">
        <f t="shared" si="130"/>
        <v>0</v>
      </c>
      <c r="O1194" s="1" t="b">
        <f t="shared" si="131"/>
        <v>0</v>
      </c>
      <c r="P1194" s="1" t="b">
        <f t="shared" si="132"/>
        <v>0</v>
      </c>
    </row>
    <row r="1195" spans="1:16" x14ac:dyDescent="0.2">
      <c r="A1195">
        <v>3145327</v>
      </c>
      <c r="B1195" t="s">
        <v>2258</v>
      </c>
      <c r="C1195" t="s">
        <v>363</v>
      </c>
      <c r="D1195" t="s">
        <v>11</v>
      </c>
      <c r="E1195" s="1">
        <v>44831</v>
      </c>
      <c r="F1195" t="s">
        <v>2259</v>
      </c>
      <c r="G1195" s="1">
        <v>44851</v>
      </c>
      <c r="H1195" s="1">
        <v>44905</v>
      </c>
      <c r="I1195" t="s">
        <v>28</v>
      </c>
      <c r="J1195" s="1" t="b">
        <f t="shared" si="126"/>
        <v>1</v>
      </c>
      <c r="K1195" s="1" t="b">
        <f t="shared" si="127"/>
        <v>0</v>
      </c>
      <c r="L1195" s="1" t="b">
        <f t="shared" si="128"/>
        <v>0</v>
      </c>
      <c r="M1195" s="1" t="b">
        <f t="shared" si="129"/>
        <v>0</v>
      </c>
      <c r="N1195" s="1" t="b">
        <f t="shared" si="130"/>
        <v>0</v>
      </c>
      <c r="O1195" s="1" t="b">
        <f t="shared" si="131"/>
        <v>0</v>
      </c>
      <c r="P1195" s="1" t="b">
        <f t="shared" si="132"/>
        <v>1</v>
      </c>
    </row>
    <row r="1196" spans="1:16" x14ac:dyDescent="0.2">
      <c r="A1196">
        <v>3145327</v>
      </c>
      <c r="B1196" t="s">
        <v>2260</v>
      </c>
      <c r="C1196" t="s">
        <v>363</v>
      </c>
      <c r="D1196" t="s">
        <v>11</v>
      </c>
      <c r="E1196" s="1">
        <v>45008</v>
      </c>
      <c r="F1196" t="s">
        <v>2261</v>
      </c>
      <c r="G1196" s="1">
        <v>45037</v>
      </c>
      <c r="H1196" s="1">
        <v>45048</v>
      </c>
      <c r="I1196" t="s">
        <v>28</v>
      </c>
      <c r="J1196" s="1" t="b">
        <f t="shared" si="126"/>
        <v>1</v>
      </c>
      <c r="K1196" s="1" t="b">
        <f t="shared" si="127"/>
        <v>0</v>
      </c>
      <c r="L1196" s="1" t="b">
        <f t="shared" si="128"/>
        <v>0</v>
      </c>
      <c r="M1196" s="1" t="b">
        <f t="shared" si="129"/>
        <v>0</v>
      </c>
      <c r="N1196" s="1" t="b">
        <f t="shared" si="130"/>
        <v>0</v>
      </c>
      <c r="O1196" s="1" t="b">
        <f t="shared" si="131"/>
        <v>0</v>
      </c>
      <c r="P1196" s="1" t="b">
        <f t="shared" si="132"/>
        <v>1</v>
      </c>
    </row>
    <row r="1197" spans="1:16" x14ac:dyDescent="0.2">
      <c r="A1197">
        <v>3145327</v>
      </c>
      <c r="B1197" t="s">
        <v>2262</v>
      </c>
      <c r="C1197" t="s">
        <v>363</v>
      </c>
      <c r="D1197" t="s">
        <v>11</v>
      </c>
      <c r="E1197" s="1">
        <v>45012</v>
      </c>
      <c r="F1197" t="s">
        <v>1830</v>
      </c>
      <c r="G1197" s="1">
        <v>45014</v>
      </c>
      <c r="H1197" s="1">
        <v>45027</v>
      </c>
      <c r="J1197" s="1" t="b">
        <f t="shared" si="126"/>
        <v>1</v>
      </c>
      <c r="K1197" s="1" t="b">
        <f t="shared" si="127"/>
        <v>0</v>
      </c>
      <c r="L1197" s="1" t="b">
        <f t="shared" si="128"/>
        <v>0</v>
      </c>
      <c r="M1197" s="1" t="b">
        <f t="shared" si="129"/>
        <v>0</v>
      </c>
      <c r="N1197" s="1" t="b">
        <f t="shared" si="130"/>
        <v>0</v>
      </c>
      <c r="O1197" s="1" t="b">
        <f t="shared" si="131"/>
        <v>0</v>
      </c>
      <c r="P1197" s="1" t="b">
        <f t="shared" si="132"/>
        <v>0</v>
      </c>
    </row>
    <row r="1198" spans="1:16" x14ac:dyDescent="0.2">
      <c r="A1198">
        <v>3493443</v>
      </c>
      <c r="B1198" t="s">
        <v>2263</v>
      </c>
      <c r="C1198" t="s">
        <v>521</v>
      </c>
      <c r="D1198" t="s">
        <v>19</v>
      </c>
      <c r="I1198" t="s">
        <v>33</v>
      </c>
      <c r="J1198" s="1" t="b">
        <f t="shared" si="126"/>
        <v>0</v>
      </c>
      <c r="K1198" s="1" t="b">
        <f t="shared" si="127"/>
        <v>0</v>
      </c>
      <c r="L1198" s="1" t="b">
        <f t="shared" si="128"/>
        <v>0</v>
      </c>
      <c r="M1198" s="1" t="b">
        <f t="shared" si="129"/>
        <v>1</v>
      </c>
      <c r="N1198" s="1" t="b">
        <f t="shared" si="130"/>
        <v>0</v>
      </c>
      <c r="O1198" s="1" t="b">
        <f t="shared" si="131"/>
        <v>0</v>
      </c>
      <c r="P1198" s="1" t="b">
        <f t="shared" si="132"/>
        <v>0</v>
      </c>
    </row>
    <row r="1199" spans="1:16" x14ac:dyDescent="0.2">
      <c r="A1199">
        <v>3493443</v>
      </c>
      <c r="B1199" t="s">
        <v>2264</v>
      </c>
      <c r="C1199" t="s">
        <v>521</v>
      </c>
      <c r="D1199" t="s">
        <v>19</v>
      </c>
      <c r="E1199" s="1">
        <v>45008</v>
      </c>
      <c r="F1199" t="s">
        <v>2265</v>
      </c>
      <c r="G1199" s="1">
        <v>45012</v>
      </c>
      <c r="I1199" t="s">
        <v>13</v>
      </c>
      <c r="J1199" s="1" t="b">
        <f t="shared" si="126"/>
        <v>0</v>
      </c>
      <c r="K1199" s="1" t="b">
        <f t="shared" si="127"/>
        <v>1</v>
      </c>
      <c r="L1199" s="1" t="b">
        <f t="shared" si="128"/>
        <v>0</v>
      </c>
      <c r="M1199" s="1" t="b">
        <f t="shared" si="129"/>
        <v>0</v>
      </c>
      <c r="N1199" s="1" t="b">
        <f t="shared" si="130"/>
        <v>0</v>
      </c>
      <c r="O1199" s="1" t="b">
        <f t="shared" si="131"/>
        <v>0</v>
      </c>
      <c r="P1199" s="1" t="b">
        <f t="shared" si="132"/>
        <v>0</v>
      </c>
    </row>
    <row r="1200" spans="1:16" x14ac:dyDescent="0.2">
      <c r="A1200">
        <v>9303225</v>
      </c>
      <c r="B1200" t="s">
        <v>2266</v>
      </c>
      <c r="C1200" t="s">
        <v>521</v>
      </c>
      <c r="D1200" t="s">
        <v>77</v>
      </c>
      <c r="E1200" s="1">
        <v>44677</v>
      </c>
      <c r="F1200" t="s">
        <v>1730</v>
      </c>
      <c r="G1200" s="1">
        <v>44705</v>
      </c>
      <c r="H1200" s="1">
        <v>44752</v>
      </c>
      <c r="J1200" s="1" t="b">
        <f t="shared" si="126"/>
        <v>1</v>
      </c>
      <c r="K1200" s="1" t="b">
        <f t="shared" si="127"/>
        <v>0</v>
      </c>
      <c r="L1200" s="1" t="b">
        <f t="shared" si="128"/>
        <v>0</v>
      </c>
      <c r="M1200" s="1" t="b">
        <f t="shared" si="129"/>
        <v>0</v>
      </c>
      <c r="N1200" s="1" t="b">
        <f t="shared" si="130"/>
        <v>0</v>
      </c>
      <c r="O1200" s="1" t="b">
        <f t="shared" si="131"/>
        <v>0</v>
      </c>
      <c r="P1200" s="1" t="b">
        <f t="shared" si="132"/>
        <v>0</v>
      </c>
    </row>
    <row r="1201" spans="1:16" x14ac:dyDescent="0.2">
      <c r="A1201">
        <v>9303225</v>
      </c>
      <c r="B1201" t="s">
        <v>2267</v>
      </c>
      <c r="C1201" t="s">
        <v>521</v>
      </c>
      <c r="D1201" t="s">
        <v>77</v>
      </c>
      <c r="E1201" s="1">
        <v>44770</v>
      </c>
      <c r="F1201" t="s">
        <v>2268</v>
      </c>
      <c r="G1201" s="1">
        <v>44798</v>
      </c>
      <c r="H1201" s="1">
        <v>44817</v>
      </c>
      <c r="I1201" t="s">
        <v>16</v>
      </c>
      <c r="J1201" s="1" t="b">
        <f t="shared" si="126"/>
        <v>1</v>
      </c>
      <c r="K1201" s="1" t="b">
        <f t="shared" si="127"/>
        <v>0</v>
      </c>
      <c r="L1201" s="1" t="b">
        <f t="shared" si="128"/>
        <v>0</v>
      </c>
      <c r="M1201" s="1" t="b">
        <f t="shared" si="129"/>
        <v>0</v>
      </c>
      <c r="N1201" s="1" t="b">
        <f t="shared" si="130"/>
        <v>1</v>
      </c>
      <c r="O1201" s="1" t="b">
        <f t="shared" si="131"/>
        <v>0</v>
      </c>
      <c r="P1201" s="1" t="b">
        <f t="shared" si="132"/>
        <v>0</v>
      </c>
    </row>
    <row r="1202" spans="1:16" x14ac:dyDescent="0.2">
      <c r="A1202">
        <v>9303225</v>
      </c>
      <c r="B1202" t="s">
        <v>2269</v>
      </c>
      <c r="C1202" t="s">
        <v>521</v>
      </c>
      <c r="D1202" t="s">
        <v>77</v>
      </c>
      <c r="E1202" s="1">
        <v>45082</v>
      </c>
      <c r="F1202" t="s">
        <v>2270</v>
      </c>
      <c r="G1202" s="1">
        <v>45109</v>
      </c>
      <c r="I1202" t="s">
        <v>13</v>
      </c>
      <c r="J1202" s="1" t="b">
        <f t="shared" si="126"/>
        <v>0</v>
      </c>
      <c r="K1202" s="1" t="b">
        <f t="shared" si="127"/>
        <v>1</v>
      </c>
      <c r="L1202" s="1" t="b">
        <f t="shared" si="128"/>
        <v>0</v>
      </c>
      <c r="M1202" s="1" t="b">
        <f t="shared" si="129"/>
        <v>0</v>
      </c>
      <c r="N1202" s="1" t="b">
        <f t="shared" si="130"/>
        <v>0</v>
      </c>
      <c r="O1202" s="1" t="b">
        <f t="shared" si="131"/>
        <v>0</v>
      </c>
      <c r="P1202" s="1" t="b">
        <f t="shared" si="132"/>
        <v>0</v>
      </c>
    </row>
    <row r="1203" spans="1:16" x14ac:dyDescent="0.2">
      <c r="A1203">
        <v>5576682</v>
      </c>
      <c r="B1203" t="s">
        <v>2271</v>
      </c>
      <c r="C1203" t="s">
        <v>32</v>
      </c>
      <c r="D1203" t="s">
        <v>81</v>
      </c>
      <c r="E1203" s="1">
        <v>44746</v>
      </c>
      <c r="F1203" t="s">
        <v>2272</v>
      </c>
      <c r="G1203" s="1">
        <v>44760</v>
      </c>
      <c r="H1203" s="1">
        <v>44819</v>
      </c>
      <c r="I1203" t="s">
        <v>16</v>
      </c>
      <c r="J1203" s="1" t="b">
        <f t="shared" si="126"/>
        <v>1</v>
      </c>
      <c r="K1203" s="1" t="b">
        <f t="shared" si="127"/>
        <v>0</v>
      </c>
      <c r="L1203" s="1" t="b">
        <f t="shared" si="128"/>
        <v>0</v>
      </c>
      <c r="M1203" s="1" t="b">
        <f t="shared" si="129"/>
        <v>0</v>
      </c>
      <c r="N1203" s="1" t="b">
        <f t="shared" si="130"/>
        <v>1</v>
      </c>
      <c r="O1203" s="1" t="b">
        <f t="shared" si="131"/>
        <v>0</v>
      </c>
      <c r="P1203" s="1" t="b">
        <f t="shared" si="132"/>
        <v>0</v>
      </c>
    </row>
    <row r="1204" spans="1:16" x14ac:dyDescent="0.2">
      <c r="A1204">
        <v>5576682</v>
      </c>
      <c r="B1204" t="s">
        <v>2273</v>
      </c>
      <c r="C1204" t="s">
        <v>32</v>
      </c>
      <c r="D1204" t="s">
        <v>81</v>
      </c>
      <c r="E1204" s="1">
        <v>44658</v>
      </c>
      <c r="F1204" t="s">
        <v>2274</v>
      </c>
      <c r="G1204" s="1">
        <v>44687</v>
      </c>
      <c r="I1204" t="s">
        <v>13</v>
      </c>
      <c r="J1204" s="1" t="b">
        <f t="shared" si="126"/>
        <v>0</v>
      </c>
      <c r="K1204" s="1" t="b">
        <f t="shared" si="127"/>
        <v>1</v>
      </c>
      <c r="L1204" s="1" t="b">
        <f t="shared" si="128"/>
        <v>0</v>
      </c>
      <c r="M1204" s="1" t="b">
        <f t="shared" si="129"/>
        <v>0</v>
      </c>
      <c r="N1204" s="1" t="b">
        <f t="shared" si="130"/>
        <v>0</v>
      </c>
      <c r="O1204" s="1" t="b">
        <f t="shared" si="131"/>
        <v>0</v>
      </c>
      <c r="P1204" s="1" t="b">
        <f t="shared" si="132"/>
        <v>0</v>
      </c>
    </row>
    <row r="1205" spans="1:16" x14ac:dyDescent="0.2">
      <c r="A1205">
        <v>6513962</v>
      </c>
      <c r="B1205" t="s">
        <v>2275</v>
      </c>
      <c r="C1205" t="s">
        <v>10</v>
      </c>
      <c r="D1205" t="s">
        <v>11</v>
      </c>
      <c r="E1205" s="1">
        <v>44893</v>
      </c>
      <c r="F1205" t="s">
        <v>1171</v>
      </c>
      <c r="G1205" s="1">
        <v>44898</v>
      </c>
      <c r="I1205" t="s">
        <v>25</v>
      </c>
      <c r="J1205" s="1" t="b">
        <f t="shared" si="126"/>
        <v>0</v>
      </c>
      <c r="K1205" s="1" t="b">
        <f t="shared" si="127"/>
        <v>0</v>
      </c>
      <c r="L1205" s="1" t="b">
        <f t="shared" si="128"/>
        <v>1</v>
      </c>
      <c r="M1205" s="1" t="b">
        <f t="shared" si="129"/>
        <v>0</v>
      </c>
      <c r="N1205" s="1" t="b">
        <f t="shared" si="130"/>
        <v>0</v>
      </c>
      <c r="O1205" s="1" t="b">
        <f t="shared" si="131"/>
        <v>0</v>
      </c>
      <c r="P1205" s="1" t="b">
        <f t="shared" si="132"/>
        <v>0</v>
      </c>
    </row>
    <row r="1206" spans="1:16" x14ac:dyDescent="0.2">
      <c r="A1206">
        <v>1484433</v>
      </c>
      <c r="B1206" t="s">
        <v>2276</v>
      </c>
      <c r="C1206" t="s">
        <v>76</v>
      </c>
      <c r="D1206" t="s">
        <v>77</v>
      </c>
      <c r="E1206" s="1">
        <v>44567</v>
      </c>
      <c r="F1206" t="s">
        <v>447</v>
      </c>
      <c r="G1206" s="1">
        <v>44578</v>
      </c>
      <c r="H1206" s="1">
        <v>44581</v>
      </c>
      <c r="I1206" t="s">
        <v>28</v>
      </c>
      <c r="J1206" s="1" t="b">
        <f t="shared" si="126"/>
        <v>1</v>
      </c>
      <c r="K1206" s="1" t="b">
        <f t="shared" si="127"/>
        <v>0</v>
      </c>
      <c r="L1206" s="1" t="b">
        <f t="shared" si="128"/>
        <v>0</v>
      </c>
      <c r="M1206" s="1" t="b">
        <f t="shared" si="129"/>
        <v>0</v>
      </c>
      <c r="N1206" s="1" t="b">
        <f t="shared" si="130"/>
        <v>0</v>
      </c>
      <c r="O1206" s="1" t="b">
        <f t="shared" si="131"/>
        <v>0</v>
      </c>
      <c r="P1206" s="1" t="b">
        <f t="shared" si="132"/>
        <v>1</v>
      </c>
    </row>
    <row r="1207" spans="1:16" x14ac:dyDescent="0.2">
      <c r="A1207">
        <v>1484433</v>
      </c>
      <c r="B1207" t="s">
        <v>2277</v>
      </c>
      <c r="C1207" t="s">
        <v>76</v>
      </c>
      <c r="D1207" t="s">
        <v>77</v>
      </c>
      <c r="E1207" s="1">
        <v>44694</v>
      </c>
      <c r="F1207" t="s">
        <v>2278</v>
      </c>
      <c r="G1207" s="1">
        <v>44701</v>
      </c>
      <c r="H1207" s="1">
        <v>44757</v>
      </c>
      <c r="J1207" s="1" t="b">
        <f t="shared" si="126"/>
        <v>1</v>
      </c>
      <c r="K1207" s="1" t="b">
        <f t="shared" si="127"/>
        <v>0</v>
      </c>
      <c r="L1207" s="1" t="b">
        <f t="shared" si="128"/>
        <v>0</v>
      </c>
      <c r="M1207" s="1" t="b">
        <f t="shared" si="129"/>
        <v>0</v>
      </c>
      <c r="N1207" s="1" t="b">
        <f t="shared" si="130"/>
        <v>0</v>
      </c>
      <c r="O1207" s="1" t="b">
        <f t="shared" si="131"/>
        <v>0</v>
      </c>
      <c r="P1207" s="1" t="b">
        <f t="shared" si="132"/>
        <v>0</v>
      </c>
    </row>
    <row r="1208" spans="1:16" x14ac:dyDescent="0.2">
      <c r="A1208">
        <v>1484433</v>
      </c>
      <c r="B1208" t="s">
        <v>2279</v>
      </c>
      <c r="C1208" t="s">
        <v>76</v>
      </c>
      <c r="D1208" t="s">
        <v>77</v>
      </c>
      <c r="E1208" s="1">
        <v>44892</v>
      </c>
      <c r="F1208" t="s">
        <v>2280</v>
      </c>
      <c r="G1208" s="1">
        <v>44918</v>
      </c>
      <c r="I1208" t="s">
        <v>13</v>
      </c>
      <c r="J1208" s="1" t="b">
        <f t="shared" si="126"/>
        <v>0</v>
      </c>
      <c r="K1208" s="1" t="b">
        <f t="shared" si="127"/>
        <v>1</v>
      </c>
      <c r="L1208" s="1" t="b">
        <f t="shared" si="128"/>
        <v>0</v>
      </c>
      <c r="M1208" s="1" t="b">
        <f t="shared" si="129"/>
        <v>0</v>
      </c>
      <c r="N1208" s="1" t="b">
        <f t="shared" si="130"/>
        <v>0</v>
      </c>
      <c r="O1208" s="1" t="b">
        <f t="shared" si="131"/>
        <v>0</v>
      </c>
      <c r="P1208" s="1" t="b">
        <f t="shared" si="132"/>
        <v>0</v>
      </c>
    </row>
    <row r="1209" spans="1:16" x14ac:dyDescent="0.2">
      <c r="A1209">
        <v>1484433</v>
      </c>
      <c r="B1209" t="s">
        <v>2281</v>
      </c>
      <c r="C1209" t="s">
        <v>76</v>
      </c>
      <c r="D1209" t="s">
        <v>77</v>
      </c>
      <c r="E1209" s="1">
        <v>44952</v>
      </c>
      <c r="F1209" t="s">
        <v>1099</v>
      </c>
      <c r="G1209" s="1">
        <v>44955</v>
      </c>
      <c r="I1209" t="s">
        <v>13</v>
      </c>
      <c r="J1209" s="1" t="b">
        <f t="shared" si="126"/>
        <v>0</v>
      </c>
      <c r="K1209" s="1" t="b">
        <f t="shared" si="127"/>
        <v>1</v>
      </c>
      <c r="L1209" s="1" t="b">
        <f t="shared" si="128"/>
        <v>0</v>
      </c>
      <c r="M1209" s="1" t="b">
        <f t="shared" si="129"/>
        <v>0</v>
      </c>
      <c r="N1209" s="1" t="b">
        <f t="shared" si="130"/>
        <v>0</v>
      </c>
      <c r="O1209" s="1" t="b">
        <f t="shared" si="131"/>
        <v>0</v>
      </c>
      <c r="P1209" s="1" t="b">
        <f t="shared" si="132"/>
        <v>0</v>
      </c>
    </row>
    <row r="1210" spans="1:16" x14ac:dyDescent="0.2">
      <c r="A1210">
        <v>7691735</v>
      </c>
      <c r="B1210" t="s">
        <v>2282</v>
      </c>
      <c r="C1210" t="s">
        <v>282</v>
      </c>
      <c r="D1210" t="s">
        <v>187</v>
      </c>
      <c r="E1210" s="1">
        <v>44775</v>
      </c>
      <c r="F1210" t="s">
        <v>2283</v>
      </c>
      <c r="G1210" s="1">
        <v>44781</v>
      </c>
      <c r="H1210" s="1">
        <v>44806</v>
      </c>
      <c r="J1210" s="1" t="b">
        <f t="shared" si="126"/>
        <v>1</v>
      </c>
      <c r="K1210" s="1" t="b">
        <f t="shared" si="127"/>
        <v>0</v>
      </c>
      <c r="L1210" s="1" t="b">
        <f t="shared" si="128"/>
        <v>0</v>
      </c>
      <c r="M1210" s="1" t="b">
        <f t="shared" si="129"/>
        <v>0</v>
      </c>
      <c r="N1210" s="1" t="b">
        <f t="shared" si="130"/>
        <v>0</v>
      </c>
      <c r="O1210" s="1" t="b">
        <f t="shared" si="131"/>
        <v>0</v>
      </c>
      <c r="P1210" s="1" t="b">
        <f t="shared" si="132"/>
        <v>0</v>
      </c>
    </row>
    <row r="1211" spans="1:16" x14ac:dyDescent="0.2">
      <c r="A1211">
        <v>7691735</v>
      </c>
      <c r="B1211" t="s">
        <v>2284</v>
      </c>
      <c r="C1211" t="s">
        <v>282</v>
      </c>
      <c r="D1211" t="s">
        <v>187</v>
      </c>
      <c r="E1211" s="1">
        <v>44719</v>
      </c>
      <c r="F1211" t="s">
        <v>2285</v>
      </c>
      <c r="G1211" s="1">
        <v>44723</v>
      </c>
      <c r="H1211" s="1">
        <v>44743</v>
      </c>
      <c r="I1211" t="s">
        <v>28</v>
      </c>
      <c r="J1211" s="1" t="b">
        <f t="shared" si="126"/>
        <v>1</v>
      </c>
      <c r="K1211" s="1" t="b">
        <f t="shared" si="127"/>
        <v>0</v>
      </c>
      <c r="L1211" s="1" t="b">
        <f t="shared" si="128"/>
        <v>0</v>
      </c>
      <c r="M1211" s="1" t="b">
        <f t="shared" si="129"/>
        <v>0</v>
      </c>
      <c r="N1211" s="1" t="b">
        <f t="shared" si="130"/>
        <v>0</v>
      </c>
      <c r="O1211" s="1" t="b">
        <f t="shared" si="131"/>
        <v>0</v>
      </c>
      <c r="P1211" s="1" t="b">
        <f t="shared" si="132"/>
        <v>1</v>
      </c>
    </row>
    <row r="1212" spans="1:16" x14ac:dyDescent="0.2">
      <c r="A1212">
        <v>9235014</v>
      </c>
      <c r="B1212" t="s">
        <v>2286</v>
      </c>
      <c r="C1212" t="s">
        <v>47</v>
      </c>
      <c r="D1212" t="s">
        <v>60</v>
      </c>
      <c r="E1212" s="1">
        <v>44660</v>
      </c>
      <c r="F1212" t="s">
        <v>2287</v>
      </c>
      <c r="G1212" s="1">
        <v>44687</v>
      </c>
      <c r="H1212" s="1">
        <v>44711</v>
      </c>
      <c r="I1212" t="s">
        <v>43</v>
      </c>
      <c r="J1212" s="1" t="b">
        <f t="shared" si="126"/>
        <v>1</v>
      </c>
      <c r="K1212" s="1" t="b">
        <f t="shared" si="127"/>
        <v>0</v>
      </c>
      <c r="L1212" s="1" t="b">
        <f t="shared" si="128"/>
        <v>0</v>
      </c>
      <c r="M1212" s="1" t="b">
        <f t="shared" si="129"/>
        <v>0</v>
      </c>
      <c r="N1212" s="1" t="b">
        <f t="shared" si="130"/>
        <v>0</v>
      </c>
      <c r="O1212" s="1" t="b">
        <f t="shared" si="131"/>
        <v>1</v>
      </c>
      <c r="P1212" s="1" t="b">
        <f t="shared" si="132"/>
        <v>0</v>
      </c>
    </row>
    <row r="1213" spans="1:16" x14ac:dyDescent="0.2">
      <c r="A1213">
        <v>9235014</v>
      </c>
      <c r="B1213" t="s">
        <v>2288</v>
      </c>
      <c r="C1213" t="s">
        <v>47</v>
      </c>
      <c r="D1213" t="s">
        <v>60</v>
      </c>
      <c r="E1213" s="1">
        <v>44959</v>
      </c>
      <c r="F1213" t="s">
        <v>2289</v>
      </c>
      <c r="G1213" s="1">
        <v>44975</v>
      </c>
      <c r="H1213" s="1">
        <v>44993</v>
      </c>
      <c r="J1213" s="1" t="b">
        <f t="shared" si="126"/>
        <v>1</v>
      </c>
      <c r="K1213" s="1" t="b">
        <f t="shared" si="127"/>
        <v>0</v>
      </c>
      <c r="L1213" s="1" t="b">
        <f t="shared" si="128"/>
        <v>0</v>
      </c>
      <c r="M1213" s="1" t="b">
        <f t="shared" si="129"/>
        <v>0</v>
      </c>
      <c r="N1213" s="1" t="b">
        <f t="shared" si="130"/>
        <v>0</v>
      </c>
      <c r="O1213" s="1" t="b">
        <f t="shared" si="131"/>
        <v>0</v>
      </c>
      <c r="P1213" s="1" t="b">
        <f t="shared" si="132"/>
        <v>0</v>
      </c>
    </row>
    <row r="1214" spans="1:16" x14ac:dyDescent="0.2">
      <c r="A1214">
        <v>9235014</v>
      </c>
      <c r="B1214" t="s">
        <v>2290</v>
      </c>
      <c r="C1214" t="s">
        <v>47</v>
      </c>
      <c r="D1214" t="s">
        <v>60</v>
      </c>
      <c r="E1214" s="1">
        <v>44994</v>
      </c>
      <c r="F1214" t="s">
        <v>2291</v>
      </c>
      <c r="G1214" s="1">
        <v>45020</v>
      </c>
      <c r="H1214" s="1">
        <v>45044</v>
      </c>
      <c r="J1214" s="1" t="b">
        <f t="shared" si="126"/>
        <v>1</v>
      </c>
      <c r="K1214" s="1" t="b">
        <f t="shared" si="127"/>
        <v>0</v>
      </c>
      <c r="L1214" s="1" t="b">
        <f t="shared" si="128"/>
        <v>0</v>
      </c>
      <c r="M1214" s="1" t="b">
        <f t="shared" si="129"/>
        <v>0</v>
      </c>
      <c r="N1214" s="1" t="b">
        <f t="shared" si="130"/>
        <v>0</v>
      </c>
      <c r="O1214" s="1" t="b">
        <f t="shared" si="131"/>
        <v>0</v>
      </c>
      <c r="P1214" s="1" t="b">
        <f t="shared" si="132"/>
        <v>0</v>
      </c>
    </row>
    <row r="1215" spans="1:16" x14ac:dyDescent="0.2">
      <c r="A1215">
        <v>4126532</v>
      </c>
      <c r="B1215" t="s">
        <v>2292</v>
      </c>
      <c r="C1215" t="s">
        <v>315</v>
      </c>
      <c r="D1215" t="s">
        <v>60</v>
      </c>
      <c r="I1215" t="s">
        <v>33</v>
      </c>
      <c r="J1215" s="1" t="b">
        <f t="shared" si="126"/>
        <v>0</v>
      </c>
      <c r="K1215" s="1" t="b">
        <f t="shared" si="127"/>
        <v>0</v>
      </c>
      <c r="L1215" s="1" t="b">
        <f t="shared" si="128"/>
        <v>0</v>
      </c>
      <c r="M1215" s="1" t="b">
        <f t="shared" si="129"/>
        <v>1</v>
      </c>
      <c r="N1215" s="1" t="b">
        <f t="shared" si="130"/>
        <v>0</v>
      </c>
      <c r="O1215" s="1" t="b">
        <f t="shared" si="131"/>
        <v>0</v>
      </c>
      <c r="P1215" s="1" t="b">
        <f t="shared" si="132"/>
        <v>0</v>
      </c>
    </row>
    <row r="1216" spans="1:16" x14ac:dyDescent="0.2">
      <c r="A1216">
        <v>6733527</v>
      </c>
      <c r="B1216" t="s">
        <v>2293</v>
      </c>
      <c r="C1216" t="s">
        <v>287</v>
      </c>
      <c r="D1216" t="s">
        <v>19</v>
      </c>
      <c r="E1216" s="1">
        <v>45009</v>
      </c>
      <c r="F1216" t="s">
        <v>2114</v>
      </c>
      <c r="G1216" s="1">
        <v>45012</v>
      </c>
      <c r="H1216" s="1">
        <v>45071</v>
      </c>
      <c r="I1216" t="s">
        <v>16</v>
      </c>
      <c r="J1216" s="1" t="b">
        <f t="shared" si="126"/>
        <v>1</v>
      </c>
      <c r="K1216" s="1" t="b">
        <f t="shared" si="127"/>
        <v>0</v>
      </c>
      <c r="L1216" s="1" t="b">
        <f t="shared" si="128"/>
        <v>0</v>
      </c>
      <c r="M1216" s="1" t="b">
        <f t="shared" si="129"/>
        <v>0</v>
      </c>
      <c r="N1216" s="1" t="b">
        <f t="shared" si="130"/>
        <v>1</v>
      </c>
      <c r="O1216" s="1" t="b">
        <f t="shared" si="131"/>
        <v>0</v>
      </c>
      <c r="P1216" s="1" t="b">
        <f t="shared" si="132"/>
        <v>0</v>
      </c>
    </row>
    <row r="1217" spans="1:16" x14ac:dyDescent="0.2">
      <c r="A1217">
        <v>6733527</v>
      </c>
      <c r="B1217" t="s">
        <v>2294</v>
      </c>
      <c r="C1217" t="s">
        <v>287</v>
      </c>
      <c r="D1217" t="s">
        <v>19</v>
      </c>
      <c r="E1217" s="1">
        <v>44869</v>
      </c>
      <c r="F1217" t="s">
        <v>2295</v>
      </c>
      <c r="G1217" s="1">
        <v>44896</v>
      </c>
      <c r="H1217" s="1">
        <v>44912</v>
      </c>
      <c r="I1217" t="s">
        <v>28</v>
      </c>
      <c r="J1217" s="1" t="b">
        <f t="shared" si="126"/>
        <v>1</v>
      </c>
      <c r="K1217" s="1" t="b">
        <f t="shared" si="127"/>
        <v>0</v>
      </c>
      <c r="L1217" s="1" t="b">
        <f t="shared" si="128"/>
        <v>0</v>
      </c>
      <c r="M1217" s="1" t="b">
        <f t="shared" si="129"/>
        <v>0</v>
      </c>
      <c r="N1217" s="1" t="b">
        <f t="shared" si="130"/>
        <v>0</v>
      </c>
      <c r="O1217" s="1" t="b">
        <f t="shared" si="131"/>
        <v>0</v>
      </c>
      <c r="P1217" s="1" t="b">
        <f t="shared" si="132"/>
        <v>1</v>
      </c>
    </row>
    <row r="1218" spans="1:16" x14ac:dyDescent="0.2">
      <c r="A1218">
        <v>9776028</v>
      </c>
      <c r="B1218" t="s">
        <v>2296</v>
      </c>
      <c r="C1218" t="s">
        <v>315</v>
      </c>
      <c r="D1218" t="s">
        <v>11</v>
      </c>
      <c r="E1218" s="1">
        <v>45035</v>
      </c>
      <c r="F1218" t="s">
        <v>2297</v>
      </c>
      <c r="G1218" s="1">
        <v>45041</v>
      </c>
      <c r="I1218" t="s">
        <v>13</v>
      </c>
      <c r="J1218" s="1" t="b">
        <f t="shared" si="126"/>
        <v>0</v>
      </c>
      <c r="K1218" s="1" t="b">
        <f t="shared" si="127"/>
        <v>1</v>
      </c>
      <c r="L1218" s="1" t="b">
        <f t="shared" si="128"/>
        <v>0</v>
      </c>
      <c r="M1218" s="1" t="b">
        <f t="shared" si="129"/>
        <v>0</v>
      </c>
      <c r="N1218" s="1" t="b">
        <f t="shared" si="130"/>
        <v>0</v>
      </c>
      <c r="O1218" s="1" t="b">
        <f t="shared" si="131"/>
        <v>0</v>
      </c>
      <c r="P1218" s="1" t="b">
        <f t="shared" si="132"/>
        <v>0</v>
      </c>
    </row>
    <row r="1219" spans="1:16" x14ac:dyDescent="0.2">
      <c r="A1219">
        <v>9776028</v>
      </c>
      <c r="B1219" t="s">
        <v>2298</v>
      </c>
      <c r="C1219" t="s">
        <v>315</v>
      </c>
      <c r="D1219" t="s">
        <v>11</v>
      </c>
      <c r="E1219" s="1">
        <v>44964</v>
      </c>
      <c r="F1219" t="s">
        <v>2299</v>
      </c>
      <c r="G1219" s="1">
        <v>44966</v>
      </c>
      <c r="I1219" t="s">
        <v>13</v>
      </c>
      <c r="J1219" s="1" t="b">
        <f t="shared" ref="J1219:J1282" si="133">AND(NOT(ISBLANK(H1219)), NOT(OR(ISNUMBER(SEARCH("decline", I1219)), ISNUMBER(SEARCH("rescind", I1219)), ISNUMBER(SEARCH("cancel", I1219)))))</f>
        <v>0</v>
      </c>
      <c r="K1219" s="1" t="b">
        <f t="shared" ref="K1219:K1282" si="134">ISNUMBER(SEARCH("decline", I1219))</f>
        <v>1</v>
      </c>
      <c r="L1219" s="1" t="b">
        <f t="shared" ref="L1219:L1282" si="135">ISNUMBER(SEARCH("rescind", I1219))</f>
        <v>0</v>
      </c>
      <c r="M1219" s="1" t="b">
        <f t="shared" ref="M1219:M1282" si="136">ISNUMBER(SEARCH("cancel", I1219))</f>
        <v>0</v>
      </c>
      <c r="N1219" s="1" t="b">
        <f t="shared" ref="N1219:N1282" si="137">ISNUMBER(SEARCH("transfer", I1219))</f>
        <v>0</v>
      </c>
      <c r="O1219" s="1" t="b">
        <f t="shared" ref="O1219:O1282" si="138">ISNUMBER(SEARCH("promo", I1219))</f>
        <v>0</v>
      </c>
      <c r="P1219" s="1" t="b">
        <f t="shared" ref="P1219:P1282" si="139">ISNUMBER(SEARCH("new", I1219))</f>
        <v>0</v>
      </c>
    </row>
    <row r="1220" spans="1:16" x14ac:dyDescent="0.2">
      <c r="A1220">
        <v>9776028</v>
      </c>
      <c r="B1220" t="s">
        <v>2300</v>
      </c>
      <c r="C1220" t="s">
        <v>315</v>
      </c>
      <c r="D1220" t="s">
        <v>11</v>
      </c>
      <c r="E1220" s="1">
        <v>44866</v>
      </c>
      <c r="F1220" t="s">
        <v>1985</v>
      </c>
      <c r="G1220" s="1">
        <v>44877</v>
      </c>
      <c r="I1220" t="s">
        <v>13</v>
      </c>
      <c r="J1220" s="1" t="b">
        <f t="shared" si="133"/>
        <v>0</v>
      </c>
      <c r="K1220" s="1" t="b">
        <f t="shared" si="134"/>
        <v>1</v>
      </c>
      <c r="L1220" s="1" t="b">
        <f t="shared" si="135"/>
        <v>0</v>
      </c>
      <c r="M1220" s="1" t="b">
        <f t="shared" si="136"/>
        <v>0</v>
      </c>
      <c r="N1220" s="1" t="b">
        <f t="shared" si="137"/>
        <v>0</v>
      </c>
      <c r="O1220" s="1" t="b">
        <f t="shared" si="138"/>
        <v>0</v>
      </c>
      <c r="P1220" s="1" t="b">
        <f t="shared" si="139"/>
        <v>0</v>
      </c>
    </row>
    <row r="1221" spans="1:16" x14ac:dyDescent="0.2">
      <c r="A1221">
        <v>9776028</v>
      </c>
      <c r="B1221" t="s">
        <v>2301</v>
      </c>
      <c r="C1221" t="s">
        <v>315</v>
      </c>
      <c r="D1221" t="s">
        <v>11</v>
      </c>
      <c r="E1221" s="1">
        <v>44658</v>
      </c>
      <c r="F1221" t="s">
        <v>2302</v>
      </c>
      <c r="G1221" s="1">
        <v>44673</v>
      </c>
      <c r="I1221" t="s">
        <v>13</v>
      </c>
      <c r="J1221" s="1" t="b">
        <f t="shared" si="133"/>
        <v>0</v>
      </c>
      <c r="K1221" s="1" t="b">
        <f t="shared" si="134"/>
        <v>1</v>
      </c>
      <c r="L1221" s="1" t="b">
        <f t="shared" si="135"/>
        <v>0</v>
      </c>
      <c r="M1221" s="1" t="b">
        <f t="shared" si="136"/>
        <v>0</v>
      </c>
      <c r="N1221" s="1" t="b">
        <f t="shared" si="137"/>
        <v>0</v>
      </c>
      <c r="O1221" s="1" t="b">
        <f t="shared" si="138"/>
        <v>0</v>
      </c>
      <c r="P1221" s="1" t="b">
        <f t="shared" si="139"/>
        <v>0</v>
      </c>
    </row>
    <row r="1222" spans="1:16" x14ac:dyDescent="0.2">
      <c r="A1222">
        <v>9776028</v>
      </c>
      <c r="B1222" t="s">
        <v>2303</v>
      </c>
      <c r="C1222" t="s">
        <v>315</v>
      </c>
      <c r="D1222" t="s">
        <v>11</v>
      </c>
      <c r="E1222" s="1">
        <v>44645</v>
      </c>
      <c r="F1222" t="s">
        <v>2304</v>
      </c>
      <c r="G1222" s="1">
        <v>44670</v>
      </c>
      <c r="H1222" s="1">
        <v>44703</v>
      </c>
      <c r="I1222" t="s">
        <v>28</v>
      </c>
      <c r="J1222" s="1" t="b">
        <f t="shared" si="133"/>
        <v>1</v>
      </c>
      <c r="K1222" s="1" t="b">
        <f t="shared" si="134"/>
        <v>0</v>
      </c>
      <c r="L1222" s="1" t="b">
        <f t="shared" si="135"/>
        <v>0</v>
      </c>
      <c r="M1222" s="1" t="b">
        <f t="shared" si="136"/>
        <v>0</v>
      </c>
      <c r="N1222" s="1" t="b">
        <f t="shared" si="137"/>
        <v>0</v>
      </c>
      <c r="O1222" s="1" t="b">
        <f t="shared" si="138"/>
        <v>0</v>
      </c>
      <c r="P1222" s="1" t="b">
        <f t="shared" si="139"/>
        <v>1</v>
      </c>
    </row>
    <row r="1223" spans="1:16" x14ac:dyDescent="0.2">
      <c r="A1223">
        <v>8633602</v>
      </c>
      <c r="B1223" t="s">
        <v>2305</v>
      </c>
      <c r="C1223" t="s">
        <v>35</v>
      </c>
      <c r="D1223" t="s">
        <v>77</v>
      </c>
      <c r="E1223" s="1">
        <v>44753</v>
      </c>
      <c r="F1223" t="s">
        <v>2306</v>
      </c>
      <c r="G1223" s="1">
        <v>44760</v>
      </c>
      <c r="H1223" s="1">
        <v>44772</v>
      </c>
      <c r="I1223" t="s">
        <v>28</v>
      </c>
      <c r="J1223" s="1" t="b">
        <f t="shared" si="133"/>
        <v>1</v>
      </c>
      <c r="K1223" s="1" t="b">
        <f t="shared" si="134"/>
        <v>0</v>
      </c>
      <c r="L1223" s="1" t="b">
        <f t="shared" si="135"/>
        <v>0</v>
      </c>
      <c r="M1223" s="1" t="b">
        <f t="shared" si="136"/>
        <v>0</v>
      </c>
      <c r="N1223" s="1" t="b">
        <f t="shared" si="137"/>
        <v>0</v>
      </c>
      <c r="O1223" s="1" t="b">
        <f t="shared" si="138"/>
        <v>0</v>
      </c>
      <c r="P1223" s="1" t="b">
        <f t="shared" si="139"/>
        <v>1</v>
      </c>
    </row>
    <row r="1224" spans="1:16" x14ac:dyDescent="0.2">
      <c r="A1224">
        <v>8633602</v>
      </c>
      <c r="B1224" t="s">
        <v>2307</v>
      </c>
      <c r="C1224" t="s">
        <v>35</v>
      </c>
      <c r="D1224" t="s">
        <v>77</v>
      </c>
      <c r="E1224" s="1">
        <v>44670</v>
      </c>
      <c r="F1224" t="s">
        <v>2308</v>
      </c>
      <c r="G1224" s="1">
        <v>44684</v>
      </c>
      <c r="I1224" t="s">
        <v>13</v>
      </c>
      <c r="J1224" s="1" t="b">
        <f t="shared" si="133"/>
        <v>0</v>
      </c>
      <c r="K1224" s="1" t="b">
        <f t="shared" si="134"/>
        <v>1</v>
      </c>
      <c r="L1224" s="1" t="b">
        <f t="shared" si="135"/>
        <v>0</v>
      </c>
      <c r="M1224" s="1" t="b">
        <f t="shared" si="136"/>
        <v>0</v>
      </c>
      <c r="N1224" s="1" t="b">
        <f t="shared" si="137"/>
        <v>0</v>
      </c>
      <c r="O1224" s="1" t="b">
        <f t="shared" si="138"/>
        <v>0</v>
      </c>
      <c r="P1224" s="1" t="b">
        <f t="shared" si="139"/>
        <v>0</v>
      </c>
    </row>
    <row r="1225" spans="1:16" x14ac:dyDescent="0.2">
      <c r="A1225">
        <v>8633602</v>
      </c>
      <c r="B1225" t="s">
        <v>2309</v>
      </c>
      <c r="C1225" t="s">
        <v>35</v>
      </c>
      <c r="D1225" t="s">
        <v>77</v>
      </c>
      <c r="E1225" s="1">
        <v>44575</v>
      </c>
      <c r="F1225" t="s">
        <v>2310</v>
      </c>
      <c r="G1225" s="1">
        <v>44581</v>
      </c>
      <c r="H1225" s="1">
        <v>44623</v>
      </c>
      <c r="I1225" t="s">
        <v>16</v>
      </c>
      <c r="J1225" s="1" t="b">
        <f t="shared" si="133"/>
        <v>1</v>
      </c>
      <c r="K1225" s="1" t="b">
        <f t="shared" si="134"/>
        <v>0</v>
      </c>
      <c r="L1225" s="1" t="b">
        <f t="shared" si="135"/>
        <v>0</v>
      </c>
      <c r="M1225" s="1" t="b">
        <f t="shared" si="136"/>
        <v>0</v>
      </c>
      <c r="N1225" s="1" t="b">
        <f t="shared" si="137"/>
        <v>1</v>
      </c>
      <c r="O1225" s="1" t="b">
        <f t="shared" si="138"/>
        <v>0</v>
      </c>
      <c r="P1225" s="1" t="b">
        <f t="shared" si="139"/>
        <v>0</v>
      </c>
    </row>
    <row r="1226" spans="1:16" x14ac:dyDescent="0.2">
      <c r="A1226">
        <v>8633602</v>
      </c>
      <c r="B1226" t="s">
        <v>2311</v>
      </c>
      <c r="C1226" t="s">
        <v>35</v>
      </c>
      <c r="D1226" t="s">
        <v>77</v>
      </c>
      <c r="E1226" s="1">
        <v>45060</v>
      </c>
      <c r="F1226" t="s">
        <v>2312</v>
      </c>
      <c r="G1226" s="1">
        <v>45070</v>
      </c>
      <c r="H1226" s="1">
        <v>45110</v>
      </c>
      <c r="J1226" s="1" t="b">
        <f t="shared" si="133"/>
        <v>1</v>
      </c>
      <c r="K1226" s="1" t="b">
        <f t="shared" si="134"/>
        <v>0</v>
      </c>
      <c r="L1226" s="1" t="b">
        <f t="shared" si="135"/>
        <v>0</v>
      </c>
      <c r="M1226" s="1" t="b">
        <f t="shared" si="136"/>
        <v>0</v>
      </c>
      <c r="N1226" s="1" t="b">
        <f t="shared" si="137"/>
        <v>0</v>
      </c>
      <c r="O1226" s="1" t="b">
        <f t="shared" si="138"/>
        <v>0</v>
      </c>
      <c r="P1226" s="1" t="b">
        <f t="shared" si="139"/>
        <v>0</v>
      </c>
    </row>
    <row r="1227" spans="1:16" x14ac:dyDescent="0.2">
      <c r="A1227">
        <v>8633602</v>
      </c>
      <c r="B1227" t="s">
        <v>2313</v>
      </c>
      <c r="C1227" t="s">
        <v>35</v>
      </c>
      <c r="D1227" t="s">
        <v>77</v>
      </c>
      <c r="E1227" s="1">
        <v>44966</v>
      </c>
      <c r="F1227" t="s">
        <v>2164</v>
      </c>
      <c r="G1227" s="1">
        <v>44992</v>
      </c>
      <c r="H1227" s="1">
        <v>45012</v>
      </c>
      <c r="I1227" t="s">
        <v>28</v>
      </c>
      <c r="J1227" s="1" t="b">
        <f t="shared" si="133"/>
        <v>1</v>
      </c>
      <c r="K1227" s="1" t="b">
        <f t="shared" si="134"/>
        <v>0</v>
      </c>
      <c r="L1227" s="1" t="b">
        <f t="shared" si="135"/>
        <v>0</v>
      </c>
      <c r="M1227" s="1" t="b">
        <f t="shared" si="136"/>
        <v>0</v>
      </c>
      <c r="N1227" s="1" t="b">
        <f t="shared" si="137"/>
        <v>0</v>
      </c>
      <c r="O1227" s="1" t="b">
        <f t="shared" si="138"/>
        <v>0</v>
      </c>
      <c r="P1227" s="1" t="b">
        <f t="shared" si="139"/>
        <v>1</v>
      </c>
    </row>
    <row r="1228" spans="1:16" x14ac:dyDescent="0.2">
      <c r="A1228">
        <v>2470273</v>
      </c>
      <c r="B1228" t="s">
        <v>2314</v>
      </c>
      <c r="C1228" t="s">
        <v>71</v>
      </c>
      <c r="D1228" t="s">
        <v>187</v>
      </c>
      <c r="E1228" s="1">
        <v>44754</v>
      </c>
      <c r="F1228" t="s">
        <v>2315</v>
      </c>
      <c r="G1228" s="1">
        <v>44782</v>
      </c>
      <c r="I1228" t="s">
        <v>13</v>
      </c>
      <c r="J1228" s="1" t="b">
        <f t="shared" si="133"/>
        <v>0</v>
      </c>
      <c r="K1228" s="1" t="b">
        <f t="shared" si="134"/>
        <v>1</v>
      </c>
      <c r="L1228" s="1" t="b">
        <f t="shared" si="135"/>
        <v>0</v>
      </c>
      <c r="M1228" s="1" t="b">
        <f t="shared" si="136"/>
        <v>0</v>
      </c>
      <c r="N1228" s="1" t="b">
        <f t="shared" si="137"/>
        <v>0</v>
      </c>
      <c r="O1228" s="1" t="b">
        <f t="shared" si="138"/>
        <v>0</v>
      </c>
      <c r="P1228" s="1" t="b">
        <f t="shared" si="139"/>
        <v>0</v>
      </c>
    </row>
    <row r="1229" spans="1:16" x14ac:dyDescent="0.2">
      <c r="A1229">
        <v>1449886</v>
      </c>
      <c r="B1229" t="s">
        <v>2316</v>
      </c>
      <c r="C1229" t="s">
        <v>454</v>
      </c>
      <c r="D1229" t="s">
        <v>77</v>
      </c>
      <c r="E1229" s="1">
        <v>44757</v>
      </c>
      <c r="F1229" t="s">
        <v>1512</v>
      </c>
      <c r="G1229" s="1">
        <v>44760</v>
      </c>
      <c r="H1229" s="1">
        <v>44780</v>
      </c>
      <c r="J1229" s="1" t="b">
        <f t="shared" si="133"/>
        <v>1</v>
      </c>
      <c r="K1229" s="1" t="b">
        <f t="shared" si="134"/>
        <v>0</v>
      </c>
      <c r="L1229" s="1" t="b">
        <f t="shared" si="135"/>
        <v>0</v>
      </c>
      <c r="M1229" s="1" t="b">
        <f t="shared" si="136"/>
        <v>0</v>
      </c>
      <c r="N1229" s="1" t="b">
        <f t="shared" si="137"/>
        <v>0</v>
      </c>
      <c r="O1229" s="1" t="b">
        <f t="shared" si="138"/>
        <v>0</v>
      </c>
      <c r="P1229" s="1" t="b">
        <f t="shared" si="139"/>
        <v>0</v>
      </c>
    </row>
    <row r="1230" spans="1:16" x14ac:dyDescent="0.2">
      <c r="A1230">
        <v>1449886</v>
      </c>
      <c r="B1230" t="s">
        <v>2317</v>
      </c>
      <c r="C1230" t="s">
        <v>454</v>
      </c>
      <c r="D1230" t="s">
        <v>77</v>
      </c>
      <c r="E1230" s="1">
        <v>44584</v>
      </c>
      <c r="F1230" t="s">
        <v>2318</v>
      </c>
      <c r="G1230" s="1">
        <v>44588</v>
      </c>
      <c r="H1230" s="1">
        <v>44599</v>
      </c>
      <c r="I1230" t="s">
        <v>43</v>
      </c>
      <c r="J1230" s="1" t="b">
        <f t="shared" si="133"/>
        <v>1</v>
      </c>
      <c r="K1230" s="1" t="b">
        <f t="shared" si="134"/>
        <v>0</v>
      </c>
      <c r="L1230" s="1" t="b">
        <f t="shared" si="135"/>
        <v>0</v>
      </c>
      <c r="M1230" s="1" t="b">
        <f t="shared" si="136"/>
        <v>0</v>
      </c>
      <c r="N1230" s="1" t="b">
        <f t="shared" si="137"/>
        <v>0</v>
      </c>
      <c r="O1230" s="1" t="b">
        <f t="shared" si="138"/>
        <v>1</v>
      </c>
      <c r="P1230" s="1" t="b">
        <f t="shared" si="139"/>
        <v>0</v>
      </c>
    </row>
    <row r="1231" spans="1:16" x14ac:dyDescent="0.2">
      <c r="A1231">
        <v>3557220</v>
      </c>
      <c r="B1231" t="s">
        <v>2319</v>
      </c>
      <c r="C1231" t="s">
        <v>138</v>
      </c>
      <c r="D1231" t="s">
        <v>77</v>
      </c>
      <c r="E1231" s="1">
        <v>44768</v>
      </c>
      <c r="F1231" t="s">
        <v>2320</v>
      </c>
      <c r="G1231" s="1">
        <v>44778</v>
      </c>
      <c r="H1231" s="1">
        <v>44815</v>
      </c>
      <c r="J1231" s="1" t="b">
        <f t="shared" si="133"/>
        <v>1</v>
      </c>
      <c r="K1231" s="1" t="b">
        <f t="shared" si="134"/>
        <v>0</v>
      </c>
      <c r="L1231" s="1" t="b">
        <f t="shared" si="135"/>
        <v>0</v>
      </c>
      <c r="M1231" s="1" t="b">
        <f t="shared" si="136"/>
        <v>0</v>
      </c>
      <c r="N1231" s="1" t="b">
        <f t="shared" si="137"/>
        <v>0</v>
      </c>
      <c r="O1231" s="1" t="b">
        <f t="shared" si="138"/>
        <v>0</v>
      </c>
      <c r="P1231" s="1" t="b">
        <f t="shared" si="139"/>
        <v>0</v>
      </c>
    </row>
    <row r="1232" spans="1:16" x14ac:dyDescent="0.2">
      <c r="A1232">
        <v>3557220</v>
      </c>
      <c r="B1232" t="s">
        <v>2321</v>
      </c>
      <c r="C1232" t="s">
        <v>138</v>
      </c>
      <c r="D1232" t="s">
        <v>77</v>
      </c>
      <c r="E1232" s="1">
        <v>44570</v>
      </c>
      <c r="F1232" t="s">
        <v>2322</v>
      </c>
      <c r="G1232" s="1">
        <v>44574</v>
      </c>
      <c r="H1232" s="1">
        <v>44615</v>
      </c>
      <c r="J1232" s="1" t="b">
        <f t="shared" si="133"/>
        <v>1</v>
      </c>
      <c r="K1232" s="1" t="b">
        <f t="shared" si="134"/>
        <v>0</v>
      </c>
      <c r="L1232" s="1" t="b">
        <f t="shared" si="135"/>
        <v>0</v>
      </c>
      <c r="M1232" s="1" t="b">
        <f t="shared" si="136"/>
        <v>0</v>
      </c>
      <c r="N1232" s="1" t="b">
        <f t="shared" si="137"/>
        <v>0</v>
      </c>
      <c r="O1232" s="1" t="b">
        <f t="shared" si="138"/>
        <v>0</v>
      </c>
      <c r="P1232" s="1" t="b">
        <f t="shared" si="139"/>
        <v>0</v>
      </c>
    </row>
    <row r="1233" spans="1:16" x14ac:dyDescent="0.2">
      <c r="A1233">
        <v>3557220</v>
      </c>
      <c r="B1233" t="s">
        <v>2323</v>
      </c>
      <c r="C1233" t="s">
        <v>138</v>
      </c>
      <c r="D1233" t="s">
        <v>77</v>
      </c>
      <c r="E1233" s="1">
        <v>45069</v>
      </c>
      <c r="F1233" t="s">
        <v>2324</v>
      </c>
      <c r="G1233" s="1">
        <v>45093</v>
      </c>
      <c r="H1233" s="1">
        <v>45131</v>
      </c>
      <c r="J1233" s="1" t="b">
        <f t="shared" si="133"/>
        <v>1</v>
      </c>
      <c r="K1233" s="1" t="b">
        <f t="shared" si="134"/>
        <v>0</v>
      </c>
      <c r="L1233" s="1" t="b">
        <f t="shared" si="135"/>
        <v>0</v>
      </c>
      <c r="M1233" s="1" t="b">
        <f t="shared" si="136"/>
        <v>0</v>
      </c>
      <c r="N1233" s="1" t="b">
        <f t="shared" si="137"/>
        <v>0</v>
      </c>
      <c r="O1233" s="1" t="b">
        <f t="shared" si="138"/>
        <v>0</v>
      </c>
      <c r="P1233" s="1" t="b">
        <f t="shared" si="139"/>
        <v>0</v>
      </c>
    </row>
    <row r="1234" spans="1:16" x14ac:dyDescent="0.2">
      <c r="A1234">
        <v>3557220</v>
      </c>
      <c r="B1234" t="s">
        <v>2325</v>
      </c>
      <c r="C1234" t="s">
        <v>138</v>
      </c>
      <c r="D1234" t="s">
        <v>77</v>
      </c>
      <c r="E1234" s="1">
        <v>44971</v>
      </c>
      <c r="F1234" t="s">
        <v>2326</v>
      </c>
      <c r="G1234" s="1">
        <v>44987</v>
      </c>
      <c r="H1234" s="1">
        <v>45020</v>
      </c>
      <c r="I1234" t="s">
        <v>28</v>
      </c>
      <c r="J1234" s="1" t="b">
        <f t="shared" si="133"/>
        <v>1</v>
      </c>
      <c r="K1234" s="1" t="b">
        <f t="shared" si="134"/>
        <v>0</v>
      </c>
      <c r="L1234" s="1" t="b">
        <f t="shared" si="135"/>
        <v>0</v>
      </c>
      <c r="M1234" s="1" t="b">
        <f t="shared" si="136"/>
        <v>0</v>
      </c>
      <c r="N1234" s="1" t="b">
        <f t="shared" si="137"/>
        <v>0</v>
      </c>
      <c r="O1234" s="1" t="b">
        <f t="shared" si="138"/>
        <v>0</v>
      </c>
      <c r="P1234" s="1" t="b">
        <f t="shared" si="139"/>
        <v>1</v>
      </c>
    </row>
    <row r="1235" spans="1:16" x14ac:dyDescent="0.2">
      <c r="A1235">
        <v>9185628</v>
      </c>
      <c r="B1235" t="s">
        <v>2327</v>
      </c>
      <c r="C1235" t="s">
        <v>93</v>
      </c>
      <c r="D1235" t="s">
        <v>56</v>
      </c>
      <c r="E1235" s="1">
        <v>45041</v>
      </c>
      <c r="F1235" t="s">
        <v>2328</v>
      </c>
      <c r="G1235" s="1">
        <v>45046</v>
      </c>
      <c r="I1235" t="s">
        <v>13</v>
      </c>
      <c r="J1235" s="1" t="b">
        <f t="shared" si="133"/>
        <v>0</v>
      </c>
      <c r="K1235" s="1" t="b">
        <f t="shared" si="134"/>
        <v>1</v>
      </c>
      <c r="L1235" s="1" t="b">
        <f t="shared" si="135"/>
        <v>0</v>
      </c>
      <c r="M1235" s="1" t="b">
        <f t="shared" si="136"/>
        <v>0</v>
      </c>
      <c r="N1235" s="1" t="b">
        <f t="shared" si="137"/>
        <v>0</v>
      </c>
      <c r="O1235" s="1" t="b">
        <f t="shared" si="138"/>
        <v>0</v>
      </c>
      <c r="P1235" s="1" t="b">
        <f t="shared" si="139"/>
        <v>0</v>
      </c>
    </row>
    <row r="1236" spans="1:16" x14ac:dyDescent="0.2">
      <c r="A1236">
        <v>9185628</v>
      </c>
      <c r="B1236" t="s">
        <v>2329</v>
      </c>
      <c r="C1236" t="s">
        <v>93</v>
      </c>
      <c r="D1236" t="s">
        <v>56</v>
      </c>
      <c r="E1236" s="1">
        <v>44989</v>
      </c>
      <c r="F1236" t="s">
        <v>2330</v>
      </c>
      <c r="G1236" s="1">
        <v>45018</v>
      </c>
      <c r="H1236" s="1">
        <v>45049</v>
      </c>
      <c r="I1236" t="s">
        <v>16</v>
      </c>
      <c r="J1236" s="1" t="b">
        <f t="shared" si="133"/>
        <v>1</v>
      </c>
      <c r="K1236" s="1" t="b">
        <f t="shared" si="134"/>
        <v>0</v>
      </c>
      <c r="L1236" s="1" t="b">
        <f t="shared" si="135"/>
        <v>0</v>
      </c>
      <c r="M1236" s="1" t="b">
        <f t="shared" si="136"/>
        <v>0</v>
      </c>
      <c r="N1236" s="1" t="b">
        <f t="shared" si="137"/>
        <v>1</v>
      </c>
      <c r="O1236" s="1" t="b">
        <f t="shared" si="138"/>
        <v>0</v>
      </c>
      <c r="P1236" s="1" t="b">
        <f t="shared" si="139"/>
        <v>0</v>
      </c>
    </row>
    <row r="1237" spans="1:16" x14ac:dyDescent="0.2">
      <c r="A1237">
        <v>9185628</v>
      </c>
      <c r="B1237" t="s">
        <v>2331</v>
      </c>
      <c r="C1237" t="s">
        <v>93</v>
      </c>
      <c r="D1237" t="s">
        <v>56</v>
      </c>
      <c r="E1237" s="1">
        <v>44917</v>
      </c>
      <c r="F1237" t="s">
        <v>2332</v>
      </c>
      <c r="G1237" s="1">
        <v>44932</v>
      </c>
      <c r="I1237" t="s">
        <v>13</v>
      </c>
      <c r="J1237" s="1" t="b">
        <f t="shared" si="133"/>
        <v>0</v>
      </c>
      <c r="K1237" s="1" t="b">
        <f t="shared" si="134"/>
        <v>1</v>
      </c>
      <c r="L1237" s="1" t="b">
        <f t="shared" si="135"/>
        <v>0</v>
      </c>
      <c r="M1237" s="1" t="b">
        <f t="shared" si="136"/>
        <v>0</v>
      </c>
      <c r="N1237" s="1" t="b">
        <f t="shared" si="137"/>
        <v>0</v>
      </c>
      <c r="O1237" s="1" t="b">
        <f t="shared" si="138"/>
        <v>0</v>
      </c>
      <c r="P1237" s="1" t="b">
        <f t="shared" si="139"/>
        <v>0</v>
      </c>
    </row>
    <row r="1238" spans="1:16" x14ac:dyDescent="0.2">
      <c r="A1238">
        <v>9185628</v>
      </c>
      <c r="B1238" t="s">
        <v>2333</v>
      </c>
      <c r="C1238" t="s">
        <v>93</v>
      </c>
      <c r="D1238" t="s">
        <v>56</v>
      </c>
      <c r="E1238" s="1">
        <v>44758</v>
      </c>
      <c r="F1238" t="s">
        <v>2334</v>
      </c>
      <c r="G1238" s="1">
        <v>44774</v>
      </c>
      <c r="H1238" s="1">
        <v>44797</v>
      </c>
      <c r="I1238" t="s">
        <v>16</v>
      </c>
      <c r="J1238" s="1" t="b">
        <f t="shared" si="133"/>
        <v>1</v>
      </c>
      <c r="K1238" s="1" t="b">
        <f t="shared" si="134"/>
        <v>0</v>
      </c>
      <c r="L1238" s="1" t="b">
        <f t="shared" si="135"/>
        <v>0</v>
      </c>
      <c r="M1238" s="1" t="b">
        <f t="shared" si="136"/>
        <v>0</v>
      </c>
      <c r="N1238" s="1" t="b">
        <f t="shared" si="137"/>
        <v>1</v>
      </c>
      <c r="O1238" s="1" t="b">
        <f t="shared" si="138"/>
        <v>0</v>
      </c>
      <c r="P1238" s="1" t="b">
        <f t="shared" si="139"/>
        <v>0</v>
      </c>
    </row>
    <row r="1239" spans="1:16" x14ac:dyDescent="0.2">
      <c r="A1239">
        <v>9185628</v>
      </c>
      <c r="B1239" t="s">
        <v>2335</v>
      </c>
      <c r="C1239" t="s">
        <v>93</v>
      </c>
      <c r="D1239" t="s">
        <v>56</v>
      </c>
      <c r="E1239" s="1">
        <v>44909</v>
      </c>
      <c r="F1239" t="s">
        <v>2336</v>
      </c>
      <c r="G1239" s="1">
        <v>44939</v>
      </c>
      <c r="H1239" s="1">
        <v>44978</v>
      </c>
      <c r="I1239" t="s">
        <v>43</v>
      </c>
      <c r="J1239" s="1" t="b">
        <f t="shared" si="133"/>
        <v>1</v>
      </c>
      <c r="K1239" s="1" t="b">
        <f t="shared" si="134"/>
        <v>0</v>
      </c>
      <c r="L1239" s="1" t="b">
        <f t="shared" si="135"/>
        <v>0</v>
      </c>
      <c r="M1239" s="1" t="b">
        <f t="shared" si="136"/>
        <v>0</v>
      </c>
      <c r="N1239" s="1" t="b">
        <f t="shared" si="137"/>
        <v>0</v>
      </c>
      <c r="O1239" s="1" t="b">
        <f t="shared" si="138"/>
        <v>1</v>
      </c>
      <c r="P1239" s="1" t="b">
        <f t="shared" si="139"/>
        <v>0</v>
      </c>
    </row>
    <row r="1240" spans="1:16" x14ac:dyDescent="0.2">
      <c r="A1240">
        <v>5922335</v>
      </c>
      <c r="B1240" t="s">
        <v>2337</v>
      </c>
      <c r="C1240" t="s">
        <v>138</v>
      </c>
      <c r="D1240" t="s">
        <v>60</v>
      </c>
      <c r="E1240" s="1">
        <v>44727</v>
      </c>
      <c r="F1240" t="s">
        <v>2338</v>
      </c>
      <c r="G1240" s="1">
        <v>44747</v>
      </c>
      <c r="H1240" s="1">
        <v>44761</v>
      </c>
      <c r="I1240" t="s">
        <v>28</v>
      </c>
      <c r="J1240" s="1" t="b">
        <f t="shared" si="133"/>
        <v>1</v>
      </c>
      <c r="K1240" s="1" t="b">
        <f t="shared" si="134"/>
        <v>0</v>
      </c>
      <c r="L1240" s="1" t="b">
        <f t="shared" si="135"/>
        <v>0</v>
      </c>
      <c r="M1240" s="1" t="b">
        <f t="shared" si="136"/>
        <v>0</v>
      </c>
      <c r="N1240" s="1" t="b">
        <f t="shared" si="137"/>
        <v>0</v>
      </c>
      <c r="O1240" s="1" t="b">
        <f t="shared" si="138"/>
        <v>0</v>
      </c>
      <c r="P1240" s="1" t="b">
        <f t="shared" si="139"/>
        <v>1</v>
      </c>
    </row>
    <row r="1241" spans="1:16" x14ac:dyDescent="0.2">
      <c r="A1241">
        <v>5922335</v>
      </c>
      <c r="B1241" t="s">
        <v>2339</v>
      </c>
      <c r="C1241" t="s">
        <v>138</v>
      </c>
      <c r="D1241" t="s">
        <v>60</v>
      </c>
      <c r="E1241" s="1">
        <v>45056</v>
      </c>
      <c r="F1241" t="s">
        <v>2340</v>
      </c>
      <c r="G1241" s="1">
        <v>45061</v>
      </c>
      <c r="I1241" t="s">
        <v>25</v>
      </c>
      <c r="J1241" s="1" t="b">
        <f t="shared" si="133"/>
        <v>0</v>
      </c>
      <c r="K1241" s="1" t="b">
        <f t="shared" si="134"/>
        <v>0</v>
      </c>
      <c r="L1241" s="1" t="b">
        <f t="shared" si="135"/>
        <v>1</v>
      </c>
      <c r="M1241" s="1" t="b">
        <f t="shared" si="136"/>
        <v>0</v>
      </c>
      <c r="N1241" s="1" t="b">
        <f t="shared" si="137"/>
        <v>0</v>
      </c>
      <c r="O1241" s="1" t="b">
        <f t="shared" si="138"/>
        <v>0</v>
      </c>
      <c r="P1241" s="1" t="b">
        <f t="shared" si="139"/>
        <v>0</v>
      </c>
    </row>
    <row r="1242" spans="1:16" x14ac:dyDescent="0.2">
      <c r="A1242">
        <v>5922335</v>
      </c>
      <c r="B1242" t="s">
        <v>2341</v>
      </c>
      <c r="C1242" t="s">
        <v>138</v>
      </c>
      <c r="D1242" t="s">
        <v>60</v>
      </c>
      <c r="E1242" s="1">
        <v>45065</v>
      </c>
      <c r="F1242" t="s">
        <v>2342</v>
      </c>
      <c r="G1242" s="1">
        <v>45069</v>
      </c>
      <c r="I1242" t="s">
        <v>13</v>
      </c>
      <c r="J1242" s="1" t="b">
        <f t="shared" si="133"/>
        <v>0</v>
      </c>
      <c r="K1242" s="1" t="b">
        <f t="shared" si="134"/>
        <v>1</v>
      </c>
      <c r="L1242" s="1" t="b">
        <f t="shared" si="135"/>
        <v>0</v>
      </c>
      <c r="M1242" s="1" t="b">
        <f t="shared" si="136"/>
        <v>0</v>
      </c>
      <c r="N1242" s="1" t="b">
        <f t="shared" si="137"/>
        <v>0</v>
      </c>
      <c r="O1242" s="1" t="b">
        <f t="shared" si="138"/>
        <v>0</v>
      </c>
      <c r="P1242" s="1" t="b">
        <f t="shared" si="139"/>
        <v>0</v>
      </c>
    </row>
    <row r="1243" spans="1:16" x14ac:dyDescent="0.2">
      <c r="A1243">
        <v>5922335</v>
      </c>
      <c r="B1243" t="s">
        <v>2343</v>
      </c>
      <c r="C1243" t="s">
        <v>138</v>
      </c>
      <c r="D1243" t="s">
        <v>60</v>
      </c>
      <c r="E1243" s="1">
        <v>44776</v>
      </c>
      <c r="F1243" t="s">
        <v>2344</v>
      </c>
      <c r="G1243" s="1">
        <v>44794</v>
      </c>
      <c r="H1243" s="1">
        <v>44798</v>
      </c>
      <c r="J1243" s="1" t="b">
        <f t="shared" si="133"/>
        <v>1</v>
      </c>
      <c r="K1243" s="1" t="b">
        <f t="shared" si="134"/>
        <v>0</v>
      </c>
      <c r="L1243" s="1" t="b">
        <f t="shared" si="135"/>
        <v>0</v>
      </c>
      <c r="M1243" s="1" t="b">
        <f t="shared" si="136"/>
        <v>0</v>
      </c>
      <c r="N1243" s="1" t="b">
        <f t="shared" si="137"/>
        <v>0</v>
      </c>
      <c r="O1243" s="1" t="b">
        <f t="shared" si="138"/>
        <v>0</v>
      </c>
      <c r="P1243" s="1" t="b">
        <f t="shared" si="139"/>
        <v>0</v>
      </c>
    </row>
    <row r="1244" spans="1:16" x14ac:dyDescent="0.2">
      <c r="A1244">
        <v>1304180</v>
      </c>
      <c r="B1244" t="s">
        <v>2345</v>
      </c>
      <c r="C1244" t="s">
        <v>542</v>
      </c>
      <c r="D1244" t="s">
        <v>11</v>
      </c>
      <c r="E1244" s="1">
        <v>45077</v>
      </c>
      <c r="F1244" t="s">
        <v>1410</v>
      </c>
      <c r="G1244" s="1">
        <v>45079</v>
      </c>
      <c r="H1244" s="1">
        <v>45131</v>
      </c>
      <c r="I1244" t="s">
        <v>43</v>
      </c>
      <c r="J1244" s="1" t="b">
        <f t="shared" si="133"/>
        <v>1</v>
      </c>
      <c r="K1244" s="1" t="b">
        <f t="shared" si="134"/>
        <v>0</v>
      </c>
      <c r="L1244" s="1" t="b">
        <f t="shared" si="135"/>
        <v>0</v>
      </c>
      <c r="M1244" s="1" t="b">
        <f t="shared" si="136"/>
        <v>0</v>
      </c>
      <c r="N1244" s="1" t="b">
        <f t="shared" si="137"/>
        <v>0</v>
      </c>
      <c r="O1244" s="1" t="b">
        <f t="shared" si="138"/>
        <v>1</v>
      </c>
      <c r="P1244" s="1" t="b">
        <f t="shared" si="139"/>
        <v>0</v>
      </c>
    </row>
    <row r="1245" spans="1:16" x14ac:dyDescent="0.2">
      <c r="A1245">
        <v>1304180</v>
      </c>
      <c r="B1245" t="s">
        <v>2346</v>
      </c>
      <c r="C1245" t="s">
        <v>542</v>
      </c>
      <c r="D1245" t="s">
        <v>11</v>
      </c>
      <c r="E1245" s="1">
        <v>44794</v>
      </c>
      <c r="F1245" t="s">
        <v>298</v>
      </c>
      <c r="G1245" s="1">
        <v>44798</v>
      </c>
      <c r="I1245" t="s">
        <v>13</v>
      </c>
      <c r="J1245" s="1" t="b">
        <f t="shared" si="133"/>
        <v>0</v>
      </c>
      <c r="K1245" s="1" t="b">
        <f t="shared" si="134"/>
        <v>1</v>
      </c>
      <c r="L1245" s="1" t="b">
        <f t="shared" si="135"/>
        <v>0</v>
      </c>
      <c r="M1245" s="1" t="b">
        <f t="shared" si="136"/>
        <v>0</v>
      </c>
      <c r="N1245" s="1" t="b">
        <f t="shared" si="137"/>
        <v>0</v>
      </c>
      <c r="O1245" s="1" t="b">
        <f t="shared" si="138"/>
        <v>0</v>
      </c>
      <c r="P1245" s="1" t="b">
        <f t="shared" si="139"/>
        <v>0</v>
      </c>
    </row>
    <row r="1246" spans="1:16" x14ac:dyDescent="0.2">
      <c r="A1246">
        <v>1304180</v>
      </c>
      <c r="B1246" t="s">
        <v>2347</v>
      </c>
      <c r="C1246" t="s">
        <v>542</v>
      </c>
      <c r="D1246" t="s">
        <v>11</v>
      </c>
      <c r="E1246" s="1">
        <v>44925</v>
      </c>
      <c r="F1246" t="s">
        <v>2348</v>
      </c>
      <c r="G1246" s="1">
        <v>44950</v>
      </c>
      <c r="H1246" s="1">
        <v>44953</v>
      </c>
      <c r="J1246" s="1" t="b">
        <f t="shared" si="133"/>
        <v>1</v>
      </c>
      <c r="K1246" s="1" t="b">
        <f t="shared" si="134"/>
        <v>0</v>
      </c>
      <c r="L1246" s="1" t="b">
        <f t="shared" si="135"/>
        <v>0</v>
      </c>
      <c r="M1246" s="1" t="b">
        <f t="shared" si="136"/>
        <v>0</v>
      </c>
      <c r="N1246" s="1" t="b">
        <f t="shared" si="137"/>
        <v>0</v>
      </c>
      <c r="O1246" s="1" t="b">
        <f t="shared" si="138"/>
        <v>0</v>
      </c>
      <c r="P1246" s="1" t="b">
        <f t="shared" si="139"/>
        <v>0</v>
      </c>
    </row>
    <row r="1247" spans="1:16" x14ac:dyDescent="0.2">
      <c r="A1247">
        <v>5487758</v>
      </c>
      <c r="B1247" t="s">
        <v>2349</v>
      </c>
      <c r="C1247" t="s">
        <v>131</v>
      </c>
      <c r="D1247" t="s">
        <v>187</v>
      </c>
      <c r="E1247" s="1">
        <v>45010</v>
      </c>
      <c r="F1247" t="s">
        <v>2350</v>
      </c>
      <c r="G1247" s="1">
        <v>45036</v>
      </c>
      <c r="H1247" s="1">
        <v>45066</v>
      </c>
      <c r="I1247" t="s">
        <v>16</v>
      </c>
      <c r="J1247" s="1" t="b">
        <f t="shared" si="133"/>
        <v>1</v>
      </c>
      <c r="K1247" s="1" t="b">
        <f t="shared" si="134"/>
        <v>0</v>
      </c>
      <c r="L1247" s="1" t="b">
        <f t="shared" si="135"/>
        <v>0</v>
      </c>
      <c r="M1247" s="1" t="b">
        <f t="shared" si="136"/>
        <v>0</v>
      </c>
      <c r="N1247" s="1" t="b">
        <f t="shared" si="137"/>
        <v>1</v>
      </c>
      <c r="O1247" s="1" t="b">
        <f t="shared" si="138"/>
        <v>0</v>
      </c>
      <c r="P1247" s="1" t="b">
        <f t="shared" si="139"/>
        <v>0</v>
      </c>
    </row>
    <row r="1248" spans="1:16" x14ac:dyDescent="0.2">
      <c r="A1248">
        <v>5487758</v>
      </c>
      <c r="B1248" t="s">
        <v>2351</v>
      </c>
      <c r="C1248" t="s">
        <v>131</v>
      </c>
      <c r="D1248" t="s">
        <v>187</v>
      </c>
      <c r="E1248" s="1">
        <v>44666</v>
      </c>
      <c r="F1248" t="s">
        <v>1949</v>
      </c>
      <c r="G1248" s="1">
        <v>44693</v>
      </c>
      <c r="H1248" s="1">
        <v>44729</v>
      </c>
      <c r="I1248" t="s">
        <v>16</v>
      </c>
      <c r="J1248" s="1" t="b">
        <f t="shared" si="133"/>
        <v>1</v>
      </c>
      <c r="K1248" s="1" t="b">
        <f t="shared" si="134"/>
        <v>0</v>
      </c>
      <c r="L1248" s="1" t="b">
        <f t="shared" si="135"/>
        <v>0</v>
      </c>
      <c r="M1248" s="1" t="b">
        <f t="shared" si="136"/>
        <v>0</v>
      </c>
      <c r="N1248" s="1" t="b">
        <f t="shared" si="137"/>
        <v>1</v>
      </c>
      <c r="O1248" s="1" t="b">
        <f t="shared" si="138"/>
        <v>0</v>
      </c>
      <c r="P1248" s="1" t="b">
        <f t="shared" si="139"/>
        <v>0</v>
      </c>
    </row>
    <row r="1249" spans="1:16" x14ac:dyDescent="0.2">
      <c r="A1249">
        <v>5487758</v>
      </c>
      <c r="B1249" t="s">
        <v>2352</v>
      </c>
      <c r="C1249" t="s">
        <v>131</v>
      </c>
      <c r="D1249" t="s">
        <v>187</v>
      </c>
      <c r="E1249" s="1">
        <v>44682</v>
      </c>
      <c r="F1249" t="s">
        <v>2353</v>
      </c>
      <c r="G1249" s="1">
        <v>44710</v>
      </c>
      <c r="I1249" t="s">
        <v>13</v>
      </c>
      <c r="J1249" s="1" t="b">
        <f t="shared" si="133"/>
        <v>0</v>
      </c>
      <c r="K1249" s="1" t="b">
        <f t="shared" si="134"/>
        <v>1</v>
      </c>
      <c r="L1249" s="1" t="b">
        <f t="shared" si="135"/>
        <v>0</v>
      </c>
      <c r="M1249" s="1" t="b">
        <f t="shared" si="136"/>
        <v>0</v>
      </c>
      <c r="N1249" s="1" t="b">
        <f t="shared" si="137"/>
        <v>0</v>
      </c>
      <c r="O1249" s="1" t="b">
        <f t="shared" si="138"/>
        <v>0</v>
      </c>
      <c r="P1249" s="1" t="b">
        <f t="shared" si="139"/>
        <v>0</v>
      </c>
    </row>
    <row r="1250" spans="1:16" x14ac:dyDescent="0.2">
      <c r="A1250">
        <v>5487758</v>
      </c>
      <c r="B1250" t="s">
        <v>2354</v>
      </c>
      <c r="C1250" t="s">
        <v>131</v>
      </c>
      <c r="D1250" t="s">
        <v>187</v>
      </c>
      <c r="E1250" s="1">
        <v>44861</v>
      </c>
      <c r="F1250" t="s">
        <v>2355</v>
      </c>
      <c r="G1250" s="1">
        <v>44884</v>
      </c>
      <c r="I1250" t="s">
        <v>25</v>
      </c>
      <c r="J1250" s="1" t="b">
        <f t="shared" si="133"/>
        <v>0</v>
      </c>
      <c r="K1250" s="1" t="b">
        <f t="shared" si="134"/>
        <v>0</v>
      </c>
      <c r="L1250" s="1" t="b">
        <f t="shared" si="135"/>
        <v>1</v>
      </c>
      <c r="M1250" s="1" t="b">
        <f t="shared" si="136"/>
        <v>0</v>
      </c>
      <c r="N1250" s="1" t="b">
        <f t="shared" si="137"/>
        <v>0</v>
      </c>
      <c r="O1250" s="1" t="b">
        <f t="shared" si="138"/>
        <v>0</v>
      </c>
      <c r="P1250" s="1" t="b">
        <f t="shared" si="139"/>
        <v>0</v>
      </c>
    </row>
    <row r="1251" spans="1:16" x14ac:dyDescent="0.2">
      <c r="A1251">
        <v>5487758</v>
      </c>
      <c r="B1251" t="s">
        <v>2356</v>
      </c>
      <c r="C1251" t="s">
        <v>131</v>
      </c>
      <c r="D1251" t="s">
        <v>187</v>
      </c>
      <c r="E1251" s="1">
        <v>44663</v>
      </c>
      <c r="F1251" t="s">
        <v>2357</v>
      </c>
      <c r="G1251" s="1">
        <v>44668</v>
      </c>
      <c r="H1251" s="1">
        <v>44710</v>
      </c>
      <c r="J1251" s="1" t="b">
        <f t="shared" si="133"/>
        <v>1</v>
      </c>
      <c r="K1251" s="1" t="b">
        <f t="shared" si="134"/>
        <v>0</v>
      </c>
      <c r="L1251" s="1" t="b">
        <f t="shared" si="135"/>
        <v>0</v>
      </c>
      <c r="M1251" s="1" t="b">
        <f t="shared" si="136"/>
        <v>0</v>
      </c>
      <c r="N1251" s="1" t="b">
        <f t="shared" si="137"/>
        <v>0</v>
      </c>
      <c r="O1251" s="1" t="b">
        <f t="shared" si="138"/>
        <v>0</v>
      </c>
      <c r="P1251" s="1" t="b">
        <f t="shared" si="139"/>
        <v>0</v>
      </c>
    </row>
    <row r="1252" spans="1:16" x14ac:dyDescent="0.2">
      <c r="A1252">
        <v>7102492</v>
      </c>
      <c r="B1252" t="s">
        <v>2358</v>
      </c>
      <c r="C1252" t="s">
        <v>720</v>
      </c>
      <c r="D1252" t="s">
        <v>187</v>
      </c>
      <c r="E1252" s="1">
        <v>44568</v>
      </c>
      <c r="F1252" t="s">
        <v>505</v>
      </c>
      <c r="G1252" s="1">
        <v>44576</v>
      </c>
      <c r="H1252" s="1">
        <v>44630</v>
      </c>
      <c r="J1252" s="1" t="b">
        <f t="shared" si="133"/>
        <v>1</v>
      </c>
      <c r="K1252" s="1" t="b">
        <f t="shared" si="134"/>
        <v>0</v>
      </c>
      <c r="L1252" s="1" t="b">
        <f t="shared" si="135"/>
        <v>0</v>
      </c>
      <c r="M1252" s="1" t="b">
        <f t="shared" si="136"/>
        <v>0</v>
      </c>
      <c r="N1252" s="1" t="b">
        <f t="shared" si="137"/>
        <v>0</v>
      </c>
      <c r="O1252" s="1" t="b">
        <f t="shared" si="138"/>
        <v>0</v>
      </c>
      <c r="P1252" s="1" t="b">
        <f t="shared" si="139"/>
        <v>0</v>
      </c>
    </row>
    <row r="1253" spans="1:16" x14ac:dyDescent="0.2">
      <c r="A1253">
        <v>8946752</v>
      </c>
      <c r="B1253" t="s">
        <v>2359</v>
      </c>
      <c r="C1253" t="s">
        <v>720</v>
      </c>
      <c r="D1253" t="s">
        <v>11</v>
      </c>
      <c r="E1253" s="1">
        <v>44986</v>
      </c>
      <c r="F1253" t="s">
        <v>1156</v>
      </c>
      <c r="G1253" s="1">
        <v>44998</v>
      </c>
      <c r="I1253" t="s">
        <v>13</v>
      </c>
      <c r="J1253" s="1" t="b">
        <f t="shared" si="133"/>
        <v>0</v>
      </c>
      <c r="K1253" s="1" t="b">
        <f t="shared" si="134"/>
        <v>1</v>
      </c>
      <c r="L1253" s="1" t="b">
        <f t="shared" si="135"/>
        <v>0</v>
      </c>
      <c r="M1253" s="1" t="b">
        <f t="shared" si="136"/>
        <v>0</v>
      </c>
      <c r="N1253" s="1" t="b">
        <f t="shared" si="137"/>
        <v>0</v>
      </c>
      <c r="O1253" s="1" t="b">
        <f t="shared" si="138"/>
        <v>0</v>
      </c>
      <c r="P1253" s="1" t="b">
        <f t="shared" si="139"/>
        <v>0</v>
      </c>
    </row>
    <row r="1254" spans="1:16" x14ac:dyDescent="0.2">
      <c r="A1254">
        <v>8946752</v>
      </c>
      <c r="B1254" t="s">
        <v>2360</v>
      </c>
      <c r="C1254" t="s">
        <v>720</v>
      </c>
      <c r="D1254" t="s">
        <v>11</v>
      </c>
      <c r="E1254" s="1">
        <v>45104</v>
      </c>
      <c r="F1254" t="s">
        <v>485</v>
      </c>
      <c r="G1254" s="1">
        <v>45118</v>
      </c>
      <c r="H1254" s="1">
        <v>45169</v>
      </c>
      <c r="I1254" t="s">
        <v>43</v>
      </c>
      <c r="J1254" s="1" t="b">
        <f t="shared" si="133"/>
        <v>1</v>
      </c>
      <c r="K1254" s="1" t="b">
        <f t="shared" si="134"/>
        <v>0</v>
      </c>
      <c r="L1254" s="1" t="b">
        <f t="shared" si="135"/>
        <v>0</v>
      </c>
      <c r="M1254" s="1" t="b">
        <f t="shared" si="136"/>
        <v>0</v>
      </c>
      <c r="N1254" s="1" t="b">
        <f t="shared" si="137"/>
        <v>0</v>
      </c>
      <c r="O1254" s="1" t="b">
        <f t="shared" si="138"/>
        <v>1</v>
      </c>
      <c r="P1254" s="1" t="b">
        <f t="shared" si="139"/>
        <v>0</v>
      </c>
    </row>
    <row r="1255" spans="1:16" x14ac:dyDescent="0.2">
      <c r="A1255">
        <v>8946752</v>
      </c>
      <c r="B1255" t="s">
        <v>2361</v>
      </c>
      <c r="C1255" t="s">
        <v>720</v>
      </c>
      <c r="D1255" t="s">
        <v>11</v>
      </c>
      <c r="E1255" s="1">
        <v>44985</v>
      </c>
      <c r="F1255" t="s">
        <v>991</v>
      </c>
      <c r="G1255" s="1">
        <v>45015</v>
      </c>
      <c r="I1255" t="s">
        <v>25</v>
      </c>
      <c r="J1255" s="1" t="b">
        <f t="shared" si="133"/>
        <v>0</v>
      </c>
      <c r="K1255" s="1" t="b">
        <f t="shared" si="134"/>
        <v>0</v>
      </c>
      <c r="L1255" s="1" t="b">
        <f t="shared" si="135"/>
        <v>1</v>
      </c>
      <c r="M1255" s="1" t="b">
        <f t="shared" si="136"/>
        <v>0</v>
      </c>
      <c r="N1255" s="1" t="b">
        <f t="shared" si="137"/>
        <v>0</v>
      </c>
      <c r="O1255" s="1" t="b">
        <f t="shared" si="138"/>
        <v>0</v>
      </c>
      <c r="P1255" s="1" t="b">
        <f t="shared" si="139"/>
        <v>0</v>
      </c>
    </row>
    <row r="1256" spans="1:16" x14ac:dyDescent="0.2">
      <c r="A1256">
        <v>8946752</v>
      </c>
      <c r="B1256" t="s">
        <v>2362</v>
      </c>
      <c r="C1256" t="s">
        <v>720</v>
      </c>
      <c r="D1256" t="s">
        <v>11</v>
      </c>
      <c r="E1256" s="1">
        <v>45090</v>
      </c>
      <c r="F1256" t="s">
        <v>2363</v>
      </c>
      <c r="G1256" s="1">
        <v>45116</v>
      </c>
      <c r="H1256" s="1">
        <v>45160</v>
      </c>
      <c r="J1256" s="1" t="b">
        <f t="shared" si="133"/>
        <v>1</v>
      </c>
      <c r="K1256" s="1" t="b">
        <f t="shared" si="134"/>
        <v>0</v>
      </c>
      <c r="L1256" s="1" t="b">
        <f t="shared" si="135"/>
        <v>0</v>
      </c>
      <c r="M1256" s="1" t="b">
        <f t="shared" si="136"/>
        <v>0</v>
      </c>
      <c r="N1256" s="1" t="b">
        <f t="shared" si="137"/>
        <v>0</v>
      </c>
      <c r="O1256" s="1" t="b">
        <f t="shared" si="138"/>
        <v>0</v>
      </c>
      <c r="P1256" s="1" t="b">
        <f t="shared" si="139"/>
        <v>0</v>
      </c>
    </row>
    <row r="1257" spans="1:16" x14ac:dyDescent="0.2">
      <c r="A1257">
        <v>8946752</v>
      </c>
      <c r="B1257" t="s">
        <v>2364</v>
      </c>
      <c r="C1257" t="s">
        <v>720</v>
      </c>
      <c r="D1257" t="s">
        <v>11</v>
      </c>
      <c r="E1257" s="1">
        <v>44572</v>
      </c>
      <c r="F1257" t="s">
        <v>2365</v>
      </c>
      <c r="G1257" s="1">
        <v>44595</v>
      </c>
      <c r="H1257" s="1">
        <v>44647</v>
      </c>
      <c r="I1257" t="s">
        <v>16</v>
      </c>
      <c r="J1257" s="1" t="b">
        <f t="shared" si="133"/>
        <v>1</v>
      </c>
      <c r="K1257" s="1" t="b">
        <f t="shared" si="134"/>
        <v>0</v>
      </c>
      <c r="L1257" s="1" t="b">
        <f t="shared" si="135"/>
        <v>0</v>
      </c>
      <c r="M1257" s="1" t="b">
        <f t="shared" si="136"/>
        <v>0</v>
      </c>
      <c r="N1257" s="1" t="b">
        <f t="shared" si="137"/>
        <v>1</v>
      </c>
      <c r="O1257" s="1" t="b">
        <f t="shared" si="138"/>
        <v>0</v>
      </c>
      <c r="P1257" s="1" t="b">
        <f t="shared" si="139"/>
        <v>0</v>
      </c>
    </row>
    <row r="1258" spans="1:16" x14ac:dyDescent="0.2">
      <c r="A1258">
        <v>9679670</v>
      </c>
      <c r="B1258" t="s">
        <v>2366</v>
      </c>
      <c r="C1258" t="s">
        <v>76</v>
      </c>
      <c r="D1258" t="s">
        <v>122</v>
      </c>
      <c r="E1258" s="1">
        <v>45006</v>
      </c>
      <c r="F1258" t="s">
        <v>2367</v>
      </c>
      <c r="G1258" s="1">
        <v>45008</v>
      </c>
      <c r="I1258" t="s">
        <v>25</v>
      </c>
      <c r="J1258" s="1" t="b">
        <f t="shared" si="133"/>
        <v>0</v>
      </c>
      <c r="K1258" s="1" t="b">
        <f t="shared" si="134"/>
        <v>0</v>
      </c>
      <c r="L1258" s="1" t="b">
        <f t="shared" si="135"/>
        <v>1</v>
      </c>
      <c r="M1258" s="1" t="b">
        <f t="shared" si="136"/>
        <v>0</v>
      </c>
      <c r="N1258" s="1" t="b">
        <f t="shared" si="137"/>
        <v>0</v>
      </c>
      <c r="O1258" s="1" t="b">
        <f t="shared" si="138"/>
        <v>0</v>
      </c>
      <c r="P1258" s="1" t="b">
        <f t="shared" si="139"/>
        <v>0</v>
      </c>
    </row>
    <row r="1259" spans="1:16" x14ac:dyDescent="0.2">
      <c r="A1259">
        <v>9679670</v>
      </c>
      <c r="B1259" t="s">
        <v>2368</v>
      </c>
      <c r="C1259" t="s">
        <v>76</v>
      </c>
      <c r="D1259" t="s">
        <v>122</v>
      </c>
      <c r="E1259" s="1">
        <v>44716</v>
      </c>
      <c r="F1259" t="s">
        <v>1537</v>
      </c>
      <c r="G1259" s="1">
        <v>44745</v>
      </c>
      <c r="I1259" t="s">
        <v>25</v>
      </c>
      <c r="J1259" s="1" t="b">
        <f t="shared" si="133"/>
        <v>0</v>
      </c>
      <c r="K1259" s="1" t="b">
        <f t="shared" si="134"/>
        <v>0</v>
      </c>
      <c r="L1259" s="1" t="b">
        <f t="shared" si="135"/>
        <v>1</v>
      </c>
      <c r="M1259" s="1" t="b">
        <f t="shared" si="136"/>
        <v>0</v>
      </c>
      <c r="N1259" s="1" t="b">
        <f t="shared" si="137"/>
        <v>0</v>
      </c>
      <c r="O1259" s="1" t="b">
        <f t="shared" si="138"/>
        <v>0</v>
      </c>
      <c r="P1259" s="1" t="b">
        <f t="shared" si="139"/>
        <v>0</v>
      </c>
    </row>
    <row r="1260" spans="1:16" x14ac:dyDescent="0.2">
      <c r="A1260">
        <v>9679670</v>
      </c>
      <c r="B1260" t="s">
        <v>2369</v>
      </c>
      <c r="C1260" t="s">
        <v>76</v>
      </c>
      <c r="D1260" t="s">
        <v>122</v>
      </c>
      <c r="E1260" s="1">
        <v>44873</v>
      </c>
      <c r="F1260" t="s">
        <v>2370</v>
      </c>
      <c r="G1260" s="1">
        <v>44897</v>
      </c>
      <c r="H1260" s="1">
        <v>44945</v>
      </c>
      <c r="I1260" t="s">
        <v>28</v>
      </c>
      <c r="J1260" s="1" t="b">
        <f t="shared" si="133"/>
        <v>1</v>
      </c>
      <c r="K1260" s="1" t="b">
        <f t="shared" si="134"/>
        <v>0</v>
      </c>
      <c r="L1260" s="1" t="b">
        <f t="shared" si="135"/>
        <v>0</v>
      </c>
      <c r="M1260" s="1" t="b">
        <f t="shared" si="136"/>
        <v>0</v>
      </c>
      <c r="N1260" s="1" t="b">
        <f t="shared" si="137"/>
        <v>0</v>
      </c>
      <c r="O1260" s="1" t="b">
        <f t="shared" si="138"/>
        <v>0</v>
      </c>
      <c r="P1260" s="1" t="b">
        <f t="shared" si="139"/>
        <v>1</v>
      </c>
    </row>
    <row r="1261" spans="1:16" x14ac:dyDescent="0.2">
      <c r="A1261">
        <v>6262932</v>
      </c>
      <c r="B1261" t="s">
        <v>2371</v>
      </c>
      <c r="C1261" t="s">
        <v>310</v>
      </c>
      <c r="D1261" t="s">
        <v>39</v>
      </c>
      <c r="E1261" s="1">
        <v>45018</v>
      </c>
      <c r="F1261" t="s">
        <v>2372</v>
      </c>
      <c r="G1261" s="1">
        <v>45039</v>
      </c>
      <c r="H1261" s="1">
        <v>45053</v>
      </c>
      <c r="I1261" t="s">
        <v>43</v>
      </c>
      <c r="J1261" s="1" t="b">
        <f t="shared" si="133"/>
        <v>1</v>
      </c>
      <c r="K1261" s="1" t="b">
        <f t="shared" si="134"/>
        <v>0</v>
      </c>
      <c r="L1261" s="1" t="b">
        <f t="shared" si="135"/>
        <v>0</v>
      </c>
      <c r="M1261" s="1" t="b">
        <f t="shared" si="136"/>
        <v>0</v>
      </c>
      <c r="N1261" s="1" t="b">
        <f t="shared" si="137"/>
        <v>0</v>
      </c>
      <c r="O1261" s="1" t="b">
        <f t="shared" si="138"/>
        <v>1</v>
      </c>
      <c r="P1261" s="1" t="b">
        <f t="shared" si="139"/>
        <v>0</v>
      </c>
    </row>
    <row r="1262" spans="1:16" x14ac:dyDescent="0.2">
      <c r="A1262">
        <v>8417942</v>
      </c>
      <c r="B1262" t="s">
        <v>2373</v>
      </c>
      <c r="C1262" t="s">
        <v>240</v>
      </c>
      <c r="D1262" t="s">
        <v>39</v>
      </c>
      <c r="E1262" s="1">
        <v>44904</v>
      </c>
      <c r="F1262" t="s">
        <v>630</v>
      </c>
      <c r="G1262" s="1">
        <v>44917</v>
      </c>
      <c r="H1262" s="1">
        <v>44964</v>
      </c>
      <c r="I1262" t="s">
        <v>28</v>
      </c>
      <c r="J1262" s="1" t="b">
        <f t="shared" si="133"/>
        <v>1</v>
      </c>
      <c r="K1262" s="1" t="b">
        <f t="shared" si="134"/>
        <v>0</v>
      </c>
      <c r="L1262" s="1" t="b">
        <f t="shared" si="135"/>
        <v>0</v>
      </c>
      <c r="M1262" s="1" t="b">
        <f t="shared" si="136"/>
        <v>0</v>
      </c>
      <c r="N1262" s="1" t="b">
        <f t="shared" si="137"/>
        <v>0</v>
      </c>
      <c r="O1262" s="1" t="b">
        <f t="shared" si="138"/>
        <v>0</v>
      </c>
      <c r="P1262" s="1" t="b">
        <f t="shared" si="139"/>
        <v>1</v>
      </c>
    </row>
    <row r="1263" spans="1:16" x14ac:dyDescent="0.2">
      <c r="A1263">
        <v>8417942</v>
      </c>
      <c r="B1263" t="s">
        <v>2374</v>
      </c>
      <c r="C1263" t="s">
        <v>240</v>
      </c>
      <c r="D1263" t="s">
        <v>39</v>
      </c>
      <c r="E1263" s="1">
        <v>44852</v>
      </c>
      <c r="F1263" t="s">
        <v>1477</v>
      </c>
      <c r="G1263" s="1">
        <v>44859</v>
      </c>
      <c r="H1263" s="1">
        <v>44865</v>
      </c>
      <c r="I1263" t="s">
        <v>43</v>
      </c>
      <c r="J1263" s="1" t="b">
        <f t="shared" si="133"/>
        <v>1</v>
      </c>
      <c r="K1263" s="1" t="b">
        <f t="shared" si="134"/>
        <v>0</v>
      </c>
      <c r="L1263" s="1" t="b">
        <f t="shared" si="135"/>
        <v>0</v>
      </c>
      <c r="M1263" s="1" t="b">
        <f t="shared" si="136"/>
        <v>0</v>
      </c>
      <c r="N1263" s="1" t="b">
        <f t="shared" si="137"/>
        <v>0</v>
      </c>
      <c r="O1263" s="1" t="b">
        <f t="shared" si="138"/>
        <v>1</v>
      </c>
      <c r="P1263" s="1" t="b">
        <f t="shared" si="139"/>
        <v>0</v>
      </c>
    </row>
    <row r="1264" spans="1:16" x14ac:dyDescent="0.2">
      <c r="A1264">
        <v>8417942</v>
      </c>
      <c r="B1264" t="s">
        <v>2375</v>
      </c>
      <c r="C1264" t="s">
        <v>240</v>
      </c>
      <c r="D1264" t="s">
        <v>39</v>
      </c>
      <c r="E1264" s="1">
        <v>44725</v>
      </c>
      <c r="F1264" t="s">
        <v>2376</v>
      </c>
      <c r="G1264" s="1">
        <v>44726</v>
      </c>
      <c r="H1264" s="1">
        <v>44728</v>
      </c>
      <c r="I1264" t="s">
        <v>28</v>
      </c>
      <c r="J1264" s="1" t="b">
        <f t="shared" si="133"/>
        <v>1</v>
      </c>
      <c r="K1264" s="1" t="b">
        <f t="shared" si="134"/>
        <v>0</v>
      </c>
      <c r="L1264" s="1" t="b">
        <f t="shared" si="135"/>
        <v>0</v>
      </c>
      <c r="M1264" s="1" t="b">
        <f t="shared" si="136"/>
        <v>0</v>
      </c>
      <c r="N1264" s="1" t="b">
        <f t="shared" si="137"/>
        <v>0</v>
      </c>
      <c r="O1264" s="1" t="b">
        <f t="shared" si="138"/>
        <v>0</v>
      </c>
      <c r="P1264" s="1" t="b">
        <f t="shared" si="139"/>
        <v>1</v>
      </c>
    </row>
    <row r="1265" spans="1:16" x14ac:dyDescent="0.2">
      <c r="A1265">
        <v>8417942</v>
      </c>
      <c r="B1265" t="s">
        <v>2377</v>
      </c>
      <c r="C1265" t="s">
        <v>240</v>
      </c>
      <c r="D1265" t="s">
        <v>39</v>
      </c>
      <c r="E1265" s="1">
        <v>44873</v>
      </c>
      <c r="F1265" t="s">
        <v>1485</v>
      </c>
      <c r="G1265" s="1">
        <v>44897</v>
      </c>
      <c r="H1265" s="1">
        <v>44925</v>
      </c>
      <c r="I1265" t="s">
        <v>28</v>
      </c>
      <c r="J1265" s="1" t="b">
        <f t="shared" si="133"/>
        <v>1</v>
      </c>
      <c r="K1265" s="1" t="b">
        <f t="shared" si="134"/>
        <v>0</v>
      </c>
      <c r="L1265" s="1" t="b">
        <f t="shared" si="135"/>
        <v>0</v>
      </c>
      <c r="M1265" s="1" t="b">
        <f t="shared" si="136"/>
        <v>0</v>
      </c>
      <c r="N1265" s="1" t="b">
        <f t="shared" si="137"/>
        <v>0</v>
      </c>
      <c r="O1265" s="1" t="b">
        <f t="shared" si="138"/>
        <v>0</v>
      </c>
      <c r="P1265" s="1" t="b">
        <f t="shared" si="139"/>
        <v>1</v>
      </c>
    </row>
    <row r="1266" spans="1:16" x14ac:dyDescent="0.2">
      <c r="A1266">
        <v>9477100</v>
      </c>
      <c r="B1266" t="s">
        <v>2378</v>
      </c>
      <c r="C1266" t="s">
        <v>176</v>
      </c>
      <c r="D1266" t="s">
        <v>56</v>
      </c>
      <c r="E1266" s="1">
        <v>44688</v>
      </c>
      <c r="F1266" t="s">
        <v>2379</v>
      </c>
      <c r="G1266" s="1">
        <v>44690</v>
      </c>
      <c r="I1266" t="s">
        <v>13</v>
      </c>
      <c r="J1266" s="1" t="b">
        <f t="shared" si="133"/>
        <v>0</v>
      </c>
      <c r="K1266" s="1" t="b">
        <f t="shared" si="134"/>
        <v>1</v>
      </c>
      <c r="L1266" s="1" t="b">
        <f t="shared" si="135"/>
        <v>0</v>
      </c>
      <c r="M1266" s="1" t="b">
        <f t="shared" si="136"/>
        <v>0</v>
      </c>
      <c r="N1266" s="1" t="b">
        <f t="shared" si="137"/>
        <v>0</v>
      </c>
      <c r="O1266" s="1" t="b">
        <f t="shared" si="138"/>
        <v>0</v>
      </c>
      <c r="P1266" s="1" t="b">
        <f t="shared" si="139"/>
        <v>0</v>
      </c>
    </row>
    <row r="1267" spans="1:16" x14ac:dyDescent="0.2">
      <c r="A1267">
        <v>9477100</v>
      </c>
      <c r="B1267" t="s">
        <v>2380</v>
      </c>
      <c r="C1267" t="s">
        <v>176</v>
      </c>
      <c r="D1267" t="s">
        <v>56</v>
      </c>
      <c r="E1267" s="1">
        <v>44567</v>
      </c>
      <c r="F1267" t="s">
        <v>2381</v>
      </c>
      <c r="G1267" s="1">
        <v>44582</v>
      </c>
      <c r="H1267" s="1">
        <v>44604</v>
      </c>
      <c r="I1267" t="s">
        <v>16</v>
      </c>
      <c r="J1267" s="1" t="b">
        <f t="shared" si="133"/>
        <v>1</v>
      </c>
      <c r="K1267" s="1" t="b">
        <f t="shared" si="134"/>
        <v>0</v>
      </c>
      <c r="L1267" s="1" t="b">
        <f t="shared" si="135"/>
        <v>0</v>
      </c>
      <c r="M1267" s="1" t="b">
        <f t="shared" si="136"/>
        <v>0</v>
      </c>
      <c r="N1267" s="1" t="b">
        <f t="shared" si="137"/>
        <v>1</v>
      </c>
      <c r="O1267" s="1" t="b">
        <f t="shared" si="138"/>
        <v>0</v>
      </c>
      <c r="P1267" s="1" t="b">
        <f t="shared" si="139"/>
        <v>0</v>
      </c>
    </row>
    <row r="1268" spans="1:16" x14ac:dyDescent="0.2">
      <c r="A1268">
        <v>9477100</v>
      </c>
      <c r="B1268" t="s">
        <v>2382</v>
      </c>
      <c r="C1268" t="s">
        <v>176</v>
      </c>
      <c r="D1268" t="s">
        <v>56</v>
      </c>
      <c r="E1268" s="1">
        <v>44853</v>
      </c>
      <c r="F1268" t="s">
        <v>2383</v>
      </c>
      <c r="G1268" s="1">
        <v>44875</v>
      </c>
      <c r="H1268" s="1">
        <v>44926</v>
      </c>
      <c r="I1268" t="s">
        <v>43</v>
      </c>
      <c r="J1268" s="1" t="b">
        <f t="shared" si="133"/>
        <v>1</v>
      </c>
      <c r="K1268" s="1" t="b">
        <f t="shared" si="134"/>
        <v>0</v>
      </c>
      <c r="L1268" s="1" t="b">
        <f t="shared" si="135"/>
        <v>0</v>
      </c>
      <c r="M1268" s="1" t="b">
        <f t="shared" si="136"/>
        <v>0</v>
      </c>
      <c r="N1268" s="1" t="b">
        <f t="shared" si="137"/>
        <v>0</v>
      </c>
      <c r="O1268" s="1" t="b">
        <f t="shared" si="138"/>
        <v>1</v>
      </c>
      <c r="P1268" s="1" t="b">
        <f t="shared" si="139"/>
        <v>0</v>
      </c>
    </row>
    <row r="1269" spans="1:16" x14ac:dyDescent="0.2">
      <c r="A1269">
        <v>3348331</v>
      </c>
      <c r="B1269" t="s">
        <v>2384</v>
      </c>
      <c r="C1269" t="s">
        <v>240</v>
      </c>
      <c r="D1269" t="s">
        <v>60</v>
      </c>
      <c r="E1269" s="1">
        <v>44759</v>
      </c>
      <c r="F1269" t="s">
        <v>2385</v>
      </c>
      <c r="G1269" s="1">
        <v>44786</v>
      </c>
      <c r="H1269" s="1">
        <v>44836</v>
      </c>
      <c r="I1269" t="s">
        <v>16</v>
      </c>
      <c r="J1269" s="1" t="b">
        <f t="shared" si="133"/>
        <v>1</v>
      </c>
      <c r="K1269" s="1" t="b">
        <f t="shared" si="134"/>
        <v>0</v>
      </c>
      <c r="L1269" s="1" t="b">
        <f t="shared" si="135"/>
        <v>0</v>
      </c>
      <c r="M1269" s="1" t="b">
        <f t="shared" si="136"/>
        <v>0</v>
      </c>
      <c r="N1269" s="1" t="b">
        <f t="shared" si="137"/>
        <v>1</v>
      </c>
      <c r="O1269" s="1" t="b">
        <f t="shared" si="138"/>
        <v>0</v>
      </c>
      <c r="P1269" s="1" t="b">
        <f t="shared" si="139"/>
        <v>0</v>
      </c>
    </row>
    <row r="1270" spans="1:16" x14ac:dyDescent="0.2">
      <c r="A1270">
        <v>3348331</v>
      </c>
      <c r="B1270" t="s">
        <v>2386</v>
      </c>
      <c r="C1270" t="s">
        <v>240</v>
      </c>
      <c r="D1270" t="s">
        <v>60</v>
      </c>
      <c r="E1270" s="1">
        <v>44997</v>
      </c>
      <c r="F1270" t="s">
        <v>2387</v>
      </c>
      <c r="G1270" s="1">
        <v>45024</v>
      </c>
      <c r="H1270" s="1">
        <v>45051</v>
      </c>
      <c r="I1270" t="s">
        <v>16</v>
      </c>
      <c r="J1270" s="1" t="b">
        <f t="shared" si="133"/>
        <v>1</v>
      </c>
      <c r="K1270" s="1" t="b">
        <f t="shared" si="134"/>
        <v>0</v>
      </c>
      <c r="L1270" s="1" t="b">
        <f t="shared" si="135"/>
        <v>0</v>
      </c>
      <c r="M1270" s="1" t="b">
        <f t="shared" si="136"/>
        <v>0</v>
      </c>
      <c r="N1270" s="1" t="b">
        <f t="shared" si="137"/>
        <v>1</v>
      </c>
      <c r="O1270" s="1" t="b">
        <f t="shared" si="138"/>
        <v>0</v>
      </c>
      <c r="P1270" s="1" t="b">
        <f t="shared" si="139"/>
        <v>0</v>
      </c>
    </row>
    <row r="1271" spans="1:16" x14ac:dyDescent="0.2">
      <c r="A1271">
        <v>3348331</v>
      </c>
      <c r="B1271" t="s">
        <v>2388</v>
      </c>
      <c r="C1271" t="s">
        <v>240</v>
      </c>
      <c r="D1271" t="s">
        <v>60</v>
      </c>
      <c r="E1271" s="1">
        <v>44695</v>
      </c>
      <c r="F1271" t="s">
        <v>2389</v>
      </c>
      <c r="G1271" s="1">
        <v>44711</v>
      </c>
      <c r="I1271" t="s">
        <v>13</v>
      </c>
      <c r="J1271" s="1" t="b">
        <f t="shared" si="133"/>
        <v>0</v>
      </c>
      <c r="K1271" s="1" t="b">
        <f t="shared" si="134"/>
        <v>1</v>
      </c>
      <c r="L1271" s="1" t="b">
        <f t="shared" si="135"/>
        <v>0</v>
      </c>
      <c r="M1271" s="1" t="b">
        <f t="shared" si="136"/>
        <v>0</v>
      </c>
      <c r="N1271" s="1" t="b">
        <f t="shared" si="137"/>
        <v>0</v>
      </c>
      <c r="O1271" s="1" t="b">
        <f t="shared" si="138"/>
        <v>0</v>
      </c>
      <c r="P1271" s="1" t="b">
        <f t="shared" si="139"/>
        <v>0</v>
      </c>
    </row>
    <row r="1272" spans="1:16" x14ac:dyDescent="0.2">
      <c r="A1272">
        <v>3348331</v>
      </c>
      <c r="B1272" t="s">
        <v>2390</v>
      </c>
      <c r="C1272" t="s">
        <v>240</v>
      </c>
      <c r="D1272" t="s">
        <v>60</v>
      </c>
      <c r="E1272" s="1">
        <v>45100</v>
      </c>
      <c r="F1272" t="s">
        <v>2123</v>
      </c>
      <c r="G1272" s="1">
        <v>45113</v>
      </c>
      <c r="I1272" t="s">
        <v>25</v>
      </c>
      <c r="J1272" s="1" t="b">
        <f t="shared" si="133"/>
        <v>0</v>
      </c>
      <c r="K1272" s="1" t="b">
        <f t="shared" si="134"/>
        <v>0</v>
      </c>
      <c r="L1272" s="1" t="b">
        <f t="shared" si="135"/>
        <v>1</v>
      </c>
      <c r="M1272" s="1" t="b">
        <f t="shared" si="136"/>
        <v>0</v>
      </c>
      <c r="N1272" s="1" t="b">
        <f t="shared" si="137"/>
        <v>0</v>
      </c>
      <c r="O1272" s="1" t="b">
        <f t="shared" si="138"/>
        <v>0</v>
      </c>
      <c r="P1272" s="1" t="b">
        <f t="shared" si="139"/>
        <v>0</v>
      </c>
    </row>
    <row r="1273" spans="1:16" x14ac:dyDescent="0.2">
      <c r="A1273">
        <v>3348331</v>
      </c>
      <c r="B1273" t="s">
        <v>2391</v>
      </c>
      <c r="C1273" t="s">
        <v>240</v>
      </c>
      <c r="D1273" t="s">
        <v>60</v>
      </c>
      <c r="E1273" s="1">
        <v>45072</v>
      </c>
      <c r="F1273" t="s">
        <v>2392</v>
      </c>
      <c r="G1273" s="1">
        <v>45093</v>
      </c>
      <c r="H1273" s="1">
        <v>45121</v>
      </c>
      <c r="J1273" s="1" t="b">
        <f t="shared" si="133"/>
        <v>1</v>
      </c>
      <c r="K1273" s="1" t="b">
        <f t="shared" si="134"/>
        <v>0</v>
      </c>
      <c r="L1273" s="1" t="b">
        <f t="shared" si="135"/>
        <v>0</v>
      </c>
      <c r="M1273" s="1" t="b">
        <f t="shared" si="136"/>
        <v>0</v>
      </c>
      <c r="N1273" s="1" t="b">
        <f t="shared" si="137"/>
        <v>0</v>
      </c>
      <c r="O1273" s="1" t="b">
        <f t="shared" si="138"/>
        <v>0</v>
      </c>
      <c r="P1273" s="1" t="b">
        <f t="shared" si="139"/>
        <v>0</v>
      </c>
    </row>
    <row r="1274" spans="1:16" x14ac:dyDescent="0.2">
      <c r="A1274">
        <v>8383316</v>
      </c>
      <c r="B1274" t="s">
        <v>2393</v>
      </c>
      <c r="C1274" t="s">
        <v>240</v>
      </c>
      <c r="D1274" t="s">
        <v>77</v>
      </c>
      <c r="E1274" s="1">
        <v>45058</v>
      </c>
      <c r="F1274" t="s">
        <v>2394</v>
      </c>
      <c r="G1274" s="1">
        <v>45081</v>
      </c>
      <c r="H1274" s="1">
        <v>45111</v>
      </c>
      <c r="I1274" t="s">
        <v>43</v>
      </c>
      <c r="J1274" s="1" t="b">
        <f t="shared" si="133"/>
        <v>1</v>
      </c>
      <c r="K1274" s="1" t="b">
        <f t="shared" si="134"/>
        <v>0</v>
      </c>
      <c r="L1274" s="1" t="b">
        <f t="shared" si="135"/>
        <v>0</v>
      </c>
      <c r="M1274" s="1" t="b">
        <f t="shared" si="136"/>
        <v>0</v>
      </c>
      <c r="N1274" s="1" t="b">
        <f t="shared" si="137"/>
        <v>0</v>
      </c>
      <c r="O1274" s="1" t="b">
        <f t="shared" si="138"/>
        <v>1</v>
      </c>
      <c r="P1274" s="1" t="b">
        <f t="shared" si="139"/>
        <v>0</v>
      </c>
    </row>
    <row r="1275" spans="1:16" x14ac:dyDescent="0.2">
      <c r="A1275">
        <v>8383316</v>
      </c>
      <c r="B1275" t="s">
        <v>2395</v>
      </c>
      <c r="C1275" t="s">
        <v>240</v>
      </c>
      <c r="D1275" t="s">
        <v>77</v>
      </c>
      <c r="E1275" s="1">
        <v>45103</v>
      </c>
      <c r="F1275" t="s">
        <v>2396</v>
      </c>
      <c r="G1275" s="1">
        <v>45107</v>
      </c>
      <c r="I1275" t="s">
        <v>13</v>
      </c>
      <c r="J1275" s="1" t="b">
        <f t="shared" si="133"/>
        <v>0</v>
      </c>
      <c r="K1275" s="1" t="b">
        <f t="shared" si="134"/>
        <v>1</v>
      </c>
      <c r="L1275" s="1" t="b">
        <f t="shared" si="135"/>
        <v>0</v>
      </c>
      <c r="M1275" s="1" t="b">
        <f t="shared" si="136"/>
        <v>0</v>
      </c>
      <c r="N1275" s="1" t="b">
        <f t="shared" si="137"/>
        <v>0</v>
      </c>
      <c r="O1275" s="1" t="b">
        <f t="shared" si="138"/>
        <v>0</v>
      </c>
      <c r="P1275" s="1" t="b">
        <f t="shared" si="139"/>
        <v>0</v>
      </c>
    </row>
    <row r="1276" spans="1:16" x14ac:dyDescent="0.2">
      <c r="A1276">
        <v>8383316</v>
      </c>
      <c r="B1276" t="s">
        <v>2397</v>
      </c>
      <c r="C1276" t="s">
        <v>240</v>
      </c>
      <c r="D1276" t="s">
        <v>77</v>
      </c>
      <c r="E1276" s="1">
        <v>44722</v>
      </c>
      <c r="F1276" t="s">
        <v>2398</v>
      </c>
      <c r="G1276" s="1">
        <v>44740</v>
      </c>
      <c r="H1276" s="1">
        <v>44764</v>
      </c>
      <c r="J1276" s="1" t="b">
        <f t="shared" si="133"/>
        <v>1</v>
      </c>
      <c r="K1276" s="1" t="b">
        <f t="shared" si="134"/>
        <v>0</v>
      </c>
      <c r="L1276" s="1" t="b">
        <f t="shared" si="135"/>
        <v>0</v>
      </c>
      <c r="M1276" s="1" t="b">
        <f t="shared" si="136"/>
        <v>0</v>
      </c>
      <c r="N1276" s="1" t="b">
        <f t="shared" si="137"/>
        <v>0</v>
      </c>
      <c r="O1276" s="1" t="b">
        <f t="shared" si="138"/>
        <v>0</v>
      </c>
      <c r="P1276" s="1" t="b">
        <f t="shared" si="139"/>
        <v>0</v>
      </c>
    </row>
    <row r="1277" spans="1:16" x14ac:dyDescent="0.2">
      <c r="A1277">
        <v>8383316</v>
      </c>
      <c r="B1277" t="s">
        <v>2399</v>
      </c>
      <c r="C1277" t="s">
        <v>240</v>
      </c>
      <c r="D1277" t="s">
        <v>77</v>
      </c>
      <c r="E1277" s="1">
        <v>44980</v>
      </c>
      <c r="F1277" t="s">
        <v>2400</v>
      </c>
      <c r="G1277" s="1">
        <v>44984</v>
      </c>
      <c r="H1277" s="1">
        <v>44992</v>
      </c>
      <c r="I1277" t="s">
        <v>16</v>
      </c>
      <c r="J1277" s="1" t="b">
        <f t="shared" si="133"/>
        <v>1</v>
      </c>
      <c r="K1277" s="1" t="b">
        <f t="shared" si="134"/>
        <v>0</v>
      </c>
      <c r="L1277" s="1" t="b">
        <f t="shared" si="135"/>
        <v>0</v>
      </c>
      <c r="M1277" s="1" t="b">
        <f t="shared" si="136"/>
        <v>0</v>
      </c>
      <c r="N1277" s="1" t="b">
        <f t="shared" si="137"/>
        <v>1</v>
      </c>
      <c r="O1277" s="1" t="b">
        <f t="shared" si="138"/>
        <v>0</v>
      </c>
      <c r="P1277" s="1" t="b">
        <f t="shared" si="139"/>
        <v>0</v>
      </c>
    </row>
    <row r="1278" spans="1:16" x14ac:dyDescent="0.2">
      <c r="A1278">
        <v>7200623</v>
      </c>
      <c r="B1278" t="s">
        <v>2401</v>
      </c>
      <c r="C1278" t="s">
        <v>32</v>
      </c>
      <c r="D1278" t="s">
        <v>11</v>
      </c>
      <c r="E1278" s="1">
        <v>44945</v>
      </c>
      <c r="F1278" t="s">
        <v>455</v>
      </c>
      <c r="G1278" s="1">
        <v>44955</v>
      </c>
      <c r="H1278" s="1">
        <v>44974</v>
      </c>
      <c r="I1278" t="s">
        <v>16</v>
      </c>
      <c r="J1278" s="1" t="b">
        <f t="shared" si="133"/>
        <v>1</v>
      </c>
      <c r="K1278" s="1" t="b">
        <f t="shared" si="134"/>
        <v>0</v>
      </c>
      <c r="L1278" s="1" t="b">
        <f t="shared" si="135"/>
        <v>0</v>
      </c>
      <c r="M1278" s="1" t="b">
        <f t="shared" si="136"/>
        <v>0</v>
      </c>
      <c r="N1278" s="1" t="b">
        <f t="shared" si="137"/>
        <v>1</v>
      </c>
      <c r="O1278" s="1" t="b">
        <f t="shared" si="138"/>
        <v>0</v>
      </c>
      <c r="P1278" s="1" t="b">
        <f t="shared" si="139"/>
        <v>0</v>
      </c>
    </row>
    <row r="1279" spans="1:16" x14ac:dyDescent="0.2">
      <c r="A1279">
        <v>9152477</v>
      </c>
      <c r="B1279" t="s">
        <v>2402</v>
      </c>
      <c r="C1279" t="s">
        <v>10</v>
      </c>
      <c r="D1279" t="s">
        <v>187</v>
      </c>
      <c r="E1279" s="1">
        <v>44874</v>
      </c>
      <c r="F1279" t="s">
        <v>1938</v>
      </c>
      <c r="G1279" s="1">
        <v>44903</v>
      </c>
      <c r="H1279" s="1">
        <v>44922</v>
      </c>
      <c r="J1279" s="1" t="b">
        <f t="shared" si="133"/>
        <v>1</v>
      </c>
      <c r="K1279" s="1" t="b">
        <f t="shared" si="134"/>
        <v>0</v>
      </c>
      <c r="L1279" s="1" t="b">
        <f t="shared" si="135"/>
        <v>0</v>
      </c>
      <c r="M1279" s="1" t="b">
        <f t="shared" si="136"/>
        <v>0</v>
      </c>
      <c r="N1279" s="1" t="b">
        <f t="shared" si="137"/>
        <v>0</v>
      </c>
      <c r="O1279" s="1" t="b">
        <f t="shared" si="138"/>
        <v>0</v>
      </c>
      <c r="P1279" s="1" t="b">
        <f t="shared" si="139"/>
        <v>0</v>
      </c>
    </row>
    <row r="1280" spans="1:16" x14ac:dyDescent="0.2">
      <c r="A1280">
        <v>9152477</v>
      </c>
      <c r="B1280" t="s">
        <v>2403</v>
      </c>
      <c r="C1280" t="s">
        <v>10</v>
      </c>
      <c r="D1280" t="s">
        <v>187</v>
      </c>
      <c r="E1280" s="1">
        <v>45062</v>
      </c>
      <c r="F1280" t="s">
        <v>2404</v>
      </c>
      <c r="G1280" s="1">
        <v>45063</v>
      </c>
      <c r="I1280" t="s">
        <v>25</v>
      </c>
      <c r="J1280" s="1" t="b">
        <f t="shared" si="133"/>
        <v>0</v>
      </c>
      <c r="K1280" s="1" t="b">
        <f t="shared" si="134"/>
        <v>0</v>
      </c>
      <c r="L1280" s="1" t="b">
        <f t="shared" si="135"/>
        <v>1</v>
      </c>
      <c r="M1280" s="1" t="b">
        <f t="shared" si="136"/>
        <v>0</v>
      </c>
      <c r="N1280" s="1" t="b">
        <f t="shared" si="137"/>
        <v>0</v>
      </c>
      <c r="O1280" s="1" t="b">
        <f t="shared" si="138"/>
        <v>0</v>
      </c>
      <c r="P1280" s="1" t="b">
        <f t="shared" si="139"/>
        <v>0</v>
      </c>
    </row>
    <row r="1281" spans="1:16" x14ac:dyDescent="0.2">
      <c r="A1281">
        <v>3052321</v>
      </c>
      <c r="B1281" t="s">
        <v>2405</v>
      </c>
      <c r="C1281" t="s">
        <v>18</v>
      </c>
      <c r="D1281" t="s">
        <v>39</v>
      </c>
      <c r="E1281" s="1">
        <v>44879</v>
      </c>
      <c r="F1281" t="s">
        <v>2406</v>
      </c>
      <c r="G1281" s="1">
        <v>44898</v>
      </c>
      <c r="H1281" s="1">
        <v>44927</v>
      </c>
      <c r="J1281" s="1" t="b">
        <f t="shared" si="133"/>
        <v>1</v>
      </c>
      <c r="K1281" s="1" t="b">
        <f t="shared" si="134"/>
        <v>0</v>
      </c>
      <c r="L1281" s="1" t="b">
        <f t="shared" si="135"/>
        <v>0</v>
      </c>
      <c r="M1281" s="1" t="b">
        <f t="shared" si="136"/>
        <v>0</v>
      </c>
      <c r="N1281" s="1" t="b">
        <f t="shared" si="137"/>
        <v>0</v>
      </c>
      <c r="O1281" s="1" t="b">
        <f t="shared" si="138"/>
        <v>0</v>
      </c>
      <c r="P1281" s="1" t="b">
        <f t="shared" si="139"/>
        <v>0</v>
      </c>
    </row>
    <row r="1282" spans="1:16" x14ac:dyDescent="0.2">
      <c r="A1282">
        <v>6667733</v>
      </c>
      <c r="B1282" t="s">
        <v>2407</v>
      </c>
      <c r="C1282" t="s">
        <v>47</v>
      </c>
      <c r="D1282" t="s">
        <v>60</v>
      </c>
      <c r="E1282" s="1">
        <v>45078</v>
      </c>
      <c r="F1282" t="s">
        <v>1653</v>
      </c>
      <c r="G1282" s="1">
        <v>45099</v>
      </c>
      <c r="H1282" s="1">
        <v>45129</v>
      </c>
      <c r="I1282" t="s">
        <v>43</v>
      </c>
      <c r="J1282" s="1" t="b">
        <f t="shared" si="133"/>
        <v>1</v>
      </c>
      <c r="K1282" s="1" t="b">
        <f t="shared" si="134"/>
        <v>0</v>
      </c>
      <c r="L1282" s="1" t="b">
        <f t="shared" si="135"/>
        <v>0</v>
      </c>
      <c r="M1282" s="1" t="b">
        <f t="shared" si="136"/>
        <v>0</v>
      </c>
      <c r="N1282" s="1" t="b">
        <f t="shared" si="137"/>
        <v>0</v>
      </c>
      <c r="O1282" s="1" t="b">
        <f t="shared" si="138"/>
        <v>1</v>
      </c>
      <c r="P1282" s="1" t="b">
        <f t="shared" si="139"/>
        <v>0</v>
      </c>
    </row>
    <row r="1283" spans="1:16" x14ac:dyDescent="0.2">
      <c r="A1283">
        <v>6667733</v>
      </c>
      <c r="B1283" t="s">
        <v>2408</v>
      </c>
      <c r="C1283" t="s">
        <v>47</v>
      </c>
      <c r="D1283" t="s">
        <v>60</v>
      </c>
      <c r="E1283" s="1">
        <v>44895</v>
      </c>
      <c r="F1283" t="s">
        <v>2409</v>
      </c>
      <c r="G1283" s="1">
        <v>44898</v>
      </c>
      <c r="H1283" s="1">
        <v>44950</v>
      </c>
      <c r="J1283" s="1" t="b">
        <f t="shared" ref="J1283:J1346" si="140">AND(NOT(ISBLANK(H1283)), NOT(OR(ISNUMBER(SEARCH("decline", I1283)), ISNUMBER(SEARCH("rescind", I1283)), ISNUMBER(SEARCH("cancel", I1283)))))</f>
        <v>1</v>
      </c>
      <c r="K1283" s="1" t="b">
        <f t="shared" ref="K1283:K1346" si="141">ISNUMBER(SEARCH("decline", I1283))</f>
        <v>0</v>
      </c>
      <c r="L1283" s="1" t="b">
        <f t="shared" ref="L1283:L1346" si="142">ISNUMBER(SEARCH("rescind", I1283))</f>
        <v>0</v>
      </c>
      <c r="M1283" s="1" t="b">
        <f t="shared" ref="M1283:M1346" si="143">ISNUMBER(SEARCH("cancel", I1283))</f>
        <v>0</v>
      </c>
      <c r="N1283" s="1" t="b">
        <f t="shared" ref="N1283:N1346" si="144">ISNUMBER(SEARCH("transfer", I1283))</f>
        <v>0</v>
      </c>
      <c r="O1283" s="1" t="b">
        <f t="shared" ref="O1283:O1346" si="145">ISNUMBER(SEARCH("promo", I1283))</f>
        <v>0</v>
      </c>
      <c r="P1283" s="1" t="b">
        <f t="shared" ref="P1283:P1346" si="146">ISNUMBER(SEARCH("new", I1283))</f>
        <v>0</v>
      </c>
    </row>
    <row r="1284" spans="1:16" x14ac:dyDescent="0.2">
      <c r="A1284">
        <v>6667733</v>
      </c>
      <c r="B1284" t="s">
        <v>2410</v>
      </c>
      <c r="C1284" t="s">
        <v>47</v>
      </c>
      <c r="D1284" t="s">
        <v>60</v>
      </c>
      <c r="E1284" s="1">
        <v>44966</v>
      </c>
      <c r="F1284" t="s">
        <v>2411</v>
      </c>
      <c r="G1284" s="1">
        <v>44977</v>
      </c>
      <c r="H1284" s="1">
        <v>45012</v>
      </c>
      <c r="J1284" s="1" t="b">
        <f t="shared" si="140"/>
        <v>1</v>
      </c>
      <c r="K1284" s="1" t="b">
        <f t="shared" si="141"/>
        <v>0</v>
      </c>
      <c r="L1284" s="1" t="b">
        <f t="shared" si="142"/>
        <v>0</v>
      </c>
      <c r="M1284" s="1" t="b">
        <f t="shared" si="143"/>
        <v>0</v>
      </c>
      <c r="N1284" s="1" t="b">
        <f t="shared" si="144"/>
        <v>0</v>
      </c>
      <c r="O1284" s="1" t="b">
        <f t="shared" si="145"/>
        <v>0</v>
      </c>
      <c r="P1284" s="1" t="b">
        <f t="shared" si="146"/>
        <v>0</v>
      </c>
    </row>
    <row r="1285" spans="1:16" x14ac:dyDescent="0.2">
      <c r="A1285">
        <v>6667733</v>
      </c>
      <c r="B1285" t="s">
        <v>2412</v>
      </c>
      <c r="C1285" t="s">
        <v>47</v>
      </c>
      <c r="D1285" t="s">
        <v>60</v>
      </c>
      <c r="E1285" s="1">
        <v>45015</v>
      </c>
      <c r="F1285" t="s">
        <v>2413</v>
      </c>
      <c r="G1285" s="1">
        <v>45039</v>
      </c>
      <c r="I1285" t="s">
        <v>13</v>
      </c>
      <c r="J1285" s="1" t="b">
        <f t="shared" si="140"/>
        <v>0</v>
      </c>
      <c r="K1285" s="1" t="b">
        <f t="shared" si="141"/>
        <v>1</v>
      </c>
      <c r="L1285" s="1" t="b">
        <f t="shared" si="142"/>
        <v>0</v>
      </c>
      <c r="M1285" s="1" t="b">
        <f t="shared" si="143"/>
        <v>0</v>
      </c>
      <c r="N1285" s="1" t="b">
        <f t="shared" si="144"/>
        <v>0</v>
      </c>
      <c r="O1285" s="1" t="b">
        <f t="shared" si="145"/>
        <v>0</v>
      </c>
      <c r="P1285" s="1" t="b">
        <f t="shared" si="146"/>
        <v>0</v>
      </c>
    </row>
    <row r="1286" spans="1:16" x14ac:dyDescent="0.2">
      <c r="A1286">
        <v>5653581</v>
      </c>
      <c r="B1286" t="s">
        <v>2414</v>
      </c>
      <c r="C1286" t="s">
        <v>265</v>
      </c>
      <c r="D1286" t="s">
        <v>122</v>
      </c>
      <c r="E1286" s="1">
        <v>44688</v>
      </c>
      <c r="F1286" t="s">
        <v>1173</v>
      </c>
      <c r="G1286" s="1">
        <v>44709</v>
      </c>
      <c r="H1286" s="1">
        <v>44745</v>
      </c>
      <c r="I1286" t="s">
        <v>28</v>
      </c>
      <c r="J1286" s="1" t="b">
        <f t="shared" si="140"/>
        <v>1</v>
      </c>
      <c r="K1286" s="1" t="b">
        <f t="shared" si="141"/>
        <v>0</v>
      </c>
      <c r="L1286" s="1" t="b">
        <f t="shared" si="142"/>
        <v>0</v>
      </c>
      <c r="M1286" s="1" t="b">
        <f t="shared" si="143"/>
        <v>0</v>
      </c>
      <c r="N1286" s="1" t="b">
        <f t="shared" si="144"/>
        <v>0</v>
      </c>
      <c r="O1286" s="1" t="b">
        <f t="shared" si="145"/>
        <v>0</v>
      </c>
      <c r="P1286" s="1" t="b">
        <f t="shared" si="146"/>
        <v>1</v>
      </c>
    </row>
    <row r="1287" spans="1:16" x14ac:dyDescent="0.2">
      <c r="A1287">
        <v>5653581</v>
      </c>
      <c r="B1287" t="s">
        <v>2415</v>
      </c>
      <c r="C1287" t="s">
        <v>265</v>
      </c>
      <c r="D1287" t="s">
        <v>122</v>
      </c>
      <c r="E1287" s="1">
        <v>44616</v>
      </c>
      <c r="F1287" t="s">
        <v>2416</v>
      </c>
      <c r="G1287" s="1">
        <v>44635</v>
      </c>
      <c r="I1287" t="s">
        <v>13</v>
      </c>
      <c r="J1287" s="1" t="b">
        <f t="shared" si="140"/>
        <v>0</v>
      </c>
      <c r="K1287" s="1" t="b">
        <f t="shared" si="141"/>
        <v>1</v>
      </c>
      <c r="L1287" s="1" t="b">
        <f t="shared" si="142"/>
        <v>0</v>
      </c>
      <c r="M1287" s="1" t="b">
        <f t="shared" si="143"/>
        <v>0</v>
      </c>
      <c r="N1287" s="1" t="b">
        <f t="shared" si="144"/>
        <v>0</v>
      </c>
      <c r="O1287" s="1" t="b">
        <f t="shared" si="145"/>
        <v>0</v>
      </c>
      <c r="P1287" s="1" t="b">
        <f t="shared" si="146"/>
        <v>0</v>
      </c>
    </row>
    <row r="1288" spans="1:16" x14ac:dyDescent="0.2">
      <c r="A1288">
        <v>9753576</v>
      </c>
      <c r="B1288" t="s">
        <v>2417</v>
      </c>
      <c r="C1288" t="s">
        <v>454</v>
      </c>
      <c r="D1288" t="s">
        <v>77</v>
      </c>
      <c r="E1288" s="1">
        <v>44746</v>
      </c>
      <c r="F1288" t="s">
        <v>2418</v>
      </c>
      <c r="G1288" s="1">
        <v>44747</v>
      </c>
      <c r="H1288" s="1">
        <v>44765</v>
      </c>
      <c r="I1288" t="s">
        <v>16</v>
      </c>
      <c r="J1288" s="1" t="b">
        <f t="shared" si="140"/>
        <v>1</v>
      </c>
      <c r="K1288" s="1" t="b">
        <f t="shared" si="141"/>
        <v>0</v>
      </c>
      <c r="L1288" s="1" t="b">
        <f t="shared" si="142"/>
        <v>0</v>
      </c>
      <c r="M1288" s="1" t="b">
        <f t="shared" si="143"/>
        <v>0</v>
      </c>
      <c r="N1288" s="1" t="b">
        <f t="shared" si="144"/>
        <v>1</v>
      </c>
      <c r="O1288" s="1" t="b">
        <f t="shared" si="145"/>
        <v>0</v>
      </c>
      <c r="P1288" s="1" t="b">
        <f t="shared" si="146"/>
        <v>0</v>
      </c>
    </row>
    <row r="1289" spans="1:16" x14ac:dyDescent="0.2">
      <c r="A1289">
        <v>9753576</v>
      </c>
      <c r="B1289" t="s">
        <v>2419</v>
      </c>
      <c r="C1289" t="s">
        <v>454</v>
      </c>
      <c r="D1289" t="s">
        <v>77</v>
      </c>
      <c r="E1289" s="1">
        <v>45016</v>
      </c>
      <c r="F1289" t="s">
        <v>2420</v>
      </c>
      <c r="G1289" s="1">
        <v>45019</v>
      </c>
      <c r="H1289" s="1">
        <v>45071</v>
      </c>
      <c r="I1289" t="s">
        <v>43</v>
      </c>
      <c r="J1289" s="1" t="b">
        <f t="shared" si="140"/>
        <v>1</v>
      </c>
      <c r="K1289" s="1" t="b">
        <f t="shared" si="141"/>
        <v>0</v>
      </c>
      <c r="L1289" s="1" t="b">
        <f t="shared" si="142"/>
        <v>0</v>
      </c>
      <c r="M1289" s="1" t="b">
        <f t="shared" si="143"/>
        <v>0</v>
      </c>
      <c r="N1289" s="1" t="b">
        <f t="shared" si="144"/>
        <v>0</v>
      </c>
      <c r="O1289" s="1" t="b">
        <f t="shared" si="145"/>
        <v>1</v>
      </c>
      <c r="P1289" s="1" t="b">
        <f t="shared" si="146"/>
        <v>0</v>
      </c>
    </row>
    <row r="1290" spans="1:16" x14ac:dyDescent="0.2">
      <c r="A1290">
        <v>9753576</v>
      </c>
      <c r="B1290" t="s">
        <v>2421</v>
      </c>
      <c r="C1290" t="s">
        <v>454</v>
      </c>
      <c r="D1290" t="s">
        <v>77</v>
      </c>
      <c r="E1290" s="1">
        <v>44608</v>
      </c>
      <c r="F1290" t="s">
        <v>2422</v>
      </c>
      <c r="G1290" s="1">
        <v>44624</v>
      </c>
      <c r="H1290" s="1">
        <v>44680</v>
      </c>
      <c r="I1290" t="s">
        <v>28</v>
      </c>
      <c r="J1290" s="1" t="b">
        <f t="shared" si="140"/>
        <v>1</v>
      </c>
      <c r="K1290" s="1" t="b">
        <f t="shared" si="141"/>
        <v>0</v>
      </c>
      <c r="L1290" s="1" t="b">
        <f t="shared" si="142"/>
        <v>0</v>
      </c>
      <c r="M1290" s="1" t="b">
        <f t="shared" si="143"/>
        <v>0</v>
      </c>
      <c r="N1290" s="1" t="b">
        <f t="shared" si="144"/>
        <v>0</v>
      </c>
      <c r="O1290" s="1" t="b">
        <f t="shared" si="145"/>
        <v>0</v>
      </c>
      <c r="P1290" s="1" t="b">
        <f t="shared" si="146"/>
        <v>1</v>
      </c>
    </row>
    <row r="1291" spans="1:16" x14ac:dyDescent="0.2">
      <c r="A1291">
        <v>9753576</v>
      </c>
      <c r="B1291" t="s">
        <v>2423</v>
      </c>
      <c r="C1291" t="s">
        <v>454</v>
      </c>
      <c r="D1291" t="s">
        <v>77</v>
      </c>
      <c r="E1291" s="1">
        <v>44986</v>
      </c>
      <c r="F1291" t="s">
        <v>253</v>
      </c>
      <c r="G1291" s="1">
        <v>44987</v>
      </c>
      <c r="H1291" s="1">
        <v>45043</v>
      </c>
      <c r="I1291" t="s">
        <v>28</v>
      </c>
      <c r="J1291" s="1" t="b">
        <f t="shared" si="140"/>
        <v>1</v>
      </c>
      <c r="K1291" s="1" t="b">
        <f t="shared" si="141"/>
        <v>0</v>
      </c>
      <c r="L1291" s="1" t="b">
        <f t="shared" si="142"/>
        <v>0</v>
      </c>
      <c r="M1291" s="1" t="b">
        <f t="shared" si="143"/>
        <v>0</v>
      </c>
      <c r="N1291" s="1" t="b">
        <f t="shared" si="144"/>
        <v>0</v>
      </c>
      <c r="O1291" s="1" t="b">
        <f t="shared" si="145"/>
        <v>0</v>
      </c>
      <c r="P1291" s="1" t="b">
        <f t="shared" si="146"/>
        <v>1</v>
      </c>
    </row>
    <row r="1292" spans="1:16" x14ac:dyDescent="0.2">
      <c r="A1292">
        <v>9753576</v>
      </c>
      <c r="B1292" t="s">
        <v>2424</v>
      </c>
      <c r="C1292" t="s">
        <v>454</v>
      </c>
      <c r="D1292" t="s">
        <v>77</v>
      </c>
      <c r="E1292" s="1">
        <v>44679</v>
      </c>
      <c r="F1292" t="s">
        <v>2425</v>
      </c>
      <c r="G1292" s="1">
        <v>44683</v>
      </c>
      <c r="H1292" s="1">
        <v>44718</v>
      </c>
      <c r="J1292" s="1" t="b">
        <f t="shared" si="140"/>
        <v>1</v>
      </c>
      <c r="K1292" s="1" t="b">
        <f t="shared" si="141"/>
        <v>0</v>
      </c>
      <c r="L1292" s="1" t="b">
        <f t="shared" si="142"/>
        <v>0</v>
      </c>
      <c r="M1292" s="1" t="b">
        <f t="shared" si="143"/>
        <v>0</v>
      </c>
      <c r="N1292" s="1" t="b">
        <f t="shared" si="144"/>
        <v>0</v>
      </c>
      <c r="O1292" s="1" t="b">
        <f t="shared" si="145"/>
        <v>0</v>
      </c>
      <c r="P1292" s="1" t="b">
        <f t="shared" si="146"/>
        <v>0</v>
      </c>
    </row>
    <row r="1293" spans="1:16" x14ac:dyDescent="0.2">
      <c r="A1293">
        <v>3821189</v>
      </c>
      <c r="B1293" t="s">
        <v>2426</v>
      </c>
      <c r="C1293" t="s">
        <v>110</v>
      </c>
      <c r="D1293" t="s">
        <v>187</v>
      </c>
      <c r="E1293" s="1">
        <v>44876</v>
      </c>
      <c r="F1293" t="s">
        <v>2427</v>
      </c>
      <c r="G1293" s="1">
        <v>44890</v>
      </c>
      <c r="I1293" t="s">
        <v>13</v>
      </c>
      <c r="J1293" s="1" t="b">
        <f t="shared" si="140"/>
        <v>0</v>
      </c>
      <c r="K1293" s="1" t="b">
        <f t="shared" si="141"/>
        <v>1</v>
      </c>
      <c r="L1293" s="1" t="b">
        <f t="shared" si="142"/>
        <v>0</v>
      </c>
      <c r="M1293" s="1" t="b">
        <f t="shared" si="143"/>
        <v>0</v>
      </c>
      <c r="N1293" s="1" t="b">
        <f t="shared" si="144"/>
        <v>0</v>
      </c>
      <c r="O1293" s="1" t="b">
        <f t="shared" si="145"/>
        <v>0</v>
      </c>
      <c r="P1293" s="1" t="b">
        <f t="shared" si="146"/>
        <v>0</v>
      </c>
    </row>
    <row r="1294" spans="1:16" x14ac:dyDescent="0.2">
      <c r="A1294">
        <v>3821189</v>
      </c>
      <c r="B1294" t="s">
        <v>2428</v>
      </c>
      <c r="C1294" t="s">
        <v>110</v>
      </c>
      <c r="D1294" t="s">
        <v>187</v>
      </c>
      <c r="E1294" s="1">
        <v>44747</v>
      </c>
      <c r="F1294" t="s">
        <v>2429</v>
      </c>
      <c r="G1294" s="1">
        <v>44748</v>
      </c>
      <c r="H1294" s="1">
        <v>44794</v>
      </c>
      <c r="I1294" t="s">
        <v>16</v>
      </c>
      <c r="J1294" s="1" t="b">
        <f t="shared" si="140"/>
        <v>1</v>
      </c>
      <c r="K1294" s="1" t="b">
        <f t="shared" si="141"/>
        <v>0</v>
      </c>
      <c r="L1294" s="1" t="b">
        <f t="shared" si="142"/>
        <v>0</v>
      </c>
      <c r="M1294" s="1" t="b">
        <f t="shared" si="143"/>
        <v>0</v>
      </c>
      <c r="N1294" s="1" t="b">
        <f t="shared" si="144"/>
        <v>1</v>
      </c>
      <c r="O1294" s="1" t="b">
        <f t="shared" si="145"/>
        <v>0</v>
      </c>
      <c r="P1294" s="1" t="b">
        <f t="shared" si="146"/>
        <v>0</v>
      </c>
    </row>
    <row r="1295" spans="1:16" x14ac:dyDescent="0.2">
      <c r="A1295">
        <v>1981497</v>
      </c>
      <c r="B1295" t="s">
        <v>2430</v>
      </c>
      <c r="C1295" t="s">
        <v>110</v>
      </c>
      <c r="D1295" t="s">
        <v>60</v>
      </c>
      <c r="E1295" s="1">
        <v>44893</v>
      </c>
      <c r="F1295" t="s">
        <v>2431</v>
      </c>
      <c r="G1295" s="1">
        <v>44902</v>
      </c>
      <c r="I1295" t="s">
        <v>25</v>
      </c>
      <c r="J1295" s="1" t="b">
        <f t="shared" si="140"/>
        <v>0</v>
      </c>
      <c r="K1295" s="1" t="b">
        <f t="shared" si="141"/>
        <v>0</v>
      </c>
      <c r="L1295" s="1" t="b">
        <f t="shared" si="142"/>
        <v>1</v>
      </c>
      <c r="M1295" s="1" t="b">
        <f t="shared" si="143"/>
        <v>0</v>
      </c>
      <c r="N1295" s="1" t="b">
        <f t="shared" si="144"/>
        <v>0</v>
      </c>
      <c r="O1295" s="1" t="b">
        <f t="shared" si="145"/>
        <v>0</v>
      </c>
      <c r="P1295" s="1" t="b">
        <f t="shared" si="146"/>
        <v>0</v>
      </c>
    </row>
    <row r="1296" spans="1:16" x14ac:dyDescent="0.2">
      <c r="A1296">
        <v>7300065</v>
      </c>
      <c r="B1296" t="s">
        <v>2432</v>
      </c>
      <c r="C1296" t="s">
        <v>150</v>
      </c>
      <c r="D1296" t="s">
        <v>122</v>
      </c>
      <c r="E1296" s="1">
        <v>44804</v>
      </c>
      <c r="F1296" t="s">
        <v>2433</v>
      </c>
      <c r="G1296" s="1">
        <v>44820</v>
      </c>
      <c r="I1296" t="s">
        <v>13</v>
      </c>
      <c r="J1296" s="1" t="b">
        <f t="shared" si="140"/>
        <v>0</v>
      </c>
      <c r="K1296" s="1" t="b">
        <f t="shared" si="141"/>
        <v>1</v>
      </c>
      <c r="L1296" s="1" t="b">
        <f t="shared" si="142"/>
        <v>0</v>
      </c>
      <c r="M1296" s="1" t="b">
        <f t="shared" si="143"/>
        <v>0</v>
      </c>
      <c r="N1296" s="1" t="b">
        <f t="shared" si="144"/>
        <v>0</v>
      </c>
      <c r="O1296" s="1" t="b">
        <f t="shared" si="145"/>
        <v>0</v>
      </c>
      <c r="P1296" s="1" t="b">
        <f t="shared" si="146"/>
        <v>0</v>
      </c>
    </row>
    <row r="1297" spans="1:16" x14ac:dyDescent="0.2">
      <c r="A1297">
        <v>9533248</v>
      </c>
      <c r="B1297" t="s">
        <v>2434</v>
      </c>
      <c r="C1297" t="s">
        <v>35</v>
      </c>
      <c r="D1297" t="s">
        <v>139</v>
      </c>
      <c r="E1297" s="1">
        <v>45037</v>
      </c>
      <c r="F1297" t="s">
        <v>2435</v>
      </c>
      <c r="G1297" s="1">
        <v>45055</v>
      </c>
      <c r="H1297" s="1">
        <v>45082</v>
      </c>
      <c r="I1297" t="s">
        <v>28</v>
      </c>
      <c r="J1297" s="1" t="b">
        <f t="shared" si="140"/>
        <v>1</v>
      </c>
      <c r="K1297" s="1" t="b">
        <f t="shared" si="141"/>
        <v>0</v>
      </c>
      <c r="L1297" s="1" t="b">
        <f t="shared" si="142"/>
        <v>0</v>
      </c>
      <c r="M1297" s="1" t="b">
        <f t="shared" si="143"/>
        <v>0</v>
      </c>
      <c r="N1297" s="1" t="b">
        <f t="shared" si="144"/>
        <v>0</v>
      </c>
      <c r="O1297" s="1" t="b">
        <f t="shared" si="145"/>
        <v>0</v>
      </c>
      <c r="P1297" s="1" t="b">
        <f t="shared" si="146"/>
        <v>1</v>
      </c>
    </row>
    <row r="1298" spans="1:16" x14ac:dyDescent="0.2">
      <c r="A1298">
        <v>9533248</v>
      </c>
      <c r="B1298" t="s">
        <v>2436</v>
      </c>
      <c r="C1298" t="s">
        <v>35</v>
      </c>
      <c r="D1298" t="s">
        <v>139</v>
      </c>
      <c r="E1298" s="1">
        <v>44801</v>
      </c>
      <c r="F1298" t="s">
        <v>2437</v>
      </c>
      <c r="G1298" s="1">
        <v>44831</v>
      </c>
      <c r="I1298" t="s">
        <v>13</v>
      </c>
      <c r="J1298" s="1" t="b">
        <f t="shared" si="140"/>
        <v>0</v>
      </c>
      <c r="K1298" s="1" t="b">
        <f t="shared" si="141"/>
        <v>1</v>
      </c>
      <c r="L1298" s="1" t="b">
        <f t="shared" si="142"/>
        <v>0</v>
      </c>
      <c r="M1298" s="1" t="b">
        <f t="shared" si="143"/>
        <v>0</v>
      </c>
      <c r="N1298" s="1" t="b">
        <f t="shared" si="144"/>
        <v>0</v>
      </c>
      <c r="O1298" s="1" t="b">
        <f t="shared" si="145"/>
        <v>0</v>
      </c>
      <c r="P1298" s="1" t="b">
        <f t="shared" si="146"/>
        <v>0</v>
      </c>
    </row>
    <row r="1299" spans="1:16" x14ac:dyDescent="0.2">
      <c r="A1299">
        <v>9533248</v>
      </c>
      <c r="B1299" t="s">
        <v>2438</v>
      </c>
      <c r="C1299" t="s">
        <v>35</v>
      </c>
      <c r="D1299" t="s">
        <v>139</v>
      </c>
      <c r="E1299" s="1">
        <v>44665</v>
      </c>
      <c r="F1299" t="s">
        <v>2439</v>
      </c>
      <c r="G1299" s="1">
        <v>44673</v>
      </c>
      <c r="H1299" s="1">
        <v>44722</v>
      </c>
      <c r="I1299" t="s">
        <v>28</v>
      </c>
      <c r="J1299" s="1" t="b">
        <f t="shared" si="140"/>
        <v>1</v>
      </c>
      <c r="K1299" s="1" t="b">
        <f t="shared" si="141"/>
        <v>0</v>
      </c>
      <c r="L1299" s="1" t="b">
        <f t="shared" si="142"/>
        <v>0</v>
      </c>
      <c r="M1299" s="1" t="b">
        <f t="shared" si="143"/>
        <v>0</v>
      </c>
      <c r="N1299" s="1" t="b">
        <f t="shared" si="144"/>
        <v>0</v>
      </c>
      <c r="O1299" s="1" t="b">
        <f t="shared" si="145"/>
        <v>0</v>
      </c>
      <c r="P1299" s="1" t="b">
        <f t="shared" si="146"/>
        <v>1</v>
      </c>
    </row>
    <row r="1300" spans="1:16" x14ac:dyDescent="0.2">
      <c r="A1300">
        <v>9533248</v>
      </c>
      <c r="B1300" t="s">
        <v>2440</v>
      </c>
      <c r="C1300" t="s">
        <v>35</v>
      </c>
      <c r="D1300" t="s">
        <v>139</v>
      </c>
      <c r="E1300" s="1">
        <v>44978</v>
      </c>
      <c r="F1300" t="s">
        <v>288</v>
      </c>
      <c r="G1300" s="1">
        <v>44993</v>
      </c>
      <c r="H1300" s="1">
        <v>44999</v>
      </c>
      <c r="I1300" t="s">
        <v>43</v>
      </c>
      <c r="J1300" s="1" t="b">
        <f t="shared" si="140"/>
        <v>1</v>
      </c>
      <c r="K1300" s="1" t="b">
        <f t="shared" si="141"/>
        <v>0</v>
      </c>
      <c r="L1300" s="1" t="b">
        <f t="shared" si="142"/>
        <v>0</v>
      </c>
      <c r="M1300" s="1" t="b">
        <f t="shared" si="143"/>
        <v>0</v>
      </c>
      <c r="N1300" s="1" t="b">
        <f t="shared" si="144"/>
        <v>0</v>
      </c>
      <c r="O1300" s="1" t="b">
        <f t="shared" si="145"/>
        <v>1</v>
      </c>
      <c r="P1300" s="1" t="b">
        <f t="shared" si="146"/>
        <v>0</v>
      </c>
    </row>
    <row r="1301" spans="1:16" x14ac:dyDescent="0.2">
      <c r="A1301">
        <v>9395862</v>
      </c>
      <c r="B1301" t="s">
        <v>2441</v>
      </c>
      <c r="C1301" t="s">
        <v>454</v>
      </c>
      <c r="D1301" t="s">
        <v>187</v>
      </c>
      <c r="E1301" s="1">
        <v>44995</v>
      </c>
      <c r="F1301" t="s">
        <v>2442</v>
      </c>
      <c r="G1301" s="1">
        <v>45025</v>
      </c>
      <c r="H1301" s="1">
        <v>45061</v>
      </c>
      <c r="I1301" t="s">
        <v>43</v>
      </c>
      <c r="J1301" s="1" t="b">
        <f t="shared" si="140"/>
        <v>1</v>
      </c>
      <c r="K1301" s="1" t="b">
        <f t="shared" si="141"/>
        <v>0</v>
      </c>
      <c r="L1301" s="1" t="b">
        <f t="shared" si="142"/>
        <v>0</v>
      </c>
      <c r="M1301" s="1" t="b">
        <f t="shared" si="143"/>
        <v>0</v>
      </c>
      <c r="N1301" s="1" t="b">
        <f t="shared" si="144"/>
        <v>0</v>
      </c>
      <c r="O1301" s="1" t="b">
        <f t="shared" si="145"/>
        <v>1</v>
      </c>
      <c r="P1301" s="1" t="b">
        <f t="shared" si="146"/>
        <v>0</v>
      </c>
    </row>
    <row r="1302" spans="1:16" x14ac:dyDescent="0.2">
      <c r="A1302">
        <v>9395862</v>
      </c>
      <c r="B1302" t="s">
        <v>2443</v>
      </c>
      <c r="C1302" t="s">
        <v>454</v>
      </c>
      <c r="D1302" t="s">
        <v>187</v>
      </c>
      <c r="E1302" s="1">
        <v>44858</v>
      </c>
      <c r="F1302" t="s">
        <v>2444</v>
      </c>
      <c r="G1302" s="1">
        <v>44879</v>
      </c>
      <c r="H1302" s="1">
        <v>44890</v>
      </c>
      <c r="I1302" t="s">
        <v>16</v>
      </c>
      <c r="J1302" s="1" t="b">
        <f t="shared" si="140"/>
        <v>1</v>
      </c>
      <c r="K1302" s="1" t="b">
        <f t="shared" si="141"/>
        <v>0</v>
      </c>
      <c r="L1302" s="1" t="b">
        <f t="shared" si="142"/>
        <v>0</v>
      </c>
      <c r="M1302" s="1" t="b">
        <f t="shared" si="143"/>
        <v>0</v>
      </c>
      <c r="N1302" s="1" t="b">
        <f t="shared" si="144"/>
        <v>1</v>
      </c>
      <c r="O1302" s="1" t="b">
        <f t="shared" si="145"/>
        <v>0</v>
      </c>
      <c r="P1302" s="1" t="b">
        <f t="shared" si="146"/>
        <v>0</v>
      </c>
    </row>
    <row r="1303" spans="1:16" x14ac:dyDescent="0.2">
      <c r="A1303">
        <v>9395862</v>
      </c>
      <c r="B1303" t="s">
        <v>2445</v>
      </c>
      <c r="C1303" t="s">
        <v>454</v>
      </c>
      <c r="D1303" t="s">
        <v>187</v>
      </c>
      <c r="E1303" s="1">
        <v>45055</v>
      </c>
      <c r="F1303" t="s">
        <v>2446</v>
      </c>
      <c r="G1303" s="1">
        <v>45064</v>
      </c>
      <c r="I1303" t="s">
        <v>13</v>
      </c>
      <c r="J1303" s="1" t="b">
        <f t="shared" si="140"/>
        <v>0</v>
      </c>
      <c r="K1303" s="1" t="b">
        <f t="shared" si="141"/>
        <v>1</v>
      </c>
      <c r="L1303" s="1" t="b">
        <f t="shared" si="142"/>
        <v>0</v>
      </c>
      <c r="M1303" s="1" t="b">
        <f t="shared" si="143"/>
        <v>0</v>
      </c>
      <c r="N1303" s="1" t="b">
        <f t="shared" si="144"/>
        <v>0</v>
      </c>
      <c r="O1303" s="1" t="b">
        <f t="shared" si="145"/>
        <v>0</v>
      </c>
      <c r="P1303" s="1" t="b">
        <f t="shared" si="146"/>
        <v>0</v>
      </c>
    </row>
    <row r="1304" spans="1:16" x14ac:dyDescent="0.2">
      <c r="A1304">
        <v>5209218</v>
      </c>
      <c r="B1304" t="s">
        <v>2447</v>
      </c>
      <c r="C1304" t="s">
        <v>150</v>
      </c>
      <c r="D1304" t="s">
        <v>60</v>
      </c>
      <c r="E1304" s="1">
        <v>45084</v>
      </c>
      <c r="F1304" t="s">
        <v>2448</v>
      </c>
      <c r="G1304" s="1">
        <v>45094</v>
      </c>
      <c r="H1304" s="1">
        <v>45097</v>
      </c>
      <c r="I1304" t="s">
        <v>43</v>
      </c>
      <c r="J1304" s="1" t="b">
        <f t="shared" si="140"/>
        <v>1</v>
      </c>
      <c r="K1304" s="1" t="b">
        <f t="shared" si="141"/>
        <v>0</v>
      </c>
      <c r="L1304" s="1" t="b">
        <f t="shared" si="142"/>
        <v>0</v>
      </c>
      <c r="M1304" s="1" t="b">
        <f t="shared" si="143"/>
        <v>0</v>
      </c>
      <c r="N1304" s="1" t="b">
        <f t="shared" si="144"/>
        <v>0</v>
      </c>
      <c r="O1304" s="1" t="b">
        <f t="shared" si="145"/>
        <v>1</v>
      </c>
      <c r="P1304" s="1" t="b">
        <f t="shared" si="146"/>
        <v>0</v>
      </c>
    </row>
    <row r="1305" spans="1:16" x14ac:dyDescent="0.2">
      <c r="A1305">
        <v>5209218</v>
      </c>
      <c r="B1305" t="s">
        <v>2449</v>
      </c>
      <c r="C1305" t="s">
        <v>150</v>
      </c>
      <c r="D1305" t="s">
        <v>60</v>
      </c>
      <c r="E1305" s="1">
        <v>44633</v>
      </c>
      <c r="F1305" t="s">
        <v>1644</v>
      </c>
      <c r="G1305" s="1">
        <v>44643</v>
      </c>
      <c r="I1305" t="s">
        <v>13</v>
      </c>
      <c r="J1305" s="1" t="b">
        <f t="shared" si="140"/>
        <v>0</v>
      </c>
      <c r="K1305" s="1" t="b">
        <f t="shared" si="141"/>
        <v>1</v>
      </c>
      <c r="L1305" s="1" t="b">
        <f t="shared" si="142"/>
        <v>0</v>
      </c>
      <c r="M1305" s="1" t="b">
        <f t="shared" si="143"/>
        <v>0</v>
      </c>
      <c r="N1305" s="1" t="b">
        <f t="shared" si="144"/>
        <v>0</v>
      </c>
      <c r="O1305" s="1" t="b">
        <f t="shared" si="145"/>
        <v>0</v>
      </c>
      <c r="P1305" s="1" t="b">
        <f t="shared" si="146"/>
        <v>0</v>
      </c>
    </row>
    <row r="1306" spans="1:16" x14ac:dyDescent="0.2">
      <c r="A1306">
        <v>5209218</v>
      </c>
      <c r="B1306" t="s">
        <v>2450</v>
      </c>
      <c r="C1306" t="s">
        <v>150</v>
      </c>
      <c r="D1306" t="s">
        <v>60</v>
      </c>
      <c r="E1306" s="1">
        <v>44705</v>
      </c>
      <c r="F1306" t="s">
        <v>725</v>
      </c>
      <c r="G1306" s="1">
        <v>44729</v>
      </c>
      <c r="I1306" t="s">
        <v>13</v>
      </c>
      <c r="J1306" s="1" t="b">
        <f t="shared" si="140"/>
        <v>0</v>
      </c>
      <c r="K1306" s="1" t="b">
        <f t="shared" si="141"/>
        <v>1</v>
      </c>
      <c r="L1306" s="1" t="b">
        <f t="shared" si="142"/>
        <v>0</v>
      </c>
      <c r="M1306" s="1" t="b">
        <f t="shared" si="143"/>
        <v>0</v>
      </c>
      <c r="N1306" s="1" t="b">
        <f t="shared" si="144"/>
        <v>0</v>
      </c>
      <c r="O1306" s="1" t="b">
        <f t="shared" si="145"/>
        <v>0</v>
      </c>
      <c r="P1306" s="1" t="b">
        <f t="shared" si="146"/>
        <v>0</v>
      </c>
    </row>
    <row r="1307" spans="1:16" x14ac:dyDescent="0.2">
      <c r="A1307">
        <v>5688532</v>
      </c>
      <c r="B1307" t="s">
        <v>2451</v>
      </c>
      <c r="C1307" t="s">
        <v>131</v>
      </c>
      <c r="D1307" t="s">
        <v>60</v>
      </c>
      <c r="E1307" s="1">
        <v>44912</v>
      </c>
      <c r="F1307" t="s">
        <v>2452</v>
      </c>
      <c r="G1307" s="1">
        <v>44933</v>
      </c>
      <c r="H1307" s="1">
        <v>44950</v>
      </c>
      <c r="I1307" t="s">
        <v>28</v>
      </c>
      <c r="J1307" s="1" t="b">
        <f t="shared" si="140"/>
        <v>1</v>
      </c>
      <c r="K1307" s="1" t="b">
        <f t="shared" si="141"/>
        <v>0</v>
      </c>
      <c r="L1307" s="1" t="b">
        <f t="shared" si="142"/>
        <v>0</v>
      </c>
      <c r="M1307" s="1" t="b">
        <f t="shared" si="143"/>
        <v>0</v>
      </c>
      <c r="N1307" s="1" t="b">
        <f t="shared" si="144"/>
        <v>0</v>
      </c>
      <c r="O1307" s="1" t="b">
        <f t="shared" si="145"/>
        <v>0</v>
      </c>
      <c r="P1307" s="1" t="b">
        <f t="shared" si="146"/>
        <v>1</v>
      </c>
    </row>
    <row r="1308" spans="1:16" x14ac:dyDescent="0.2">
      <c r="A1308">
        <v>5688532</v>
      </c>
      <c r="B1308" t="s">
        <v>2453</v>
      </c>
      <c r="C1308" t="s">
        <v>131</v>
      </c>
      <c r="D1308" t="s">
        <v>60</v>
      </c>
      <c r="E1308" s="1">
        <v>44891</v>
      </c>
      <c r="F1308" t="s">
        <v>2454</v>
      </c>
      <c r="G1308" s="1">
        <v>44902</v>
      </c>
      <c r="H1308" s="1">
        <v>44916</v>
      </c>
      <c r="J1308" s="1" t="b">
        <f t="shared" si="140"/>
        <v>1</v>
      </c>
      <c r="K1308" s="1" t="b">
        <f t="shared" si="141"/>
        <v>0</v>
      </c>
      <c r="L1308" s="1" t="b">
        <f t="shared" si="142"/>
        <v>0</v>
      </c>
      <c r="M1308" s="1" t="b">
        <f t="shared" si="143"/>
        <v>0</v>
      </c>
      <c r="N1308" s="1" t="b">
        <f t="shared" si="144"/>
        <v>0</v>
      </c>
      <c r="O1308" s="1" t="b">
        <f t="shared" si="145"/>
        <v>0</v>
      </c>
      <c r="P1308" s="1" t="b">
        <f t="shared" si="146"/>
        <v>0</v>
      </c>
    </row>
    <row r="1309" spans="1:16" x14ac:dyDescent="0.2">
      <c r="A1309">
        <v>8714152</v>
      </c>
      <c r="B1309" t="s">
        <v>2455</v>
      </c>
      <c r="C1309" t="s">
        <v>121</v>
      </c>
      <c r="D1309" t="s">
        <v>39</v>
      </c>
      <c r="E1309" s="1">
        <v>45049</v>
      </c>
      <c r="F1309" t="s">
        <v>2456</v>
      </c>
      <c r="G1309" s="1">
        <v>45050</v>
      </c>
      <c r="H1309" s="1">
        <v>45108</v>
      </c>
      <c r="I1309" t="s">
        <v>43</v>
      </c>
      <c r="J1309" s="1" t="b">
        <f t="shared" si="140"/>
        <v>1</v>
      </c>
      <c r="K1309" s="1" t="b">
        <f t="shared" si="141"/>
        <v>0</v>
      </c>
      <c r="L1309" s="1" t="b">
        <f t="shared" si="142"/>
        <v>0</v>
      </c>
      <c r="M1309" s="1" t="b">
        <f t="shared" si="143"/>
        <v>0</v>
      </c>
      <c r="N1309" s="1" t="b">
        <f t="shared" si="144"/>
        <v>0</v>
      </c>
      <c r="O1309" s="1" t="b">
        <f t="shared" si="145"/>
        <v>1</v>
      </c>
      <c r="P1309" s="1" t="b">
        <f t="shared" si="146"/>
        <v>0</v>
      </c>
    </row>
    <row r="1310" spans="1:16" x14ac:dyDescent="0.2">
      <c r="A1310">
        <v>1160702</v>
      </c>
      <c r="B1310" t="s">
        <v>2457</v>
      </c>
      <c r="C1310" t="s">
        <v>167</v>
      </c>
      <c r="D1310" t="s">
        <v>187</v>
      </c>
      <c r="E1310" s="1">
        <v>44645</v>
      </c>
      <c r="F1310" t="s">
        <v>2458</v>
      </c>
      <c r="G1310" s="1">
        <v>44671</v>
      </c>
      <c r="H1310" s="1">
        <v>44728</v>
      </c>
      <c r="J1310" s="1" t="b">
        <f t="shared" si="140"/>
        <v>1</v>
      </c>
      <c r="K1310" s="1" t="b">
        <f t="shared" si="141"/>
        <v>0</v>
      </c>
      <c r="L1310" s="1" t="b">
        <f t="shared" si="142"/>
        <v>0</v>
      </c>
      <c r="M1310" s="1" t="b">
        <f t="shared" si="143"/>
        <v>0</v>
      </c>
      <c r="N1310" s="1" t="b">
        <f t="shared" si="144"/>
        <v>0</v>
      </c>
      <c r="O1310" s="1" t="b">
        <f t="shared" si="145"/>
        <v>0</v>
      </c>
      <c r="P1310" s="1" t="b">
        <f t="shared" si="146"/>
        <v>0</v>
      </c>
    </row>
    <row r="1311" spans="1:16" x14ac:dyDescent="0.2">
      <c r="A1311">
        <v>1160702</v>
      </c>
      <c r="B1311" t="s">
        <v>2459</v>
      </c>
      <c r="C1311" t="s">
        <v>167</v>
      </c>
      <c r="D1311" t="s">
        <v>187</v>
      </c>
      <c r="E1311" s="1">
        <v>45017</v>
      </c>
      <c r="F1311" t="s">
        <v>2460</v>
      </c>
      <c r="G1311" s="1">
        <v>45039</v>
      </c>
      <c r="H1311" s="1">
        <v>45047</v>
      </c>
      <c r="I1311" t="s">
        <v>16</v>
      </c>
      <c r="J1311" s="1" t="b">
        <f t="shared" si="140"/>
        <v>1</v>
      </c>
      <c r="K1311" s="1" t="b">
        <f t="shared" si="141"/>
        <v>0</v>
      </c>
      <c r="L1311" s="1" t="b">
        <f t="shared" si="142"/>
        <v>0</v>
      </c>
      <c r="M1311" s="1" t="b">
        <f t="shared" si="143"/>
        <v>0</v>
      </c>
      <c r="N1311" s="1" t="b">
        <f t="shared" si="144"/>
        <v>1</v>
      </c>
      <c r="O1311" s="1" t="b">
        <f t="shared" si="145"/>
        <v>0</v>
      </c>
      <c r="P1311" s="1" t="b">
        <f t="shared" si="146"/>
        <v>0</v>
      </c>
    </row>
    <row r="1312" spans="1:16" x14ac:dyDescent="0.2">
      <c r="A1312">
        <v>1160702</v>
      </c>
      <c r="B1312" t="s">
        <v>2461</v>
      </c>
      <c r="C1312" t="s">
        <v>167</v>
      </c>
      <c r="D1312" t="s">
        <v>187</v>
      </c>
      <c r="E1312" s="1">
        <v>44928</v>
      </c>
      <c r="F1312" t="s">
        <v>2462</v>
      </c>
      <c r="G1312" s="1">
        <v>44941</v>
      </c>
      <c r="H1312" s="1">
        <v>44953</v>
      </c>
      <c r="J1312" s="1" t="b">
        <f t="shared" si="140"/>
        <v>1</v>
      </c>
      <c r="K1312" s="1" t="b">
        <f t="shared" si="141"/>
        <v>0</v>
      </c>
      <c r="L1312" s="1" t="b">
        <f t="shared" si="142"/>
        <v>0</v>
      </c>
      <c r="M1312" s="1" t="b">
        <f t="shared" si="143"/>
        <v>0</v>
      </c>
      <c r="N1312" s="1" t="b">
        <f t="shared" si="144"/>
        <v>0</v>
      </c>
      <c r="O1312" s="1" t="b">
        <f t="shared" si="145"/>
        <v>0</v>
      </c>
      <c r="P1312" s="1" t="b">
        <f t="shared" si="146"/>
        <v>0</v>
      </c>
    </row>
    <row r="1313" spans="1:16" x14ac:dyDescent="0.2">
      <c r="A1313">
        <v>1160702</v>
      </c>
      <c r="B1313" t="s">
        <v>2463</v>
      </c>
      <c r="C1313" t="s">
        <v>167</v>
      </c>
      <c r="D1313" t="s">
        <v>187</v>
      </c>
      <c r="E1313" s="1">
        <v>44941</v>
      </c>
      <c r="F1313" t="s">
        <v>2464</v>
      </c>
      <c r="G1313" s="1">
        <v>44971</v>
      </c>
      <c r="H1313" s="1">
        <v>44984</v>
      </c>
      <c r="I1313" t="s">
        <v>16</v>
      </c>
      <c r="J1313" s="1" t="b">
        <f t="shared" si="140"/>
        <v>1</v>
      </c>
      <c r="K1313" s="1" t="b">
        <f t="shared" si="141"/>
        <v>0</v>
      </c>
      <c r="L1313" s="1" t="b">
        <f t="shared" si="142"/>
        <v>0</v>
      </c>
      <c r="M1313" s="1" t="b">
        <f t="shared" si="143"/>
        <v>0</v>
      </c>
      <c r="N1313" s="1" t="b">
        <f t="shared" si="144"/>
        <v>1</v>
      </c>
      <c r="O1313" s="1" t="b">
        <f t="shared" si="145"/>
        <v>0</v>
      </c>
      <c r="P1313" s="1" t="b">
        <f t="shared" si="146"/>
        <v>0</v>
      </c>
    </row>
    <row r="1314" spans="1:16" x14ac:dyDescent="0.2">
      <c r="A1314">
        <v>8458775</v>
      </c>
      <c r="B1314" t="s">
        <v>2465</v>
      </c>
      <c r="C1314" t="s">
        <v>10</v>
      </c>
      <c r="D1314" t="s">
        <v>19</v>
      </c>
      <c r="E1314" s="1">
        <v>44872</v>
      </c>
      <c r="F1314" t="s">
        <v>2466</v>
      </c>
      <c r="G1314" s="1">
        <v>44898</v>
      </c>
      <c r="H1314" s="1">
        <v>44944</v>
      </c>
      <c r="I1314" t="s">
        <v>28</v>
      </c>
      <c r="J1314" s="1" t="b">
        <f t="shared" si="140"/>
        <v>1</v>
      </c>
      <c r="K1314" s="1" t="b">
        <f t="shared" si="141"/>
        <v>0</v>
      </c>
      <c r="L1314" s="1" t="b">
        <f t="shared" si="142"/>
        <v>0</v>
      </c>
      <c r="M1314" s="1" t="b">
        <f t="shared" si="143"/>
        <v>0</v>
      </c>
      <c r="N1314" s="1" t="b">
        <f t="shared" si="144"/>
        <v>0</v>
      </c>
      <c r="O1314" s="1" t="b">
        <f t="shared" si="145"/>
        <v>0</v>
      </c>
      <c r="P1314" s="1" t="b">
        <f t="shared" si="146"/>
        <v>1</v>
      </c>
    </row>
    <row r="1315" spans="1:16" x14ac:dyDescent="0.2">
      <c r="A1315">
        <v>4710242</v>
      </c>
      <c r="B1315" t="s">
        <v>2467</v>
      </c>
      <c r="C1315" t="s">
        <v>93</v>
      </c>
      <c r="D1315" t="s">
        <v>77</v>
      </c>
      <c r="E1315" s="1">
        <v>44741</v>
      </c>
      <c r="F1315" t="s">
        <v>2468</v>
      </c>
      <c r="G1315" s="1">
        <v>44744</v>
      </c>
      <c r="I1315" t="s">
        <v>13</v>
      </c>
      <c r="J1315" s="1" t="b">
        <f t="shared" si="140"/>
        <v>0</v>
      </c>
      <c r="K1315" s="1" t="b">
        <f t="shared" si="141"/>
        <v>1</v>
      </c>
      <c r="L1315" s="1" t="b">
        <f t="shared" si="142"/>
        <v>0</v>
      </c>
      <c r="M1315" s="1" t="b">
        <f t="shared" si="143"/>
        <v>0</v>
      </c>
      <c r="N1315" s="1" t="b">
        <f t="shared" si="144"/>
        <v>0</v>
      </c>
      <c r="O1315" s="1" t="b">
        <f t="shared" si="145"/>
        <v>0</v>
      </c>
      <c r="P1315" s="1" t="b">
        <f t="shared" si="146"/>
        <v>0</v>
      </c>
    </row>
    <row r="1316" spans="1:16" x14ac:dyDescent="0.2">
      <c r="A1316">
        <v>4710242</v>
      </c>
      <c r="B1316" t="s">
        <v>2469</v>
      </c>
      <c r="C1316" t="s">
        <v>93</v>
      </c>
      <c r="D1316" t="s">
        <v>77</v>
      </c>
      <c r="E1316" s="1">
        <v>44967</v>
      </c>
      <c r="F1316" t="s">
        <v>2470</v>
      </c>
      <c r="G1316" s="1">
        <v>44971</v>
      </c>
      <c r="H1316" s="1">
        <v>45027</v>
      </c>
      <c r="I1316" t="s">
        <v>43</v>
      </c>
      <c r="J1316" s="1" t="b">
        <f t="shared" si="140"/>
        <v>1</v>
      </c>
      <c r="K1316" s="1" t="b">
        <f t="shared" si="141"/>
        <v>0</v>
      </c>
      <c r="L1316" s="1" t="b">
        <f t="shared" si="142"/>
        <v>0</v>
      </c>
      <c r="M1316" s="1" t="b">
        <f t="shared" si="143"/>
        <v>0</v>
      </c>
      <c r="N1316" s="1" t="b">
        <f t="shared" si="144"/>
        <v>0</v>
      </c>
      <c r="O1316" s="1" t="b">
        <f t="shared" si="145"/>
        <v>1</v>
      </c>
      <c r="P1316" s="1" t="b">
        <f t="shared" si="146"/>
        <v>0</v>
      </c>
    </row>
    <row r="1317" spans="1:16" x14ac:dyDescent="0.2">
      <c r="A1317">
        <v>4710242</v>
      </c>
      <c r="B1317" t="s">
        <v>2471</v>
      </c>
      <c r="C1317" t="s">
        <v>93</v>
      </c>
      <c r="D1317" t="s">
        <v>77</v>
      </c>
      <c r="E1317" s="1">
        <v>44736</v>
      </c>
      <c r="F1317" t="s">
        <v>142</v>
      </c>
      <c r="G1317" s="1">
        <v>44754</v>
      </c>
      <c r="I1317" t="s">
        <v>25</v>
      </c>
      <c r="J1317" s="1" t="b">
        <f t="shared" si="140"/>
        <v>0</v>
      </c>
      <c r="K1317" s="1" t="b">
        <f t="shared" si="141"/>
        <v>0</v>
      </c>
      <c r="L1317" s="1" t="b">
        <f t="shared" si="142"/>
        <v>1</v>
      </c>
      <c r="M1317" s="1" t="b">
        <f t="shared" si="143"/>
        <v>0</v>
      </c>
      <c r="N1317" s="1" t="b">
        <f t="shared" si="144"/>
        <v>0</v>
      </c>
      <c r="O1317" s="1" t="b">
        <f t="shared" si="145"/>
        <v>0</v>
      </c>
      <c r="P1317" s="1" t="b">
        <f t="shared" si="146"/>
        <v>0</v>
      </c>
    </row>
    <row r="1318" spans="1:16" x14ac:dyDescent="0.2">
      <c r="A1318">
        <v>3151617</v>
      </c>
      <c r="B1318" t="s">
        <v>2472</v>
      </c>
      <c r="C1318" t="s">
        <v>138</v>
      </c>
      <c r="D1318" t="s">
        <v>122</v>
      </c>
      <c r="E1318" s="1">
        <v>44795</v>
      </c>
      <c r="F1318" t="s">
        <v>813</v>
      </c>
      <c r="G1318" s="1">
        <v>44824</v>
      </c>
      <c r="I1318" t="s">
        <v>13</v>
      </c>
      <c r="J1318" s="1" t="b">
        <f t="shared" si="140"/>
        <v>0</v>
      </c>
      <c r="K1318" s="1" t="b">
        <f t="shared" si="141"/>
        <v>1</v>
      </c>
      <c r="L1318" s="1" t="b">
        <f t="shared" si="142"/>
        <v>0</v>
      </c>
      <c r="M1318" s="1" t="b">
        <f t="shared" si="143"/>
        <v>0</v>
      </c>
      <c r="N1318" s="1" t="b">
        <f t="shared" si="144"/>
        <v>0</v>
      </c>
      <c r="O1318" s="1" t="b">
        <f t="shared" si="145"/>
        <v>0</v>
      </c>
      <c r="P1318" s="1" t="b">
        <f t="shared" si="146"/>
        <v>0</v>
      </c>
    </row>
    <row r="1319" spans="1:16" x14ac:dyDescent="0.2">
      <c r="A1319">
        <v>3151617</v>
      </c>
      <c r="B1319" t="s">
        <v>2473</v>
      </c>
      <c r="C1319" t="s">
        <v>138</v>
      </c>
      <c r="D1319" t="s">
        <v>122</v>
      </c>
      <c r="E1319" s="1">
        <v>44585</v>
      </c>
      <c r="F1319" t="s">
        <v>2474</v>
      </c>
      <c r="G1319" s="1">
        <v>44608</v>
      </c>
      <c r="H1319" s="1">
        <v>44652</v>
      </c>
      <c r="I1319" t="s">
        <v>28</v>
      </c>
      <c r="J1319" s="1" t="b">
        <f t="shared" si="140"/>
        <v>1</v>
      </c>
      <c r="K1319" s="1" t="b">
        <f t="shared" si="141"/>
        <v>0</v>
      </c>
      <c r="L1319" s="1" t="b">
        <f t="shared" si="142"/>
        <v>0</v>
      </c>
      <c r="M1319" s="1" t="b">
        <f t="shared" si="143"/>
        <v>0</v>
      </c>
      <c r="N1319" s="1" t="b">
        <f t="shared" si="144"/>
        <v>0</v>
      </c>
      <c r="O1319" s="1" t="b">
        <f t="shared" si="145"/>
        <v>0</v>
      </c>
      <c r="P1319" s="1" t="b">
        <f t="shared" si="146"/>
        <v>1</v>
      </c>
    </row>
    <row r="1320" spans="1:16" x14ac:dyDescent="0.2">
      <c r="A1320">
        <v>9941274</v>
      </c>
      <c r="B1320" t="s">
        <v>2475</v>
      </c>
      <c r="C1320" t="s">
        <v>121</v>
      </c>
      <c r="D1320" t="s">
        <v>11</v>
      </c>
      <c r="E1320" s="1">
        <v>44615</v>
      </c>
      <c r="F1320" t="s">
        <v>2476</v>
      </c>
      <c r="G1320" s="1">
        <v>44643</v>
      </c>
      <c r="H1320" s="1">
        <v>44664</v>
      </c>
      <c r="I1320" t="s">
        <v>16</v>
      </c>
      <c r="J1320" s="1" t="b">
        <f t="shared" si="140"/>
        <v>1</v>
      </c>
      <c r="K1320" s="1" t="b">
        <f t="shared" si="141"/>
        <v>0</v>
      </c>
      <c r="L1320" s="1" t="b">
        <f t="shared" si="142"/>
        <v>0</v>
      </c>
      <c r="M1320" s="1" t="b">
        <f t="shared" si="143"/>
        <v>0</v>
      </c>
      <c r="N1320" s="1" t="b">
        <f t="shared" si="144"/>
        <v>1</v>
      </c>
      <c r="O1320" s="1" t="b">
        <f t="shared" si="145"/>
        <v>0</v>
      </c>
      <c r="P1320" s="1" t="b">
        <f t="shared" si="146"/>
        <v>0</v>
      </c>
    </row>
    <row r="1321" spans="1:16" x14ac:dyDescent="0.2">
      <c r="A1321">
        <v>9941274</v>
      </c>
      <c r="B1321" t="s">
        <v>2477</v>
      </c>
      <c r="C1321" t="s">
        <v>121</v>
      </c>
      <c r="D1321" t="s">
        <v>11</v>
      </c>
      <c r="E1321" s="1">
        <v>45092</v>
      </c>
      <c r="F1321" t="s">
        <v>2018</v>
      </c>
      <c r="G1321" s="1">
        <v>45107</v>
      </c>
      <c r="H1321" s="1">
        <v>45139</v>
      </c>
      <c r="J1321" s="1" t="b">
        <f t="shared" si="140"/>
        <v>1</v>
      </c>
      <c r="K1321" s="1" t="b">
        <f t="shared" si="141"/>
        <v>0</v>
      </c>
      <c r="L1321" s="1" t="b">
        <f t="shared" si="142"/>
        <v>0</v>
      </c>
      <c r="M1321" s="1" t="b">
        <f t="shared" si="143"/>
        <v>0</v>
      </c>
      <c r="N1321" s="1" t="b">
        <f t="shared" si="144"/>
        <v>0</v>
      </c>
      <c r="O1321" s="1" t="b">
        <f t="shared" si="145"/>
        <v>0</v>
      </c>
      <c r="P1321" s="1" t="b">
        <f t="shared" si="146"/>
        <v>0</v>
      </c>
    </row>
    <row r="1322" spans="1:16" x14ac:dyDescent="0.2">
      <c r="A1322">
        <v>9941274</v>
      </c>
      <c r="B1322" t="s">
        <v>2478</v>
      </c>
      <c r="C1322" t="s">
        <v>121</v>
      </c>
      <c r="D1322" t="s">
        <v>11</v>
      </c>
      <c r="E1322" s="1">
        <v>44791</v>
      </c>
      <c r="F1322" t="s">
        <v>2479</v>
      </c>
      <c r="G1322" s="1">
        <v>44793</v>
      </c>
      <c r="H1322" s="1">
        <v>44811</v>
      </c>
      <c r="I1322" t="s">
        <v>16</v>
      </c>
      <c r="J1322" s="1" t="b">
        <f t="shared" si="140"/>
        <v>1</v>
      </c>
      <c r="K1322" s="1" t="b">
        <f t="shared" si="141"/>
        <v>0</v>
      </c>
      <c r="L1322" s="1" t="b">
        <f t="shared" si="142"/>
        <v>0</v>
      </c>
      <c r="M1322" s="1" t="b">
        <f t="shared" si="143"/>
        <v>0</v>
      </c>
      <c r="N1322" s="1" t="b">
        <f t="shared" si="144"/>
        <v>1</v>
      </c>
      <c r="O1322" s="1" t="b">
        <f t="shared" si="145"/>
        <v>0</v>
      </c>
      <c r="P1322" s="1" t="b">
        <f t="shared" si="146"/>
        <v>0</v>
      </c>
    </row>
    <row r="1323" spans="1:16" x14ac:dyDescent="0.2">
      <c r="A1323">
        <v>9941274</v>
      </c>
      <c r="B1323" t="s">
        <v>2480</v>
      </c>
      <c r="C1323" t="s">
        <v>121</v>
      </c>
      <c r="D1323" t="s">
        <v>11</v>
      </c>
      <c r="E1323" s="1">
        <v>44963</v>
      </c>
      <c r="F1323" t="s">
        <v>2481</v>
      </c>
      <c r="G1323" s="1">
        <v>44970</v>
      </c>
      <c r="H1323" s="1">
        <v>44992</v>
      </c>
      <c r="J1323" s="1" t="b">
        <f t="shared" si="140"/>
        <v>1</v>
      </c>
      <c r="K1323" s="1" t="b">
        <f t="shared" si="141"/>
        <v>0</v>
      </c>
      <c r="L1323" s="1" t="b">
        <f t="shared" si="142"/>
        <v>0</v>
      </c>
      <c r="M1323" s="1" t="b">
        <f t="shared" si="143"/>
        <v>0</v>
      </c>
      <c r="N1323" s="1" t="b">
        <f t="shared" si="144"/>
        <v>0</v>
      </c>
      <c r="O1323" s="1" t="b">
        <f t="shared" si="145"/>
        <v>0</v>
      </c>
      <c r="P1323" s="1" t="b">
        <f t="shared" si="146"/>
        <v>0</v>
      </c>
    </row>
    <row r="1324" spans="1:16" x14ac:dyDescent="0.2">
      <c r="A1324">
        <v>9941274</v>
      </c>
      <c r="B1324" t="s">
        <v>2482</v>
      </c>
      <c r="C1324" t="s">
        <v>121</v>
      </c>
      <c r="D1324" t="s">
        <v>11</v>
      </c>
      <c r="E1324" s="1">
        <v>44587</v>
      </c>
      <c r="F1324" t="s">
        <v>2483</v>
      </c>
      <c r="G1324" s="1">
        <v>44611</v>
      </c>
      <c r="I1324" t="s">
        <v>13</v>
      </c>
      <c r="J1324" s="1" t="b">
        <f t="shared" si="140"/>
        <v>0</v>
      </c>
      <c r="K1324" s="1" t="b">
        <f t="shared" si="141"/>
        <v>1</v>
      </c>
      <c r="L1324" s="1" t="b">
        <f t="shared" si="142"/>
        <v>0</v>
      </c>
      <c r="M1324" s="1" t="b">
        <f t="shared" si="143"/>
        <v>0</v>
      </c>
      <c r="N1324" s="1" t="b">
        <f t="shared" si="144"/>
        <v>0</v>
      </c>
      <c r="O1324" s="1" t="b">
        <f t="shared" si="145"/>
        <v>0</v>
      </c>
      <c r="P1324" s="1" t="b">
        <f t="shared" si="146"/>
        <v>0</v>
      </c>
    </row>
    <row r="1325" spans="1:16" x14ac:dyDescent="0.2">
      <c r="A1325">
        <v>4785409</v>
      </c>
      <c r="B1325" t="s">
        <v>2484</v>
      </c>
      <c r="C1325" t="s">
        <v>240</v>
      </c>
      <c r="D1325" t="s">
        <v>60</v>
      </c>
      <c r="E1325" s="1">
        <v>44880</v>
      </c>
      <c r="F1325" t="s">
        <v>2485</v>
      </c>
      <c r="G1325" s="1">
        <v>44883</v>
      </c>
      <c r="H1325" s="1">
        <v>44924</v>
      </c>
      <c r="I1325" t="s">
        <v>43</v>
      </c>
      <c r="J1325" s="1" t="b">
        <f t="shared" si="140"/>
        <v>1</v>
      </c>
      <c r="K1325" s="1" t="b">
        <f t="shared" si="141"/>
        <v>0</v>
      </c>
      <c r="L1325" s="1" t="b">
        <f t="shared" si="142"/>
        <v>0</v>
      </c>
      <c r="M1325" s="1" t="b">
        <f t="shared" si="143"/>
        <v>0</v>
      </c>
      <c r="N1325" s="1" t="b">
        <f t="shared" si="144"/>
        <v>0</v>
      </c>
      <c r="O1325" s="1" t="b">
        <f t="shared" si="145"/>
        <v>1</v>
      </c>
      <c r="P1325" s="1" t="b">
        <f t="shared" si="146"/>
        <v>0</v>
      </c>
    </row>
    <row r="1326" spans="1:16" x14ac:dyDescent="0.2">
      <c r="A1326">
        <v>2622794</v>
      </c>
      <c r="B1326" t="s">
        <v>2486</v>
      </c>
      <c r="C1326" t="s">
        <v>10</v>
      </c>
      <c r="D1326" t="s">
        <v>77</v>
      </c>
      <c r="E1326" s="1">
        <v>44815</v>
      </c>
      <c r="F1326" t="s">
        <v>2487</v>
      </c>
      <c r="G1326" s="1">
        <v>44819</v>
      </c>
      <c r="H1326" s="1">
        <v>44850</v>
      </c>
      <c r="I1326" t="s">
        <v>28</v>
      </c>
      <c r="J1326" s="1" t="b">
        <f t="shared" si="140"/>
        <v>1</v>
      </c>
      <c r="K1326" s="1" t="b">
        <f t="shared" si="141"/>
        <v>0</v>
      </c>
      <c r="L1326" s="1" t="b">
        <f t="shared" si="142"/>
        <v>0</v>
      </c>
      <c r="M1326" s="1" t="b">
        <f t="shared" si="143"/>
        <v>0</v>
      </c>
      <c r="N1326" s="1" t="b">
        <f t="shared" si="144"/>
        <v>0</v>
      </c>
      <c r="O1326" s="1" t="b">
        <f t="shared" si="145"/>
        <v>0</v>
      </c>
      <c r="P1326" s="1" t="b">
        <f t="shared" si="146"/>
        <v>1</v>
      </c>
    </row>
    <row r="1327" spans="1:16" x14ac:dyDescent="0.2">
      <c r="A1327">
        <v>2622794</v>
      </c>
      <c r="B1327" t="s">
        <v>2488</v>
      </c>
      <c r="C1327" t="s">
        <v>10</v>
      </c>
      <c r="D1327" t="s">
        <v>77</v>
      </c>
      <c r="E1327" s="1">
        <v>44617</v>
      </c>
      <c r="F1327" t="s">
        <v>2489</v>
      </c>
      <c r="G1327" s="1">
        <v>44644</v>
      </c>
      <c r="I1327" t="s">
        <v>25</v>
      </c>
      <c r="J1327" s="1" t="b">
        <f t="shared" si="140"/>
        <v>0</v>
      </c>
      <c r="K1327" s="1" t="b">
        <f t="shared" si="141"/>
        <v>0</v>
      </c>
      <c r="L1327" s="1" t="b">
        <f t="shared" si="142"/>
        <v>1</v>
      </c>
      <c r="M1327" s="1" t="b">
        <f t="shared" si="143"/>
        <v>0</v>
      </c>
      <c r="N1327" s="1" t="b">
        <f t="shared" si="144"/>
        <v>0</v>
      </c>
      <c r="O1327" s="1" t="b">
        <f t="shared" si="145"/>
        <v>0</v>
      </c>
      <c r="P1327" s="1" t="b">
        <f t="shared" si="146"/>
        <v>0</v>
      </c>
    </row>
    <row r="1328" spans="1:16" x14ac:dyDescent="0.2">
      <c r="A1328">
        <v>2622794</v>
      </c>
      <c r="B1328" t="s">
        <v>2490</v>
      </c>
      <c r="C1328" t="s">
        <v>10</v>
      </c>
      <c r="D1328" t="s">
        <v>77</v>
      </c>
      <c r="E1328" s="1">
        <v>45011</v>
      </c>
      <c r="F1328" t="s">
        <v>2491</v>
      </c>
      <c r="G1328" s="1">
        <v>45036</v>
      </c>
      <c r="H1328" s="1">
        <v>45043</v>
      </c>
      <c r="I1328" t="s">
        <v>43</v>
      </c>
      <c r="J1328" s="1" t="b">
        <f t="shared" si="140"/>
        <v>1</v>
      </c>
      <c r="K1328" s="1" t="b">
        <f t="shared" si="141"/>
        <v>0</v>
      </c>
      <c r="L1328" s="1" t="b">
        <f t="shared" si="142"/>
        <v>0</v>
      </c>
      <c r="M1328" s="1" t="b">
        <f t="shared" si="143"/>
        <v>0</v>
      </c>
      <c r="N1328" s="1" t="b">
        <f t="shared" si="144"/>
        <v>0</v>
      </c>
      <c r="O1328" s="1" t="b">
        <f t="shared" si="145"/>
        <v>1</v>
      </c>
      <c r="P1328" s="1" t="b">
        <f t="shared" si="146"/>
        <v>0</v>
      </c>
    </row>
    <row r="1329" spans="1:16" x14ac:dyDescent="0.2">
      <c r="A1329">
        <v>2622794</v>
      </c>
      <c r="B1329" t="s">
        <v>2492</v>
      </c>
      <c r="C1329" t="s">
        <v>10</v>
      </c>
      <c r="D1329" t="s">
        <v>77</v>
      </c>
      <c r="E1329" s="1">
        <v>44596</v>
      </c>
      <c r="F1329" t="s">
        <v>1734</v>
      </c>
      <c r="G1329" s="1">
        <v>44609</v>
      </c>
      <c r="H1329" s="1">
        <v>44630</v>
      </c>
      <c r="I1329" t="s">
        <v>16</v>
      </c>
      <c r="J1329" s="1" t="b">
        <f t="shared" si="140"/>
        <v>1</v>
      </c>
      <c r="K1329" s="1" t="b">
        <f t="shared" si="141"/>
        <v>0</v>
      </c>
      <c r="L1329" s="1" t="b">
        <f t="shared" si="142"/>
        <v>0</v>
      </c>
      <c r="M1329" s="1" t="b">
        <f t="shared" si="143"/>
        <v>0</v>
      </c>
      <c r="N1329" s="1" t="b">
        <f t="shared" si="144"/>
        <v>1</v>
      </c>
      <c r="O1329" s="1" t="b">
        <f t="shared" si="145"/>
        <v>0</v>
      </c>
      <c r="P1329" s="1" t="b">
        <f t="shared" si="146"/>
        <v>0</v>
      </c>
    </row>
    <row r="1330" spans="1:16" x14ac:dyDescent="0.2">
      <c r="A1330">
        <v>2090992</v>
      </c>
      <c r="B1330" t="s">
        <v>2493</v>
      </c>
      <c r="C1330" t="s">
        <v>47</v>
      </c>
      <c r="D1330" t="s">
        <v>187</v>
      </c>
      <c r="E1330" s="1">
        <v>45004</v>
      </c>
      <c r="F1330" t="s">
        <v>2494</v>
      </c>
      <c r="G1330" s="1">
        <v>45007</v>
      </c>
      <c r="H1330" s="1">
        <v>45014</v>
      </c>
      <c r="J1330" s="1" t="b">
        <f t="shared" si="140"/>
        <v>1</v>
      </c>
      <c r="K1330" s="1" t="b">
        <f t="shared" si="141"/>
        <v>0</v>
      </c>
      <c r="L1330" s="1" t="b">
        <f t="shared" si="142"/>
        <v>0</v>
      </c>
      <c r="M1330" s="1" t="b">
        <f t="shared" si="143"/>
        <v>0</v>
      </c>
      <c r="N1330" s="1" t="b">
        <f t="shared" si="144"/>
        <v>0</v>
      </c>
      <c r="O1330" s="1" t="b">
        <f t="shared" si="145"/>
        <v>0</v>
      </c>
      <c r="P1330" s="1" t="b">
        <f t="shared" si="146"/>
        <v>0</v>
      </c>
    </row>
    <row r="1331" spans="1:16" x14ac:dyDescent="0.2">
      <c r="A1331">
        <v>1936000</v>
      </c>
      <c r="B1331" t="s">
        <v>2495</v>
      </c>
      <c r="C1331" t="s">
        <v>18</v>
      </c>
      <c r="D1331" t="s">
        <v>56</v>
      </c>
      <c r="E1331" s="1">
        <v>44982</v>
      </c>
      <c r="F1331" t="s">
        <v>2496</v>
      </c>
      <c r="G1331" s="1">
        <v>44990</v>
      </c>
      <c r="H1331" s="1">
        <v>45046</v>
      </c>
      <c r="J1331" s="1" t="b">
        <f t="shared" si="140"/>
        <v>1</v>
      </c>
      <c r="K1331" s="1" t="b">
        <f t="shared" si="141"/>
        <v>0</v>
      </c>
      <c r="L1331" s="1" t="b">
        <f t="shared" si="142"/>
        <v>0</v>
      </c>
      <c r="M1331" s="1" t="b">
        <f t="shared" si="143"/>
        <v>0</v>
      </c>
      <c r="N1331" s="1" t="b">
        <f t="shared" si="144"/>
        <v>0</v>
      </c>
      <c r="O1331" s="1" t="b">
        <f t="shared" si="145"/>
        <v>0</v>
      </c>
      <c r="P1331" s="1" t="b">
        <f t="shared" si="146"/>
        <v>0</v>
      </c>
    </row>
    <row r="1332" spans="1:16" x14ac:dyDescent="0.2">
      <c r="A1332">
        <v>1936000</v>
      </c>
      <c r="B1332" t="s">
        <v>2497</v>
      </c>
      <c r="C1332" t="s">
        <v>18</v>
      </c>
      <c r="D1332" t="s">
        <v>56</v>
      </c>
      <c r="E1332" s="1">
        <v>45037</v>
      </c>
      <c r="F1332" t="s">
        <v>2498</v>
      </c>
      <c r="G1332" s="1">
        <v>45063</v>
      </c>
      <c r="H1332" s="1">
        <v>45091</v>
      </c>
      <c r="I1332" t="s">
        <v>16</v>
      </c>
      <c r="J1332" s="1" t="b">
        <f t="shared" si="140"/>
        <v>1</v>
      </c>
      <c r="K1332" s="1" t="b">
        <f t="shared" si="141"/>
        <v>0</v>
      </c>
      <c r="L1332" s="1" t="b">
        <f t="shared" si="142"/>
        <v>0</v>
      </c>
      <c r="M1332" s="1" t="b">
        <f t="shared" si="143"/>
        <v>0</v>
      </c>
      <c r="N1332" s="1" t="b">
        <f t="shared" si="144"/>
        <v>1</v>
      </c>
      <c r="O1332" s="1" t="b">
        <f t="shared" si="145"/>
        <v>0</v>
      </c>
      <c r="P1332" s="1" t="b">
        <f t="shared" si="146"/>
        <v>0</v>
      </c>
    </row>
    <row r="1333" spans="1:16" x14ac:dyDescent="0.2">
      <c r="A1333">
        <v>1936000</v>
      </c>
      <c r="B1333" t="s">
        <v>2499</v>
      </c>
      <c r="C1333" t="s">
        <v>18</v>
      </c>
      <c r="D1333" t="s">
        <v>56</v>
      </c>
      <c r="E1333" s="1">
        <v>44588</v>
      </c>
      <c r="F1333" t="s">
        <v>2500</v>
      </c>
      <c r="G1333" s="1">
        <v>44603</v>
      </c>
      <c r="H1333" s="1">
        <v>44637</v>
      </c>
      <c r="I1333" t="s">
        <v>16</v>
      </c>
      <c r="J1333" s="1" t="b">
        <f t="shared" si="140"/>
        <v>1</v>
      </c>
      <c r="K1333" s="1" t="b">
        <f t="shared" si="141"/>
        <v>0</v>
      </c>
      <c r="L1333" s="1" t="b">
        <f t="shared" si="142"/>
        <v>0</v>
      </c>
      <c r="M1333" s="1" t="b">
        <f t="shared" si="143"/>
        <v>0</v>
      </c>
      <c r="N1333" s="1" t="b">
        <f t="shared" si="144"/>
        <v>1</v>
      </c>
      <c r="O1333" s="1" t="b">
        <f t="shared" si="145"/>
        <v>0</v>
      </c>
      <c r="P1333" s="1" t="b">
        <f t="shared" si="146"/>
        <v>0</v>
      </c>
    </row>
    <row r="1334" spans="1:16" x14ac:dyDescent="0.2">
      <c r="A1334">
        <v>6506176</v>
      </c>
      <c r="B1334" t="s">
        <v>2501</v>
      </c>
      <c r="C1334" t="s">
        <v>32</v>
      </c>
      <c r="D1334" t="s">
        <v>19</v>
      </c>
      <c r="E1334" s="1">
        <v>44631</v>
      </c>
      <c r="F1334" t="s">
        <v>2502</v>
      </c>
      <c r="G1334" s="1">
        <v>44650</v>
      </c>
      <c r="I1334" t="s">
        <v>13</v>
      </c>
      <c r="J1334" s="1" t="b">
        <f t="shared" si="140"/>
        <v>0</v>
      </c>
      <c r="K1334" s="1" t="b">
        <f t="shared" si="141"/>
        <v>1</v>
      </c>
      <c r="L1334" s="1" t="b">
        <f t="shared" si="142"/>
        <v>0</v>
      </c>
      <c r="M1334" s="1" t="b">
        <f t="shared" si="143"/>
        <v>0</v>
      </c>
      <c r="N1334" s="1" t="b">
        <f t="shared" si="144"/>
        <v>0</v>
      </c>
      <c r="O1334" s="1" t="b">
        <f t="shared" si="145"/>
        <v>0</v>
      </c>
      <c r="P1334" s="1" t="b">
        <f t="shared" si="146"/>
        <v>0</v>
      </c>
    </row>
    <row r="1335" spans="1:16" x14ac:dyDescent="0.2">
      <c r="A1335">
        <v>4248312</v>
      </c>
      <c r="B1335" t="s">
        <v>2503</v>
      </c>
      <c r="C1335" t="s">
        <v>131</v>
      </c>
      <c r="D1335" t="s">
        <v>81</v>
      </c>
      <c r="E1335" s="1">
        <v>45054</v>
      </c>
      <c r="F1335" t="s">
        <v>2154</v>
      </c>
      <c r="G1335" s="1">
        <v>45078</v>
      </c>
      <c r="H1335" s="1">
        <v>45118</v>
      </c>
      <c r="I1335" t="s">
        <v>28</v>
      </c>
      <c r="J1335" s="1" t="b">
        <f t="shared" si="140"/>
        <v>1</v>
      </c>
      <c r="K1335" s="1" t="b">
        <f t="shared" si="141"/>
        <v>0</v>
      </c>
      <c r="L1335" s="1" t="b">
        <f t="shared" si="142"/>
        <v>0</v>
      </c>
      <c r="M1335" s="1" t="b">
        <f t="shared" si="143"/>
        <v>0</v>
      </c>
      <c r="N1335" s="1" t="b">
        <f t="shared" si="144"/>
        <v>0</v>
      </c>
      <c r="O1335" s="1" t="b">
        <f t="shared" si="145"/>
        <v>0</v>
      </c>
      <c r="P1335" s="1" t="b">
        <f t="shared" si="146"/>
        <v>1</v>
      </c>
    </row>
    <row r="1336" spans="1:16" x14ac:dyDescent="0.2">
      <c r="A1336">
        <v>4248312</v>
      </c>
      <c r="B1336" t="s">
        <v>2504</v>
      </c>
      <c r="C1336" t="s">
        <v>131</v>
      </c>
      <c r="D1336" t="s">
        <v>81</v>
      </c>
      <c r="E1336" s="1">
        <v>44607</v>
      </c>
      <c r="F1336" t="s">
        <v>2505</v>
      </c>
      <c r="G1336" s="1">
        <v>44609</v>
      </c>
      <c r="H1336" s="1">
        <v>44618</v>
      </c>
      <c r="I1336" t="s">
        <v>43</v>
      </c>
      <c r="J1336" s="1" t="b">
        <f t="shared" si="140"/>
        <v>1</v>
      </c>
      <c r="K1336" s="1" t="b">
        <f t="shared" si="141"/>
        <v>0</v>
      </c>
      <c r="L1336" s="1" t="b">
        <f t="shared" si="142"/>
        <v>0</v>
      </c>
      <c r="M1336" s="1" t="b">
        <f t="shared" si="143"/>
        <v>0</v>
      </c>
      <c r="N1336" s="1" t="b">
        <f t="shared" si="144"/>
        <v>0</v>
      </c>
      <c r="O1336" s="1" t="b">
        <f t="shared" si="145"/>
        <v>1</v>
      </c>
      <c r="P1336" s="1" t="b">
        <f t="shared" si="146"/>
        <v>0</v>
      </c>
    </row>
    <row r="1337" spans="1:16" x14ac:dyDescent="0.2">
      <c r="A1337">
        <v>6228902</v>
      </c>
      <c r="B1337" t="s">
        <v>2506</v>
      </c>
      <c r="C1337" t="s">
        <v>32</v>
      </c>
      <c r="D1337" t="s">
        <v>60</v>
      </c>
      <c r="E1337" s="1">
        <v>44711</v>
      </c>
      <c r="F1337" t="s">
        <v>2507</v>
      </c>
      <c r="G1337" s="1">
        <v>44716</v>
      </c>
      <c r="H1337" s="1">
        <v>44747</v>
      </c>
      <c r="I1337" t="s">
        <v>28</v>
      </c>
      <c r="J1337" s="1" t="b">
        <f t="shared" si="140"/>
        <v>1</v>
      </c>
      <c r="K1337" s="1" t="b">
        <f t="shared" si="141"/>
        <v>0</v>
      </c>
      <c r="L1337" s="1" t="b">
        <f t="shared" si="142"/>
        <v>0</v>
      </c>
      <c r="M1337" s="1" t="b">
        <f t="shared" si="143"/>
        <v>0</v>
      </c>
      <c r="N1337" s="1" t="b">
        <f t="shared" si="144"/>
        <v>0</v>
      </c>
      <c r="O1337" s="1" t="b">
        <f t="shared" si="145"/>
        <v>0</v>
      </c>
      <c r="P1337" s="1" t="b">
        <f t="shared" si="146"/>
        <v>1</v>
      </c>
    </row>
    <row r="1338" spans="1:16" x14ac:dyDescent="0.2">
      <c r="A1338">
        <v>6228902</v>
      </c>
      <c r="B1338" t="s">
        <v>2508</v>
      </c>
      <c r="C1338" t="s">
        <v>32</v>
      </c>
      <c r="D1338" t="s">
        <v>60</v>
      </c>
      <c r="E1338" s="1">
        <v>44570</v>
      </c>
      <c r="F1338" t="s">
        <v>2509</v>
      </c>
      <c r="G1338" s="1">
        <v>44587</v>
      </c>
      <c r="H1338" s="1">
        <v>44625</v>
      </c>
      <c r="I1338" t="s">
        <v>28</v>
      </c>
      <c r="J1338" s="1" t="b">
        <f t="shared" si="140"/>
        <v>1</v>
      </c>
      <c r="K1338" s="1" t="b">
        <f t="shared" si="141"/>
        <v>0</v>
      </c>
      <c r="L1338" s="1" t="b">
        <f t="shared" si="142"/>
        <v>0</v>
      </c>
      <c r="M1338" s="1" t="b">
        <f t="shared" si="143"/>
        <v>0</v>
      </c>
      <c r="N1338" s="1" t="b">
        <f t="shared" si="144"/>
        <v>0</v>
      </c>
      <c r="O1338" s="1" t="b">
        <f t="shared" si="145"/>
        <v>0</v>
      </c>
      <c r="P1338" s="1" t="b">
        <f t="shared" si="146"/>
        <v>1</v>
      </c>
    </row>
    <row r="1339" spans="1:16" x14ac:dyDescent="0.2">
      <c r="A1339">
        <v>6228902</v>
      </c>
      <c r="B1339" t="s">
        <v>2510</v>
      </c>
      <c r="C1339" t="s">
        <v>32</v>
      </c>
      <c r="D1339" t="s">
        <v>60</v>
      </c>
      <c r="E1339" s="1">
        <v>45081</v>
      </c>
      <c r="F1339" t="s">
        <v>2511</v>
      </c>
      <c r="G1339" s="1">
        <v>45108</v>
      </c>
      <c r="H1339" s="1">
        <v>45162</v>
      </c>
      <c r="I1339" t="s">
        <v>43</v>
      </c>
      <c r="J1339" s="1" t="b">
        <f t="shared" si="140"/>
        <v>1</v>
      </c>
      <c r="K1339" s="1" t="b">
        <f t="shared" si="141"/>
        <v>0</v>
      </c>
      <c r="L1339" s="1" t="b">
        <f t="shared" si="142"/>
        <v>0</v>
      </c>
      <c r="M1339" s="1" t="b">
        <f t="shared" si="143"/>
        <v>0</v>
      </c>
      <c r="N1339" s="1" t="b">
        <f t="shared" si="144"/>
        <v>0</v>
      </c>
      <c r="O1339" s="1" t="b">
        <f t="shared" si="145"/>
        <v>1</v>
      </c>
      <c r="P1339" s="1" t="b">
        <f t="shared" si="146"/>
        <v>0</v>
      </c>
    </row>
    <row r="1340" spans="1:16" x14ac:dyDescent="0.2">
      <c r="A1340">
        <v>6228902</v>
      </c>
      <c r="B1340" t="s">
        <v>2512</v>
      </c>
      <c r="C1340" t="s">
        <v>32</v>
      </c>
      <c r="D1340" t="s">
        <v>60</v>
      </c>
      <c r="E1340" s="1">
        <v>44762</v>
      </c>
      <c r="F1340" t="s">
        <v>2513</v>
      </c>
      <c r="G1340" s="1">
        <v>44769</v>
      </c>
      <c r="H1340" s="1">
        <v>44810</v>
      </c>
      <c r="I1340" t="s">
        <v>16</v>
      </c>
      <c r="J1340" s="1" t="b">
        <f t="shared" si="140"/>
        <v>1</v>
      </c>
      <c r="K1340" s="1" t="b">
        <f t="shared" si="141"/>
        <v>0</v>
      </c>
      <c r="L1340" s="1" t="b">
        <f t="shared" si="142"/>
        <v>0</v>
      </c>
      <c r="M1340" s="1" t="b">
        <f t="shared" si="143"/>
        <v>0</v>
      </c>
      <c r="N1340" s="1" t="b">
        <f t="shared" si="144"/>
        <v>1</v>
      </c>
      <c r="O1340" s="1" t="b">
        <f t="shared" si="145"/>
        <v>0</v>
      </c>
      <c r="P1340" s="1" t="b">
        <f t="shared" si="146"/>
        <v>0</v>
      </c>
    </row>
    <row r="1341" spans="1:16" x14ac:dyDescent="0.2">
      <c r="A1341">
        <v>6228902</v>
      </c>
      <c r="B1341" t="s">
        <v>2514</v>
      </c>
      <c r="C1341" t="s">
        <v>32</v>
      </c>
      <c r="D1341" t="s">
        <v>60</v>
      </c>
      <c r="E1341" s="1">
        <v>45049</v>
      </c>
      <c r="F1341" t="s">
        <v>2515</v>
      </c>
      <c r="G1341" s="1">
        <v>45072</v>
      </c>
      <c r="H1341" s="1">
        <v>45117</v>
      </c>
      <c r="I1341" t="s">
        <v>16</v>
      </c>
      <c r="J1341" s="1" t="b">
        <f t="shared" si="140"/>
        <v>1</v>
      </c>
      <c r="K1341" s="1" t="b">
        <f t="shared" si="141"/>
        <v>0</v>
      </c>
      <c r="L1341" s="1" t="b">
        <f t="shared" si="142"/>
        <v>0</v>
      </c>
      <c r="M1341" s="1" t="b">
        <f t="shared" si="143"/>
        <v>0</v>
      </c>
      <c r="N1341" s="1" t="b">
        <f t="shared" si="144"/>
        <v>1</v>
      </c>
      <c r="O1341" s="1" t="b">
        <f t="shared" si="145"/>
        <v>0</v>
      </c>
      <c r="P1341" s="1" t="b">
        <f t="shared" si="146"/>
        <v>0</v>
      </c>
    </row>
    <row r="1342" spans="1:16" x14ac:dyDescent="0.2">
      <c r="A1342">
        <v>8841710</v>
      </c>
      <c r="B1342" t="s">
        <v>2516</v>
      </c>
      <c r="C1342" t="s">
        <v>121</v>
      </c>
      <c r="D1342" t="s">
        <v>39</v>
      </c>
      <c r="E1342" s="1">
        <v>44990</v>
      </c>
      <c r="F1342" t="s">
        <v>2517</v>
      </c>
      <c r="G1342" s="1">
        <v>45001</v>
      </c>
      <c r="H1342" s="1">
        <v>45012</v>
      </c>
      <c r="I1342" t="s">
        <v>28</v>
      </c>
      <c r="J1342" s="1" t="b">
        <f t="shared" si="140"/>
        <v>1</v>
      </c>
      <c r="K1342" s="1" t="b">
        <f t="shared" si="141"/>
        <v>0</v>
      </c>
      <c r="L1342" s="1" t="b">
        <f t="shared" si="142"/>
        <v>0</v>
      </c>
      <c r="M1342" s="1" t="b">
        <f t="shared" si="143"/>
        <v>0</v>
      </c>
      <c r="N1342" s="1" t="b">
        <f t="shared" si="144"/>
        <v>0</v>
      </c>
      <c r="O1342" s="1" t="b">
        <f t="shared" si="145"/>
        <v>0</v>
      </c>
      <c r="P1342" s="1" t="b">
        <f t="shared" si="146"/>
        <v>1</v>
      </c>
    </row>
    <row r="1343" spans="1:16" x14ac:dyDescent="0.2">
      <c r="A1343">
        <v>8841710</v>
      </c>
      <c r="B1343" t="s">
        <v>2518</v>
      </c>
      <c r="C1343" t="s">
        <v>121</v>
      </c>
      <c r="D1343" t="s">
        <v>39</v>
      </c>
      <c r="E1343" s="1">
        <v>44605</v>
      </c>
      <c r="F1343" t="s">
        <v>2519</v>
      </c>
      <c r="G1343" s="1">
        <v>44621</v>
      </c>
      <c r="I1343" t="s">
        <v>13</v>
      </c>
      <c r="J1343" s="1" t="b">
        <f t="shared" si="140"/>
        <v>0</v>
      </c>
      <c r="K1343" s="1" t="b">
        <f t="shared" si="141"/>
        <v>1</v>
      </c>
      <c r="L1343" s="1" t="b">
        <f t="shared" si="142"/>
        <v>0</v>
      </c>
      <c r="M1343" s="1" t="b">
        <f t="shared" si="143"/>
        <v>0</v>
      </c>
      <c r="N1343" s="1" t="b">
        <f t="shared" si="144"/>
        <v>0</v>
      </c>
      <c r="O1343" s="1" t="b">
        <f t="shared" si="145"/>
        <v>0</v>
      </c>
      <c r="P1343" s="1" t="b">
        <f t="shared" si="146"/>
        <v>0</v>
      </c>
    </row>
    <row r="1344" spans="1:16" x14ac:dyDescent="0.2">
      <c r="A1344">
        <v>8841710</v>
      </c>
      <c r="B1344" t="s">
        <v>2520</v>
      </c>
      <c r="C1344" t="s">
        <v>121</v>
      </c>
      <c r="D1344" t="s">
        <v>39</v>
      </c>
      <c r="E1344" s="1">
        <v>44790</v>
      </c>
      <c r="F1344" t="s">
        <v>1758</v>
      </c>
      <c r="G1344" s="1">
        <v>44813</v>
      </c>
      <c r="I1344" t="s">
        <v>25</v>
      </c>
      <c r="J1344" s="1" t="b">
        <f t="shared" si="140"/>
        <v>0</v>
      </c>
      <c r="K1344" s="1" t="b">
        <f t="shared" si="141"/>
        <v>0</v>
      </c>
      <c r="L1344" s="1" t="b">
        <f t="shared" si="142"/>
        <v>1</v>
      </c>
      <c r="M1344" s="1" t="b">
        <f t="shared" si="143"/>
        <v>0</v>
      </c>
      <c r="N1344" s="1" t="b">
        <f t="shared" si="144"/>
        <v>0</v>
      </c>
      <c r="O1344" s="1" t="b">
        <f t="shared" si="145"/>
        <v>0</v>
      </c>
      <c r="P1344" s="1" t="b">
        <f t="shared" si="146"/>
        <v>0</v>
      </c>
    </row>
    <row r="1345" spans="1:16" x14ac:dyDescent="0.2">
      <c r="A1345">
        <v>8841710</v>
      </c>
      <c r="B1345" t="s">
        <v>2521</v>
      </c>
      <c r="C1345" t="s">
        <v>121</v>
      </c>
      <c r="D1345" t="s">
        <v>39</v>
      </c>
      <c r="E1345" s="1">
        <v>44806</v>
      </c>
      <c r="F1345" t="s">
        <v>2522</v>
      </c>
      <c r="G1345" s="1">
        <v>44822</v>
      </c>
      <c r="I1345" t="s">
        <v>25</v>
      </c>
      <c r="J1345" s="1" t="b">
        <f t="shared" si="140"/>
        <v>0</v>
      </c>
      <c r="K1345" s="1" t="b">
        <f t="shared" si="141"/>
        <v>0</v>
      </c>
      <c r="L1345" s="1" t="b">
        <f t="shared" si="142"/>
        <v>1</v>
      </c>
      <c r="M1345" s="1" t="b">
        <f t="shared" si="143"/>
        <v>0</v>
      </c>
      <c r="N1345" s="1" t="b">
        <f t="shared" si="144"/>
        <v>0</v>
      </c>
      <c r="O1345" s="1" t="b">
        <f t="shared" si="145"/>
        <v>0</v>
      </c>
      <c r="P1345" s="1" t="b">
        <f t="shared" si="146"/>
        <v>0</v>
      </c>
    </row>
    <row r="1346" spans="1:16" x14ac:dyDescent="0.2">
      <c r="A1346">
        <v>8841710</v>
      </c>
      <c r="B1346" t="s">
        <v>2523</v>
      </c>
      <c r="C1346" t="s">
        <v>121</v>
      </c>
      <c r="D1346" t="s">
        <v>39</v>
      </c>
      <c r="E1346" s="1">
        <v>44946</v>
      </c>
      <c r="F1346" t="s">
        <v>2201</v>
      </c>
      <c r="G1346" s="1">
        <v>44953</v>
      </c>
      <c r="H1346" s="1">
        <v>44979</v>
      </c>
      <c r="I1346" t="s">
        <v>28</v>
      </c>
      <c r="J1346" s="1" t="b">
        <f t="shared" si="140"/>
        <v>1</v>
      </c>
      <c r="K1346" s="1" t="b">
        <f t="shared" si="141"/>
        <v>0</v>
      </c>
      <c r="L1346" s="1" t="b">
        <f t="shared" si="142"/>
        <v>0</v>
      </c>
      <c r="M1346" s="1" t="b">
        <f t="shared" si="143"/>
        <v>0</v>
      </c>
      <c r="N1346" s="1" t="b">
        <f t="shared" si="144"/>
        <v>0</v>
      </c>
      <c r="O1346" s="1" t="b">
        <f t="shared" si="145"/>
        <v>0</v>
      </c>
      <c r="P1346" s="1" t="b">
        <f t="shared" si="146"/>
        <v>1</v>
      </c>
    </row>
    <row r="1347" spans="1:16" x14ac:dyDescent="0.2">
      <c r="A1347">
        <v>4091109</v>
      </c>
      <c r="B1347" t="s">
        <v>2524</v>
      </c>
      <c r="C1347" t="s">
        <v>150</v>
      </c>
      <c r="D1347" t="s">
        <v>56</v>
      </c>
      <c r="E1347" s="1">
        <v>44830</v>
      </c>
      <c r="F1347" t="s">
        <v>2525</v>
      </c>
      <c r="G1347" s="1">
        <v>44854</v>
      </c>
      <c r="I1347" t="s">
        <v>13</v>
      </c>
      <c r="J1347" s="1" t="b">
        <f t="shared" ref="J1347:J1410" si="147">AND(NOT(ISBLANK(H1347)), NOT(OR(ISNUMBER(SEARCH("decline", I1347)), ISNUMBER(SEARCH("rescind", I1347)), ISNUMBER(SEARCH("cancel", I1347)))))</f>
        <v>0</v>
      </c>
      <c r="K1347" s="1" t="b">
        <f t="shared" ref="K1347:K1410" si="148">ISNUMBER(SEARCH("decline", I1347))</f>
        <v>1</v>
      </c>
      <c r="L1347" s="1" t="b">
        <f t="shared" ref="L1347:L1410" si="149">ISNUMBER(SEARCH("rescind", I1347))</f>
        <v>0</v>
      </c>
      <c r="M1347" s="1" t="b">
        <f t="shared" ref="M1347:M1410" si="150">ISNUMBER(SEARCH("cancel", I1347))</f>
        <v>0</v>
      </c>
      <c r="N1347" s="1" t="b">
        <f t="shared" ref="N1347:N1410" si="151">ISNUMBER(SEARCH("transfer", I1347))</f>
        <v>0</v>
      </c>
      <c r="O1347" s="1" t="b">
        <f t="shared" ref="O1347:O1410" si="152">ISNUMBER(SEARCH("promo", I1347))</f>
        <v>0</v>
      </c>
      <c r="P1347" s="1" t="b">
        <f t="shared" ref="P1347:P1410" si="153">ISNUMBER(SEARCH("new", I1347))</f>
        <v>0</v>
      </c>
    </row>
    <row r="1348" spans="1:16" x14ac:dyDescent="0.2">
      <c r="A1348">
        <v>4091109</v>
      </c>
      <c r="B1348" t="s">
        <v>2526</v>
      </c>
      <c r="C1348" t="s">
        <v>150</v>
      </c>
      <c r="D1348" t="s">
        <v>56</v>
      </c>
      <c r="E1348" s="1">
        <v>44707</v>
      </c>
      <c r="F1348" t="s">
        <v>2527</v>
      </c>
      <c r="G1348" s="1">
        <v>44717</v>
      </c>
      <c r="I1348" t="s">
        <v>25</v>
      </c>
      <c r="J1348" s="1" t="b">
        <f t="shared" si="147"/>
        <v>0</v>
      </c>
      <c r="K1348" s="1" t="b">
        <f t="shared" si="148"/>
        <v>0</v>
      </c>
      <c r="L1348" s="1" t="b">
        <f t="shared" si="149"/>
        <v>1</v>
      </c>
      <c r="M1348" s="1" t="b">
        <f t="shared" si="150"/>
        <v>0</v>
      </c>
      <c r="N1348" s="1" t="b">
        <f t="shared" si="151"/>
        <v>0</v>
      </c>
      <c r="O1348" s="1" t="b">
        <f t="shared" si="152"/>
        <v>0</v>
      </c>
      <c r="P1348" s="1" t="b">
        <f t="shared" si="153"/>
        <v>0</v>
      </c>
    </row>
    <row r="1349" spans="1:16" x14ac:dyDescent="0.2">
      <c r="A1349">
        <v>4091109</v>
      </c>
      <c r="B1349" t="s">
        <v>2528</v>
      </c>
      <c r="C1349" t="s">
        <v>150</v>
      </c>
      <c r="D1349" t="s">
        <v>56</v>
      </c>
      <c r="E1349" s="1">
        <v>44765</v>
      </c>
      <c r="F1349" t="s">
        <v>2529</v>
      </c>
      <c r="G1349" s="1">
        <v>44772</v>
      </c>
      <c r="H1349" s="1">
        <v>44791</v>
      </c>
      <c r="I1349" t="s">
        <v>28</v>
      </c>
      <c r="J1349" s="1" t="b">
        <f t="shared" si="147"/>
        <v>1</v>
      </c>
      <c r="K1349" s="1" t="b">
        <f t="shared" si="148"/>
        <v>0</v>
      </c>
      <c r="L1349" s="1" t="b">
        <f t="shared" si="149"/>
        <v>0</v>
      </c>
      <c r="M1349" s="1" t="b">
        <f t="shared" si="150"/>
        <v>0</v>
      </c>
      <c r="N1349" s="1" t="b">
        <f t="shared" si="151"/>
        <v>0</v>
      </c>
      <c r="O1349" s="1" t="b">
        <f t="shared" si="152"/>
        <v>0</v>
      </c>
      <c r="P1349" s="1" t="b">
        <f t="shared" si="153"/>
        <v>1</v>
      </c>
    </row>
    <row r="1350" spans="1:16" x14ac:dyDescent="0.2">
      <c r="A1350">
        <v>3924009</v>
      </c>
      <c r="B1350" t="s">
        <v>2530</v>
      </c>
      <c r="C1350" t="s">
        <v>720</v>
      </c>
      <c r="D1350" t="s">
        <v>139</v>
      </c>
      <c r="E1350" s="1">
        <v>44830</v>
      </c>
      <c r="F1350" t="s">
        <v>159</v>
      </c>
      <c r="G1350" s="1">
        <v>44860</v>
      </c>
      <c r="I1350" t="s">
        <v>13</v>
      </c>
      <c r="J1350" s="1" t="b">
        <f t="shared" si="147"/>
        <v>0</v>
      </c>
      <c r="K1350" s="1" t="b">
        <f t="shared" si="148"/>
        <v>1</v>
      </c>
      <c r="L1350" s="1" t="b">
        <f t="shared" si="149"/>
        <v>0</v>
      </c>
      <c r="M1350" s="1" t="b">
        <f t="shared" si="150"/>
        <v>0</v>
      </c>
      <c r="N1350" s="1" t="b">
        <f t="shared" si="151"/>
        <v>0</v>
      </c>
      <c r="O1350" s="1" t="b">
        <f t="shared" si="152"/>
        <v>0</v>
      </c>
      <c r="P1350" s="1" t="b">
        <f t="shared" si="153"/>
        <v>0</v>
      </c>
    </row>
    <row r="1351" spans="1:16" x14ac:dyDescent="0.2">
      <c r="A1351">
        <v>3924009</v>
      </c>
      <c r="B1351" t="s">
        <v>2531</v>
      </c>
      <c r="C1351" t="s">
        <v>720</v>
      </c>
      <c r="D1351" t="s">
        <v>139</v>
      </c>
      <c r="E1351" s="1">
        <v>44702</v>
      </c>
      <c r="F1351" t="s">
        <v>2532</v>
      </c>
      <c r="G1351" s="1">
        <v>44715</v>
      </c>
      <c r="I1351" t="s">
        <v>13</v>
      </c>
      <c r="J1351" s="1" t="b">
        <f t="shared" si="147"/>
        <v>0</v>
      </c>
      <c r="K1351" s="1" t="b">
        <f t="shared" si="148"/>
        <v>1</v>
      </c>
      <c r="L1351" s="1" t="b">
        <f t="shared" si="149"/>
        <v>0</v>
      </c>
      <c r="M1351" s="1" t="b">
        <f t="shared" si="150"/>
        <v>0</v>
      </c>
      <c r="N1351" s="1" t="b">
        <f t="shared" si="151"/>
        <v>0</v>
      </c>
      <c r="O1351" s="1" t="b">
        <f t="shared" si="152"/>
        <v>0</v>
      </c>
      <c r="P1351" s="1" t="b">
        <f t="shared" si="153"/>
        <v>0</v>
      </c>
    </row>
    <row r="1352" spans="1:16" x14ac:dyDescent="0.2">
      <c r="A1352">
        <v>2861751</v>
      </c>
      <c r="B1352" t="s">
        <v>2533</v>
      </c>
      <c r="C1352" t="s">
        <v>720</v>
      </c>
      <c r="D1352" t="s">
        <v>19</v>
      </c>
      <c r="E1352" s="1">
        <v>44737</v>
      </c>
      <c r="F1352" t="s">
        <v>576</v>
      </c>
      <c r="G1352" s="1">
        <v>44754</v>
      </c>
      <c r="H1352" s="1">
        <v>44806</v>
      </c>
      <c r="I1352" t="s">
        <v>28</v>
      </c>
      <c r="J1352" s="1" t="b">
        <f t="shared" si="147"/>
        <v>1</v>
      </c>
      <c r="K1352" s="1" t="b">
        <f t="shared" si="148"/>
        <v>0</v>
      </c>
      <c r="L1352" s="1" t="b">
        <f t="shared" si="149"/>
        <v>0</v>
      </c>
      <c r="M1352" s="1" t="b">
        <f t="shared" si="150"/>
        <v>0</v>
      </c>
      <c r="N1352" s="1" t="b">
        <f t="shared" si="151"/>
        <v>0</v>
      </c>
      <c r="O1352" s="1" t="b">
        <f t="shared" si="152"/>
        <v>0</v>
      </c>
      <c r="P1352" s="1" t="b">
        <f t="shared" si="153"/>
        <v>1</v>
      </c>
    </row>
    <row r="1353" spans="1:16" x14ac:dyDescent="0.2">
      <c r="A1353">
        <v>2861751</v>
      </c>
      <c r="B1353" t="s">
        <v>2534</v>
      </c>
      <c r="C1353" t="s">
        <v>720</v>
      </c>
      <c r="D1353" t="s">
        <v>19</v>
      </c>
      <c r="E1353" s="1">
        <v>44628</v>
      </c>
      <c r="F1353" t="s">
        <v>2142</v>
      </c>
      <c r="G1353" s="1">
        <v>44632</v>
      </c>
      <c r="H1353" s="1">
        <v>44642</v>
      </c>
      <c r="J1353" s="1" t="b">
        <f t="shared" si="147"/>
        <v>1</v>
      </c>
      <c r="K1353" s="1" t="b">
        <f t="shared" si="148"/>
        <v>0</v>
      </c>
      <c r="L1353" s="1" t="b">
        <f t="shared" si="149"/>
        <v>0</v>
      </c>
      <c r="M1353" s="1" t="b">
        <f t="shared" si="150"/>
        <v>0</v>
      </c>
      <c r="N1353" s="1" t="b">
        <f t="shared" si="151"/>
        <v>0</v>
      </c>
      <c r="O1353" s="1" t="b">
        <f t="shared" si="152"/>
        <v>0</v>
      </c>
      <c r="P1353" s="1" t="b">
        <f t="shared" si="153"/>
        <v>0</v>
      </c>
    </row>
    <row r="1354" spans="1:16" x14ac:dyDescent="0.2">
      <c r="A1354">
        <v>2861751</v>
      </c>
      <c r="B1354" t="s">
        <v>2535</v>
      </c>
      <c r="C1354" t="s">
        <v>720</v>
      </c>
      <c r="D1354" t="s">
        <v>19</v>
      </c>
      <c r="E1354" s="1">
        <v>44758</v>
      </c>
      <c r="F1354" t="s">
        <v>2536</v>
      </c>
      <c r="G1354" s="1">
        <v>44776</v>
      </c>
      <c r="H1354" s="1">
        <v>44801</v>
      </c>
      <c r="I1354" t="s">
        <v>43</v>
      </c>
      <c r="J1354" s="1" t="b">
        <f t="shared" si="147"/>
        <v>1</v>
      </c>
      <c r="K1354" s="1" t="b">
        <f t="shared" si="148"/>
        <v>0</v>
      </c>
      <c r="L1354" s="1" t="b">
        <f t="shared" si="149"/>
        <v>0</v>
      </c>
      <c r="M1354" s="1" t="b">
        <f t="shared" si="150"/>
        <v>0</v>
      </c>
      <c r="N1354" s="1" t="b">
        <f t="shared" si="151"/>
        <v>0</v>
      </c>
      <c r="O1354" s="1" t="b">
        <f t="shared" si="152"/>
        <v>1</v>
      </c>
      <c r="P1354" s="1" t="b">
        <f t="shared" si="153"/>
        <v>0</v>
      </c>
    </row>
    <row r="1355" spans="1:16" x14ac:dyDescent="0.2">
      <c r="A1355">
        <v>7278962</v>
      </c>
      <c r="B1355" t="s">
        <v>2537</v>
      </c>
      <c r="C1355" t="s">
        <v>720</v>
      </c>
      <c r="D1355" t="s">
        <v>81</v>
      </c>
      <c r="E1355" s="1">
        <v>44755</v>
      </c>
      <c r="F1355" t="s">
        <v>1393</v>
      </c>
      <c r="G1355" s="1">
        <v>44783</v>
      </c>
      <c r="H1355" s="1">
        <v>44818</v>
      </c>
      <c r="I1355" t="s">
        <v>43</v>
      </c>
      <c r="J1355" s="1" t="b">
        <f t="shared" si="147"/>
        <v>1</v>
      </c>
      <c r="K1355" s="1" t="b">
        <f t="shared" si="148"/>
        <v>0</v>
      </c>
      <c r="L1355" s="1" t="b">
        <f t="shared" si="149"/>
        <v>0</v>
      </c>
      <c r="M1355" s="1" t="b">
        <f t="shared" si="150"/>
        <v>0</v>
      </c>
      <c r="N1355" s="1" t="b">
        <f t="shared" si="151"/>
        <v>0</v>
      </c>
      <c r="O1355" s="1" t="b">
        <f t="shared" si="152"/>
        <v>1</v>
      </c>
      <c r="P1355" s="1" t="b">
        <f t="shared" si="153"/>
        <v>0</v>
      </c>
    </row>
    <row r="1356" spans="1:16" x14ac:dyDescent="0.2">
      <c r="A1356">
        <v>7278962</v>
      </c>
      <c r="B1356" t="s">
        <v>2538</v>
      </c>
      <c r="C1356" t="s">
        <v>720</v>
      </c>
      <c r="D1356" t="s">
        <v>81</v>
      </c>
      <c r="E1356" s="1">
        <v>44815</v>
      </c>
      <c r="F1356" t="s">
        <v>1198</v>
      </c>
      <c r="G1356" s="1">
        <v>44817</v>
      </c>
      <c r="I1356" t="s">
        <v>25</v>
      </c>
      <c r="J1356" s="1" t="b">
        <f t="shared" si="147"/>
        <v>0</v>
      </c>
      <c r="K1356" s="1" t="b">
        <f t="shared" si="148"/>
        <v>0</v>
      </c>
      <c r="L1356" s="1" t="b">
        <f t="shared" si="149"/>
        <v>1</v>
      </c>
      <c r="M1356" s="1" t="b">
        <f t="shared" si="150"/>
        <v>0</v>
      </c>
      <c r="N1356" s="1" t="b">
        <f t="shared" si="151"/>
        <v>0</v>
      </c>
      <c r="O1356" s="1" t="b">
        <f t="shared" si="152"/>
        <v>0</v>
      </c>
      <c r="P1356" s="1" t="b">
        <f t="shared" si="153"/>
        <v>0</v>
      </c>
    </row>
    <row r="1357" spans="1:16" x14ac:dyDescent="0.2">
      <c r="A1357">
        <v>7278962</v>
      </c>
      <c r="B1357" t="s">
        <v>2539</v>
      </c>
      <c r="C1357" t="s">
        <v>720</v>
      </c>
      <c r="D1357" t="s">
        <v>81</v>
      </c>
      <c r="E1357" s="1">
        <v>45082</v>
      </c>
      <c r="F1357" t="s">
        <v>2540</v>
      </c>
      <c r="G1357" s="1">
        <v>45101</v>
      </c>
      <c r="H1357" s="1">
        <v>45158</v>
      </c>
      <c r="I1357" t="s">
        <v>28</v>
      </c>
      <c r="J1357" s="1" t="b">
        <f t="shared" si="147"/>
        <v>1</v>
      </c>
      <c r="K1357" s="1" t="b">
        <f t="shared" si="148"/>
        <v>0</v>
      </c>
      <c r="L1357" s="1" t="b">
        <f t="shared" si="149"/>
        <v>0</v>
      </c>
      <c r="M1357" s="1" t="b">
        <f t="shared" si="150"/>
        <v>0</v>
      </c>
      <c r="N1357" s="1" t="b">
        <f t="shared" si="151"/>
        <v>0</v>
      </c>
      <c r="O1357" s="1" t="b">
        <f t="shared" si="152"/>
        <v>0</v>
      </c>
      <c r="P1357" s="1" t="b">
        <f t="shared" si="153"/>
        <v>1</v>
      </c>
    </row>
    <row r="1358" spans="1:16" x14ac:dyDescent="0.2">
      <c r="A1358">
        <v>7278962</v>
      </c>
      <c r="B1358" t="s">
        <v>2541</v>
      </c>
      <c r="C1358" t="s">
        <v>720</v>
      </c>
      <c r="D1358" t="s">
        <v>81</v>
      </c>
      <c r="E1358" s="1">
        <v>44628</v>
      </c>
      <c r="F1358" t="s">
        <v>2338</v>
      </c>
      <c r="G1358" s="1">
        <v>44634</v>
      </c>
      <c r="H1358" s="1">
        <v>44667</v>
      </c>
      <c r="I1358" t="s">
        <v>16</v>
      </c>
      <c r="J1358" s="1" t="b">
        <f t="shared" si="147"/>
        <v>1</v>
      </c>
      <c r="K1358" s="1" t="b">
        <f t="shared" si="148"/>
        <v>0</v>
      </c>
      <c r="L1358" s="1" t="b">
        <f t="shared" si="149"/>
        <v>0</v>
      </c>
      <c r="M1358" s="1" t="b">
        <f t="shared" si="150"/>
        <v>0</v>
      </c>
      <c r="N1358" s="1" t="b">
        <f t="shared" si="151"/>
        <v>1</v>
      </c>
      <c r="O1358" s="1" t="b">
        <f t="shared" si="152"/>
        <v>0</v>
      </c>
      <c r="P1358" s="1" t="b">
        <f t="shared" si="153"/>
        <v>0</v>
      </c>
    </row>
    <row r="1359" spans="1:16" x14ac:dyDescent="0.2">
      <c r="A1359">
        <v>7511503</v>
      </c>
      <c r="B1359" t="s">
        <v>2542</v>
      </c>
      <c r="C1359" t="s">
        <v>35</v>
      </c>
      <c r="D1359" t="s">
        <v>139</v>
      </c>
      <c r="E1359" s="1">
        <v>44944</v>
      </c>
      <c r="F1359" t="s">
        <v>2543</v>
      </c>
      <c r="G1359" s="1">
        <v>44961</v>
      </c>
      <c r="H1359" s="1">
        <v>45006</v>
      </c>
      <c r="J1359" s="1" t="b">
        <f t="shared" si="147"/>
        <v>1</v>
      </c>
      <c r="K1359" s="1" t="b">
        <f t="shared" si="148"/>
        <v>0</v>
      </c>
      <c r="L1359" s="1" t="b">
        <f t="shared" si="149"/>
        <v>0</v>
      </c>
      <c r="M1359" s="1" t="b">
        <f t="shared" si="150"/>
        <v>0</v>
      </c>
      <c r="N1359" s="1" t="b">
        <f t="shared" si="151"/>
        <v>0</v>
      </c>
      <c r="O1359" s="1" t="b">
        <f t="shared" si="152"/>
        <v>0</v>
      </c>
      <c r="P1359" s="1" t="b">
        <f t="shared" si="153"/>
        <v>0</v>
      </c>
    </row>
    <row r="1360" spans="1:16" x14ac:dyDescent="0.2">
      <c r="A1360">
        <v>7511503</v>
      </c>
      <c r="B1360" t="s">
        <v>2544</v>
      </c>
      <c r="C1360" t="s">
        <v>35</v>
      </c>
      <c r="D1360" t="s">
        <v>139</v>
      </c>
      <c r="E1360" s="1">
        <v>44972</v>
      </c>
      <c r="F1360" t="s">
        <v>2545</v>
      </c>
      <c r="G1360" s="1">
        <v>44993</v>
      </c>
      <c r="H1360" s="1">
        <v>45052</v>
      </c>
      <c r="J1360" s="1" t="b">
        <f t="shared" si="147"/>
        <v>1</v>
      </c>
      <c r="K1360" s="1" t="b">
        <f t="shared" si="148"/>
        <v>0</v>
      </c>
      <c r="L1360" s="1" t="b">
        <f t="shared" si="149"/>
        <v>0</v>
      </c>
      <c r="M1360" s="1" t="b">
        <f t="shared" si="150"/>
        <v>0</v>
      </c>
      <c r="N1360" s="1" t="b">
        <f t="shared" si="151"/>
        <v>0</v>
      </c>
      <c r="O1360" s="1" t="b">
        <f t="shared" si="152"/>
        <v>0</v>
      </c>
      <c r="P1360" s="1" t="b">
        <f t="shared" si="153"/>
        <v>0</v>
      </c>
    </row>
    <row r="1361" spans="1:16" x14ac:dyDescent="0.2">
      <c r="A1361">
        <v>7511503</v>
      </c>
      <c r="B1361" t="s">
        <v>2546</v>
      </c>
      <c r="C1361" t="s">
        <v>35</v>
      </c>
      <c r="D1361" t="s">
        <v>139</v>
      </c>
      <c r="E1361" s="1">
        <v>44769</v>
      </c>
      <c r="F1361" t="s">
        <v>2547</v>
      </c>
      <c r="G1361" s="1">
        <v>44784</v>
      </c>
      <c r="H1361" s="1">
        <v>44840</v>
      </c>
      <c r="I1361" t="s">
        <v>16</v>
      </c>
      <c r="J1361" s="1" t="b">
        <f t="shared" si="147"/>
        <v>1</v>
      </c>
      <c r="K1361" s="1" t="b">
        <f t="shared" si="148"/>
        <v>0</v>
      </c>
      <c r="L1361" s="1" t="b">
        <f t="shared" si="149"/>
        <v>0</v>
      </c>
      <c r="M1361" s="1" t="b">
        <f t="shared" si="150"/>
        <v>0</v>
      </c>
      <c r="N1361" s="1" t="b">
        <f t="shared" si="151"/>
        <v>1</v>
      </c>
      <c r="O1361" s="1" t="b">
        <f t="shared" si="152"/>
        <v>0</v>
      </c>
      <c r="P1361" s="1" t="b">
        <f t="shared" si="153"/>
        <v>0</v>
      </c>
    </row>
    <row r="1362" spans="1:16" x14ac:dyDescent="0.2">
      <c r="A1362">
        <v>4932320</v>
      </c>
      <c r="B1362" t="s">
        <v>2548</v>
      </c>
      <c r="C1362" t="s">
        <v>59</v>
      </c>
      <c r="D1362" t="s">
        <v>19</v>
      </c>
      <c r="E1362" s="1">
        <v>44945</v>
      </c>
      <c r="F1362" t="s">
        <v>2549</v>
      </c>
      <c r="G1362" s="1">
        <v>44954</v>
      </c>
      <c r="H1362" s="1">
        <v>44990</v>
      </c>
      <c r="J1362" s="1" t="b">
        <f t="shared" si="147"/>
        <v>1</v>
      </c>
      <c r="K1362" s="1" t="b">
        <f t="shared" si="148"/>
        <v>0</v>
      </c>
      <c r="L1362" s="1" t="b">
        <f t="shared" si="149"/>
        <v>0</v>
      </c>
      <c r="M1362" s="1" t="b">
        <f t="shared" si="150"/>
        <v>0</v>
      </c>
      <c r="N1362" s="1" t="b">
        <f t="shared" si="151"/>
        <v>0</v>
      </c>
      <c r="O1362" s="1" t="b">
        <f t="shared" si="152"/>
        <v>0</v>
      </c>
      <c r="P1362" s="1" t="b">
        <f t="shared" si="153"/>
        <v>0</v>
      </c>
    </row>
    <row r="1363" spans="1:16" x14ac:dyDescent="0.2">
      <c r="A1363">
        <v>4932320</v>
      </c>
      <c r="B1363" t="s">
        <v>2550</v>
      </c>
      <c r="C1363" t="s">
        <v>59</v>
      </c>
      <c r="D1363" t="s">
        <v>19</v>
      </c>
      <c r="E1363" s="1">
        <v>44864</v>
      </c>
      <c r="F1363" t="s">
        <v>2551</v>
      </c>
      <c r="G1363" s="1">
        <v>44879</v>
      </c>
      <c r="I1363" t="s">
        <v>13</v>
      </c>
      <c r="J1363" s="1" t="b">
        <f t="shared" si="147"/>
        <v>0</v>
      </c>
      <c r="K1363" s="1" t="b">
        <f t="shared" si="148"/>
        <v>1</v>
      </c>
      <c r="L1363" s="1" t="b">
        <f t="shared" si="149"/>
        <v>0</v>
      </c>
      <c r="M1363" s="1" t="b">
        <f t="shared" si="150"/>
        <v>0</v>
      </c>
      <c r="N1363" s="1" t="b">
        <f t="shared" si="151"/>
        <v>0</v>
      </c>
      <c r="O1363" s="1" t="b">
        <f t="shared" si="152"/>
        <v>0</v>
      </c>
      <c r="P1363" s="1" t="b">
        <f t="shared" si="153"/>
        <v>0</v>
      </c>
    </row>
    <row r="1364" spans="1:16" x14ac:dyDescent="0.2">
      <c r="A1364">
        <v>4932320</v>
      </c>
      <c r="B1364" t="s">
        <v>2552</v>
      </c>
      <c r="C1364" t="s">
        <v>59</v>
      </c>
      <c r="D1364" t="s">
        <v>19</v>
      </c>
      <c r="E1364" s="1">
        <v>45038</v>
      </c>
      <c r="F1364" t="s">
        <v>2553</v>
      </c>
      <c r="G1364" s="1">
        <v>45055</v>
      </c>
      <c r="H1364" s="1">
        <v>45095</v>
      </c>
      <c r="I1364" t="s">
        <v>43</v>
      </c>
      <c r="J1364" s="1" t="b">
        <f t="shared" si="147"/>
        <v>1</v>
      </c>
      <c r="K1364" s="1" t="b">
        <f t="shared" si="148"/>
        <v>0</v>
      </c>
      <c r="L1364" s="1" t="b">
        <f t="shared" si="149"/>
        <v>0</v>
      </c>
      <c r="M1364" s="1" t="b">
        <f t="shared" si="150"/>
        <v>0</v>
      </c>
      <c r="N1364" s="1" t="b">
        <f t="shared" si="151"/>
        <v>0</v>
      </c>
      <c r="O1364" s="1" t="b">
        <f t="shared" si="152"/>
        <v>1</v>
      </c>
      <c r="P1364" s="1" t="b">
        <f t="shared" si="153"/>
        <v>0</v>
      </c>
    </row>
    <row r="1365" spans="1:16" x14ac:dyDescent="0.2">
      <c r="A1365">
        <v>6643418</v>
      </c>
      <c r="B1365" t="s">
        <v>2554</v>
      </c>
      <c r="C1365" t="s">
        <v>315</v>
      </c>
      <c r="D1365" t="s">
        <v>77</v>
      </c>
      <c r="E1365" s="1">
        <v>44886</v>
      </c>
      <c r="F1365" t="s">
        <v>2555</v>
      </c>
      <c r="G1365" s="1">
        <v>44895</v>
      </c>
      <c r="H1365" s="1">
        <v>44920</v>
      </c>
      <c r="I1365" t="s">
        <v>28</v>
      </c>
      <c r="J1365" s="1" t="b">
        <f t="shared" si="147"/>
        <v>1</v>
      </c>
      <c r="K1365" s="1" t="b">
        <f t="shared" si="148"/>
        <v>0</v>
      </c>
      <c r="L1365" s="1" t="b">
        <f t="shared" si="149"/>
        <v>0</v>
      </c>
      <c r="M1365" s="1" t="b">
        <f t="shared" si="150"/>
        <v>0</v>
      </c>
      <c r="N1365" s="1" t="b">
        <f t="shared" si="151"/>
        <v>0</v>
      </c>
      <c r="O1365" s="1" t="b">
        <f t="shared" si="152"/>
        <v>0</v>
      </c>
      <c r="P1365" s="1" t="b">
        <f t="shared" si="153"/>
        <v>1</v>
      </c>
    </row>
    <row r="1366" spans="1:16" x14ac:dyDescent="0.2">
      <c r="A1366">
        <v>6643418</v>
      </c>
      <c r="B1366" t="s">
        <v>2556</v>
      </c>
      <c r="C1366" t="s">
        <v>315</v>
      </c>
      <c r="D1366" t="s">
        <v>77</v>
      </c>
      <c r="E1366" s="1">
        <v>44833</v>
      </c>
      <c r="F1366" t="s">
        <v>2557</v>
      </c>
      <c r="G1366" s="1">
        <v>44854</v>
      </c>
      <c r="I1366" t="s">
        <v>13</v>
      </c>
      <c r="J1366" s="1" t="b">
        <f t="shared" si="147"/>
        <v>0</v>
      </c>
      <c r="K1366" s="1" t="b">
        <f t="shared" si="148"/>
        <v>1</v>
      </c>
      <c r="L1366" s="1" t="b">
        <f t="shared" si="149"/>
        <v>0</v>
      </c>
      <c r="M1366" s="1" t="b">
        <f t="shared" si="150"/>
        <v>0</v>
      </c>
      <c r="N1366" s="1" t="b">
        <f t="shared" si="151"/>
        <v>0</v>
      </c>
      <c r="O1366" s="1" t="b">
        <f t="shared" si="152"/>
        <v>0</v>
      </c>
      <c r="P1366" s="1" t="b">
        <f t="shared" si="153"/>
        <v>0</v>
      </c>
    </row>
    <row r="1367" spans="1:16" x14ac:dyDescent="0.2">
      <c r="A1367">
        <v>6643418</v>
      </c>
      <c r="B1367" t="s">
        <v>2558</v>
      </c>
      <c r="C1367" t="s">
        <v>315</v>
      </c>
      <c r="D1367" t="s">
        <v>77</v>
      </c>
      <c r="E1367" s="1">
        <v>44863</v>
      </c>
      <c r="F1367" t="s">
        <v>549</v>
      </c>
      <c r="G1367" s="1">
        <v>44890</v>
      </c>
      <c r="I1367" t="s">
        <v>13</v>
      </c>
      <c r="J1367" s="1" t="b">
        <f t="shared" si="147"/>
        <v>0</v>
      </c>
      <c r="K1367" s="1" t="b">
        <f t="shared" si="148"/>
        <v>1</v>
      </c>
      <c r="L1367" s="1" t="b">
        <f t="shared" si="149"/>
        <v>0</v>
      </c>
      <c r="M1367" s="1" t="b">
        <f t="shared" si="150"/>
        <v>0</v>
      </c>
      <c r="N1367" s="1" t="b">
        <f t="shared" si="151"/>
        <v>0</v>
      </c>
      <c r="O1367" s="1" t="b">
        <f t="shared" si="152"/>
        <v>0</v>
      </c>
      <c r="P1367" s="1" t="b">
        <f t="shared" si="153"/>
        <v>0</v>
      </c>
    </row>
    <row r="1368" spans="1:16" x14ac:dyDescent="0.2">
      <c r="A1368">
        <v>6643418</v>
      </c>
      <c r="B1368" t="s">
        <v>2559</v>
      </c>
      <c r="C1368" t="s">
        <v>315</v>
      </c>
      <c r="D1368" t="s">
        <v>77</v>
      </c>
      <c r="E1368" s="1">
        <v>44795</v>
      </c>
      <c r="F1368" t="s">
        <v>1869</v>
      </c>
      <c r="G1368" s="1">
        <v>44799</v>
      </c>
      <c r="H1368" s="1">
        <v>44807</v>
      </c>
      <c r="I1368" t="s">
        <v>16</v>
      </c>
      <c r="J1368" s="1" t="b">
        <f t="shared" si="147"/>
        <v>1</v>
      </c>
      <c r="K1368" s="1" t="b">
        <f t="shared" si="148"/>
        <v>0</v>
      </c>
      <c r="L1368" s="1" t="b">
        <f t="shared" si="149"/>
        <v>0</v>
      </c>
      <c r="M1368" s="1" t="b">
        <f t="shared" si="150"/>
        <v>0</v>
      </c>
      <c r="N1368" s="1" t="b">
        <f t="shared" si="151"/>
        <v>1</v>
      </c>
      <c r="O1368" s="1" t="b">
        <f t="shared" si="152"/>
        <v>0</v>
      </c>
      <c r="P1368" s="1" t="b">
        <f t="shared" si="153"/>
        <v>0</v>
      </c>
    </row>
    <row r="1369" spans="1:16" x14ac:dyDescent="0.2">
      <c r="A1369">
        <v>2197032</v>
      </c>
      <c r="B1369" t="s">
        <v>2560</v>
      </c>
      <c r="C1369" t="s">
        <v>542</v>
      </c>
      <c r="D1369" t="s">
        <v>56</v>
      </c>
      <c r="E1369" s="1">
        <v>44899</v>
      </c>
      <c r="F1369" t="s">
        <v>2561</v>
      </c>
      <c r="G1369" s="1">
        <v>44908</v>
      </c>
      <c r="I1369" t="s">
        <v>13</v>
      </c>
      <c r="J1369" s="1" t="b">
        <f t="shared" si="147"/>
        <v>0</v>
      </c>
      <c r="K1369" s="1" t="b">
        <f t="shared" si="148"/>
        <v>1</v>
      </c>
      <c r="L1369" s="1" t="b">
        <f t="shared" si="149"/>
        <v>0</v>
      </c>
      <c r="M1369" s="1" t="b">
        <f t="shared" si="150"/>
        <v>0</v>
      </c>
      <c r="N1369" s="1" t="b">
        <f t="shared" si="151"/>
        <v>0</v>
      </c>
      <c r="O1369" s="1" t="b">
        <f t="shared" si="152"/>
        <v>0</v>
      </c>
      <c r="P1369" s="1" t="b">
        <f t="shared" si="153"/>
        <v>0</v>
      </c>
    </row>
    <row r="1370" spans="1:16" x14ac:dyDescent="0.2">
      <c r="A1370">
        <v>2197032</v>
      </c>
      <c r="B1370" t="s">
        <v>2562</v>
      </c>
      <c r="C1370" t="s">
        <v>542</v>
      </c>
      <c r="D1370" t="s">
        <v>56</v>
      </c>
      <c r="E1370" s="1">
        <v>44843</v>
      </c>
      <c r="F1370" t="s">
        <v>2563</v>
      </c>
      <c r="G1370" s="1">
        <v>44850</v>
      </c>
      <c r="I1370" t="s">
        <v>25</v>
      </c>
      <c r="J1370" s="1" t="b">
        <f t="shared" si="147"/>
        <v>0</v>
      </c>
      <c r="K1370" s="1" t="b">
        <f t="shared" si="148"/>
        <v>0</v>
      </c>
      <c r="L1370" s="1" t="b">
        <f t="shared" si="149"/>
        <v>1</v>
      </c>
      <c r="M1370" s="1" t="b">
        <f t="shared" si="150"/>
        <v>0</v>
      </c>
      <c r="N1370" s="1" t="b">
        <f t="shared" si="151"/>
        <v>0</v>
      </c>
      <c r="O1370" s="1" t="b">
        <f t="shared" si="152"/>
        <v>0</v>
      </c>
      <c r="P1370" s="1" t="b">
        <f t="shared" si="153"/>
        <v>0</v>
      </c>
    </row>
    <row r="1371" spans="1:16" x14ac:dyDescent="0.2">
      <c r="A1371">
        <v>2197032</v>
      </c>
      <c r="B1371" t="s">
        <v>2564</v>
      </c>
      <c r="C1371" t="s">
        <v>542</v>
      </c>
      <c r="D1371" t="s">
        <v>56</v>
      </c>
      <c r="E1371" s="1">
        <v>44829</v>
      </c>
      <c r="F1371" t="s">
        <v>1244</v>
      </c>
      <c r="G1371" s="1">
        <v>44830</v>
      </c>
      <c r="H1371" s="1">
        <v>44880</v>
      </c>
      <c r="I1371" t="s">
        <v>43</v>
      </c>
      <c r="J1371" s="1" t="b">
        <f t="shared" si="147"/>
        <v>1</v>
      </c>
      <c r="K1371" s="1" t="b">
        <f t="shared" si="148"/>
        <v>0</v>
      </c>
      <c r="L1371" s="1" t="b">
        <f t="shared" si="149"/>
        <v>0</v>
      </c>
      <c r="M1371" s="1" t="b">
        <f t="shared" si="150"/>
        <v>0</v>
      </c>
      <c r="N1371" s="1" t="b">
        <f t="shared" si="151"/>
        <v>0</v>
      </c>
      <c r="O1371" s="1" t="b">
        <f t="shared" si="152"/>
        <v>1</v>
      </c>
      <c r="P1371" s="1" t="b">
        <f t="shared" si="153"/>
        <v>0</v>
      </c>
    </row>
    <row r="1372" spans="1:16" x14ac:dyDescent="0.2">
      <c r="A1372">
        <v>2197032</v>
      </c>
      <c r="B1372" t="s">
        <v>2565</v>
      </c>
      <c r="C1372" t="s">
        <v>542</v>
      </c>
      <c r="D1372" t="s">
        <v>56</v>
      </c>
      <c r="E1372" s="1">
        <v>44975</v>
      </c>
      <c r="F1372" t="s">
        <v>2566</v>
      </c>
      <c r="G1372" s="1">
        <v>44988</v>
      </c>
      <c r="I1372" t="s">
        <v>25</v>
      </c>
      <c r="J1372" s="1" t="b">
        <f t="shared" si="147"/>
        <v>0</v>
      </c>
      <c r="K1372" s="1" t="b">
        <f t="shared" si="148"/>
        <v>0</v>
      </c>
      <c r="L1372" s="1" t="b">
        <f t="shared" si="149"/>
        <v>1</v>
      </c>
      <c r="M1372" s="1" t="b">
        <f t="shared" si="150"/>
        <v>0</v>
      </c>
      <c r="N1372" s="1" t="b">
        <f t="shared" si="151"/>
        <v>0</v>
      </c>
      <c r="O1372" s="1" t="b">
        <f t="shared" si="152"/>
        <v>0</v>
      </c>
      <c r="P1372" s="1" t="b">
        <f t="shared" si="153"/>
        <v>0</v>
      </c>
    </row>
    <row r="1373" spans="1:16" x14ac:dyDescent="0.2">
      <c r="A1373">
        <v>2197032</v>
      </c>
      <c r="B1373" t="s">
        <v>2567</v>
      </c>
      <c r="C1373" t="s">
        <v>542</v>
      </c>
      <c r="D1373" t="s">
        <v>56</v>
      </c>
      <c r="E1373" s="1">
        <v>45086</v>
      </c>
      <c r="F1373" t="s">
        <v>2568</v>
      </c>
      <c r="G1373" s="1">
        <v>45111</v>
      </c>
      <c r="H1373" s="1">
        <v>45121</v>
      </c>
      <c r="I1373" t="s">
        <v>16</v>
      </c>
      <c r="J1373" s="1" t="b">
        <f t="shared" si="147"/>
        <v>1</v>
      </c>
      <c r="K1373" s="1" t="b">
        <f t="shared" si="148"/>
        <v>0</v>
      </c>
      <c r="L1373" s="1" t="b">
        <f t="shared" si="149"/>
        <v>0</v>
      </c>
      <c r="M1373" s="1" t="b">
        <f t="shared" si="150"/>
        <v>0</v>
      </c>
      <c r="N1373" s="1" t="b">
        <f t="shared" si="151"/>
        <v>1</v>
      </c>
      <c r="O1373" s="1" t="b">
        <f t="shared" si="152"/>
        <v>0</v>
      </c>
      <c r="P1373" s="1" t="b">
        <f t="shared" si="153"/>
        <v>0</v>
      </c>
    </row>
    <row r="1374" spans="1:16" x14ac:dyDescent="0.2">
      <c r="A1374">
        <v>7669032</v>
      </c>
      <c r="B1374" t="s">
        <v>2569</v>
      </c>
      <c r="C1374" t="s">
        <v>93</v>
      </c>
      <c r="D1374" t="s">
        <v>19</v>
      </c>
      <c r="E1374" s="1">
        <v>45034</v>
      </c>
      <c r="F1374" t="s">
        <v>2570</v>
      </c>
      <c r="G1374" s="1">
        <v>45045</v>
      </c>
      <c r="H1374" s="1">
        <v>45096</v>
      </c>
      <c r="J1374" s="1" t="b">
        <f t="shared" si="147"/>
        <v>1</v>
      </c>
      <c r="K1374" s="1" t="b">
        <f t="shared" si="148"/>
        <v>0</v>
      </c>
      <c r="L1374" s="1" t="b">
        <f t="shared" si="149"/>
        <v>0</v>
      </c>
      <c r="M1374" s="1" t="b">
        <f t="shared" si="150"/>
        <v>0</v>
      </c>
      <c r="N1374" s="1" t="b">
        <f t="shared" si="151"/>
        <v>0</v>
      </c>
      <c r="O1374" s="1" t="b">
        <f t="shared" si="152"/>
        <v>0</v>
      </c>
      <c r="P1374" s="1" t="b">
        <f t="shared" si="153"/>
        <v>0</v>
      </c>
    </row>
    <row r="1375" spans="1:16" x14ac:dyDescent="0.2">
      <c r="A1375">
        <v>7669032</v>
      </c>
      <c r="B1375" t="s">
        <v>2571</v>
      </c>
      <c r="C1375" t="s">
        <v>93</v>
      </c>
      <c r="D1375" t="s">
        <v>19</v>
      </c>
      <c r="E1375" s="1">
        <v>45001</v>
      </c>
      <c r="F1375" t="s">
        <v>2572</v>
      </c>
      <c r="G1375" s="1">
        <v>45026</v>
      </c>
      <c r="I1375" t="s">
        <v>13</v>
      </c>
      <c r="J1375" s="1" t="b">
        <f t="shared" si="147"/>
        <v>0</v>
      </c>
      <c r="K1375" s="1" t="b">
        <f t="shared" si="148"/>
        <v>1</v>
      </c>
      <c r="L1375" s="1" t="b">
        <f t="shared" si="149"/>
        <v>0</v>
      </c>
      <c r="M1375" s="1" t="b">
        <f t="shared" si="150"/>
        <v>0</v>
      </c>
      <c r="N1375" s="1" t="b">
        <f t="shared" si="151"/>
        <v>0</v>
      </c>
      <c r="O1375" s="1" t="b">
        <f t="shared" si="152"/>
        <v>0</v>
      </c>
      <c r="P1375" s="1" t="b">
        <f t="shared" si="153"/>
        <v>0</v>
      </c>
    </row>
    <row r="1376" spans="1:16" x14ac:dyDescent="0.2">
      <c r="A1376">
        <v>8007639</v>
      </c>
      <c r="B1376" t="s">
        <v>2573</v>
      </c>
      <c r="C1376" t="s">
        <v>454</v>
      </c>
      <c r="D1376" t="s">
        <v>77</v>
      </c>
      <c r="E1376" s="1">
        <v>44693</v>
      </c>
      <c r="F1376" t="s">
        <v>2574</v>
      </c>
      <c r="G1376" s="1">
        <v>44703</v>
      </c>
      <c r="H1376" s="1">
        <v>44751</v>
      </c>
      <c r="I1376" t="s">
        <v>16</v>
      </c>
      <c r="J1376" s="1" t="b">
        <f t="shared" si="147"/>
        <v>1</v>
      </c>
      <c r="K1376" s="1" t="b">
        <f t="shared" si="148"/>
        <v>0</v>
      </c>
      <c r="L1376" s="1" t="b">
        <f t="shared" si="149"/>
        <v>0</v>
      </c>
      <c r="M1376" s="1" t="b">
        <f t="shared" si="150"/>
        <v>0</v>
      </c>
      <c r="N1376" s="1" t="b">
        <f t="shared" si="151"/>
        <v>1</v>
      </c>
      <c r="O1376" s="1" t="b">
        <f t="shared" si="152"/>
        <v>0</v>
      </c>
      <c r="P1376" s="1" t="b">
        <f t="shared" si="153"/>
        <v>0</v>
      </c>
    </row>
    <row r="1377" spans="1:16" x14ac:dyDescent="0.2">
      <c r="A1377">
        <v>8007639</v>
      </c>
      <c r="B1377" t="s">
        <v>2575</v>
      </c>
      <c r="C1377" t="s">
        <v>454</v>
      </c>
      <c r="D1377" t="s">
        <v>77</v>
      </c>
      <c r="E1377" s="1">
        <v>44925</v>
      </c>
      <c r="F1377" t="s">
        <v>2576</v>
      </c>
      <c r="G1377" s="1">
        <v>44936</v>
      </c>
      <c r="I1377" t="s">
        <v>13</v>
      </c>
      <c r="J1377" s="1" t="b">
        <f t="shared" si="147"/>
        <v>0</v>
      </c>
      <c r="K1377" s="1" t="b">
        <f t="shared" si="148"/>
        <v>1</v>
      </c>
      <c r="L1377" s="1" t="b">
        <f t="shared" si="149"/>
        <v>0</v>
      </c>
      <c r="M1377" s="1" t="b">
        <f t="shared" si="150"/>
        <v>0</v>
      </c>
      <c r="N1377" s="1" t="b">
        <f t="shared" si="151"/>
        <v>0</v>
      </c>
      <c r="O1377" s="1" t="b">
        <f t="shared" si="152"/>
        <v>0</v>
      </c>
      <c r="P1377" s="1" t="b">
        <f t="shared" si="153"/>
        <v>0</v>
      </c>
    </row>
    <row r="1378" spans="1:16" x14ac:dyDescent="0.2">
      <c r="A1378">
        <v>8007639</v>
      </c>
      <c r="B1378" t="s">
        <v>2577</v>
      </c>
      <c r="C1378" t="s">
        <v>454</v>
      </c>
      <c r="D1378" t="s">
        <v>77</v>
      </c>
      <c r="E1378" s="1">
        <v>44975</v>
      </c>
      <c r="F1378" t="s">
        <v>2578</v>
      </c>
      <c r="G1378" s="1">
        <v>45000</v>
      </c>
      <c r="I1378" t="s">
        <v>25</v>
      </c>
      <c r="J1378" s="1" t="b">
        <f t="shared" si="147"/>
        <v>0</v>
      </c>
      <c r="K1378" s="1" t="b">
        <f t="shared" si="148"/>
        <v>0</v>
      </c>
      <c r="L1378" s="1" t="b">
        <f t="shared" si="149"/>
        <v>1</v>
      </c>
      <c r="M1378" s="1" t="b">
        <f t="shared" si="150"/>
        <v>0</v>
      </c>
      <c r="N1378" s="1" t="b">
        <f t="shared" si="151"/>
        <v>0</v>
      </c>
      <c r="O1378" s="1" t="b">
        <f t="shared" si="152"/>
        <v>0</v>
      </c>
      <c r="P1378" s="1" t="b">
        <f t="shared" si="153"/>
        <v>0</v>
      </c>
    </row>
    <row r="1379" spans="1:16" x14ac:dyDescent="0.2">
      <c r="A1379">
        <v>8007639</v>
      </c>
      <c r="B1379" t="s">
        <v>2579</v>
      </c>
      <c r="C1379" t="s">
        <v>454</v>
      </c>
      <c r="D1379" t="s">
        <v>77</v>
      </c>
      <c r="E1379" s="1">
        <v>44585</v>
      </c>
      <c r="F1379" t="s">
        <v>2580</v>
      </c>
      <c r="G1379" s="1">
        <v>44604</v>
      </c>
      <c r="H1379" s="1">
        <v>44655</v>
      </c>
      <c r="I1379" t="s">
        <v>28</v>
      </c>
      <c r="J1379" s="1" t="b">
        <f t="shared" si="147"/>
        <v>1</v>
      </c>
      <c r="K1379" s="1" t="b">
        <f t="shared" si="148"/>
        <v>0</v>
      </c>
      <c r="L1379" s="1" t="b">
        <f t="shared" si="149"/>
        <v>0</v>
      </c>
      <c r="M1379" s="1" t="b">
        <f t="shared" si="150"/>
        <v>0</v>
      </c>
      <c r="N1379" s="1" t="b">
        <f t="shared" si="151"/>
        <v>0</v>
      </c>
      <c r="O1379" s="1" t="b">
        <f t="shared" si="152"/>
        <v>0</v>
      </c>
      <c r="P1379" s="1" t="b">
        <f t="shared" si="153"/>
        <v>1</v>
      </c>
    </row>
    <row r="1380" spans="1:16" x14ac:dyDescent="0.2">
      <c r="A1380">
        <v>1540377</v>
      </c>
      <c r="B1380" t="s">
        <v>2581</v>
      </c>
      <c r="C1380" t="s">
        <v>310</v>
      </c>
      <c r="D1380" t="s">
        <v>187</v>
      </c>
      <c r="E1380" s="1">
        <v>44962</v>
      </c>
      <c r="F1380" t="s">
        <v>2582</v>
      </c>
      <c r="G1380" s="1">
        <v>44975</v>
      </c>
      <c r="H1380" s="1">
        <v>44989</v>
      </c>
      <c r="I1380" t="s">
        <v>28</v>
      </c>
      <c r="J1380" s="1" t="b">
        <f t="shared" si="147"/>
        <v>1</v>
      </c>
      <c r="K1380" s="1" t="b">
        <f t="shared" si="148"/>
        <v>0</v>
      </c>
      <c r="L1380" s="1" t="b">
        <f t="shared" si="149"/>
        <v>0</v>
      </c>
      <c r="M1380" s="1" t="b">
        <f t="shared" si="150"/>
        <v>0</v>
      </c>
      <c r="N1380" s="1" t="b">
        <f t="shared" si="151"/>
        <v>0</v>
      </c>
      <c r="O1380" s="1" t="b">
        <f t="shared" si="152"/>
        <v>0</v>
      </c>
      <c r="P1380" s="1" t="b">
        <f t="shared" si="153"/>
        <v>1</v>
      </c>
    </row>
    <row r="1381" spans="1:16" x14ac:dyDescent="0.2">
      <c r="A1381">
        <v>1540377</v>
      </c>
      <c r="B1381" t="s">
        <v>2583</v>
      </c>
      <c r="C1381" t="s">
        <v>310</v>
      </c>
      <c r="D1381" t="s">
        <v>187</v>
      </c>
      <c r="E1381" s="1">
        <v>44754</v>
      </c>
      <c r="F1381" t="s">
        <v>1108</v>
      </c>
      <c r="G1381" s="1">
        <v>44770</v>
      </c>
      <c r="H1381" s="1">
        <v>44777</v>
      </c>
      <c r="I1381" t="s">
        <v>16</v>
      </c>
      <c r="J1381" s="1" t="b">
        <f t="shared" si="147"/>
        <v>1</v>
      </c>
      <c r="K1381" s="1" t="b">
        <f t="shared" si="148"/>
        <v>0</v>
      </c>
      <c r="L1381" s="1" t="b">
        <f t="shared" si="149"/>
        <v>0</v>
      </c>
      <c r="M1381" s="1" t="b">
        <f t="shared" si="150"/>
        <v>0</v>
      </c>
      <c r="N1381" s="1" t="b">
        <f t="shared" si="151"/>
        <v>1</v>
      </c>
      <c r="O1381" s="1" t="b">
        <f t="shared" si="152"/>
        <v>0</v>
      </c>
      <c r="P1381" s="1" t="b">
        <f t="shared" si="153"/>
        <v>0</v>
      </c>
    </row>
    <row r="1382" spans="1:16" x14ac:dyDescent="0.2">
      <c r="A1382">
        <v>6517042</v>
      </c>
      <c r="B1382" t="s">
        <v>2584</v>
      </c>
      <c r="C1382" t="s">
        <v>32</v>
      </c>
      <c r="D1382" t="s">
        <v>77</v>
      </c>
      <c r="E1382" s="1">
        <v>44772</v>
      </c>
      <c r="F1382" t="s">
        <v>2064</v>
      </c>
      <c r="G1382" s="1">
        <v>44780</v>
      </c>
      <c r="I1382" t="s">
        <v>13</v>
      </c>
      <c r="J1382" s="1" t="b">
        <f t="shared" si="147"/>
        <v>0</v>
      </c>
      <c r="K1382" s="1" t="b">
        <f t="shared" si="148"/>
        <v>1</v>
      </c>
      <c r="L1382" s="1" t="b">
        <f t="shared" si="149"/>
        <v>0</v>
      </c>
      <c r="M1382" s="1" t="b">
        <f t="shared" si="150"/>
        <v>0</v>
      </c>
      <c r="N1382" s="1" t="b">
        <f t="shared" si="151"/>
        <v>0</v>
      </c>
      <c r="O1382" s="1" t="b">
        <f t="shared" si="152"/>
        <v>0</v>
      </c>
      <c r="P1382" s="1" t="b">
        <f t="shared" si="153"/>
        <v>0</v>
      </c>
    </row>
    <row r="1383" spans="1:16" x14ac:dyDescent="0.2">
      <c r="A1383">
        <v>6517042</v>
      </c>
      <c r="B1383" t="s">
        <v>2585</v>
      </c>
      <c r="C1383" t="s">
        <v>32</v>
      </c>
      <c r="D1383" t="s">
        <v>77</v>
      </c>
      <c r="E1383" s="1">
        <v>44594</v>
      </c>
      <c r="F1383" t="s">
        <v>2586</v>
      </c>
      <c r="G1383" s="1">
        <v>44621</v>
      </c>
      <c r="I1383" t="s">
        <v>13</v>
      </c>
      <c r="J1383" s="1" t="b">
        <f t="shared" si="147"/>
        <v>0</v>
      </c>
      <c r="K1383" s="1" t="b">
        <f t="shared" si="148"/>
        <v>1</v>
      </c>
      <c r="L1383" s="1" t="b">
        <f t="shared" si="149"/>
        <v>0</v>
      </c>
      <c r="M1383" s="1" t="b">
        <f t="shared" si="150"/>
        <v>0</v>
      </c>
      <c r="N1383" s="1" t="b">
        <f t="shared" si="151"/>
        <v>0</v>
      </c>
      <c r="O1383" s="1" t="b">
        <f t="shared" si="152"/>
        <v>0</v>
      </c>
      <c r="P1383" s="1" t="b">
        <f t="shared" si="153"/>
        <v>0</v>
      </c>
    </row>
    <row r="1384" spans="1:16" x14ac:dyDescent="0.2">
      <c r="A1384">
        <v>6517042</v>
      </c>
      <c r="B1384" t="s">
        <v>2587</v>
      </c>
      <c r="C1384" t="s">
        <v>32</v>
      </c>
      <c r="D1384" t="s">
        <v>77</v>
      </c>
      <c r="E1384" s="1">
        <v>44765</v>
      </c>
      <c r="F1384" t="s">
        <v>159</v>
      </c>
      <c r="G1384" s="1">
        <v>44768</v>
      </c>
      <c r="H1384" s="1">
        <v>44827</v>
      </c>
      <c r="J1384" s="1" t="b">
        <f t="shared" si="147"/>
        <v>1</v>
      </c>
      <c r="K1384" s="1" t="b">
        <f t="shared" si="148"/>
        <v>0</v>
      </c>
      <c r="L1384" s="1" t="b">
        <f t="shared" si="149"/>
        <v>0</v>
      </c>
      <c r="M1384" s="1" t="b">
        <f t="shared" si="150"/>
        <v>0</v>
      </c>
      <c r="N1384" s="1" t="b">
        <f t="shared" si="151"/>
        <v>0</v>
      </c>
      <c r="O1384" s="1" t="b">
        <f t="shared" si="152"/>
        <v>0</v>
      </c>
      <c r="P1384" s="1" t="b">
        <f t="shared" si="153"/>
        <v>0</v>
      </c>
    </row>
    <row r="1385" spans="1:16" x14ac:dyDescent="0.2">
      <c r="A1385">
        <v>5883940</v>
      </c>
      <c r="B1385" t="s">
        <v>2588</v>
      </c>
      <c r="C1385" t="s">
        <v>167</v>
      </c>
      <c r="D1385" t="s">
        <v>139</v>
      </c>
      <c r="E1385" s="1">
        <v>44737</v>
      </c>
      <c r="F1385" t="s">
        <v>2589</v>
      </c>
      <c r="G1385" s="1">
        <v>44748</v>
      </c>
      <c r="H1385" s="1">
        <v>44804</v>
      </c>
      <c r="I1385" t="s">
        <v>28</v>
      </c>
      <c r="J1385" s="1" t="b">
        <f t="shared" si="147"/>
        <v>1</v>
      </c>
      <c r="K1385" s="1" t="b">
        <f t="shared" si="148"/>
        <v>0</v>
      </c>
      <c r="L1385" s="1" t="b">
        <f t="shared" si="149"/>
        <v>0</v>
      </c>
      <c r="M1385" s="1" t="b">
        <f t="shared" si="150"/>
        <v>0</v>
      </c>
      <c r="N1385" s="1" t="b">
        <f t="shared" si="151"/>
        <v>0</v>
      </c>
      <c r="O1385" s="1" t="b">
        <f t="shared" si="152"/>
        <v>0</v>
      </c>
      <c r="P1385" s="1" t="b">
        <f t="shared" si="153"/>
        <v>1</v>
      </c>
    </row>
    <row r="1386" spans="1:16" x14ac:dyDescent="0.2">
      <c r="A1386">
        <v>7893107</v>
      </c>
      <c r="B1386" t="s">
        <v>2590</v>
      </c>
      <c r="C1386" t="s">
        <v>59</v>
      </c>
      <c r="D1386" t="s">
        <v>187</v>
      </c>
      <c r="E1386" s="1">
        <v>44632</v>
      </c>
      <c r="F1386" t="s">
        <v>636</v>
      </c>
      <c r="G1386" s="1">
        <v>44645</v>
      </c>
      <c r="I1386" t="s">
        <v>13</v>
      </c>
      <c r="J1386" s="1" t="b">
        <f t="shared" si="147"/>
        <v>0</v>
      </c>
      <c r="K1386" s="1" t="b">
        <f t="shared" si="148"/>
        <v>1</v>
      </c>
      <c r="L1386" s="1" t="b">
        <f t="shared" si="149"/>
        <v>0</v>
      </c>
      <c r="M1386" s="1" t="b">
        <f t="shared" si="150"/>
        <v>0</v>
      </c>
      <c r="N1386" s="1" t="b">
        <f t="shared" si="151"/>
        <v>0</v>
      </c>
      <c r="O1386" s="1" t="b">
        <f t="shared" si="152"/>
        <v>0</v>
      </c>
      <c r="P1386" s="1" t="b">
        <f t="shared" si="153"/>
        <v>0</v>
      </c>
    </row>
    <row r="1387" spans="1:16" x14ac:dyDescent="0.2">
      <c r="A1387">
        <v>4464154</v>
      </c>
      <c r="B1387" t="s">
        <v>2591</v>
      </c>
      <c r="C1387" t="s">
        <v>71</v>
      </c>
      <c r="D1387" t="s">
        <v>19</v>
      </c>
      <c r="E1387" s="1">
        <v>44879</v>
      </c>
      <c r="F1387" t="s">
        <v>2342</v>
      </c>
      <c r="G1387" s="1">
        <v>44898</v>
      </c>
      <c r="H1387" s="1">
        <v>44911</v>
      </c>
      <c r="J1387" s="1" t="b">
        <f t="shared" si="147"/>
        <v>1</v>
      </c>
      <c r="K1387" s="1" t="b">
        <f t="shared" si="148"/>
        <v>0</v>
      </c>
      <c r="L1387" s="1" t="b">
        <f t="shared" si="149"/>
        <v>0</v>
      </c>
      <c r="M1387" s="1" t="b">
        <f t="shared" si="150"/>
        <v>0</v>
      </c>
      <c r="N1387" s="1" t="b">
        <f t="shared" si="151"/>
        <v>0</v>
      </c>
      <c r="O1387" s="1" t="b">
        <f t="shared" si="152"/>
        <v>0</v>
      </c>
      <c r="P1387" s="1" t="b">
        <f t="shared" si="153"/>
        <v>0</v>
      </c>
    </row>
    <row r="1388" spans="1:16" x14ac:dyDescent="0.2">
      <c r="A1388">
        <v>4464154</v>
      </c>
      <c r="B1388" t="s">
        <v>2592</v>
      </c>
      <c r="C1388" t="s">
        <v>71</v>
      </c>
      <c r="D1388" t="s">
        <v>19</v>
      </c>
      <c r="E1388" s="1">
        <v>44569</v>
      </c>
      <c r="F1388" t="s">
        <v>2593</v>
      </c>
      <c r="G1388" s="1">
        <v>44574</v>
      </c>
      <c r="H1388" s="1">
        <v>44603</v>
      </c>
      <c r="J1388" s="1" t="b">
        <f t="shared" si="147"/>
        <v>1</v>
      </c>
      <c r="K1388" s="1" t="b">
        <f t="shared" si="148"/>
        <v>0</v>
      </c>
      <c r="L1388" s="1" t="b">
        <f t="shared" si="149"/>
        <v>0</v>
      </c>
      <c r="M1388" s="1" t="b">
        <f t="shared" si="150"/>
        <v>0</v>
      </c>
      <c r="N1388" s="1" t="b">
        <f t="shared" si="151"/>
        <v>0</v>
      </c>
      <c r="O1388" s="1" t="b">
        <f t="shared" si="152"/>
        <v>0</v>
      </c>
      <c r="P1388" s="1" t="b">
        <f t="shared" si="153"/>
        <v>0</v>
      </c>
    </row>
    <row r="1389" spans="1:16" x14ac:dyDescent="0.2">
      <c r="A1389">
        <v>4464154</v>
      </c>
      <c r="B1389" t="s">
        <v>2594</v>
      </c>
      <c r="C1389" t="s">
        <v>71</v>
      </c>
      <c r="D1389" t="s">
        <v>19</v>
      </c>
      <c r="E1389" s="1">
        <v>44814</v>
      </c>
      <c r="F1389" t="s">
        <v>2595</v>
      </c>
      <c r="G1389" s="1">
        <v>44831</v>
      </c>
      <c r="I1389" t="s">
        <v>13</v>
      </c>
      <c r="J1389" s="1" t="b">
        <f t="shared" si="147"/>
        <v>0</v>
      </c>
      <c r="K1389" s="1" t="b">
        <f t="shared" si="148"/>
        <v>1</v>
      </c>
      <c r="L1389" s="1" t="b">
        <f t="shared" si="149"/>
        <v>0</v>
      </c>
      <c r="M1389" s="1" t="b">
        <f t="shared" si="150"/>
        <v>0</v>
      </c>
      <c r="N1389" s="1" t="b">
        <f t="shared" si="151"/>
        <v>0</v>
      </c>
      <c r="O1389" s="1" t="b">
        <f t="shared" si="152"/>
        <v>0</v>
      </c>
      <c r="P1389" s="1" t="b">
        <f t="shared" si="153"/>
        <v>0</v>
      </c>
    </row>
    <row r="1390" spans="1:16" x14ac:dyDescent="0.2">
      <c r="A1390">
        <v>6517883</v>
      </c>
      <c r="B1390" t="s">
        <v>2596</v>
      </c>
      <c r="C1390" t="s">
        <v>310</v>
      </c>
      <c r="D1390" t="s">
        <v>81</v>
      </c>
      <c r="E1390" s="1">
        <v>44856</v>
      </c>
      <c r="F1390" t="s">
        <v>2340</v>
      </c>
      <c r="G1390" s="1">
        <v>44877</v>
      </c>
      <c r="H1390" s="1">
        <v>44934</v>
      </c>
      <c r="I1390" t="s">
        <v>16</v>
      </c>
      <c r="J1390" s="1" t="b">
        <f t="shared" si="147"/>
        <v>1</v>
      </c>
      <c r="K1390" s="1" t="b">
        <f t="shared" si="148"/>
        <v>0</v>
      </c>
      <c r="L1390" s="1" t="b">
        <f t="shared" si="149"/>
        <v>0</v>
      </c>
      <c r="M1390" s="1" t="b">
        <f t="shared" si="150"/>
        <v>0</v>
      </c>
      <c r="N1390" s="1" t="b">
        <f t="shared" si="151"/>
        <v>1</v>
      </c>
      <c r="O1390" s="1" t="b">
        <f t="shared" si="152"/>
        <v>0</v>
      </c>
      <c r="P1390" s="1" t="b">
        <f t="shared" si="153"/>
        <v>0</v>
      </c>
    </row>
    <row r="1391" spans="1:16" x14ac:dyDescent="0.2">
      <c r="A1391">
        <v>6517883</v>
      </c>
      <c r="B1391" t="s">
        <v>2597</v>
      </c>
      <c r="C1391" t="s">
        <v>310</v>
      </c>
      <c r="D1391" t="s">
        <v>81</v>
      </c>
      <c r="E1391" s="1">
        <v>44866</v>
      </c>
      <c r="F1391" t="s">
        <v>547</v>
      </c>
      <c r="G1391" s="1">
        <v>44879</v>
      </c>
      <c r="H1391" s="1">
        <v>44919</v>
      </c>
      <c r="I1391" t="s">
        <v>28</v>
      </c>
      <c r="J1391" s="1" t="b">
        <f t="shared" si="147"/>
        <v>1</v>
      </c>
      <c r="K1391" s="1" t="b">
        <f t="shared" si="148"/>
        <v>0</v>
      </c>
      <c r="L1391" s="1" t="b">
        <f t="shared" si="149"/>
        <v>0</v>
      </c>
      <c r="M1391" s="1" t="b">
        <f t="shared" si="150"/>
        <v>0</v>
      </c>
      <c r="N1391" s="1" t="b">
        <f t="shared" si="151"/>
        <v>0</v>
      </c>
      <c r="O1391" s="1" t="b">
        <f t="shared" si="152"/>
        <v>0</v>
      </c>
      <c r="P1391" s="1" t="b">
        <f t="shared" si="153"/>
        <v>1</v>
      </c>
    </row>
    <row r="1392" spans="1:16" x14ac:dyDescent="0.2">
      <c r="A1392">
        <v>6517883</v>
      </c>
      <c r="B1392" t="s">
        <v>2598</v>
      </c>
      <c r="C1392" t="s">
        <v>310</v>
      </c>
      <c r="D1392" t="s">
        <v>81</v>
      </c>
      <c r="E1392" s="1">
        <v>44745</v>
      </c>
      <c r="F1392" t="s">
        <v>1686</v>
      </c>
      <c r="G1392" s="1">
        <v>44774</v>
      </c>
      <c r="H1392" s="1">
        <v>44814</v>
      </c>
      <c r="I1392" t="s">
        <v>43</v>
      </c>
      <c r="J1392" s="1" t="b">
        <f t="shared" si="147"/>
        <v>1</v>
      </c>
      <c r="K1392" s="1" t="b">
        <f t="shared" si="148"/>
        <v>0</v>
      </c>
      <c r="L1392" s="1" t="b">
        <f t="shared" si="149"/>
        <v>0</v>
      </c>
      <c r="M1392" s="1" t="b">
        <f t="shared" si="150"/>
        <v>0</v>
      </c>
      <c r="N1392" s="1" t="b">
        <f t="shared" si="151"/>
        <v>0</v>
      </c>
      <c r="O1392" s="1" t="b">
        <f t="shared" si="152"/>
        <v>1</v>
      </c>
      <c r="P1392" s="1" t="b">
        <f t="shared" si="153"/>
        <v>0</v>
      </c>
    </row>
    <row r="1393" spans="1:16" x14ac:dyDescent="0.2">
      <c r="A1393">
        <v>6517883</v>
      </c>
      <c r="B1393" t="s">
        <v>2599</v>
      </c>
      <c r="C1393" t="s">
        <v>310</v>
      </c>
      <c r="D1393" t="s">
        <v>81</v>
      </c>
      <c r="E1393" s="1">
        <v>44749</v>
      </c>
      <c r="F1393" t="s">
        <v>1343</v>
      </c>
      <c r="G1393" s="1">
        <v>44772</v>
      </c>
      <c r="H1393" s="1">
        <v>44809</v>
      </c>
      <c r="J1393" s="1" t="b">
        <f t="shared" si="147"/>
        <v>1</v>
      </c>
      <c r="K1393" s="1" t="b">
        <f t="shared" si="148"/>
        <v>0</v>
      </c>
      <c r="L1393" s="1" t="b">
        <f t="shared" si="149"/>
        <v>0</v>
      </c>
      <c r="M1393" s="1" t="b">
        <f t="shared" si="150"/>
        <v>0</v>
      </c>
      <c r="N1393" s="1" t="b">
        <f t="shared" si="151"/>
        <v>0</v>
      </c>
      <c r="O1393" s="1" t="b">
        <f t="shared" si="152"/>
        <v>0</v>
      </c>
      <c r="P1393" s="1" t="b">
        <f t="shared" si="153"/>
        <v>0</v>
      </c>
    </row>
    <row r="1394" spans="1:16" x14ac:dyDescent="0.2">
      <c r="A1394">
        <v>2602797</v>
      </c>
      <c r="B1394" t="s">
        <v>2600</v>
      </c>
      <c r="C1394" t="s">
        <v>59</v>
      </c>
      <c r="D1394" t="s">
        <v>56</v>
      </c>
      <c r="E1394" s="1">
        <v>44860</v>
      </c>
      <c r="F1394" t="s">
        <v>261</v>
      </c>
      <c r="G1394" s="1">
        <v>44882</v>
      </c>
      <c r="H1394" s="1">
        <v>44941</v>
      </c>
      <c r="I1394" t="s">
        <v>43</v>
      </c>
      <c r="J1394" s="1" t="b">
        <f t="shared" si="147"/>
        <v>1</v>
      </c>
      <c r="K1394" s="1" t="b">
        <f t="shared" si="148"/>
        <v>0</v>
      </c>
      <c r="L1394" s="1" t="b">
        <f t="shared" si="149"/>
        <v>0</v>
      </c>
      <c r="M1394" s="1" t="b">
        <f t="shared" si="150"/>
        <v>0</v>
      </c>
      <c r="N1394" s="1" t="b">
        <f t="shared" si="151"/>
        <v>0</v>
      </c>
      <c r="O1394" s="1" t="b">
        <f t="shared" si="152"/>
        <v>1</v>
      </c>
      <c r="P1394" s="1" t="b">
        <f t="shared" si="153"/>
        <v>0</v>
      </c>
    </row>
    <row r="1395" spans="1:16" x14ac:dyDescent="0.2">
      <c r="A1395">
        <v>2602797</v>
      </c>
      <c r="B1395" t="s">
        <v>2601</v>
      </c>
      <c r="C1395" t="s">
        <v>59</v>
      </c>
      <c r="D1395" t="s">
        <v>56</v>
      </c>
      <c r="E1395" s="1">
        <v>44784</v>
      </c>
      <c r="F1395" t="s">
        <v>2602</v>
      </c>
      <c r="G1395" s="1">
        <v>44814</v>
      </c>
      <c r="I1395" t="s">
        <v>13</v>
      </c>
      <c r="J1395" s="1" t="b">
        <f t="shared" si="147"/>
        <v>0</v>
      </c>
      <c r="K1395" s="1" t="b">
        <f t="shared" si="148"/>
        <v>1</v>
      </c>
      <c r="L1395" s="1" t="b">
        <f t="shared" si="149"/>
        <v>0</v>
      </c>
      <c r="M1395" s="1" t="b">
        <f t="shared" si="150"/>
        <v>0</v>
      </c>
      <c r="N1395" s="1" t="b">
        <f t="shared" si="151"/>
        <v>0</v>
      </c>
      <c r="O1395" s="1" t="b">
        <f t="shared" si="152"/>
        <v>0</v>
      </c>
      <c r="P1395" s="1" t="b">
        <f t="shared" si="153"/>
        <v>0</v>
      </c>
    </row>
    <row r="1396" spans="1:16" x14ac:dyDescent="0.2">
      <c r="A1396">
        <v>9279347</v>
      </c>
      <c r="B1396" t="s">
        <v>2603</v>
      </c>
      <c r="C1396" t="s">
        <v>315</v>
      </c>
      <c r="D1396" t="s">
        <v>139</v>
      </c>
      <c r="E1396" s="1">
        <v>45078</v>
      </c>
      <c r="F1396" t="s">
        <v>2604</v>
      </c>
      <c r="G1396" s="1">
        <v>45103</v>
      </c>
      <c r="H1396" s="1">
        <v>45153</v>
      </c>
      <c r="I1396" t="s">
        <v>16</v>
      </c>
      <c r="J1396" s="1" t="b">
        <f t="shared" si="147"/>
        <v>1</v>
      </c>
      <c r="K1396" s="1" t="b">
        <f t="shared" si="148"/>
        <v>0</v>
      </c>
      <c r="L1396" s="1" t="b">
        <f t="shared" si="149"/>
        <v>0</v>
      </c>
      <c r="M1396" s="1" t="b">
        <f t="shared" si="150"/>
        <v>0</v>
      </c>
      <c r="N1396" s="1" t="b">
        <f t="shared" si="151"/>
        <v>1</v>
      </c>
      <c r="O1396" s="1" t="b">
        <f t="shared" si="152"/>
        <v>0</v>
      </c>
      <c r="P1396" s="1" t="b">
        <f t="shared" si="153"/>
        <v>0</v>
      </c>
    </row>
    <row r="1397" spans="1:16" x14ac:dyDescent="0.2">
      <c r="A1397">
        <v>6469592</v>
      </c>
      <c r="B1397" t="s">
        <v>2605</v>
      </c>
      <c r="C1397" t="s">
        <v>315</v>
      </c>
      <c r="D1397" t="s">
        <v>77</v>
      </c>
      <c r="E1397" s="1">
        <v>45035</v>
      </c>
      <c r="F1397" t="s">
        <v>2606</v>
      </c>
      <c r="G1397" s="1">
        <v>45036</v>
      </c>
      <c r="I1397" t="s">
        <v>13</v>
      </c>
      <c r="J1397" s="1" t="b">
        <f t="shared" si="147"/>
        <v>0</v>
      </c>
      <c r="K1397" s="1" t="b">
        <f t="shared" si="148"/>
        <v>1</v>
      </c>
      <c r="L1397" s="1" t="b">
        <f t="shared" si="149"/>
        <v>0</v>
      </c>
      <c r="M1397" s="1" t="b">
        <f t="shared" si="150"/>
        <v>0</v>
      </c>
      <c r="N1397" s="1" t="b">
        <f t="shared" si="151"/>
        <v>0</v>
      </c>
      <c r="O1397" s="1" t="b">
        <f t="shared" si="152"/>
        <v>0</v>
      </c>
      <c r="P1397" s="1" t="b">
        <f t="shared" si="153"/>
        <v>0</v>
      </c>
    </row>
    <row r="1398" spans="1:16" x14ac:dyDescent="0.2">
      <c r="A1398">
        <v>6469592</v>
      </c>
      <c r="B1398" t="s">
        <v>2607</v>
      </c>
      <c r="C1398" t="s">
        <v>315</v>
      </c>
      <c r="D1398" t="s">
        <v>77</v>
      </c>
      <c r="I1398" t="s">
        <v>33</v>
      </c>
      <c r="J1398" s="1" t="b">
        <f t="shared" si="147"/>
        <v>0</v>
      </c>
      <c r="K1398" s="1" t="b">
        <f t="shared" si="148"/>
        <v>0</v>
      </c>
      <c r="L1398" s="1" t="b">
        <f t="shared" si="149"/>
        <v>0</v>
      </c>
      <c r="M1398" s="1" t="b">
        <f t="shared" si="150"/>
        <v>1</v>
      </c>
      <c r="N1398" s="1" t="b">
        <f t="shared" si="151"/>
        <v>0</v>
      </c>
      <c r="O1398" s="1" t="b">
        <f t="shared" si="152"/>
        <v>0</v>
      </c>
      <c r="P1398" s="1" t="b">
        <f t="shared" si="153"/>
        <v>0</v>
      </c>
    </row>
    <row r="1399" spans="1:16" x14ac:dyDescent="0.2">
      <c r="A1399">
        <v>8749462</v>
      </c>
      <c r="B1399" t="s">
        <v>2608</v>
      </c>
      <c r="C1399" t="s">
        <v>59</v>
      </c>
      <c r="D1399" t="s">
        <v>39</v>
      </c>
      <c r="E1399" s="1">
        <v>44818</v>
      </c>
      <c r="F1399" t="s">
        <v>2609</v>
      </c>
      <c r="G1399" s="1">
        <v>44822</v>
      </c>
      <c r="H1399" s="1">
        <v>44868</v>
      </c>
      <c r="J1399" s="1" t="b">
        <f t="shared" si="147"/>
        <v>1</v>
      </c>
      <c r="K1399" s="1" t="b">
        <f t="shared" si="148"/>
        <v>0</v>
      </c>
      <c r="L1399" s="1" t="b">
        <f t="shared" si="149"/>
        <v>0</v>
      </c>
      <c r="M1399" s="1" t="b">
        <f t="shared" si="150"/>
        <v>0</v>
      </c>
      <c r="N1399" s="1" t="b">
        <f t="shared" si="151"/>
        <v>0</v>
      </c>
      <c r="O1399" s="1" t="b">
        <f t="shared" si="152"/>
        <v>0</v>
      </c>
      <c r="P1399" s="1" t="b">
        <f t="shared" si="153"/>
        <v>0</v>
      </c>
    </row>
    <row r="1400" spans="1:16" x14ac:dyDescent="0.2">
      <c r="A1400">
        <v>8749462</v>
      </c>
      <c r="B1400" t="s">
        <v>2610</v>
      </c>
      <c r="C1400" t="s">
        <v>59</v>
      </c>
      <c r="D1400" t="s">
        <v>39</v>
      </c>
      <c r="E1400" s="1">
        <v>45037</v>
      </c>
      <c r="F1400" t="s">
        <v>2611</v>
      </c>
      <c r="G1400" s="1">
        <v>45053</v>
      </c>
      <c r="H1400" s="1">
        <v>45083</v>
      </c>
      <c r="I1400" t="s">
        <v>28</v>
      </c>
      <c r="J1400" s="1" t="b">
        <f t="shared" si="147"/>
        <v>1</v>
      </c>
      <c r="K1400" s="1" t="b">
        <f t="shared" si="148"/>
        <v>0</v>
      </c>
      <c r="L1400" s="1" t="b">
        <f t="shared" si="149"/>
        <v>0</v>
      </c>
      <c r="M1400" s="1" t="b">
        <f t="shared" si="150"/>
        <v>0</v>
      </c>
      <c r="N1400" s="1" t="b">
        <f t="shared" si="151"/>
        <v>0</v>
      </c>
      <c r="O1400" s="1" t="b">
        <f t="shared" si="152"/>
        <v>0</v>
      </c>
      <c r="P1400" s="1" t="b">
        <f t="shared" si="153"/>
        <v>1</v>
      </c>
    </row>
    <row r="1401" spans="1:16" x14ac:dyDescent="0.2">
      <c r="A1401">
        <v>8749462</v>
      </c>
      <c r="B1401" t="s">
        <v>2612</v>
      </c>
      <c r="C1401" t="s">
        <v>59</v>
      </c>
      <c r="D1401" t="s">
        <v>39</v>
      </c>
      <c r="E1401" s="1">
        <v>44810</v>
      </c>
      <c r="F1401" t="s">
        <v>2613</v>
      </c>
      <c r="G1401" s="1">
        <v>44833</v>
      </c>
      <c r="I1401" t="s">
        <v>13</v>
      </c>
      <c r="J1401" s="1" t="b">
        <f t="shared" si="147"/>
        <v>0</v>
      </c>
      <c r="K1401" s="1" t="b">
        <f t="shared" si="148"/>
        <v>1</v>
      </c>
      <c r="L1401" s="1" t="b">
        <f t="shared" si="149"/>
        <v>0</v>
      </c>
      <c r="M1401" s="1" t="b">
        <f t="shared" si="150"/>
        <v>0</v>
      </c>
      <c r="N1401" s="1" t="b">
        <f t="shared" si="151"/>
        <v>0</v>
      </c>
      <c r="O1401" s="1" t="b">
        <f t="shared" si="152"/>
        <v>0</v>
      </c>
      <c r="P1401" s="1" t="b">
        <f t="shared" si="153"/>
        <v>0</v>
      </c>
    </row>
    <row r="1402" spans="1:16" x14ac:dyDescent="0.2">
      <c r="A1402">
        <v>8749462</v>
      </c>
      <c r="B1402" t="s">
        <v>2614</v>
      </c>
      <c r="C1402" t="s">
        <v>59</v>
      </c>
      <c r="D1402" t="s">
        <v>39</v>
      </c>
      <c r="E1402" s="1">
        <v>44847</v>
      </c>
      <c r="F1402" t="s">
        <v>2615</v>
      </c>
      <c r="G1402" s="1">
        <v>44874</v>
      </c>
      <c r="H1402" s="1">
        <v>44885</v>
      </c>
      <c r="I1402" t="s">
        <v>43</v>
      </c>
      <c r="J1402" s="1" t="b">
        <f t="shared" si="147"/>
        <v>1</v>
      </c>
      <c r="K1402" s="1" t="b">
        <f t="shared" si="148"/>
        <v>0</v>
      </c>
      <c r="L1402" s="1" t="b">
        <f t="shared" si="149"/>
        <v>0</v>
      </c>
      <c r="M1402" s="1" t="b">
        <f t="shared" si="150"/>
        <v>0</v>
      </c>
      <c r="N1402" s="1" t="b">
        <f t="shared" si="151"/>
        <v>0</v>
      </c>
      <c r="O1402" s="1" t="b">
        <f t="shared" si="152"/>
        <v>1</v>
      </c>
      <c r="P1402" s="1" t="b">
        <f t="shared" si="153"/>
        <v>0</v>
      </c>
    </row>
    <row r="1403" spans="1:16" x14ac:dyDescent="0.2">
      <c r="A1403">
        <v>3862010</v>
      </c>
      <c r="B1403" t="s">
        <v>2616</v>
      </c>
      <c r="C1403" t="s">
        <v>150</v>
      </c>
      <c r="D1403" t="s">
        <v>56</v>
      </c>
      <c r="E1403" s="1">
        <v>44962</v>
      </c>
      <c r="F1403" t="s">
        <v>689</v>
      </c>
      <c r="G1403" s="1">
        <v>44968</v>
      </c>
      <c r="I1403" t="s">
        <v>13</v>
      </c>
      <c r="J1403" s="1" t="b">
        <f t="shared" si="147"/>
        <v>0</v>
      </c>
      <c r="K1403" s="1" t="b">
        <f t="shared" si="148"/>
        <v>1</v>
      </c>
      <c r="L1403" s="1" t="b">
        <f t="shared" si="149"/>
        <v>0</v>
      </c>
      <c r="M1403" s="1" t="b">
        <f t="shared" si="150"/>
        <v>0</v>
      </c>
      <c r="N1403" s="1" t="b">
        <f t="shared" si="151"/>
        <v>0</v>
      </c>
      <c r="O1403" s="1" t="b">
        <f t="shared" si="152"/>
        <v>0</v>
      </c>
      <c r="P1403" s="1" t="b">
        <f t="shared" si="153"/>
        <v>0</v>
      </c>
    </row>
    <row r="1404" spans="1:16" x14ac:dyDescent="0.2">
      <c r="A1404">
        <v>3862010</v>
      </c>
      <c r="B1404" t="s">
        <v>2617</v>
      </c>
      <c r="C1404" t="s">
        <v>150</v>
      </c>
      <c r="D1404" t="s">
        <v>56</v>
      </c>
      <c r="E1404" s="1">
        <v>44611</v>
      </c>
      <c r="F1404" t="s">
        <v>1852</v>
      </c>
      <c r="G1404" s="1">
        <v>44636</v>
      </c>
      <c r="I1404" t="s">
        <v>13</v>
      </c>
      <c r="J1404" s="1" t="b">
        <f t="shared" si="147"/>
        <v>0</v>
      </c>
      <c r="K1404" s="1" t="b">
        <f t="shared" si="148"/>
        <v>1</v>
      </c>
      <c r="L1404" s="1" t="b">
        <f t="shared" si="149"/>
        <v>0</v>
      </c>
      <c r="M1404" s="1" t="b">
        <f t="shared" si="150"/>
        <v>0</v>
      </c>
      <c r="N1404" s="1" t="b">
        <f t="shared" si="151"/>
        <v>0</v>
      </c>
      <c r="O1404" s="1" t="b">
        <f t="shared" si="152"/>
        <v>0</v>
      </c>
      <c r="P1404" s="1" t="b">
        <f t="shared" si="153"/>
        <v>0</v>
      </c>
    </row>
    <row r="1405" spans="1:16" x14ac:dyDescent="0.2">
      <c r="A1405">
        <v>3862010</v>
      </c>
      <c r="B1405" t="s">
        <v>2618</v>
      </c>
      <c r="C1405" t="s">
        <v>150</v>
      </c>
      <c r="D1405" t="s">
        <v>56</v>
      </c>
      <c r="E1405" s="1">
        <v>44928</v>
      </c>
      <c r="F1405" t="s">
        <v>2619</v>
      </c>
      <c r="G1405" s="1">
        <v>44934</v>
      </c>
      <c r="H1405" s="1">
        <v>44948</v>
      </c>
      <c r="I1405" t="s">
        <v>28</v>
      </c>
      <c r="J1405" s="1" t="b">
        <f t="shared" si="147"/>
        <v>1</v>
      </c>
      <c r="K1405" s="1" t="b">
        <f t="shared" si="148"/>
        <v>0</v>
      </c>
      <c r="L1405" s="1" t="b">
        <f t="shared" si="149"/>
        <v>0</v>
      </c>
      <c r="M1405" s="1" t="b">
        <f t="shared" si="150"/>
        <v>0</v>
      </c>
      <c r="N1405" s="1" t="b">
        <f t="shared" si="151"/>
        <v>0</v>
      </c>
      <c r="O1405" s="1" t="b">
        <f t="shared" si="152"/>
        <v>0</v>
      </c>
      <c r="P1405" s="1" t="b">
        <f t="shared" si="153"/>
        <v>1</v>
      </c>
    </row>
    <row r="1406" spans="1:16" x14ac:dyDescent="0.2">
      <c r="A1406">
        <v>3862010</v>
      </c>
      <c r="B1406" t="s">
        <v>2620</v>
      </c>
      <c r="C1406" t="s">
        <v>150</v>
      </c>
      <c r="D1406" t="s">
        <v>56</v>
      </c>
      <c r="E1406" s="1">
        <v>44610</v>
      </c>
      <c r="F1406" t="s">
        <v>2621</v>
      </c>
      <c r="G1406" s="1">
        <v>44637</v>
      </c>
      <c r="H1406" s="1">
        <v>44678</v>
      </c>
      <c r="I1406" t="s">
        <v>43</v>
      </c>
      <c r="J1406" s="1" t="b">
        <f t="shared" si="147"/>
        <v>1</v>
      </c>
      <c r="K1406" s="1" t="b">
        <f t="shared" si="148"/>
        <v>0</v>
      </c>
      <c r="L1406" s="1" t="b">
        <f t="shared" si="149"/>
        <v>0</v>
      </c>
      <c r="M1406" s="1" t="b">
        <f t="shared" si="150"/>
        <v>0</v>
      </c>
      <c r="N1406" s="1" t="b">
        <f t="shared" si="151"/>
        <v>0</v>
      </c>
      <c r="O1406" s="1" t="b">
        <f t="shared" si="152"/>
        <v>1</v>
      </c>
      <c r="P1406" s="1" t="b">
        <f t="shared" si="153"/>
        <v>0</v>
      </c>
    </row>
    <row r="1407" spans="1:16" x14ac:dyDescent="0.2">
      <c r="A1407">
        <v>3862010</v>
      </c>
      <c r="B1407" t="s">
        <v>2622</v>
      </c>
      <c r="C1407" t="s">
        <v>150</v>
      </c>
      <c r="D1407" t="s">
        <v>56</v>
      </c>
      <c r="E1407" s="1">
        <v>44877</v>
      </c>
      <c r="F1407" t="s">
        <v>2623</v>
      </c>
      <c r="G1407" s="1">
        <v>44892</v>
      </c>
      <c r="H1407" s="1">
        <v>44896</v>
      </c>
      <c r="I1407" t="s">
        <v>16</v>
      </c>
      <c r="J1407" s="1" t="b">
        <f t="shared" si="147"/>
        <v>1</v>
      </c>
      <c r="K1407" s="1" t="b">
        <f t="shared" si="148"/>
        <v>0</v>
      </c>
      <c r="L1407" s="1" t="b">
        <f t="shared" si="149"/>
        <v>0</v>
      </c>
      <c r="M1407" s="1" t="b">
        <f t="shared" si="150"/>
        <v>0</v>
      </c>
      <c r="N1407" s="1" t="b">
        <f t="shared" si="151"/>
        <v>1</v>
      </c>
      <c r="O1407" s="1" t="b">
        <f t="shared" si="152"/>
        <v>0</v>
      </c>
      <c r="P1407" s="1" t="b">
        <f t="shared" si="153"/>
        <v>0</v>
      </c>
    </row>
    <row r="1408" spans="1:16" x14ac:dyDescent="0.2">
      <c r="A1408">
        <v>7331646</v>
      </c>
      <c r="B1408" t="s">
        <v>2624</v>
      </c>
      <c r="C1408" t="s">
        <v>35</v>
      </c>
      <c r="D1408" t="s">
        <v>19</v>
      </c>
      <c r="E1408" s="1">
        <v>44655</v>
      </c>
      <c r="F1408" t="s">
        <v>1959</v>
      </c>
      <c r="G1408" s="1">
        <v>44656</v>
      </c>
      <c r="I1408" t="s">
        <v>25</v>
      </c>
      <c r="J1408" s="1" t="b">
        <f t="shared" si="147"/>
        <v>0</v>
      </c>
      <c r="K1408" s="1" t="b">
        <f t="shared" si="148"/>
        <v>0</v>
      </c>
      <c r="L1408" s="1" t="b">
        <f t="shared" si="149"/>
        <v>1</v>
      </c>
      <c r="M1408" s="1" t="b">
        <f t="shared" si="150"/>
        <v>0</v>
      </c>
      <c r="N1408" s="1" t="b">
        <f t="shared" si="151"/>
        <v>0</v>
      </c>
      <c r="O1408" s="1" t="b">
        <f t="shared" si="152"/>
        <v>0</v>
      </c>
      <c r="P1408" s="1" t="b">
        <f t="shared" si="153"/>
        <v>0</v>
      </c>
    </row>
    <row r="1409" spans="1:16" x14ac:dyDescent="0.2">
      <c r="A1409">
        <v>7331646</v>
      </c>
      <c r="B1409" t="s">
        <v>2625</v>
      </c>
      <c r="C1409" t="s">
        <v>35</v>
      </c>
      <c r="D1409" t="s">
        <v>19</v>
      </c>
      <c r="E1409" s="1">
        <v>44758</v>
      </c>
      <c r="F1409" t="s">
        <v>2626</v>
      </c>
      <c r="G1409" s="1">
        <v>44780</v>
      </c>
      <c r="H1409" s="1">
        <v>44823</v>
      </c>
      <c r="I1409" t="s">
        <v>16</v>
      </c>
      <c r="J1409" s="1" t="b">
        <f t="shared" si="147"/>
        <v>1</v>
      </c>
      <c r="K1409" s="1" t="b">
        <f t="shared" si="148"/>
        <v>0</v>
      </c>
      <c r="L1409" s="1" t="b">
        <f t="shared" si="149"/>
        <v>0</v>
      </c>
      <c r="M1409" s="1" t="b">
        <f t="shared" si="150"/>
        <v>0</v>
      </c>
      <c r="N1409" s="1" t="b">
        <f t="shared" si="151"/>
        <v>1</v>
      </c>
      <c r="O1409" s="1" t="b">
        <f t="shared" si="152"/>
        <v>0</v>
      </c>
      <c r="P1409" s="1" t="b">
        <f t="shared" si="153"/>
        <v>0</v>
      </c>
    </row>
    <row r="1410" spans="1:16" x14ac:dyDescent="0.2">
      <c r="A1410">
        <v>2059841</v>
      </c>
      <c r="B1410" t="s">
        <v>2627</v>
      </c>
      <c r="C1410" t="s">
        <v>93</v>
      </c>
      <c r="D1410" t="s">
        <v>122</v>
      </c>
      <c r="E1410" s="1">
        <v>44672</v>
      </c>
      <c r="F1410" t="s">
        <v>1166</v>
      </c>
      <c r="G1410" s="1">
        <v>44699</v>
      </c>
      <c r="H1410" s="1">
        <v>44720</v>
      </c>
      <c r="I1410" t="s">
        <v>16</v>
      </c>
      <c r="J1410" s="1" t="b">
        <f t="shared" si="147"/>
        <v>1</v>
      </c>
      <c r="K1410" s="1" t="b">
        <f t="shared" si="148"/>
        <v>0</v>
      </c>
      <c r="L1410" s="1" t="b">
        <f t="shared" si="149"/>
        <v>0</v>
      </c>
      <c r="M1410" s="1" t="b">
        <f t="shared" si="150"/>
        <v>0</v>
      </c>
      <c r="N1410" s="1" t="b">
        <f t="shared" si="151"/>
        <v>1</v>
      </c>
      <c r="O1410" s="1" t="b">
        <f t="shared" si="152"/>
        <v>0</v>
      </c>
      <c r="P1410" s="1" t="b">
        <f t="shared" si="153"/>
        <v>0</v>
      </c>
    </row>
    <row r="1411" spans="1:16" x14ac:dyDescent="0.2">
      <c r="A1411">
        <v>2059841</v>
      </c>
      <c r="B1411" t="s">
        <v>2628</v>
      </c>
      <c r="C1411" t="s">
        <v>93</v>
      </c>
      <c r="D1411" t="s">
        <v>122</v>
      </c>
      <c r="E1411" s="1">
        <v>44966</v>
      </c>
      <c r="F1411" t="s">
        <v>2522</v>
      </c>
      <c r="G1411" s="1">
        <v>44980</v>
      </c>
      <c r="H1411" s="1">
        <v>44988</v>
      </c>
      <c r="I1411" t="s">
        <v>43</v>
      </c>
      <c r="J1411" s="1" t="b">
        <f t="shared" ref="J1411:J1474" si="154">AND(NOT(ISBLANK(H1411)), NOT(OR(ISNUMBER(SEARCH("decline", I1411)), ISNUMBER(SEARCH("rescind", I1411)), ISNUMBER(SEARCH("cancel", I1411)))))</f>
        <v>1</v>
      </c>
      <c r="K1411" s="1" t="b">
        <f t="shared" ref="K1411:K1474" si="155">ISNUMBER(SEARCH("decline", I1411))</f>
        <v>0</v>
      </c>
      <c r="L1411" s="1" t="b">
        <f t="shared" ref="L1411:L1474" si="156">ISNUMBER(SEARCH("rescind", I1411))</f>
        <v>0</v>
      </c>
      <c r="M1411" s="1" t="b">
        <f t="shared" ref="M1411:M1474" si="157">ISNUMBER(SEARCH("cancel", I1411))</f>
        <v>0</v>
      </c>
      <c r="N1411" s="1" t="b">
        <f t="shared" ref="N1411:N1474" si="158">ISNUMBER(SEARCH("transfer", I1411))</f>
        <v>0</v>
      </c>
      <c r="O1411" s="1" t="b">
        <f t="shared" ref="O1411:O1474" si="159">ISNUMBER(SEARCH("promo", I1411))</f>
        <v>1</v>
      </c>
      <c r="P1411" s="1" t="b">
        <f t="shared" ref="P1411:P1474" si="160">ISNUMBER(SEARCH("new", I1411))</f>
        <v>0</v>
      </c>
    </row>
    <row r="1412" spans="1:16" x14ac:dyDescent="0.2">
      <c r="A1412">
        <v>4899161</v>
      </c>
      <c r="B1412" t="s">
        <v>2629</v>
      </c>
      <c r="C1412" t="s">
        <v>454</v>
      </c>
      <c r="D1412" t="s">
        <v>122</v>
      </c>
      <c r="E1412" s="1">
        <v>44885</v>
      </c>
      <c r="F1412" t="s">
        <v>2630</v>
      </c>
      <c r="G1412" s="1">
        <v>44886</v>
      </c>
      <c r="I1412" t="s">
        <v>25</v>
      </c>
      <c r="J1412" s="1" t="b">
        <f t="shared" si="154"/>
        <v>0</v>
      </c>
      <c r="K1412" s="1" t="b">
        <f t="shared" si="155"/>
        <v>0</v>
      </c>
      <c r="L1412" s="1" t="b">
        <f t="shared" si="156"/>
        <v>1</v>
      </c>
      <c r="M1412" s="1" t="b">
        <f t="shared" si="157"/>
        <v>0</v>
      </c>
      <c r="N1412" s="1" t="b">
        <f t="shared" si="158"/>
        <v>0</v>
      </c>
      <c r="O1412" s="1" t="b">
        <f t="shared" si="159"/>
        <v>0</v>
      </c>
      <c r="P1412" s="1" t="b">
        <f t="shared" si="160"/>
        <v>0</v>
      </c>
    </row>
    <row r="1413" spans="1:16" x14ac:dyDescent="0.2">
      <c r="A1413">
        <v>4899161</v>
      </c>
      <c r="B1413" t="s">
        <v>2631</v>
      </c>
      <c r="C1413" t="s">
        <v>454</v>
      </c>
      <c r="D1413" t="s">
        <v>122</v>
      </c>
      <c r="E1413" s="1">
        <v>44629</v>
      </c>
      <c r="F1413" t="s">
        <v>2632</v>
      </c>
      <c r="G1413" s="1">
        <v>44651</v>
      </c>
      <c r="I1413" t="s">
        <v>25</v>
      </c>
      <c r="J1413" s="1" t="b">
        <f t="shared" si="154"/>
        <v>0</v>
      </c>
      <c r="K1413" s="1" t="b">
        <f t="shared" si="155"/>
        <v>0</v>
      </c>
      <c r="L1413" s="1" t="b">
        <f t="shared" si="156"/>
        <v>1</v>
      </c>
      <c r="M1413" s="1" t="b">
        <f t="shared" si="157"/>
        <v>0</v>
      </c>
      <c r="N1413" s="1" t="b">
        <f t="shared" si="158"/>
        <v>0</v>
      </c>
      <c r="O1413" s="1" t="b">
        <f t="shared" si="159"/>
        <v>0</v>
      </c>
      <c r="P1413" s="1" t="b">
        <f t="shared" si="160"/>
        <v>0</v>
      </c>
    </row>
    <row r="1414" spans="1:16" x14ac:dyDescent="0.2">
      <c r="A1414">
        <v>4899161</v>
      </c>
      <c r="B1414" t="s">
        <v>2633</v>
      </c>
      <c r="C1414" t="s">
        <v>454</v>
      </c>
      <c r="D1414" t="s">
        <v>122</v>
      </c>
      <c r="E1414" s="1">
        <v>44785</v>
      </c>
      <c r="F1414" t="s">
        <v>2634</v>
      </c>
      <c r="G1414" s="1">
        <v>44799</v>
      </c>
      <c r="H1414" s="1">
        <v>44819</v>
      </c>
      <c r="I1414" t="s">
        <v>28</v>
      </c>
      <c r="J1414" s="1" t="b">
        <f t="shared" si="154"/>
        <v>1</v>
      </c>
      <c r="K1414" s="1" t="b">
        <f t="shared" si="155"/>
        <v>0</v>
      </c>
      <c r="L1414" s="1" t="b">
        <f t="shared" si="156"/>
        <v>0</v>
      </c>
      <c r="M1414" s="1" t="b">
        <f t="shared" si="157"/>
        <v>0</v>
      </c>
      <c r="N1414" s="1" t="b">
        <f t="shared" si="158"/>
        <v>0</v>
      </c>
      <c r="O1414" s="1" t="b">
        <f t="shared" si="159"/>
        <v>0</v>
      </c>
      <c r="P1414" s="1" t="b">
        <f t="shared" si="160"/>
        <v>1</v>
      </c>
    </row>
    <row r="1415" spans="1:16" x14ac:dyDescent="0.2">
      <c r="A1415">
        <v>9381494</v>
      </c>
      <c r="B1415" t="s">
        <v>2635</v>
      </c>
      <c r="C1415" t="s">
        <v>176</v>
      </c>
      <c r="D1415" t="s">
        <v>139</v>
      </c>
      <c r="E1415" s="1">
        <v>44894</v>
      </c>
      <c r="F1415" t="s">
        <v>2636</v>
      </c>
      <c r="G1415" s="1">
        <v>44915</v>
      </c>
      <c r="I1415" t="s">
        <v>13</v>
      </c>
      <c r="J1415" s="1" t="b">
        <f t="shared" si="154"/>
        <v>0</v>
      </c>
      <c r="K1415" s="1" t="b">
        <f t="shared" si="155"/>
        <v>1</v>
      </c>
      <c r="L1415" s="1" t="b">
        <f t="shared" si="156"/>
        <v>0</v>
      </c>
      <c r="M1415" s="1" t="b">
        <f t="shared" si="157"/>
        <v>0</v>
      </c>
      <c r="N1415" s="1" t="b">
        <f t="shared" si="158"/>
        <v>0</v>
      </c>
      <c r="O1415" s="1" t="b">
        <f t="shared" si="159"/>
        <v>0</v>
      </c>
      <c r="P1415" s="1" t="b">
        <f t="shared" si="160"/>
        <v>0</v>
      </c>
    </row>
    <row r="1416" spans="1:16" x14ac:dyDescent="0.2">
      <c r="A1416">
        <v>9381494</v>
      </c>
      <c r="B1416" t="s">
        <v>2637</v>
      </c>
      <c r="C1416" t="s">
        <v>176</v>
      </c>
      <c r="D1416" t="s">
        <v>139</v>
      </c>
      <c r="E1416" s="1">
        <v>44887</v>
      </c>
      <c r="F1416" t="s">
        <v>2638</v>
      </c>
      <c r="G1416" s="1">
        <v>44915</v>
      </c>
      <c r="H1416" s="1">
        <v>44958</v>
      </c>
      <c r="I1416" t="s">
        <v>43</v>
      </c>
      <c r="J1416" s="1" t="b">
        <f t="shared" si="154"/>
        <v>1</v>
      </c>
      <c r="K1416" s="1" t="b">
        <f t="shared" si="155"/>
        <v>0</v>
      </c>
      <c r="L1416" s="1" t="b">
        <f t="shared" si="156"/>
        <v>0</v>
      </c>
      <c r="M1416" s="1" t="b">
        <f t="shared" si="157"/>
        <v>0</v>
      </c>
      <c r="N1416" s="1" t="b">
        <f t="shared" si="158"/>
        <v>0</v>
      </c>
      <c r="O1416" s="1" t="b">
        <f t="shared" si="159"/>
        <v>1</v>
      </c>
      <c r="P1416" s="1" t="b">
        <f t="shared" si="160"/>
        <v>0</v>
      </c>
    </row>
    <row r="1417" spans="1:16" x14ac:dyDescent="0.2">
      <c r="A1417">
        <v>9381494</v>
      </c>
      <c r="B1417" t="s">
        <v>2639</v>
      </c>
      <c r="C1417" t="s">
        <v>176</v>
      </c>
      <c r="D1417" t="s">
        <v>139</v>
      </c>
      <c r="E1417" s="1">
        <v>45021</v>
      </c>
      <c r="F1417" t="s">
        <v>2640</v>
      </c>
      <c r="G1417" s="1">
        <v>45034</v>
      </c>
      <c r="H1417" s="1">
        <v>45067</v>
      </c>
      <c r="I1417" t="s">
        <v>28</v>
      </c>
      <c r="J1417" s="1" t="b">
        <f t="shared" si="154"/>
        <v>1</v>
      </c>
      <c r="K1417" s="1" t="b">
        <f t="shared" si="155"/>
        <v>0</v>
      </c>
      <c r="L1417" s="1" t="b">
        <f t="shared" si="156"/>
        <v>0</v>
      </c>
      <c r="M1417" s="1" t="b">
        <f t="shared" si="157"/>
        <v>0</v>
      </c>
      <c r="N1417" s="1" t="b">
        <f t="shared" si="158"/>
        <v>0</v>
      </c>
      <c r="O1417" s="1" t="b">
        <f t="shared" si="159"/>
        <v>0</v>
      </c>
      <c r="P1417" s="1" t="b">
        <f t="shared" si="160"/>
        <v>1</v>
      </c>
    </row>
    <row r="1418" spans="1:16" x14ac:dyDescent="0.2">
      <c r="A1418">
        <v>9381494</v>
      </c>
      <c r="B1418" t="s">
        <v>2641</v>
      </c>
      <c r="C1418" t="s">
        <v>176</v>
      </c>
      <c r="D1418" t="s">
        <v>139</v>
      </c>
      <c r="E1418" s="1">
        <v>44575</v>
      </c>
      <c r="F1418" t="s">
        <v>2642</v>
      </c>
      <c r="G1418" s="1">
        <v>44583</v>
      </c>
      <c r="H1418" s="1">
        <v>44585</v>
      </c>
      <c r="I1418" t="s">
        <v>43</v>
      </c>
      <c r="J1418" s="1" t="b">
        <f t="shared" si="154"/>
        <v>1</v>
      </c>
      <c r="K1418" s="1" t="b">
        <f t="shared" si="155"/>
        <v>0</v>
      </c>
      <c r="L1418" s="1" t="b">
        <f t="shared" si="156"/>
        <v>0</v>
      </c>
      <c r="M1418" s="1" t="b">
        <f t="shared" si="157"/>
        <v>0</v>
      </c>
      <c r="N1418" s="1" t="b">
        <f t="shared" si="158"/>
        <v>0</v>
      </c>
      <c r="O1418" s="1" t="b">
        <f t="shared" si="159"/>
        <v>1</v>
      </c>
      <c r="P1418" s="1" t="b">
        <f t="shared" si="160"/>
        <v>0</v>
      </c>
    </row>
    <row r="1419" spans="1:16" x14ac:dyDescent="0.2">
      <c r="A1419">
        <v>9381494</v>
      </c>
      <c r="B1419" t="s">
        <v>2643</v>
      </c>
      <c r="C1419" t="s">
        <v>176</v>
      </c>
      <c r="D1419" t="s">
        <v>139</v>
      </c>
      <c r="E1419" s="1">
        <v>45000</v>
      </c>
      <c r="F1419" t="s">
        <v>2344</v>
      </c>
      <c r="G1419" s="1">
        <v>45025</v>
      </c>
      <c r="H1419" s="1">
        <v>45041</v>
      </c>
      <c r="I1419" t="s">
        <v>16</v>
      </c>
      <c r="J1419" s="1" t="b">
        <f t="shared" si="154"/>
        <v>1</v>
      </c>
      <c r="K1419" s="1" t="b">
        <f t="shared" si="155"/>
        <v>0</v>
      </c>
      <c r="L1419" s="1" t="b">
        <f t="shared" si="156"/>
        <v>0</v>
      </c>
      <c r="M1419" s="1" t="b">
        <f t="shared" si="157"/>
        <v>0</v>
      </c>
      <c r="N1419" s="1" t="b">
        <f t="shared" si="158"/>
        <v>1</v>
      </c>
      <c r="O1419" s="1" t="b">
        <f t="shared" si="159"/>
        <v>0</v>
      </c>
      <c r="P1419" s="1" t="b">
        <f t="shared" si="160"/>
        <v>0</v>
      </c>
    </row>
    <row r="1420" spans="1:16" x14ac:dyDescent="0.2">
      <c r="A1420">
        <v>2331937</v>
      </c>
      <c r="B1420" t="s">
        <v>2644</v>
      </c>
      <c r="C1420" t="s">
        <v>521</v>
      </c>
      <c r="D1420" t="s">
        <v>187</v>
      </c>
      <c r="E1420" s="1">
        <v>44771</v>
      </c>
      <c r="F1420" t="s">
        <v>2645</v>
      </c>
      <c r="G1420" s="1">
        <v>44792</v>
      </c>
      <c r="H1420" s="1">
        <v>44795</v>
      </c>
      <c r="I1420" t="s">
        <v>43</v>
      </c>
      <c r="J1420" s="1" t="b">
        <f t="shared" si="154"/>
        <v>1</v>
      </c>
      <c r="K1420" s="1" t="b">
        <f t="shared" si="155"/>
        <v>0</v>
      </c>
      <c r="L1420" s="1" t="b">
        <f t="shared" si="156"/>
        <v>0</v>
      </c>
      <c r="M1420" s="1" t="b">
        <f t="shared" si="157"/>
        <v>0</v>
      </c>
      <c r="N1420" s="1" t="b">
        <f t="shared" si="158"/>
        <v>0</v>
      </c>
      <c r="O1420" s="1" t="b">
        <f t="shared" si="159"/>
        <v>1</v>
      </c>
      <c r="P1420" s="1" t="b">
        <f t="shared" si="160"/>
        <v>0</v>
      </c>
    </row>
    <row r="1421" spans="1:16" x14ac:dyDescent="0.2">
      <c r="A1421">
        <v>2331937</v>
      </c>
      <c r="B1421" t="s">
        <v>2646</v>
      </c>
      <c r="C1421" t="s">
        <v>521</v>
      </c>
      <c r="D1421" t="s">
        <v>187</v>
      </c>
      <c r="E1421" s="1">
        <v>45016</v>
      </c>
      <c r="F1421" t="s">
        <v>2647</v>
      </c>
      <c r="G1421" s="1">
        <v>45040</v>
      </c>
      <c r="I1421" t="s">
        <v>25</v>
      </c>
      <c r="J1421" s="1" t="b">
        <f t="shared" si="154"/>
        <v>0</v>
      </c>
      <c r="K1421" s="1" t="b">
        <f t="shared" si="155"/>
        <v>0</v>
      </c>
      <c r="L1421" s="1" t="b">
        <f t="shared" si="156"/>
        <v>1</v>
      </c>
      <c r="M1421" s="1" t="b">
        <f t="shared" si="157"/>
        <v>0</v>
      </c>
      <c r="N1421" s="1" t="b">
        <f t="shared" si="158"/>
        <v>0</v>
      </c>
      <c r="O1421" s="1" t="b">
        <f t="shared" si="159"/>
        <v>0</v>
      </c>
      <c r="P1421" s="1" t="b">
        <f t="shared" si="160"/>
        <v>0</v>
      </c>
    </row>
    <row r="1422" spans="1:16" x14ac:dyDescent="0.2">
      <c r="A1422">
        <v>2331937</v>
      </c>
      <c r="B1422" t="s">
        <v>2648</v>
      </c>
      <c r="C1422" t="s">
        <v>521</v>
      </c>
      <c r="D1422" t="s">
        <v>187</v>
      </c>
      <c r="E1422" s="1">
        <v>44602</v>
      </c>
      <c r="F1422" t="s">
        <v>2649</v>
      </c>
      <c r="G1422" s="1">
        <v>44619</v>
      </c>
      <c r="H1422" s="1">
        <v>44670</v>
      </c>
      <c r="I1422" t="s">
        <v>43</v>
      </c>
      <c r="J1422" s="1" t="b">
        <f t="shared" si="154"/>
        <v>1</v>
      </c>
      <c r="K1422" s="1" t="b">
        <f t="shared" si="155"/>
        <v>0</v>
      </c>
      <c r="L1422" s="1" t="b">
        <f t="shared" si="156"/>
        <v>0</v>
      </c>
      <c r="M1422" s="1" t="b">
        <f t="shared" si="157"/>
        <v>0</v>
      </c>
      <c r="N1422" s="1" t="b">
        <f t="shared" si="158"/>
        <v>0</v>
      </c>
      <c r="O1422" s="1" t="b">
        <f t="shared" si="159"/>
        <v>1</v>
      </c>
      <c r="P1422" s="1" t="b">
        <f t="shared" si="160"/>
        <v>0</v>
      </c>
    </row>
    <row r="1423" spans="1:16" x14ac:dyDescent="0.2">
      <c r="A1423">
        <v>7960756</v>
      </c>
      <c r="B1423" t="s">
        <v>2650</v>
      </c>
      <c r="C1423" t="s">
        <v>265</v>
      </c>
      <c r="D1423" t="s">
        <v>11</v>
      </c>
      <c r="E1423" s="1">
        <v>44912</v>
      </c>
      <c r="F1423" t="s">
        <v>2651</v>
      </c>
      <c r="G1423" s="1">
        <v>44920</v>
      </c>
      <c r="I1423" t="s">
        <v>13</v>
      </c>
      <c r="J1423" s="1" t="b">
        <f t="shared" si="154"/>
        <v>0</v>
      </c>
      <c r="K1423" s="1" t="b">
        <f t="shared" si="155"/>
        <v>1</v>
      </c>
      <c r="L1423" s="1" t="b">
        <f t="shared" si="156"/>
        <v>0</v>
      </c>
      <c r="M1423" s="1" t="b">
        <f t="shared" si="157"/>
        <v>0</v>
      </c>
      <c r="N1423" s="1" t="b">
        <f t="shared" si="158"/>
        <v>0</v>
      </c>
      <c r="O1423" s="1" t="b">
        <f t="shared" si="159"/>
        <v>0</v>
      </c>
      <c r="P1423" s="1" t="b">
        <f t="shared" si="160"/>
        <v>0</v>
      </c>
    </row>
    <row r="1424" spans="1:16" x14ac:dyDescent="0.2">
      <c r="A1424">
        <v>4453043</v>
      </c>
      <c r="B1424" t="s">
        <v>2652</v>
      </c>
      <c r="C1424" t="s">
        <v>18</v>
      </c>
      <c r="D1424" t="s">
        <v>56</v>
      </c>
      <c r="E1424" s="1">
        <v>44952</v>
      </c>
      <c r="F1424" t="s">
        <v>2653</v>
      </c>
      <c r="G1424" s="1">
        <v>44969</v>
      </c>
      <c r="H1424" s="1">
        <v>44990</v>
      </c>
      <c r="I1424" t="s">
        <v>43</v>
      </c>
      <c r="J1424" s="1" t="b">
        <f t="shared" si="154"/>
        <v>1</v>
      </c>
      <c r="K1424" s="1" t="b">
        <f t="shared" si="155"/>
        <v>0</v>
      </c>
      <c r="L1424" s="1" t="b">
        <f t="shared" si="156"/>
        <v>0</v>
      </c>
      <c r="M1424" s="1" t="b">
        <f t="shared" si="157"/>
        <v>0</v>
      </c>
      <c r="N1424" s="1" t="b">
        <f t="shared" si="158"/>
        <v>0</v>
      </c>
      <c r="O1424" s="1" t="b">
        <f t="shared" si="159"/>
        <v>1</v>
      </c>
      <c r="P1424" s="1" t="b">
        <f t="shared" si="160"/>
        <v>0</v>
      </c>
    </row>
    <row r="1425" spans="1:16" x14ac:dyDescent="0.2">
      <c r="A1425">
        <v>4453043</v>
      </c>
      <c r="B1425" t="s">
        <v>2654</v>
      </c>
      <c r="C1425" t="s">
        <v>18</v>
      </c>
      <c r="D1425" t="s">
        <v>56</v>
      </c>
      <c r="E1425" s="1">
        <v>44628</v>
      </c>
      <c r="F1425" t="s">
        <v>2655</v>
      </c>
      <c r="G1425" s="1">
        <v>44656</v>
      </c>
      <c r="I1425" t="s">
        <v>13</v>
      </c>
      <c r="J1425" s="1" t="b">
        <f t="shared" si="154"/>
        <v>0</v>
      </c>
      <c r="K1425" s="1" t="b">
        <f t="shared" si="155"/>
        <v>1</v>
      </c>
      <c r="L1425" s="1" t="b">
        <f t="shared" si="156"/>
        <v>0</v>
      </c>
      <c r="M1425" s="1" t="b">
        <f t="shared" si="157"/>
        <v>0</v>
      </c>
      <c r="N1425" s="1" t="b">
        <f t="shared" si="158"/>
        <v>0</v>
      </c>
      <c r="O1425" s="1" t="b">
        <f t="shared" si="159"/>
        <v>0</v>
      </c>
      <c r="P1425" s="1" t="b">
        <f t="shared" si="160"/>
        <v>0</v>
      </c>
    </row>
    <row r="1426" spans="1:16" x14ac:dyDescent="0.2">
      <c r="A1426">
        <v>9248388</v>
      </c>
      <c r="B1426" t="s">
        <v>2656</v>
      </c>
      <c r="C1426" t="s">
        <v>76</v>
      </c>
      <c r="D1426" t="s">
        <v>19</v>
      </c>
      <c r="E1426" s="1">
        <v>44690</v>
      </c>
      <c r="F1426" t="s">
        <v>2657</v>
      </c>
      <c r="G1426" s="1">
        <v>44693</v>
      </c>
      <c r="H1426" s="1">
        <v>44705</v>
      </c>
      <c r="I1426" t="s">
        <v>43</v>
      </c>
      <c r="J1426" s="1" t="b">
        <f t="shared" si="154"/>
        <v>1</v>
      </c>
      <c r="K1426" s="1" t="b">
        <f t="shared" si="155"/>
        <v>0</v>
      </c>
      <c r="L1426" s="1" t="b">
        <f t="shared" si="156"/>
        <v>0</v>
      </c>
      <c r="M1426" s="1" t="b">
        <f t="shared" si="157"/>
        <v>0</v>
      </c>
      <c r="N1426" s="1" t="b">
        <f t="shared" si="158"/>
        <v>0</v>
      </c>
      <c r="O1426" s="1" t="b">
        <f t="shared" si="159"/>
        <v>1</v>
      </c>
      <c r="P1426" s="1" t="b">
        <f t="shared" si="160"/>
        <v>0</v>
      </c>
    </row>
    <row r="1427" spans="1:16" x14ac:dyDescent="0.2">
      <c r="A1427">
        <v>4428815</v>
      </c>
      <c r="B1427" t="s">
        <v>2658</v>
      </c>
      <c r="C1427" t="s">
        <v>93</v>
      </c>
      <c r="D1427" t="s">
        <v>139</v>
      </c>
      <c r="E1427" s="1">
        <v>44764</v>
      </c>
      <c r="F1427" t="s">
        <v>2659</v>
      </c>
      <c r="G1427" s="1">
        <v>44772</v>
      </c>
      <c r="H1427" s="1">
        <v>44800</v>
      </c>
      <c r="J1427" s="1" t="b">
        <f t="shared" si="154"/>
        <v>1</v>
      </c>
      <c r="K1427" s="1" t="b">
        <f t="shared" si="155"/>
        <v>0</v>
      </c>
      <c r="L1427" s="1" t="b">
        <f t="shared" si="156"/>
        <v>0</v>
      </c>
      <c r="M1427" s="1" t="b">
        <f t="shared" si="157"/>
        <v>0</v>
      </c>
      <c r="N1427" s="1" t="b">
        <f t="shared" si="158"/>
        <v>0</v>
      </c>
      <c r="O1427" s="1" t="b">
        <f t="shared" si="159"/>
        <v>0</v>
      </c>
      <c r="P1427" s="1" t="b">
        <f t="shared" si="160"/>
        <v>0</v>
      </c>
    </row>
    <row r="1428" spans="1:16" x14ac:dyDescent="0.2">
      <c r="A1428">
        <v>3960096</v>
      </c>
      <c r="B1428" t="s">
        <v>2660</v>
      </c>
      <c r="C1428" t="s">
        <v>121</v>
      </c>
      <c r="D1428" t="s">
        <v>19</v>
      </c>
      <c r="E1428" s="1">
        <v>44768</v>
      </c>
      <c r="F1428" t="s">
        <v>489</v>
      </c>
      <c r="G1428" s="1">
        <v>44777</v>
      </c>
      <c r="I1428" t="s">
        <v>13</v>
      </c>
      <c r="J1428" s="1" t="b">
        <f t="shared" si="154"/>
        <v>0</v>
      </c>
      <c r="K1428" s="1" t="b">
        <f t="shared" si="155"/>
        <v>1</v>
      </c>
      <c r="L1428" s="1" t="b">
        <f t="shared" si="156"/>
        <v>0</v>
      </c>
      <c r="M1428" s="1" t="b">
        <f t="shared" si="157"/>
        <v>0</v>
      </c>
      <c r="N1428" s="1" t="b">
        <f t="shared" si="158"/>
        <v>0</v>
      </c>
      <c r="O1428" s="1" t="b">
        <f t="shared" si="159"/>
        <v>0</v>
      </c>
      <c r="P1428" s="1" t="b">
        <f t="shared" si="160"/>
        <v>0</v>
      </c>
    </row>
    <row r="1429" spans="1:16" x14ac:dyDescent="0.2">
      <c r="A1429">
        <v>3960096</v>
      </c>
      <c r="B1429" t="s">
        <v>2661</v>
      </c>
      <c r="C1429" t="s">
        <v>121</v>
      </c>
      <c r="D1429" t="s">
        <v>19</v>
      </c>
      <c r="E1429" s="1">
        <v>44969</v>
      </c>
      <c r="F1429" t="s">
        <v>807</v>
      </c>
      <c r="G1429" s="1">
        <v>44982</v>
      </c>
      <c r="H1429" s="1">
        <v>44993</v>
      </c>
      <c r="J1429" s="1" t="b">
        <f t="shared" si="154"/>
        <v>1</v>
      </c>
      <c r="K1429" s="1" t="b">
        <f t="shared" si="155"/>
        <v>0</v>
      </c>
      <c r="L1429" s="1" t="b">
        <f t="shared" si="156"/>
        <v>0</v>
      </c>
      <c r="M1429" s="1" t="b">
        <f t="shared" si="157"/>
        <v>0</v>
      </c>
      <c r="N1429" s="1" t="b">
        <f t="shared" si="158"/>
        <v>0</v>
      </c>
      <c r="O1429" s="1" t="b">
        <f t="shared" si="159"/>
        <v>0</v>
      </c>
      <c r="P1429" s="1" t="b">
        <f t="shared" si="160"/>
        <v>0</v>
      </c>
    </row>
    <row r="1430" spans="1:16" x14ac:dyDescent="0.2">
      <c r="A1430">
        <v>3960096</v>
      </c>
      <c r="B1430" t="s">
        <v>2662</v>
      </c>
      <c r="C1430" t="s">
        <v>121</v>
      </c>
      <c r="D1430" t="s">
        <v>19</v>
      </c>
      <c r="E1430" s="1">
        <v>45005</v>
      </c>
      <c r="F1430" t="s">
        <v>2663</v>
      </c>
      <c r="G1430" s="1">
        <v>45030</v>
      </c>
      <c r="H1430" s="1">
        <v>45040</v>
      </c>
      <c r="J1430" s="1" t="b">
        <f t="shared" si="154"/>
        <v>1</v>
      </c>
      <c r="K1430" s="1" t="b">
        <f t="shared" si="155"/>
        <v>0</v>
      </c>
      <c r="L1430" s="1" t="b">
        <f t="shared" si="156"/>
        <v>0</v>
      </c>
      <c r="M1430" s="1" t="b">
        <f t="shared" si="157"/>
        <v>0</v>
      </c>
      <c r="N1430" s="1" t="b">
        <f t="shared" si="158"/>
        <v>0</v>
      </c>
      <c r="O1430" s="1" t="b">
        <f t="shared" si="159"/>
        <v>0</v>
      </c>
      <c r="P1430" s="1" t="b">
        <f t="shared" si="160"/>
        <v>0</v>
      </c>
    </row>
    <row r="1431" spans="1:16" x14ac:dyDescent="0.2">
      <c r="A1431">
        <v>9086630</v>
      </c>
      <c r="B1431" t="s">
        <v>2664</v>
      </c>
      <c r="C1431" t="s">
        <v>10</v>
      </c>
      <c r="D1431" t="s">
        <v>60</v>
      </c>
      <c r="E1431" s="1">
        <v>44718</v>
      </c>
      <c r="F1431" t="s">
        <v>2665</v>
      </c>
      <c r="G1431" s="1">
        <v>44736</v>
      </c>
      <c r="H1431" s="1">
        <v>44783</v>
      </c>
      <c r="I1431" t="s">
        <v>28</v>
      </c>
      <c r="J1431" s="1" t="b">
        <f t="shared" si="154"/>
        <v>1</v>
      </c>
      <c r="K1431" s="1" t="b">
        <f t="shared" si="155"/>
        <v>0</v>
      </c>
      <c r="L1431" s="1" t="b">
        <f t="shared" si="156"/>
        <v>0</v>
      </c>
      <c r="M1431" s="1" t="b">
        <f t="shared" si="157"/>
        <v>0</v>
      </c>
      <c r="N1431" s="1" t="b">
        <f t="shared" si="158"/>
        <v>0</v>
      </c>
      <c r="O1431" s="1" t="b">
        <f t="shared" si="159"/>
        <v>0</v>
      </c>
      <c r="P1431" s="1" t="b">
        <f t="shared" si="160"/>
        <v>1</v>
      </c>
    </row>
    <row r="1432" spans="1:16" x14ac:dyDescent="0.2">
      <c r="A1432">
        <v>9086630</v>
      </c>
      <c r="B1432" t="s">
        <v>2666</v>
      </c>
      <c r="C1432" t="s">
        <v>10</v>
      </c>
      <c r="D1432" t="s">
        <v>60</v>
      </c>
      <c r="E1432" s="1">
        <v>44875</v>
      </c>
      <c r="F1432" t="s">
        <v>2667</v>
      </c>
      <c r="G1432" s="1">
        <v>44890</v>
      </c>
      <c r="I1432" t="s">
        <v>13</v>
      </c>
      <c r="J1432" s="1" t="b">
        <f t="shared" si="154"/>
        <v>0</v>
      </c>
      <c r="K1432" s="1" t="b">
        <f t="shared" si="155"/>
        <v>1</v>
      </c>
      <c r="L1432" s="1" t="b">
        <f t="shared" si="156"/>
        <v>0</v>
      </c>
      <c r="M1432" s="1" t="b">
        <f t="shared" si="157"/>
        <v>0</v>
      </c>
      <c r="N1432" s="1" t="b">
        <f t="shared" si="158"/>
        <v>0</v>
      </c>
      <c r="O1432" s="1" t="b">
        <f t="shared" si="159"/>
        <v>0</v>
      </c>
      <c r="P1432" s="1" t="b">
        <f t="shared" si="160"/>
        <v>0</v>
      </c>
    </row>
    <row r="1433" spans="1:16" x14ac:dyDescent="0.2">
      <c r="A1433">
        <v>9086630</v>
      </c>
      <c r="B1433" t="s">
        <v>2668</v>
      </c>
      <c r="C1433" t="s">
        <v>10</v>
      </c>
      <c r="D1433" t="s">
        <v>60</v>
      </c>
      <c r="E1433" s="1">
        <v>45054</v>
      </c>
      <c r="F1433" t="s">
        <v>2669</v>
      </c>
      <c r="G1433" s="1">
        <v>45057</v>
      </c>
      <c r="I1433" t="s">
        <v>25</v>
      </c>
      <c r="J1433" s="1" t="b">
        <f t="shared" si="154"/>
        <v>0</v>
      </c>
      <c r="K1433" s="1" t="b">
        <f t="shared" si="155"/>
        <v>0</v>
      </c>
      <c r="L1433" s="1" t="b">
        <f t="shared" si="156"/>
        <v>1</v>
      </c>
      <c r="M1433" s="1" t="b">
        <f t="shared" si="157"/>
        <v>0</v>
      </c>
      <c r="N1433" s="1" t="b">
        <f t="shared" si="158"/>
        <v>0</v>
      </c>
      <c r="O1433" s="1" t="b">
        <f t="shared" si="159"/>
        <v>0</v>
      </c>
      <c r="P1433" s="1" t="b">
        <f t="shared" si="160"/>
        <v>0</v>
      </c>
    </row>
    <row r="1434" spans="1:16" x14ac:dyDescent="0.2">
      <c r="A1434">
        <v>9086630</v>
      </c>
      <c r="B1434" t="s">
        <v>2670</v>
      </c>
      <c r="C1434" t="s">
        <v>10</v>
      </c>
      <c r="D1434" t="s">
        <v>60</v>
      </c>
      <c r="E1434" s="1">
        <v>44756</v>
      </c>
      <c r="F1434" t="s">
        <v>1177</v>
      </c>
      <c r="G1434" s="1">
        <v>44757</v>
      </c>
      <c r="H1434" s="1">
        <v>44758</v>
      </c>
      <c r="J1434" s="1" t="b">
        <f t="shared" si="154"/>
        <v>1</v>
      </c>
      <c r="K1434" s="1" t="b">
        <f t="shared" si="155"/>
        <v>0</v>
      </c>
      <c r="L1434" s="1" t="b">
        <f t="shared" si="156"/>
        <v>0</v>
      </c>
      <c r="M1434" s="1" t="b">
        <f t="shared" si="157"/>
        <v>0</v>
      </c>
      <c r="N1434" s="1" t="b">
        <f t="shared" si="158"/>
        <v>0</v>
      </c>
      <c r="O1434" s="1" t="b">
        <f t="shared" si="159"/>
        <v>0</v>
      </c>
      <c r="P1434" s="1" t="b">
        <f t="shared" si="160"/>
        <v>0</v>
      </c>
    </row>
    <row r="1435" spans="1:16" x14ac:dyDescent="0.2">
      <c r="A1435">
        <v>9400348</v>
      </c>
      <c r="B1435" t="s">
        <v>2671</v>
      </c>
      <c r="C1435" t="s">
        <v>138</v>
      </c>
      <c r="D1435" t="s">
        <v>39</v>
      </c>
      <c r="E1435" s="1">
        <v>44944</v>
      </c>
      <c r="F1435" t="s">
        <v>2672</v>
      </c>
      <c r="G1435" s="1">
        <v>44957</v>
      </c>
      <c r="H1435" s="1">
        <v>44989</v>
      </c>
      <c r="J1435" s="1" t="b">
        <f t="shared" si="154"/>
        <v>1</v>
      </c>
      <c r="K1435" s="1" t="b">
        <f t="shared" si="155"/>
        <v>0</v>
      </c>
      <c r="L1435" s="1" t="b">
        <f t="shared" si="156"/>
        <v>0</v>
      </c>
      <c r="M1435" s="1" t="b">
        <f t="shared" si="157"/>
        <v>0</v>
      </c>
      <c r="N1435" s="1" t="b">
        <f t="shared" si="158"/>
        <v>0</v>
      </c>
      <c r="O1435" s="1" t="b">
        <f t="shared" si="159"/>
        <v>0</v>
      </c>
      <c r="P1435" s="1" t="b">
        <f t="shared" si="160"/>
        <v>0</v>
      </c>
    </row>
    <row r="1436" spans="1:16" x14ac:dyDescent="0.2">
      <c r="A1436">
        <v>9400348</v>
      </c>
      <c r="B1436" t="s">
        <v>2673</v>
      </c>
      <c r="C1436" t="s">
        <v>138</v>
      </c>
      <c r="D1436" t="s">
        <v>39</v>
      </c>
      <c r="E1436" s="1">
        <v>44601</v>
      </c>
      <c r="F1436" t="s">
        <v>2674</v>
      </c>
      <c r="G1436" s="1">
        <v>44631</v>
      </c>
      <c r="H1436" s="1">
        <v>44639</v>
      </c>
      <c r="I1436" t="s">
        <v>16</v>
      </c>
      <c r="J1436" s="1" t="b">
        <f t="shared" si="154"/>
        <v>1</v>
      </c>
      <c r="K1436" s="1" t="b">
        <f t="shared" si="155"/>
        <v>0</v>
      </c>
      <c r="L1436" s="1" t="b">
        <f t="shared" si="156"/>
        <v>0</v>
      </c>
      <c r="M1436" s="1" t="b">
        <f t="shared" si="157"/>
        <v>0</v>
      </c>
      <c r="N1436" s="1" t="b">
        <f t="shared" si="158"/>
        <v>1</v>
      </c>
      <c r="O1436" s="1" t="b">
        <f t="shared" si="159"/>
        <v>0</v>
      </c>
      <c r="P1436" s="1" t="b">
        <f t="shared" si="160"/>
        <v>0</v>
      </c>
    </row>
    <row r="1437" spans="1:16" x14ac:dyDescent="0.2">
      <c r="A1437">
        <v>9400348</v>
      </c>
      <c r="B1437" t="s">
        <v>2675</v>
      </c>
      <c r="C1437" t="s">
        <v>138</v>
      </c>
      <c r="D1437" t="s">
        <v>39</v>
      </c>
      <c r="E1437" s="1">
        <v>45008</v>
      </c>
      <c r="F1437" t="s">
        <v>2676</v>
      </c>
      <c r="G1437" s="1">
        <v>45017</v>
      </c>
      <c r="H1437" s="1">
        <v>45067</v>
      </c>
      <c r="I1437" t="s">
        <v>43</v>
      </c>
      <c r="J1437" s="1" t="b">
        <f t="shared" si="154"/>
        <v>1</v>
      </c>
      <c r="K1437" s="1" t="b">
        <f t="shared" si="155"/>
        <v>0</v>
      </c>
      <c r="L1437" s="1" t="b">
        <f t="shared" si="156"/>
        <v>0</v>
      </c>
      <c r="M1437" s="1" t="b">
        <f t="shared" si="157"/>
        <v>0</v>
      </c>
      <c r="N1437" s="1" t="b">
        <f t="shared" si="158"/>
        <v>0</v>
      </c>
      <c r="O1437" s="1" t="b">
        <f t="shared" si="159"/>
        <v>1</v>
      </c>
      <c r="P1437" s="1" t="b">
        <f t="shared" si="160"/>
        <v>0</v>
      </c>
    </row>
    <row r="1438" spans="1:16" x14ac:dyDescent="0.2">
      <c r="A1438">
        <v>9400348</v>
      </c>
      <c r="B1438" t="s">
        <v>2677</v>
      </c>
      <c r="C1438" t="s">
        <v>138</v>
      </c>
      <c r="D1438" t="s">
        <v>39</v>
      </c>
      <c r="E1438" s="1">
        <v>45062</v>
      </c>
      <c r="F1438" t="s">
        <v>330</v>
      </c>
      <c r="G1438" s="1">
        <v>45083</v>
      </c>
      <c r="H1438" s="1">
        <v>45128</v>
      </c>
      <c r="I1438" t="s">
        <v>28</v>
      </c>
      <c r="J1438" s="1" t="b">
        <f t="shared" si="154"/>
        <v>1</v>
      </c>
      <c r="K1438" s="1" t="b">
        <f t="shared" si="155"/>
        <v>0</v>
      </c>
      <c r="L1438" s="1" t="b">
        <f t="shared" si="156"/>
        <v>0</v>
      </c>
      <c r="M1438" s="1" t="b">
        <f t="shared" si="157"/>
        <v>0</v>
      </c>
      <c r="N1438" s="1" t="b">
        <f t="shared" si="158"/>
        <v>0</v>
      </c>
      <c r="O1438" s="1" t="b">
        <f t="shared" si="159"/>
        <v>0</v>
      </c>
      <c r="P1438" s="1" t="b">
        <f t="shared" si="160"/>
        <v>1</v>
      </c>
    </row>
    <row r="1439" spans="1:16" x14ac:dyDescent="0.2">
      <c r="A1439">
        <v>7177044</v>
      </c>
      <c r="B1439" t="s">
        <v>2678</v>
      </c>
      <c r="C1439" t="s">
        <v>240</v>
      </c>
      <c r="D1439" t="s">
        <v>56</v>
      </c>
      <c r="E1439" s="1">
        <v>44597</v>
      </c>
      <c r="F1439" t="s">
        <v>1858</v>
      </c>
      <c r="G1439" s="1">
        <v>44627</v>
      </c>
      <c r="H1439" s="1">
        <v>44680</v>
      </c>
      <c r="I1439" t="s">
        <v>43</v>
      </c>
      <c r="J1439" s="1" t="b">
        <f t="shared" si="154"/>
        <v>1</v>
      </c>
      <c r="K1439" s="1" t="b">
        <f t="shared" si="155"/>
        <v>0</v>
      </c>
      <c r="L1439" s="1" t="b">
        <f t="shared" si="156"/>
        <v>0</v>
      </c>
      <c r="M1439" s="1" t="b">
        <f t="shared" si="157"/>
        <v>0</v>
      </c>
      <c r="N1439" s="1" t="b">
        <f t="shared" si="158"/>
        <v>0</v>
      </c>
      <c r="O1439" s="1" t="b">
        <f t="shared" si="159"/>
        <v>1</v>
      </c>
      <c r="P1439" s="1" t="b">
        <f t="shared" si="160"/>
        <v>0</v>
      </c>
    </row>
    <row r="1440" spans="1:16" x14ac:dyDescent="0.2">
      <c r="A1440">
        <v>7177044</v>
      </c>
      <c r="B1440" t="s">
        <v>2679</v>
      </c>
      <c r="C1440" t="s">
        <v>240</v>
      </c>
      <c r="D1440" t="s">
        <v>56</v>
      </c>
      <c r="E1440" s="1">
        <v>44713</v>
      </c>
      <c r="F1440" t="s">
        <v>1120</v>
      </c>
      <c r="G1440" s="1">
        <v>44722</v>
      </c>
      <c r="H1440" s="1">
        <v>44761</v>
      </c>
      <c r="I1440" t="s">
        <v>16</v>
      </c>
      <c r="J1440" s="1" t="b">
        <f t="shared" si="154"/>
        <v>1</v>
      </c>
      <c r="K1440" s="1" t="b">
        <f t="shared" si="155"/>
        <v>0</v>
      </c>
      <c r="L1440" s="1" t="b">
        <f t="shared" si="156"/>
        <v>0</v>
      </c>
      <c r="M1440" s="1" t="b">
        <f t="shared" si="157"/>
        <v>0</v>
      </c>
      <c r="N1440" s="1" t="b">
        <f t="shared" si="158"/>
        <v>1</v>
      </c>
      <c r="O1440" s="1" t="b">
        <f t="shared" si="159"/>
        <v>0</v>
      </c>
      <c r="P1440" s="1" t="b">
        <f t="shared" si="160"/>
        <v>0</v>
      </c>
    </row>
    <row r="1441" spans="1:16" x14ac:dyDescent="0.2">
      <c r="A1441">
        <v>7177044</v>
      </c>
      <c r="B1441" t="s">
        <v>2680</v>
      </c>
      <c r="C1441" t="s">
        <v>240</v>
      </c>
      <c r="D1441" t="s">
        <v>56</v>
      </c>
      <c r="E1441" s="1">
        <v>44727</v>
      </c>
      <c r="F1441" t="s">
        <v>2681</v>
      </c>
      <c r="G1441" s="1">
        <v>44728</v>
      </c>
      <c r="H1441" s="1">
        <v>44736</v>
      </c>
      <c r="I1441" t="s">
        <v>43</v>
      </c>
      <c r="J1441" s="1" t="b">
        <f t="shared" si="154"/>
        <v>1</v>
      </c>
      <c r="K1441" s="1" t="b">
        <f t="shared" si="155"/>
        <v>0</v>
      </c>
      <c r="L1441" s="1" t="b">
        <f t="shared" si="156"/>
        <v>0</v>
      </c>
      <c r="M1441" s="1" t="b">
        <f t="shared" si="157"/>
        <v>0</v>
      </c>
      <c r="N1441" s="1" t="b">
        <f t="shared" si="158"/>
        <v>0</v>
      </c>
      <c r="O1441" s="1" t="b">
        <f t="shared" si="159"/>
        <v>1</v>
      </c>
      <c r="P1441" s="1" t="b">
        <f t="shared" si="160"/>
        <v>0</v>
      </c>
    </row>
    <row r="1442" spans="1:16" x14ac:dyDescent="0.2">
      <c r="A1442">
        <v>7177044</v>
      </c>
      <c r="B1442" t="s">
        <v>2682</v>
      </c>
      <c r="C1442" t="s">
        <v>240</v>
      </c>
      <c r="D1442" t="s">
        <v>56</v>
      </c>
      <c r="E1442" s="1">
        <v>44644</v>
      </c>
      <c r="F1442" t="s">
        <v>245</v>
      </c>
      <c r="G1442" s="1">
        <v>44661</v>
      </c>
      <c r="H1442" s="1">
        <v>44720</v>
      </c>
      <c r="J1442" s="1" t="b">
        <f t="shared" si="154"/>
        <v>1</v>
      </c>
      <c r="K1442" s="1" t="b">
        <f t="shared" si="155"/>
        <v>0</v>
      </c>
      <c r="L1442" s="1" t="b">
        <f t="shared" si="156"/>
        <v>0</v>
      </c>
      <c r="M1442" s="1" t="b">
        <f t="shared" si="157"/>
        <v>0</v>
      </c>
      <c r="N1442" s="1" t="b">
        <f t="shared" si="158"/>
        <v>0</v>
      </c>
      <c r="O1442" s="1" t="b">
        <f t="shared" si="159"/>
        <v>0</v>
      </c>
      <c r="P1442" s="1" t="b">
        <f t="shared" si="160"/>
        <v>0</v>
      </c>
    </row>
    <row r="1443" spans="1:16" x14ac:dyDescent="0.2">
      <c r="A1443">
        <v>4167928</v>
      </c>
      <c r="B1443" t="s">
        <v>2683</v>
      </c>
      <c r="C1443" t="s">
        <v>131</v>
      </c>
      <c r="D1443" t="s">
        <v>60</v>
      </c>
      <c r="E1443" s="1">
        <v>45074</v>
      </c>
      <c r="F1443" t="s">
        <v>2684</v>
      </c>
      <c r="G1443" s="1">
        <v>45092</v>
      </c>
      <c r="H1443" s="1">
        <v>45135</v>
      </c>
      <c r="I1443" t="s">
        <v>28</v>
      </c>
      <c r="J1443" s="1" t="b">
        <f t="shared" si="154"/>
        <v>1</v>
      </c>
      <c r="K1443" s="1" t="b">
        <f t="shared" si="155"/>
        <v>0</v>
      </c>
      <c r="L1443" s="1" t="b">
        <f t="shared" si="156"/>
        <v>0</v>
      </c>
      <c r="M1443" s="1" t="b">
        <f t="shared" si="157"/>
        <v>0</v>
      </c>
      <c r="N1443" s="1" t="b">
        <f t="shared" si="158"/>
        <v>0</v>
      </c>
      <c r="O1443" s="1" t="b">
        <f t="shared" si="159"/>
        <v>0</v>
      </c>
      <c r="P1443" s="1" t="b">
        <f t="shared" si="160"/>
        <v>1</v>
      </c>
    </row>
    <row r="1444" spans="1:16" x14ac:dyDescent="0.2">
      <c r="A1444">
        <v>4167928</v>
      </c>
      <c r="B1444" t="s">
        <v>2685</v>
      </c>
      <c r="C1444" t="s">
        <v>131</v>
      </c>
      <c r="D1444" t="s">
        <v>60</v>
      </c>
      <c r="E1444" s="1">
        <v>44653</v>
      </c>
      <c r="F1444" t="s">
        <v>2686</v>
      </c>
      <c r="G1444" s="1">
        <v>44657</v>
      </c>
      <c r="H1444" s="1">
        <v>44698</v>
      </c>
      <c r="I1444" t="s">
        <v>28</v>
      </c>
      <c r="J1444" s="1" t="b">
        <f t="shared" si="154"/>
        <v>1</v>
      </c>
      <c r="K1444" s="1" t="b">
        <f t="shared" si="155"/>
        <v>0</v>
      </c>
      <c r="L1444" s="1" t="b">
        <f t="shared" si="156"/>
        <v>0</v>
      </c>
      <c r="M1444" s="1" t="b">
        <f t="shared" si="157"/>
        <v>0</v>
      </c>
      <c r="N1444" s="1" t="b">
        <f t="shared" si="158"/>
        <v>0</v>
      </c>
      <c r="O1444" s="1" t="b">
        <f t="shared" si="159"/>
        <v>0</v>
      </c>
      <c r="P1444" s="1" t="b">
        <f t="shared" si="160"/>
        <v>1</v>
      </c>
    </row>
    <row r="1445" spans="1:16" x14ac:dyDescent="0.2">
      <c r="A1445">
        <v>6777952</v>
      </c>
      <c r="B1445" t="s">
        <v>2687</v>
      </c>
      <c r="C1445" t="s">
        <v>150</v>
      </c>
      <c r="D1445" t="s">
        <v>187</v>
      </c>
      <c r="E1445" s="1">
        <v>44568</v>
      </c>
      <c r="F1445" t="s">
        <v>2684</v>
      </c>
      <c r="G1445" s="1">
        <v>44574</v>
      </c>
      <c r="H1445" s="1">
        <v>44627</v>
      </c>
      <c r="J1445" s="1" t="b">
        <f t="shared" si="154"/>
        <v>1</v>
      </c>
      <c r="K1445" s="1" t="b">
        <f t="shared" si="155"/>
        <v>0</v>
      </c>
      <c r="L1445" s="1" t="b">
        <f t="shared" si="156"/>
        <v>0</v>
      </c>
      <c r="M1445" s="1" t="b">
        <f t="shared" si="157"/>
        <v>0</v>
      </c>
      <c r="N1445" s="1" t="b">
        <f t="shared" si="158"/>
        <v>0</v>
      </c>
      <c r="O1445" s="1" t="b">
        <f t="shared" si="159"/>
        <v>0</v>
      </c>
      <c r="P1445" s="1" t="b">
        <f t="shared" si="160"/>
        <v>0</v>
      </c>
    </row>
    <row r="1446" spans="1:16" x14ac:dyDescent="0.2">
      <c r="A1446">
        <v>6777952</v>
      </c>
      <c r="B1446" t="s">
        <v>2688</v>
      </c>
      <c r="C1446" t="s">
        <v>150</v>
      </c>
      <c r="D1446" t="s">
        <v>187</v>
      </c>
      <c r="E1446" s="1">
        <v>44989</v>
      </c>
      <c r="F1446" t="s">
        <v>236</v>
      </c>
      <c r="G1446" s="1">
        <v>45006</v>
      </c>
      <c r="H1446" s="1">
        <v>45033</v>
      </c>
      <c r="I1446" t="s">
        <v>16</v>
      </c>
      <c r="J1446" s="1" t="b">
        <f t="shared" si="154"/>
        <v>1</v>
      </c>
      <c r="K1446" s="1" t="b">
        <f t="shared" si="155"/>
        <v>0</v>
      </c>
      <c r="L1446" s="1" t="b">
        <f t="shared" si="156"/>
        <v>0</v>
      </c>
      <c r="M1446" s="1" t="b">
        <f t="shared" si="157"/>
        <v>0</v>
      </c>
      <c r="N1446" s="1" t="b">
        <f t="shared" si="158"/>
        <v>1</v>
      </c>
      <c r="O1446" s="1" t="b">
        <f t="shared" si="159"/>
        <v>0</v>
      </c>
      <c r="P1446" s="1" t="b">
        <f t="shared" si="160"/>
        <v>0</v>
      </c>
    </row>
    <row r="1447" spans="1:16" x14ac:dyDescent="0.2">
      <c r="A1447">
        <v>6777952</v>
      </c>
      <c r="B1447" t="s">
        <v>2689</v>
      </c>
      <c r="C1447" t="s">
        <v>150</v>
      </c>
      <c r="D1447" t="s">
        <v>187</v>
      </c>
      <c r="E1447" s="1">
        <v>44945</v>
      </c>
      <c r="F1447" t="s">
        <v>1526</v>
      </c>
      <c r="G1447" s="1">
        <v>44951</v>
      </c>
      <c r="H1447" s="1">
        <v>44997</v>
      </c>
      <c r="J1447" s="1" t="b">
        <f t="shared" si="154"/>
        <v>1</v>
      </c>
      <c r="K1447" s="1" t="b">
        <f t="shared" si="155"/>
        <v>0</v>
      </c>
      <c r="L1447" s="1" t="b">
        <f t="shared" si="156"/>
        <v>0</v>
      </c>
      <c r="M1447" s="1" t="b">
        <f t="shared" si="157"/>
        <v>0</v>
      </c>
      <c r="N1447" s="1" t="b">
        <f t="shared" si="158"/>
        <v>0</v>
      </c>
      <c r="O1447" s="1" t="b">
        <f t="shared" si="159"/>
        <v>0</v>
      </c>
      <c r="P1447" s="1" t="b">
        <f t="shared" si="160"/>
        <v>0</v>
      </c>
    </row>
    <row r="1448" spans="1:16" x14ac:dyDescent="0.2">
      <c r="A1448">
        <v>3253718</v>
      </c>
      <c r="B1448" t="s">
        <v>2690</v>
      </c>
      <c r="C1448" t="s">
        <v>454</v>
      </c>
      <c r="D1448" t="s">
        <v>77</v>
      </c>
      <c r="E1448" s="1">
        <v>44779</v>
      </c>
      <c r="F1448" t="s">
        <v>2691</v>
      </c>
      <c r="G1448" s="1">
        <v>44785</v>
      </c>
      <c r="H1448" s="1">
        <v>44798</v>
      </c>
      <c r="I1448" t="s">
        <v>16</v>
      </c>
      <c r="J1448" s="1" t="b">
        <f t="shared" si="154"/>
        <v>1</v>
      </c>
      <c r="K1448" s="1" t="b">
        <f t="shared" si="155"/>
        <v>0</v>
      </c>
      <c r="L1448" s="1" t="b">
        <f t="shared" si="156"/>
        <v>0</v>
      </c>
      <c r="M1448" s="1" t="b">
        <f t="shared" si="157"/>
        <v>0</v>
      </c>
      <c r="N1448" s="1" t="b">
        <f t="shared" si="158"/>
        <v>1</v>
      </c>
      <c r="O1448" s="1" t="b">
        <f t="shared" si="159"/>
        <v>0</v>
      </c>
      <c r="P1448" s="1" t="b">
        <f t="shared" si="160"/>
        <v>0</v>
      </c>
    </row>
    <row r="1449" spans="1:16" x14ac:dyDescent="0.2">
      <c r="A1449">
        <v>3253718</v>
      </c>
      <c r="B1449" t="s">
        <v>2692</v>
      </c>
      <c r="C1449" t="s">
        <v>454</v>
      </c>
      <c r="D1449" t="s">
        <v>77</v>
      </c>
      <c r="E1449" s="1">
        <v>44758</v>
      </c>
      <c r="F1449" t="s">
        <v>2693</v>
      </c>
      <c r="G1449" s="1">
        <v>44767</v>
      </c>
      <c r="I1449" t="s">
        <v>13</v>
      </c>
      <c r="J1449" s="1" t="b">
        <f t="shared" si="154"/>
        <v>0</v>
      </c>
      <c r="K1449" s="1" t="b">
        <f t="shared" si="155"/>
        <v>1</v>
      </c>
      <c r="L1449" s="1" t="b">
        <f t="shared" si="156"/>
        <v>0</v>
      </c>
      <c r="M1449" s="1" t="b">
        <f t="shared" si="157"/>
        <v>0</v>
      </c>
      <c r="N1449" s="1" t="b">
        <f t="shared" si="158"/>
        <v>0</v>
      </c>
      <c r="O1449" s="1" t="b">
        <f t="shared" si="159"/>
        <v>0</v>
      </c>
      <c r="P1449" s="1" t="b">
        <f t="shared" si="160"/>
        <v>0</v>
      </c>
    </row>
    <row r="1450" spans="1:16" x14ac:dyDescent="0.2">
      <c r="A1450">
        <v>7858398</v>
      </c>
      <c r="B1450" t="s">
        <v>2694</v>
      </c>
      <c r="C1450" t="s">
        <v>287</v>
      </c>
      <c r="D1450" t="s">
        <v>81</v>
      </c>
      <c r="E1450" s="1">
        <v>44649</v>
      </c>
      <c r="F1450" t="s">
        <v>2695</v>
      </c>
      <c r="G1450" s="1">
        <v>44662</v>
      </c>
      <c r="H1450" s="1">
        <v>44670</v>
      </c>
      <c r="I1450" t="s">
        <v>43</v>
      </c>
      <c r="J1450" s="1" t="b">
        <f t="shared" si="154"/>
        <v>1</v>
      </c>
      <c r="K1450" s="1" t="b">
        <f t="shared" si="155"/>
        <v>0</v>
      </c>
      <c r="L1450" s="1" t="b">
        <f t="shared" si="156"/>
        <v>0</v>
      </c>
      <c r="M1450" s="1" t="b">
        <f t="shared" si="157"/>
        <v>0</v>
      </c>
      <c r="N1450" s="1" t="b">
        <f t="shared" si="158"/>
        <v>0</v>
      </c>
      <c r="O1450" s="1" t="b">
        <f t="shared" si="159"/>
        <v>1</v>
      </c>
      <c r="P1450" s="1" t="b">
        <f t="shared" si="160"/>
        <v>0</v>
      </c>
    </row>
    <row r="1451" spans="1:16" x14ac:dyDescent="0.2">
      <c r="A1451">
        <v>5643299</v>
      </c>
      <c r="B1451" t="s">
        <v>2696</v>
      </c>
      <c r="C1451" t="s">
        <v>76</v>
      </c>
      <c r="D1451" t="s">
        <v>39</v>
      </c>
      <c r="E1451" s="1">
        <v>44665</v>
      </c>
      <c r="F1451" t="s">
        <v>2697</v>
      </c>
      <c r="G1451" s="1">
        <v>44666</v>
      </c>
      <c r="H1451" s="1">
        <v>44670</v>
      </c>
      <c r="J1451" s="1" t="b">
        <f t="shared" si="154"/>
        <v>1</v>
      </c>
      <c r="K1451" s="1" t="b">
        <f t="shared" si="155"/>
        <v>0</v>
      </c>
      <c r="L1451" s="1" t="b">
        <f t="shared" si="156"/>
        <v>0</v>
      </c>
      <c r="M1451" s="1" t="b">
        <f t="shared" si="157"/>
        <v>0</v>
      </c>
      <c r="N1451" s="1" t="b">
        <f t="shared" si="158"/>
        <v>0</v>
      </c>
      <c r="O1451" s="1" t="b">
        <f t="shared" si="159"/>
        <v>0</v>
      </c>
      <c r="P1451" s="1" t="b">
        <f t="shared" si="160"/>
        <v>0</v>
      </c>
    </row>
    <row r="1452" spans="1:16" x14ac:dyDescent="0.2">
      <c r="A1452">
        <v>5464094</v>
      </c>
      <c r="B1452" t="s">
        <v>2698</v>
      </c>
      <c r="C1452" t="s">
        <v>35</v>
      </c>
      <c r="D1452" t="s">
        <v>56</v>
      </c>
      <c r="E1452" s="1">
        <v>45096</v>
      </c>
      <c r="F1452" t="s">
        <v>2699</v>
      </c>
      <c r="G1452" s="1">
        <v>45122</v>
      </c>
      <c r="H1452" s="1">
        <v>45123</v>
      </c>
      <c r="I1452" t="s">
        <v>16</v>
      </c>
      <c r="J1452" s="1" t="b">
        <f t="shared" si="154"/>
        <v>1</v>
      </c>
      <c r="K1452" s="1" t="b">
        <f t="shared" si="155"/>
        <v>0</v>
      </c>
      <c r="L1452" s="1" t="b">
        <f t="shared" si="156"/>
        <v>0</v>
      </c>
      <c r="M1452" s="1" t="b">
        <f t="shared" si="157"/>
        <v>0</v>
      </c>
      <c r="N1452" s="1" t="b">
        <f t="shared" si="158"/>
        <v>1</v>
      </c>
      <c r="O1452" s="1" t="b">
        <f t="shared" si="159"/>
        <v>0</v>
      </c>
      <c r="P1452" s="1" t="b">
        <f t="shared" si="160"/>
        <v>0</v>
      </c>
    </row>
    <row r="1453" spans="1:16" x14ac:dyDescent="0.2">
      <c r="A1453">
        <v>5464094</v>
      </c>
      <c r="B1453" t="s">
        <v>2700</v>
      </c>
      <c r="C1453" t="s">
        <v>35</v>
      </c>
      <c r="D1453" t="s">
        <v>56</v>
      </c>
      <c r="E1453" s="1">
        <v>45046</v>
      </c>
      <c r="F1453" t="s">
        <v>1086</v>
      </c>
      <c r="G1453" s="1">
        <v>45071</v>
      </c>
      <c r="H1453" s="1">
        <v>45093</v>
      </c>
      <c r="I1453" t="s">
        <v>28</v>
      </c>
      <c r="J1453" s="1" t="b">
        <f t="shared" si="154"/>
        <v>1</v>
      </c>
      <c r="K1453" s="1" t="b">
        <f t="shared" si="155"/>
        <v>0</v>
      </c>
      <c r="L1453" s="1" t="b">
        <f t="shared" si="156"/>
        <v>0</v>
      </c>
      <c r="M1453" s="1" t="b">
        <f t="shared" si="157"/>
        <v>0</v>
      </c>
      <c r="N1453" s="1" t="b">
        <f t="shared" si="158"/>
        <v>0</v>
      </c>
      <c r="O1453" s="1" t="b">
        <f t="shared" si="159"/>
        <v>0</v>
      </c>
      <c r="P1453" s="1" t="b">
        <f t="shared" si="160"/>
        <v>1</v>
      </c>
    </row>
    <row r="1454" spans="1:16" x14ac:dyDescent="0.2">
      <c r="A1454">
        <v>5464094</v>
      </c>
      <c r="B1454" t="s">
        <v>2701</v>
      </c>
      <c r="C1454" t="s">
        <v>35</v>
      </c>
      <c r="D1454" t="s">
        <v>56</v>
      </c>
      <c r="E1454" s="1">
        <v>44913</v>
      </c>
      <c r="F1454" t="s">
        <v>530</v>
      </c>
      <c r="G1454" s="1">
        <v>44924</v>
      </c>
      <c r="H1454" s="1">
        <v>44977</v>
      </c>
      <c r="I1454" t="s">
        <v>28</v>
      </c>
      <c r="J1454" s="1" t="b">
        <f t="shared" si="154"/>
        <v>1</v>
      </c>
      <c r="K1454" s="1" t="b">
        <f t="shared" si="155"/>
        <v>0</v>
      </c>
      <c r="L1454" s="1" t="b">
        <f t="shared" si="156"/>
        <v>0</v>
      </c>
      <c r="M1454" s="1" t="b">
        <f t="shared" si="157"/>
        <v>0</v>
      </c>
      <c r="N1454" s="1" t="b">
        <f t="shared" si="158"/>
        <v>0</v>
      </c>
      <c r="O1454" s="1" t="b">
        <f t="shared" si="159"/>
        <v>0</v>
      </c>
      <c r="P1454" s="1" t="b">
        <f t="shared" si="160"/>
        <v>1</v>
      </c>
    </row>
    <row r="1455" spans="1:16" x14ac:dyDescent="0.2">
      <c r="A1455">
        <v>5464094</v>
      </c>
      <c r="B1455" t="s">
        <v>2702</v>
      </c>
      <c r="C1455" t="s">
        <v>35</v>
      </c>
      <c r="D1455" t="s">
        <v>56</v>
      </c>
      <c r="E1455" s="1">
        <v>44970</v>
      </c>
      <c r="F1455" t="s">
        <v>2703</v>
      </c>
      <c r="G1455" s="1">
        <v>44983</v>
      </c>
      <c r="I1455" t="s">
        <v>25</v>
      </c>
      <c r="J1455" s="1" t="b">
        <f t="shared" si="154"/>
        <v>0</v>
      </c>
      <c r="K1455" s="1" t="b">
        <f t="shared" si="155"/>
        <v>0</v>
      </c>
      <c r="L1455" s="1" t="b">
        <f t="shared" si="156"/>
        <v>1</v>
      </c>
      <c r="M1455" s="1" t="b">
        <f t="shared" si="157"/>
        <v>0</v>
      </c>
      <c r="N1455" s="1" t="b">
        <f t="shared" si="158"/>
        <v>0</v>
      </c>
      <c r="O1455" s="1" t="b">
        <f t="shared" si="159"/>
        <v>0</v>
      </c>
      <c r="P1455" s="1" t="b">
        <f t="shared" si="160"/>
        <v>0</v>
      </c>
    </row>
    <row r="1456" spans="1:16" x14ac:dyDescent="0.2">
      <c r="A1456">
        <v>5464094</v>
      </c>
      <c r="B1456" t="s">
        <v>2704</v>
      </c>
      <c r="C1456" t="s">
        <v>35</v>
      </c>
      <c r="D1456" t="s">
        <v>56</v>
      </c>
      <c r="E1456" s="1">
        <v>44664</v>
      </c>
      <c r="F1456" t="s">
        <v>2705</v>
      </c>
      <c r="G1456" s="1">
        <v>44665</v>
      </c>
      <c r="H1456" s="1">
        <v>44695</v>
      </c>
      <c r="I1456" t="s">
        <v>28</v>
      </c>
      <c r="J1456" s="1" t="b">
        <f t="shared" si="154"/>
        <v>1</v>
      </c>
      <c r="K1456" s="1" t="b">
        <f t="shared" si="155"/>
        <v>0</v>
      </c>
      <c r="L1456" s="1" t="b">
        <f t="shared" si="156"/>
        <v>0</v>
      </c>
      <c r="M1456" s="1" t="b">
        <f t="shared" si="157"/>
        <v>0</v>
      </c>
      <c r="N1456" s="1" t="b">
        <f t="shared" si="158"/>
        <v>0</v>
      </c>
      <c r="O1456" s="1" t="b">
        <f t="shared" si="159"/>
        <v>0</v>
      </c>
      <c r="P1456" s="1" t="b">
        <f t="shared" si="160"/>
        <v>1</v>
      </c>
    </row>
    <row r="1457" spans="1:16" x14ac:dyDescent="0.2">
      <c r="A1457">
        <v>7741225</v>
      </c>
      <c r="B1457" t="s">
        <v>2706</v>
      </c>
      <c r="C1457" t="s">
        <v>138</v>
      </c>
      <c r="D1457" t="s">
        <v>187</v>
      </c>
      <c r="E1457" s="1">
        <v>44816</v>
      </c>
      <c r="F1457" t="s">
        <v>2707</v>
      </c>
      <c r="G1457" s="1">
        <v>44828</v>
      </c>
      <c r="H1457" s="1">
        <v>44857</v>
      </c>
      <c r="I1457" t="s">
        <v>28</v>
      </c>
      <c r="J1457" s="1" t="b">
        <f t="shared" si="154"/>
        <v>1</v>
      </c>
      <c r="K1457" s="1" t="b">
        <f t="shared" si="155"/>
        <v>0</v>
      </c>
      <c r="L1457" s="1" t="b">
        <f t="shared" si="156"/>
        <v>0</v>
      </c>
      <c r="M1457" s="1" t="b">
        <f t="shared" si="157"/>
        <v>0</v>
      </c>
      <c r="N1457" s="1" t="b">
        <f t="shared" si="158"/>
        <v>0</v>
      </c>
      <c r="O1457" s="1" t="b">
        <f t="shared" si="159"/>
        <v>0</v>
      </c>
      <c r="P1457" s="1" t="b">
        <f t="shared" si="160"/>
        <v>1</v>
      </c>
    </row>
    <row r="1458" spans="1:16" x14ac:dyDescent="0.2">
      <c r="A1458">
        <v>8972523</v>
      </c>
      <c r="B1458" t="s">
        <v>2708</v>
      </c>
      <c r="C1458" t="s">
        <v>80</v>
      </c>
      <c r="D1458" t="s">
        <v>60</v>
      </c>
      <c r="E1458" s="1">
        <v>44895</v>
      </c>
      <c r="F1458" t="s">
        <v>2201</v>
      </c>
      <c r="G1458" s="1">
        <v>44917</v>
      </c>
      <c r="I1458" t="s">
        <v>13</v>
      </c>
      <c r="J1458" s="1" t="b">
        <f t="shared" si="154"/>
        <v>0</v>
      </c>
      <c r="K1458" s="1" t="b">
        <f t="shared" si="155"/>
        <v>1</v>
      </c>
      <c r="L1458" s="1" t="b">
        <f t="shared" si="156"/>
        <v>0</v>
      </c>
      <c r="M1458" s="1" t="b">
        <f t="shared" si="157"/>
        <v>0</v>
      </c>
      <c r="N1458" s="1" t="b">
        <f t="shared" si="158"/>
        <v>0</v>
      </c>
      <c r="O1458" s="1" t="b">
        <f t="shared" si="159"/>
        <v>0</v>
      </c>
      <c r="P1458" s="1" t="b">
        <f t="shared" si="160"/>
        <v>0</v>
      </c>
    </row>
    <row r="1459" spans="1:16" x14ac:dyDescent="0.2">
      <c r="A1459">
        <v>8972523</v>
      </c>
      <c r="B1459" t="s">
        <v>2709</v>
      </c>
      <c r="C1459" t="s">
        <v>80</v>
      </c>
      <c r="D1459" t="s">
        <v>60</v>
      </c>
      <c r="E1459" s="1">
        <v>44930</v>
      </c>
      <c r="F1459" t="s">
        <v>2710</v>
      </c>
      <c r="G1459" s="1">
        <v>44958</v>
      </c>
      <c r="H1459" s="1">
        <v>44961</v>
      </c>
      <c r="I1459" t="s">
        <v>28</v>
      </c>
      <c r="J1459" s="1" t="b">
        <f t="shared" si="154"/>
        <v>1</v>
      </c>
      <c r="K1459" s="1" t="b">
        <f t="shared" si="155"/>
        <v>0</v>
      </c>
      <c r="L1459" s="1" t="b">
        <f t="shared" si="156"/>
        <v>0</v>
      </c>
      <c r="M1459" s="1" t="b">
        <f t="shared" si="157"/>
        <v>0</v>
      </c>
      <c r="N1459" s="1" t="b">
        <f t="shared" si="158"/>
        <v>0</v>
      </c>
      <c r="O1459" s="1" t="b">
        <f t="shared" si="159"/>
        <v>0</v>
      </c>
      <c r="P1459" s="1" t="b">
        <f t="shared" si="160"/>
        <v>1</v>
      </c>
    </row>
    <row r="1460" spans="1:16" x14ac:dyDescent="0.2">
      <c r="A1460">
        <v>8454220</v>
      </c>
      <c r="B1460" t="s">
        <v>2711</v>
      </c>
      <c r="C1460" t="s">
        <v>93</v>
      </c>
      <c r="D1460" t="s">
        <v>81</v>
      </c>
      <c r="E1460" s="1">
        <v>45049</v>
      </c>
      <c r="F1460" t="s">
        <v>2712</v>
      </c>
      <c r="G1460" s="1">
        <v>45071</v>
      </c>
      <c r="H1460" s="1">
        <v>45126</v>
      </c>
      <c r="I1460" t="s">
        <v>16</v>
      </c>
      <c r="J1460" s="1" t="b">
        <f t="shared" si="154"/>
        <v>1</v>
      </c>
      <c r="K1460" s="1" t="b">
        <f t="shared" si="155"/>
        <v>0</v>
      </c>
      <c r="L1460" s="1" t="b">
        <f t="shared" si="156"/>
        <v>0</v>
      </c>
      <c r="M1460" s="1" t="b">
        <f t="shared" si="157"/>
        <v>0</v>
      </c>
      <c r="N1460" s="1" t="b">
        <f t="shared" si="158"/>
        <v>1</v>
      </c>
      <c r="O1460" s="1" t="b">
        <f t="shared" si="159"/>
        <v>0</v>
      </c>
      <c r="P1460" s="1" t="b">
        <f t="shared" si="160"/>
        <v>0</v>
      </c>
    </row>
    <row r="1461" spans="1:16" x14ac:dyDescent="0.2">
      <c r="A1461">
        <v>8454220</v>
      </c>
      <c r="B1461" t="s">
        <v>2713</v>
      </c>
      <c r="C1461" t="s">
        <v>93</v>
      </c>
      <c r="D1461" t="s">
        <v>81</v>
      </c>
      <c r="E1461" s="1">
        <v>44862</v>
      </c>
      <c r="F1461" t="s">
        <v>2714</v>
      </c>
      <c r="G1461" s="1">
        <v>44882</v>
      </c>
      <c r="H1461" s="1">
        <v>44895</v>
      </c>
      <c r="I1461" t="s">
        <v>16</v>
      </c>
      <c r="J1461" s="1" t="b">
        <f t="shared" si="154"/>
        <v>1</v>
      </c>
      <c r="K1461" s="1" t="b">
        <f t="shared" si="155"/>
        <v>0</v>
      </c>
      <c r="L1461" s="1" t="b">
        <f t="shared" si="156"/>
        <v>0</v>
      </c>
      <c r="M1461" s="1" t="b">
        <f t="shared" si="157"/>
        <v>0</v>
      </c>
      <c r="N1461" s="1" t="b">
        <f t="shared" si="158"/>
        <v>1</v>
      </c>
      <c r="O1461" s="1" t="b">
        <f t="shared" si="159"/>
        <v>0</v>
      </c>
      <c r="P1461" s="1" t="b">
        <f t="shared" si="160"/>
        <v>0</v>
      </c>
    </row>
    <row r="1462" spans="1:16" x14ac:dyDescent="0.2">
      <c r="A1462">
        <v>8454220</v>
      </c>
      <c r="B1462" t="s">
        <v>2715</v>
      </c>
      <c r="C1462" t="s">
        <v>93</v>
      </c>
      <c r="D1462" t="s">
        <v>81</v>
      </c>
      <c r="E1462" s="1">
        <v>44651</v>
      </c>
      <c r="F1462" t="s">
        <v>1588</v>
      </c>
      <c r="G1462" s="1">
        <v>44661</v>
      </c>
      <c r="H1462" s="1">
        <v>44715</v>
      </c>
      <c r="I1462" t="s">
        <v>16</v>
      </c>
      <c r="J1462" s="1" t="b">
        <f t="shared" si="154"/>
        <v>1</v>
      </c>
      <c r="K1462" s="1" t="b">
        <f t="shared" si="155"/>
        <v>0</v>
      </c>
      <c r="L1462" s="1" t="b">
        <f t="shared" si="156"/>
        <v>0</v>
      </c>
      <c r="M1462" s="1" t="b">
        <f t="shared" si="157"/>
        <v>0</v>
      </c>
      <c r="N1462" s="1" t="b">
        <f t="shared" si="158"/>
        <v>1</v>
      </c>
      <c r="O1462" s="1" t="b">
        <f t="shared" si="159"/>
        <v>0</v>
      </c>
      <c r="P1462" s="1" t="b">
        <f t="shared" si="160"/>
        <v>0</v>
      </c>
    </row>
    <row r="1463" spans="1:16" x14ac:dyDescent="0.2">
      <c r="A1463">
        <v>8454220</v>
      </c>
      <c r="B1463" t="s">
        <v>2716</v>
      </c>
      <c r="C1463" t="s">
        <v>93</v>
      </c>
      <c r="D1463" t="s">
        <v>81</v>
      </c>
      <c r="E1463" s="1">
        <v>45018</v>
      </c>
      <c r="F1463" t="s">
        <v>2717</v>
      </c>
      <c r="G1463" s="1">
        <v>45022</v>
      </c>
      <c r="H1463" s="1">
        <v>45053</v>
      </c>
      <c r="J1463" s="1" t="b">
        <f t="shared" si="154"/>
        <v>1</v>
      </c>
      <c r="K1463" s="1" t="b">
        <f t="shared" si="155"/>
        <v>0</v>
      </c>
      <c r="L1463" s="1" t="b">
        <f t="shared" si="156"/>
        <v>0</v>
      </c>
      <c r="M1463" s="1" t="b">
        <f t="shared" si="157"/>
        <v>0</v>
      </c>
      <c r="N1463" s="1" t="b">
        <f t="shared" si="158"/>
        <v>0</v>
      </c>
      <c r="O1463" s="1" t="b">
        <f t="shared" si="159"/>
        <v>0</v>
      </c>
      <c r="P1463" s="1" t="b">
        <f t="shared" si="160"/>
        <v>0</v>
      </c>
    </row>
    <row r="1464" spans="1:16" x14ac:dyDescent="0.2">
      <c r="A1464">
        <v>5041658</v>
      </c>
      <c r="B1464" t="s">
        <v>2718</v>
      </c>
      <c r="C1464" t="s">
        <v>93</v>
      </c>
      <c r="D1464" t="s">
        <v>19</v>
      </c>
      <c r="E1464" s="1">
        <v>44591</v>
      </c>
      <c r="F1464" t="s">
        <v>251</v>
      </c>
      <c r="G1464" s="1">
        <v>44597</v>
      </c>
      <c r="H1464" s="1">
        <v>44657</v>
      </c>
      <c r="I1464" t="s">
        <v>16</v>
      </c>
      <c r="J1464" s="1" t="b">
        <f t="shared" si="154"/>
        <v>1</v>
      </c>
      <c r="K1464" s="1" t="b">
        <f t="shared" si="155"/>
        <v>0</v>
      </c>
      <c r="L1464" s="1" t="b">
        <f t="shared" si="156"/>
        <v>0</v>
      </c>
      <c r="M1464" s="1" t="b">
        <f t="shared" si="157"/>
        <v>0</v>
      </c>
      <c r="N1464" s="1" t="b">
        <f t="shared" si="158"/>
        <v>1</v>
      </c>
      <c r="O1464" s="1" t="b">
        <f t="shared" si="159"/>
        <v>0</v>
      </c>
      <c r="P1464" s="1" t="b">
        <f t="shared" si="160"/>
        <v>0</v>
      </c>
    </row>
    <row r="1465" spans="1:16" x14ac:dyDescent="0.2">
      <c r="A1465">
        <v>5041658</v>
      </c>
      <c r="B1465" t="s">
        <v>2719</v>
      </c>
      <c r="C1465" t="s">
        <v>93</v>
      </c>
      <c r="D1465" t="s">
        <v>19</v>
      </c>
      <c r="E1465" s="1">
        <v>44787</v>
      </c>
      <c r="F1465" t="s">
        <v>2720</v>
      </c>
      <c r="G1465" s="1">
        <v>44811</v>
      </c>
      <c r="H1465" s="1">
        <v>44828</v>
      </c>
      <c r="J1465" s="1" t="b">
        <f t="shared" si="154"/>
        <v>1</v>
      </c>
      <c r="K1465" s="1" t="b">
        <f t="shared" si="155"/>
        <v>0</v>
      </c>
      <c r="L1465" s="1" t="b">
        <f t="shared" si="156"/>
        <v>0</v>
      </c>
      <c r="M1465" s="1" t="b">
        <f t="shared" si="157"/>
        <v>0</v>
      </c>
      <c r="N1465" s="1" t="b">
        <f t="shared" si="158"/>
        <v>0</v>
      </c>
      <c r="O1465" s="1" t="b">
        <f t="shared" si="159"/>
        <v>0</v>
      </c>
      <c r="P1465" s="1" t="b">
        <f t="shared" si="160"/>
        <v>0</v>
      </c>
    </row>
    <row r="1466" spans="1:16" x14ac:dyDescent="0.2">
      <c r="A1466">
        <v>8991026</v>
      </c>
      <c r="B1466" t="s">
        <v>2721</v>
      </c>
      <c r="C1466" t="s">
        <v>131</v>
      </c>
      <c r="D1466" t="s">
        <v>122</v>
      </c>
      <c r="E1466" s="1">
        <v>44902</v>
      </c>
      <c r="F1466" t="s">
        <v>2722</v>
      </c>
      <c r="G1466" s="1">
        <v>44930</v>
      </c>
      <c r="H1466" s="1">
        <v>44945</v>
      </c>
      <c r="J1466" s="1" t="b">
        <f t="shared" si="154"/>
        <v>1</v>
      </c>
      <c r="K1466" s="1" t="b">
        <f t="shared" si="155"/>
        <v>0</v>
      </c>
      <c r="L1466" s="1" t="b">
        <f t="shared" si="156"/>
        <v>0</v>
      </c>
      <c r="M1466" s="1" t="b">
        <f t="shared" si="157"/>
        <v>0</v>
      </c>
      <c r="N1466" s="1" t="b">
        <f t="shared" si="158"/>
        <v>0</v>
      </c>
      <c r="O1466" s="1" t="b">
        <f t="shared" si="159"/>
        <v>0</v>
      </c>
      <c r="P1466" s="1" t="b">
        <f t="shared" si="160"/>
        <v>0</v>
      </c>
    </row>
    <row r="1467" spans="1:16" x14ac:dyDescent="0.2">
      <c r="A1467">
        <v>8991026</v>
      </c>
      <c r="B1467" t="s">
        <v>2723</v>
      </c>
      <c r="C1467" t="s">
        <v>131</v>
      </c>
      <c r="D1467" t="s">
        <v>122</v>
      </c>
      <c r="E1467" s="1">
        <v>44948</v>
      </c>
      <c r="F1467" t="s">
        <v>249</v>
      </c>
      <c r="G1467" s="1">
        <v>44978</v>
      </c>
      <c r="H1467" s="1">
        <v>45024</v>
      </c>
      <c r="I1467" t="s">
        <v>16</v>
      </c>
      <c r="J1467" s="1" t="b">
        <f t="shared" si="154"/>
        <v>1</v>
      </c>
      <c r="K1467" s="1" t="b">
        <f t="shared" si="155"/>
        <v>0</v>
      </c>
      <c r="L1467" s="1" t="b">
        <f t="shared" si="156"/>
        <v>0</v>
      </c>
      <c r="M1467" s="1" t="b">
        <f t="shared" si="157"/>
        <v>0</v>
      </c>
      <c r="N1467" s="1" t="b">
        <f t="shared" si="158"/>
        <v>1</v>
      </c>
      <c r="O1467" s="1" t="b">
        <f t="shared" si="159"/>
        <v>0</v>
      </c>
      <c r="P1467" s="1" t="b">
        <f t="shared" si="160"/>
        <v>0</v>
      </c>
    </row>
    <row r="1468" spans="1:16" x14ac:dyDescent="0.2">
      <c r="A1468">
        <v>7403032</v>
      </c>
      <c r="B1468" t="s">
        <v>2724</v>
      </c>
      <c r="C1468" t="s">
        <v>265</v>
      </c>
      <c r="D1468" t="s">
        <v>139</v>
      </c>
      <c r="E1468" s="1">
        <v>44859</v>
      </c>
      <c r="F1468" t="s">
        <v>2725</v>
      </c>
      <c r="G1468" s="1">
        <v>44862</v>
      </c>
      <c r="H1468" s="1">
        <v>44870</v>
      </c>
      <c r="I1468" t="s">
        <v>43</v>
      </c>
      <c r="J1468" s="1" t="b">
        <f t="shared" si="154"/>
        <v>1</v>
      </c>
      <c r="K1468" s="1" t="b">
        <f t="shared" si="155"/>
        <v>0</v>
      </c>
      <c r="L1468" s="1" t="b">
        <f t="shared" si="156"/>
        <v>0</v>
      </c>
      <c r="M1468" s="1" t="b">
        <f t="shared" si="157"/>
        <v>0</v>
      </c>
      <c r="N1468" s="1" t="b">
        <f t="shared" si="158"/>
        <v>0</v>
      </c>
      <c r="O1468" s="1" t="b">
        <f t="shared" si="159"/>
        <v>1</v>
      </c>
      <c r="P1468" s="1" t="b">
        <f t="shared" si="160"/>
        <v>0</v>
      </c>
    </row>
    <row r="1469" spans="1:16" x14ac:dyDescent="0.2">
      <c r="A1469">
        <v>7403032</v>
      </c>
      <c r="B1469" t="s">
        <v>2726</v>
      </c>
      <c r="C1469" t="s">
        <v>265</v>
      </c>
      <c r="D1469" t="s">
        <v>139</v>
      </c>
      <c r="E1469" s="1">
        <v>44754</v>
      </c>
      <c r="F1469" t="s">
        <v>1934</v>
      </c>
      <c r="G1469" s="1">
        <v>44778</v>
      </c>
      <c r="I1469" t="s">
        <v>13</v>
      </c>
      <c r="J1469" s="1" t="b">
        <f t="shared" si="154"/>
        <v>0</v>
      </c>
      <c r="K1469" s="1" t="b">
        <f t="shared" si="155"/>
        <v>1</v>
      </c>
      <c r="L1469" s="1" t="b">
        <f t="shared" si="156"/>
        <v>0</v>
      </c>
      <c r="M1469" s="1" t="b">
        <f t="shared" si="157"/>
        <v>0</v>
      </c>
      <c r="N1469" s="1" t="b">
        <f t="shared" si="158"/>
        <v>0</v>
      </c>
      <c r="O1469" s="1" t="b">
        <f t="shared" si="159"/>
        <v>0</v>
      </c>
      <c r="P1469" s="1" t="b">
        <f t="shared" si="160"/>
        <v>0</v>
      </c>
    </row>
    <row r="1470" spans="1:16" x14ac:dyDescent="0.2">
      <c r="A1470">
        <v>7403032</v>
      </c>
      <c r="B1470" t="s">
        <v>2727</v>
      </c>
      <c r="C1470" t="s">
        <v>265</v>
      </c>
      <c r="D1470" t="s">
        <v>139</v>
      </c>
      <c r="E1470" s="1">
        <v>44882</v>
      </c>
      <c r="F1470" t="s">
        <v>2093</v>
      </c>
      <c r="G1470" s="1">
        <v>44895</v>
      </c>
      <c r="H1470" s="1">
        <v>44932</v>
      </c>
      <c r="I1470" t="s">
        <v>28</v>
      </c>
      <c r="J1470" s="1" t="b">
        <f t="shared" si="154"/>
        <v>1</v>
      </c>
      <c r="K1470" s="1" t="b">
        <f t="shared" si="155"/>
        <v>0</v>
      </c>
      <c r="L1470" s="1" t="b">
        <f t="shared" si="156"/>
        <v>0</v>
      </c>
      <c r="M1470" s="1" t="b">
        <f t="shared" si="157"/>
        <v>0</v>
      </c>
      <c r="N1470" s="1" t="b">
        <f t="shared" si="158"/>
        <v>0</v>
      </c>
      <c r="O1470" s="1" t="b">
        <f t="shared" si="159"/>
        <v>0</v>
      </c>
      <c r="P1470" s="1" t="b">
        <f t="shared" si="160"/>
        <v>1</v>
      </c>
    </row>
    <row r="1471" spans="1:16" x14ac:dyDescent="0.2">
      <c r="A1471">
        <v>7403032</v>
      </c>
      <c r="B1471" t="s">
        <v>2728</v>
      </c>
      <c r="C1471" t="s">
        <v>265</v>
      </c>
      <c r="D1471" t="s">
        <v>139</v>
      </c>
      <c r="E1471" s="1">
        <v>44756</v>
      </c>
      <c r="F1471" t="s">
        <v>672</v>
      </c>
      <c r="G1471" s="1">
        <v>44784</v>
      </c>
      <c r="H1471" s="1">
        <v>44809</v>
      </c>
      <c r="I1471" t="s">
        <v>28</v>
      </c>
      <c r="J1471" s="1" t="b">
        <f t="shared" si="154"/>
        <v>1</v>
      </c>
      <c r="K1471" s="1" t="b">
        <f t="shared" si="155"/>
        <v>0</v>
      </c>
      <c r="L1471" s="1" t="b">
        <f t="shared" si="156"/>
        <v>0</v>
      </c>
      <c r="M1471" s="1" t="b">
        <f t="shared" si="157"/>
        <v>0</v>
      </c>
      <c r="N1471" s="1" t="b">
        <f t="shared" si="158"/>
        <v>0</v>
      </c>
      <c r="O1471" s="1" t="b">
        <f t="shared" si="159"/>
        <v>0</v>
      </c>
      <c r="P1471" s="1" t="b">
        <f t="shared" si="160"/>
        <v>1</v>
      </c>
    </row>
    <row r="1472" spans="1:16" x14ac:dyDescent="0.2">
      <c r="A1472">
        <v>8108481</v>
      </c>
      <c r="B1472" t="s">
        <v>2729</v>
      </c>
      <c r="C1472" t="s">
        <v>720</v>
      </c>
      <c r="D1472" t="s">
        <v>39</v>
      </c>
      <c r="E1472" s="1">
        <v>44571</v>
      </c>
      <c r="F1472" t="s">
        <v>2730</v>
      </c>
      <c r="G1472" s="1">
        <v>44589</v>
      </c>
      <c r="H1472" s="1">
        <v>44644</v>
      </c>
      <c r="I1472" t="s">
        <v>43</v>
      </c>
      <c r="J1472" s="1" t="b">
        <f t="shared" si="154"/>
        <v>1</v>
      </c>
      <c r="K1472" s="1" t="b">
        <f t="shared" si="155"/>
        <v>0</v>
      </c>
      <c r="L1472" s="1" t="b">
        <f t="shared" si="156"/>
        <v>0</v>
      </c>
      <c r="M1472" s="1" t="b">
        <f t="shared" si="157"/>
        <v>0</v>
      </c>
      <c r="N1472" s="1" t="b">
        <f t="shared" si="158"/>
        <v>0</v>
      </c>
      <c r="O1472" s="1" t="b">
        <f t="shared" si="159"/>
        <v>1</v>
      </c>
      <c r="P1472" s="1" t="b">
        <f t="shared" si="160"/>
        <v>0</v>
      </c>
    </row>
    <row r="1473" spans="1:16" x14ac:dyDescent="0.2">
      <c r="A1473">
        <v>8108481</v>
      </c>
      <c r="B1473" t="s">
        <v>2731</v>
      </c>
      <c r="C1473" t="s">
        <v>720</v>
      </c>
      <c r="D1473" t="s">
        <v>39</v>
      </c>
      <c r="E1473" s="1">
        <v>44786</v>
      </c>
      <c r="F1473" t="s">
        <v>2732</v>
      </c>
      <c r="G1473" s="1">
        <v>44802</v>
      </c>
      <c r="H1473" s="1">
        <v>44846</v>
      </c>
      <c r="I1473" t="s">
        <v>43</v>
      </c>
      <c r="J1473" s="1" t="b">
        <f t="shared" si="154"/>
        <v>1</v>
      </c>
      <c r="K1473" s="1" t="b">
        <f t="shared" si="155"/>
        <v>0</v>
      </c>
      <c r="L1473" s="1" t="b">
        <f t="shared" si="156"/>
        <v>0</v>
      </c>
      <c r="M1473" s="1" t="b">
        <f t="shared" si="157"/>
        <v>0</v>
      </c>
      <c r="N1473" s="1" t="b">
        <f t="shared" si="158"/>
        <v>0</v>
      </c>
      <c r="O1473" s="1" t="b">
        <f t="shared" si="159"/>
        <v>1</v>
      </c>
      <c r="P1473" s="1" t="b">
        <f t="shared" si="160"/>
        <v>0</v>
      </c>
    </row>
    <row r="1474" spans="1:16" x14ac:dyDescent="0.2">
      <c r="A1474">
        <v>8646795</v>
      </c>
      <c r="B1474" t="s">
        <v>2733</v>
      </c>
      <c r="C1474" t="s">
        <v>71</v>
      </c>
      <c r="D1474" t="s">
        <v>81</v>
      </c>
      <c r="E1474" s="1">
        <v>44597</v>
      </c>
      <c r="F1474" t="s">
        <v>181</v>
      </c>
      <c r="G1474" s="1">
        <v>44617</v>
      </c>
      <c r="I1474" t="s">
        <v>13</v>
      </c>
      <c r="J1474" s="1" t="b">
        <f t="shared" si="154"/>
        <v>0</v>
      </c>
      <c r="K1474" s="1" t="b">
        <f t="shared" si="155"/>
        <v>1</v>
      </c>
      <c r="L1474" s="1" t="b">
        <f t="shared" si="156"/>
        <v>0</v>
      </c>
      <c r="M1474" s="1" t="b">
        <f t="shared" si="157"/>
        <v>0</v>
      </c>
      <c r="N1474" s="1" t="b">
        <f t="shared" si="158"/>
        <v>0</v>
      </c>
      <c r="O1474" s="1" t="b">
        <f t="shared" si="159"/>
        <v>0</v>
      </c>
      <c r="P1474" s="1" t="b">
        <f t="shared" si="160"/>
        <v>0</v>
      </c>
    </row>
    <row r="1475" spans="1:16" x14ac:dyDescent="0.2">
      <c r="A1475">
        <v>8646795</v>
      </c>
      <c r="B1475" t="s">
        <v>2734</v>
      </c>
      <c r="C1475" t="s">
        <v>71</v>
      </c>
      <c r="D1475" t="s">
        <v>81</v>
      </c>
      <c r="E1475" s="1">
        <v>44688</v>
      </c>
      <c r="F1475" t="s">
        <v>2735</v>
      </c>
      <c r="G1475" s="1">
        <v>44697</v>
      </c>
      <c r="I1475" t="s">
        <v>25</v>
      </c>
      <c r="J1475" s="1" t="b">
        <f t="shared" ref="J1475:J1538" si="161">AND(NOT(ISBLANK(H1475)), NOT(OR(ISNUMBER(SEARCH("decline", I1475)), ISNUMBER(SEARCH("rescind", I1475)), ISNUMBER(SEARCH("cancel", I1475)))))</f>
        <v>0</v>
      </c>
      <c r="K1475" s="1" t="b">
        <f t="shared" ref="K1475:K1538" si="162">ISNUMBER(SEARCH("decline", I1475))</f>
        <v>0</v>
      </c>
      <c r="L1475" s="1" t="b">
        <f t="shared" ref="L1475:L1538" si="163">ISNUMBER(SEARCH("rescind", I1475))</f>
        <v>1</v>
      </c>
      <c r="M1475" s="1" t="b">
        <f t="shared" ref="M1475:M1538" si="164">ISNUMBER(SEARCH("cancel", I1475))</f>
        <v>0</v>
      </c>
      <c r="N1475" s="1" t="b">
        <f t="shared" ref="N1475:N1538" si="165">ISNUMBER(SEARCH("transfer", I1475))</f>
        <v>0</v>
      </c>
      <c r="O1475" s="1" t="b">
        <f t="shared" ref="O1475:O1538" si="166">ISNUMBER(SEARCH("promo", I1475))</f>
        <v>0</v>
      </c>
      <c r="P1475" s="1" t="b">
        <f t="shared" ref="P1475:P1538" si="167">ISNUMBER(SEARCH("new", I1475))</f>
        <v>0</v>
      </c>
    </row>
    <row r="1476" spans="1:16" x14ac:dyDescent="0.2">
      <c r="A1476">
        <v>8646795</v>
      </c>
      <c r="B1476" t="s">
        <v>2736</v>
      </c>
      <c r="C1476" t="s">
        <v>71</v>
      </c>
      <c r="D1476" t="s">
        <v>81</v>
      </c>
      <c r="E1476" s="1">
        <v>44782</v>
      </c>
      <c r="F1476" t="s">
        <v>2737</v>
      </c>
      <c r="G1476" s="1">
        <v>44798</v>
      </c>
      <c r="H1476" s="1">
        <v>44817</v>
      </c>
      <c r="J1476" s="1" t="b">
        <f t="shared" si="161"/>
        <v>1</v>
      </c>
      <c r="K1476" s="1" t="b">
        <f t="shared" si="162"/>
        <v>0</v>
      </c>
      <c r="L1476" s="1" t="b">
        <f t="shared" si="163"/>
        <v>0</v>
      </c>
      <c r="M1476" s="1" t="b">
        <f t="shared" si="164"/>
        <v>0</v>
      </c>
      <c r="N1476" s="1" t="b">
        <f t="shared" si="165"/>
        <v>0</v>
      </c>
      <c r="O1476" s="1" t="b">
        <f t="shared" si="166"/>
        <v>0</v>
      </c>
      <c r="P1476" s="1" t="b">
        <f t="shared" si="167"/>
        <v>0</v>
      </c>
    </row>
    <row r="1477" spans="1:16" x14ac:dyDescent="0.2">
      <c r="A1477">
        <v>7320122</v>
      </c>
      <c r="B1477" t="s">
        <v>2738</v>
      </c>
      <c r="C1477" t="s">
        <v>521</v>
      </c>
      <c r="D1477" t="s">
        <v>39</v>
      </c>
      <c r="E1477" s="1">
        <v>44792</v>
      </c>
      <c r="F1477" t="s">
        <v>2739</v>
      </c>
      <c r="G1477" s="1">
        <v>44815</v>
      </c>
      <c r="H1477" s="1">
        <v>44863</v>
      </c>
      <c r="I1477" t="s">
        <v>43</v>
      </c>
      <c r="J1477" s="1" t="b">
        <f t="shared" si="161"/>
        <v>1</v>
      </c>
      <c r="K1477" s="1" t="b">
        <f t="shared" si="162"/>
        <v>0</v>
      </c>
      <c r="L1477" s="1" t="b">
        <f t="shared" si="163"/>
        <v>0</v>
      </c>
      <c r="M1477" s="1" t="b">
        <f t="shared" si="164"/>
        <v>0</v>
      </c>
      <c r="N1477" s="1" t="b">
        <f t="shared" si="165"/>
        <v>0</v>
      </c>
      <c r="O1477" s="1" t="b">
        <f t="shared" si="166"/>
        <v>1</v>
      </c>
      <c r="P1477" s="1" t="b">
        <f t="shared" si="167"/>
        <v>0</v>
      </c>
    </row>
    <row r="1478" spans="1:16" x14ac:dyDescent="0.2">
      <c r="A1478">
        <v>7320122</v>
      </c>
      <c r="B1478" t="s">
        <v>2740</v>
      </c>
      <c r="C1478" t="s">
        <v>521</v>
      </c>
      <c r="D1478" t="s">
        <v>39</v>
      </c>
      <c r="E1478" s="1">
        <v>44745</v>
      </c>
      <c r="F1478" t="s">
        <v>1319</v>
      </c>
      <c r="G1478" s="1">
        <v>44773</v>
      </c>
      <c r="I1478" t="s">
        <v>13</v>
      </c>
      <c r="J1478" s="1" t="b">
        <f t="shared" si="161"/>
        <v>0</v>
      </c>
      <c r="K1478" s="1" t="b">
        <f t="shared" si="162"/>
        <v>1</v>
      </c>
      <c r="L1478" s="1" t="b">
        <f t="shared" si="163"/>
        <v>0</v>
      </c>
      <c r="M1478" s="1" t="b">
        <f t="shared" si="164"/>
        <v>0</v>
      </c>
      <c r="N1478" s="1" t="b">
        <f t="shared" si="165"/>
        <v>0</v>
      </c>
      <c r="O1478" s="1" t="b">
        <f t="shared" si="166"/>
        <v>0</v>
      </c>
      <c r="P1478" s="1" t="b">
        <f t="shared" si="167"/>
        <v>0</v>
      </c>
    </row>
    <row r="1479" spans="1:16" x14ac:dyDescent="0.2">
      <c r="A1479">
        <v>9178970</v>
      </c>
      <c r="B1479" t="s">
        <v>2741</v>
      </c>
      <c r="C1479" t="s">
        <v>138</v>
      </c>
      <c r="D1479" t="s">
        <v>60</v>
      </c>
      <c r="E1479" s="1">
        <v>44963</v>
      </c>
      <c r="F1479" t="s">
        <v>2742</v>
      </c>
      <c r="G1479" s="1">
        <v>44974</v>
      </c>
      <c r="H1479" s="1">
        <v>45002</v>
      </c>
      <c r="I1479" t="s">
        <v>43</v>
      </c>
      <c r="J1479" s="1" t="b">
        <f t="shared" si="161"/>
        <v>1</v>
      </c>
      <c r="K1479" s="1" t="b">
        <f t="shared" si="162"/>
        <v>0</v>
      </c>
      <c r="L1479" s="1" t="b">
        <f t="shared" si="163"/>
        <v>0</v>
      </c>
      <c r="M1479" s="1" t="b">
        <f t="shared" si="164"/>
        <v>0</v>
      </c>
      <c r="N1479" s="1" t="b">
        <f t="shared" si="165"/>
        <v>0</v>
      </c>
      <c r="O1479" s="1" t="b">
        <f t="shared" si="166"/>
        <v>1</v>
      </c>
      <c r="P1479" s="1" t="b">
        <f t="shared" si="167"/>
        <v>0</v>
      </c>
    </row>
    <row r="1480" spans="1:16" x14ac:dyDescent="0.2">
      <c r="A1480">
        <v>9178970</v>
      </c>
      <c r="B1480" t="s">
        <v>2743</v>
      </c>
      <c r="C1480" t="s">
        <v>138</v>
      </c>
      <c r="D1480" t="s">
        <v>60</v>
      </c>
      <c r="E1480" s="1">
        <v>44962</v>
      </c>
      <c r="F1480" t="s">
        <v>2458</v>
      </c>
      <c r="G1480" s="1">
        <v>44965</v>
      </c>
      <c r="H1480" s="1">
        <v>44999</v>
      </c>
      <c r="I1480" t="s">
        <v>28</v>
      </c>
      <c r="J1480" s="1" t="b">
        <f t="shared" si="161"/>
        <v>1</v>
      </c>
      <c r="K1480" s="1" t="b">
        <f t="shared" si="162"/>
        <v>0</v>
      </c>
      <c r="L1480" s="1" t="b">
        <f t="shared" si="163"/>
        <v>0</v>
      </c>
      <c r="M1480" s="1" t="b">
        <f t="shared" si="164"/>
        <v>0</v>
      </c>
      <c r="N1480" s="1" t="b">
        <f t="shared" si="165"/>
        <v>0</v>
      </c>
      <c r="O1480" s="1" t="b">
        <f t="shared" si="166"/>
        <v>0</v>
      </c>
      <c r="P1480" s="1" t="b">
        <f t="shared" si="167"/>
        <v>1</v>
      </c>
    </row>
    <row r="1481" spans="1:16" x14ac:dyDescent="0.2">
      <c r="A1481">
        <v>9178970</v>
      </c>
      <c r="B1481" t="s">
        <v>2744</v>
      </c>
      <c r="C1481" t="s">
        <v>138</v>
      </c>
      <c r="D1481" t="s">
        <v>60</v>
      </c>
      <c r="E1481" s="1">
        <v>44965</v>
      </c>
      <c r="F1481" t="s">
        <v>2745</v>
      </c>
      <c r="G1481" s="1">
        <v>44969</v>
      </c>
      <c r="H1481" s="1">
        <v>44978</v>
      </c>
      <c r="I1481" t="s">
        <v>28</v>
      </c>
      <c r="J1481" s="1" t="b">
        <f t="shared" si="161"/>
        <v>1</v>
      </c>
      <c r="K1481" s="1" t="b">
        <f t="shared" si="162"/>
        <v>0</v>
      </c>
      <c r="L1481" s="1" t="b">
        <f t="shared" si="163"/>
        <v>0</v>
      </c>
      <c r="M1481" s="1" t="b">
        <f t="shared" si="164"/>
        <v>0</v>
      </c>
      <c r="N1481" s="1" t="b">
        <f t="shared" si="165"/>
        <v>0</v>
      </c>
      <c r="O1481" s="1" t="b">
        <f t="shared" si="166"/>
        <v>0</v>
      </c>
      <c r="P1481" s="1" t="b">
        <f t="shared" si="167"/>
        <v>1</v>
      </c>
    </row>
    <row r="1482" spans="1:16" x14ac:dyDescent="0.2">
      <c r="A1482">
        <v>6426063</v>
      </c>
      <c r="B1482" t="s">
        <v>2746</v>
      </c>
      <c r="C1482" t="s">
        <v>35</v>
      </c>
      <c r="D1482" t="s">
        <v>81</v>
      </c>
      <c r="E1482" s="1">
        <v>44729</v>
      </c>
      <c r="F1482" t="s">
        <v>425</v>
      </c>
      <c r="G1482" s="1">
        <v>44748</v>
      </c>
      <c r="H1482" s="1">
        <v>44757</v>
      </c>
      <c r="I1482" t="s">
        <v>28</v>
      </c>
      <c r="J1482" s="1" t="b">
        <f t="shared" si="161"/>
        <v>1</v>
      </c>
      <c r="K1482" s="1" t="b">
        <f t="shared" si="162"/>
        <v>0</v>
      </c>
      <c r="L1482" s="1" t="b">
        <f t="shared" si="163"/>
        <v>0</v>
      </c>
      <c r="M1482" s="1" t="b">
        <f t="shared" si="164"/>
        <v>0</v>
      </c>
      <c r="N1482" s="1" t="b">
        <f t="shared" si="165"/>
        <v>0</v>
      </c>
      <c r="O1482" s="1" t="b">
        <f t="shared" si="166"/>
        <v>0</v>
      </c>
      <c r="P1482" s="1" t="b">
        <f t="shared" si="167"/>
        <v>1</v>
      </c>
    </row>
    <row r="1483" spans="1:16" x14ac:dyDescent="0.2">
      <c r="A1483">
        <v>8413578</v>
      </c>
      <c r="B1483" t="s">
        <v>2747</v>
      </c>
      <c r="C1483" t="s">
        <v>240</v>
      </c>
      <c r="D1483" t="s">
        <v>77</v>
      </c>
      <c r="E1483" s="1">
        <v>44762</v>
      </c>
      <c r="F1483" t="s">
        <v>2748</v>
      </c>
      <c r="G1483" s="1">
        <v>44786</v>
      </c>
      <c r="H1483" s="1">
        <v>44828</v>
      </c>
      <c r="I1483" t="s">
        <v>43</v>
      </c>
      <c r="J1483" s="1" t="b">
        <f t="shared" si="161"/>
        <v>1</v>
      </c>
      <c r="K1483" s="1" t="b">
        <f t="shared" si="162"/>
        <v>0</v>
      </c>
      <c r="L1483" s="1" t="b">
        <f t="shared" si="163"/>
        <v>0</v>
      </c>
      <c r="M1483" s="1" t="b">
        <f t="shared" si="164"/>
        <v>0</v>
      </c>
      <c r="N1483" s="1" t="b">
        <f t="shared" si="165"/>
        <v>0</v>
      </c>
      <c r="O1483" s="1" t="b">
        <f t="shared" si="166"/>
        <v>1</v>
      </c>
      <c r="P1483" s="1" t="b">
        <f t="shared" si="167"/>
        <v>0</v>
      </c>
    </row>
    <row r="1484" spans="1:16" x14ac:dyDescent="0.2">
      <c r="A1484">
        <v>8413578</v>
      </c>
      <c r="B1484" t="s">
        <v>2749</v>
      </c>
      <c r="C1484" t="s">
        <v>240</v>
      </c>
      <c r="D1484" t="s">
        <v>77</v>
      </c>
      <c r="E1484" s="1">
        <v>44666</v>
      </c>
      <c r="F1484" t="s">
        <v>2750</v>
      </c>
      <c r="G1484" s="1">
        <v>44688</v>
      </c>
      <c r="I1484" t="s">
        <v>13</v>
      </c>
      <c r="J1484" s="1" t="b">
        <f t="shared" si="161"/>
        <v>0</v>
      </c>
      <c r="K1484" s="1" t="b">
        <f t="shared" si="162"/>
        <v>1</v>
      </c>
      <c r="L1484" s="1" t="b">
        <f t="shared" si="163"/>
        <v>0</v>
      </c>
      <c r="M1484" s="1" t="b">
        <f t="shared" si="164"/>
        <v>0</v>
      </c>
      <c r="N1484" s="1" t="b">
        <f t="shared" si="165"/>
        <v>0</v>
      </c>
      <c r="O1484" s="1" t="b">
        <f t="shared" si="166"/>
        <v>0</v>
      </c>
      <c r="P1484" s="1" t="b">
        <f t="shared" si="167"/>
        <v>0</v>
      </c>
    </row>
    <row r="1485" spans="1:16" x14ac:dyDescent="0.2">
      <c r="A1485">
        <v>8413578</v>
      </c>
      <c r="B1485" t="s">
        <v>2751</v>
      </c>
      <c r="C1485" t="s">
        <v>240</v>
      </c>
      <c r="D1485" t="s">
        <v>77</v>
      </c>
      <c r="E1485" s="1">
        <v>44734</v>
      </c>
      <c r="F1485" t="s">
        <v>2752</v>
      </c>
      <c r="G1485" s="1">
        <v>44764</v>
      </c>
      <c r="H1485" s="1">
        <v>44768</v>
      </c>
      <c r="I1485" t="s">
        <v>43</v>
      </c>
      <c r="J1485" s="1" t="b">
        <f t="shared" si="161"/>
        <v>1</v>
      </c>
      <c r="K1485" s="1" t="b">
        <f t="shared" si="162"/>
        <v>0</v>
      </c>
      <c r="L1485" s="1" t="b">
        <f t="shared" si="163"/>
        <v>0</v>
      </c>
      <c r="M1485" s="1" t="b">
        <f t="shared" si="164"/>
        <v>0</v>
      </c>
      <c r="N1485" s="1" t="b">
        <f t="shared" si="165"/>
        <v>0</v>
      </c>
      <c r="O1485" s="1" t="b">
        <f t="shared" si="166"/>
        <v>1</v>
      </c>
      <c r="P1485" s="1" t="b">
        <f t="shared" si="167"/>
        <v>0</v>
      </c>
    </row>
    <row r="1486" spans="1:16" x14ac:dyDescent="0.2">
      <c r="A1486">
        <v>2611413</v>
      </c>
      <c r="B1486" t="s">
        <v>2753</v>
      </c>
      <c r="C1486" t="s">
        <v>542</v>
      </c>
      <c r="D1486" t="s">
        <v>77</v>
      </c>
      <c r="E1486" s="1">
        <v>44908</v>
      </c>
      <c r="F1486" t="s">
        <v>501</v>
      </c>
      <c r="G1486" s="1">
        <v>44927</v>
      </c>
      <c r="H1486" s="1">
        <v>44955</v>
      </c>
      <c r="I1486" t="s">
        <v>16</v>
      </c>
      <c r="J1486" s="1" t="b">
        <f t="shared" si="161"/>
        <v>1</v>
      </c>
      <c r="K1486" s="1" t="b">
        <f t="shared" si="162"/>
        <v>0</v>
      </c>
      <c r="L1486" s="1" t="b">
        <f t="shared" si="163"/>
        <v>0</v>
      </c>
      <c r="M1486" s="1" t="b">
        <f t="shared" si="164"/>
        <v>0</v>
      </c>
      <c r="N1486" s="1" t="b">
        <f t="shared" si="165"/>
        <v>1</v>
      </c>
      <c r="O1486" s="1" t="b">
        <f t="shared" si="166"/>
        <v>0</v>
      </c>
      <c r="P1486" s="1" t="b">
        <f t="shared" si="167"/>
        <v>0</v>
      </c>
    </row>
    <row r="1487" spans="1:16" x14ac:dyDescent="0.2">
      <c r="A1487">
        <v>2611413</v>
      </c>
      <c r="B1487" t="s">
        <v>2754</v>
      </c>
      <c r="C1487" t="s">
        <v>542</v>
      </c>
      <c r="D1487" t="s">
        <v>77</v>
      </c>
      <c r="E1487" s="1">
        <v>44683</v>
      </c>
      <c r="F1487" t="s">
        <v>997</v>
      </c>
      <c r="G1487" s="1">
        <v>44691</v>
      </c>
      <c r="H1487" s="1">
        <v>44717</v>
      </c>
      <c r="J1487" s="1" t="b">
        <f t="shared" si="161"/>
        <v>1</v>
      </c>
      <c r="K1487" s="1" t="b">
        <f t="shared" si="162"/>
        <v>0</v>
      </c>
      <c r="L1487" s="1" t="b">
        <f t="shared" si="163"/>
        <v>0</v>
      </c>
      <c r="M1487" s="1" t="b">
        <f t="shared" si="164"/>
        <v>0</v>
      </c>
      <c r="N1487" s="1" t="b">
        <f t="shared" si="165"/>
        <v>0</v>
      </c>
      <c r="O1487" s="1" t="b">
        <f t="shared" si="166"/>
        <v>0</v>
      </c>
      <c r="P1487" s="1" t="b">
        <f t="shared" si="167"/>
        <v>0</v>
      </c>
    </row>
    <row r="1488" spans="1:16" x14ac:dyDescent="0.2">
      <c r="A1488">
        <v>9197782</v>
      </c>
      <c r="B1488" t="s">
        <v>2755</v>
      </c>
      <c r="C1488" t="s">
        <v>110</v>
      </c>
      <c r="D1488" t="s">
        <v>81</v>
      </c>
      <c r="E1488" s="1">
        <v>44653</v>
      </c>
      <c r="F1488" t="s">
        <v>965</v>
      </c>
      <c r="G1488" s="1">
        <v>44678</v>
      </c>
      <c r="H1488" s="1">
        <v>44708</v>
      </c>
      <c r="J1488" s="1" t="b">
        <f t="shared" si="161"/>
        <v>1</v>
      </c>
      <c r="K1488" s="1" t="b">
        <f t="shared" si="162"/>
        <v>0</v>
      </c>
      <c r="L1488" s="1" t="b">
        <f t="shared" si="163"/>
        <v>0</v>
      </c>
      <c r="M1488" s="1" t="b">
        <f t="shared" si="164"/>
        <v>0</v>
      </c>
      <c r="N1488" s="1" t="b">
        <f t="shared" si="165"/>
        <v>0</v>
      </c>
      <c r="O1488" s="1" t="b">
        <f t="shared" si="166"/>
        <v>0</v>
      </c>
      <c r="P1488" s="1" t="b">
        <f t="shared" si="167"/>
        <v>0</v>
      </c>
    </row>
    <row r="1489" spans="1:16" x14ac:dyDescent="0.2">
      <c r="A1489">
        <v>9197782</v>
      </c>
      <c r="B1489" t="s">
        <v>2756</v>
      </c>
      <c r="C1489" t="s">
        <v>110</v>
      </c>
      <c r="D1489" t="s">
        <v>81</v>
      </c>
      <c r="E1489" s="1">
        <v>45017</v>
      </c>
      <c r="F1489" t="s">
        <v>2757</v>
      </c>
      <c r="G1489" s="1">
        <v>45029</v>
      </c>
      <c r="H1489" s="1">
        <v>45030</v>
      </c>
      <c r="J1489" s="1" t="b">
        <f t="shared" si="161"/>
        <v>1</v>
      </c>
      <c r="K1489" s="1" t="b">
        <f t="shared" si="162"/>
        <v>0</v>
      </c>
      <c r="L1489" s="1" t="b">
        <f t="shared" si="163"/>
        <v>0</v>
      </c>
      <c r="M1489" s="1" t="b">
        <f t="shared" si="164"/>
        <v>0</v>
      </c>
      <c r="N1489" s="1" t="b">
        <f t="shared" si="165"/>
        <v>0</v>
      </c>
      <c r="O1489" s="1" t="b">
        <f t="shared" si="166"/>
        <v>0</v>
      </c>
      <c r="P1489" s="1" t="b">
        <f t="shared" si="167"/>
        <v>0</v>
      </c>
    </row>
    <row r="1490" spans="1:16" x14ac:dyDescent="0.2">
      <c r="A1490">
        <v>3013272</v>
      </c>
      <c r="B1490" t="s">
        <v>2758</v>
      </c>
      <c r="C1490" t="s">
        <v>176</v>
      </c>
      <c r="D1490" t="s">
        <v>122</v>
      </c>
      <c r="E1490" s="1">
        <v>45053</v>
      </c>
      <c r="F1490" t="s">
        <v>973</v>
      </c>
      <c r="G1490" s="1">
        <v>45062</v>
      </c>
      <c r="H1490" s="1">
        <v>45107</v>
      </c>
      <c r="I1490" t="s">
        <v>43</v>
      </c>
      <c r="J1490" s="1" t="b">
        <f t="shared" si="161"/>
        <v>1</v>
      </c>
      <c r="K1490" s="1" t="b">
        <f t="shared" si="162"/>
        <v>0</v>
      </c>
      <c r="L1490" s="1" t="b">
        <f t="shared" si="163"/>
        <v>0</v>
      </c>
      <c r="M1490" s="1" t="b">
        <f t="shared" si="164"/>
        <v>0</v>
      </c>
      <c r="N1490" s="1" t="b">
        <f t="shared" si="165"/>
        <v>0</v>
      </c>
      <c r="O1490" s="1" t="b">
        <f t="shared" si="166"/>
        <v>1</v>
      </c>
      <c r="P1490" s="1" t="b">
        <f t="shared" si="167"/>
        <v>0</v>
      </c>
    </row>
    <row r="1491" spans="1:16" x14ac:dyDescent="0.2">
      <c r="A1491">
        <v>2586340</v>
      </c>
      <c r="B1491" t="s">
        <v>2759</v>
      </c>
      <c r="C1491" t="s">
        <v>47</v>
      </c>
      <c r="D1491" t="s">
        <v>81</v>
      </c>
      <c r="E1491" s="1">
        <v>45006</v>
      </c>
      <c r="F1491" t="s">
        <v>511</v>
      </c>
      <c r="G1491" s="1">
        <v>45016</v>
      </c>
      <c r="I1491" t="s">
        <v>25</v>
      </c>
      <c r="J1491" s="1" t="b">
        <f t="shared" si="161"/>
        <v>0</v>
      </c>
      <c r="K1491" s="1" t="b">
        <f t="shared" si="162"/>
        <v>0</v>
      </c>
      <c r="L1491" s="1" t="b">
        <f t="shared" si="163"/>
        <v>1</v>
      </c>
      <c r="M1491" s="1" t="b">
        <f t="shared" si="164"/>
        <v>0</v>
      </c>
      <c r="N1491" s="1" t="b">
        <f t="shared" si="165"/>
        <v>0</v>
      </c>
      <c r="O1491" s="1" t="b">
        <f t="shared" si="166"/>
        <v>0</v>
      </c>
      <c r="P1491" s="1" t="b">
        <f t="shared" si="167"/>
        <v>0</v>
      </c>
    </row>
    <row r="1492" spans="1:16" x14ac:dyDescent="0.2">
      <c r="A1492">
        <v>2586340</v>
      </c>
      <c r="B1492" t="s">
        <v>2760</v>
      </c>
      <c r="C1492" t="s">
        <v>47</v>
      </c>
      <c r="D1492" t="s">
        <v>81</v>
      </c>
      <c r="E1492" s="1">
        <v>44751</v>
      </c>
      <c r="F1492" t="s">
        <v>883</v>
      </c>
      <c r="G1492" s="1">
        <v>44764</v>
      </c>
      <c r="H1492" s="1">
        <v>44817</v>
      </c>
      <c r="I1492" t="s">
        <v>16</v>
      </c>
      <c r="J1492" s="1" t="b">
        <f t="shared" si="161"/>
        <v>1</v>
      </c>
      <c r="K1492" s="1" t="b">
        <f t="shared" si="162"/>
        <v>0</v>
      </c>
      <c r="L1492" s="1" t="b">
        <f t="shared" si="163"/>
        <v>0</v>
      </c>
      <c r="M1492" s="1" t="b">
        <f t="shared" si="164"/>
        <v>0</v>
      </c>
      <c r="N1492" s="1" t="b">
        <f t="shared" si="165"/>
        <v>1</v>
      </c>
      <c r="O1492" s="1" t="b">
        <f t="shared" si="166"/>
        <v>0</v>
      </c>
      <c r="P1492" s="1" t="b">
        <f t="shared" si="167"/>
        <v>0</v>
      </c>
    </row>
    <row r="1493" spans="1:16" x14ac:dyDescent="0.2">
      <c r="A1493">
        <v>1331289</v>
      </c>
      <c r="B1493" t="s">
        <v>2761</v>
      </c>
      <c r="C1493" t="s">
        <v>59</v>
      </c>
      <c r="D1493" t="s">
        <v>139</v>
      </c>
      <c r="E1493" s="1">
        <v>44689</v>
      </c>
      <c r="F1493" t="s">
        <v>1594</v>
      </c>
      <c r="G1493" s="1">
        <v>44714</v>
      </c>
      <c r="H1493" s="1">
        <v>44763</v>
      </c>
      <c r="J1493" s="1" t="b">
        <f t="shared" si="161"/>
        <v>1</v>
      </c>
      <c r="K1493" s="1" t="b">
        <f t="shared" si="162"/>
        <v>0</v>
      </c>
      <c r="L1493" s="1" t="b">
        <f t="shared" si="163"/>
        <v>0</v>
      </c>
      <c r="M1493" s="1" t="b">
        <f t="shared" si="164"/>
        <v>0</v>
      </c>
      <c r="N1493" s="1" t="b">
        <f t="shared" si="165"/>
        <v>0</v>
      </c>
      <c r="O1493" s="1" t="b">
        <f t="shared" si="166"/>
        <v>0</v>
      </c>
      <c r="P1493" s="1" t="b">
        <f t="shared" si="167"/>
        <v>0</v>
      </c>
    </row>
    <row r="1494" spans="1:16" x14ac:dyDescent="0.2">
      <c r="A1494">
        <v>1331289</v>
      </c>
      <c r="B1494" t="s">
        <v>2762</v>
      </c>
      <c r="C1494" t="s">
        <v>59</v>
      </c>
      <c r="D1494" t="s">
        <v>139</v>
      </c>
      <c r="E1494" s="1">
        <v>44682</v>
      </c>
      <c r="F1494" t="s">
        <v>696</v>
      </c>
      <c r="G1494" s="1">
        <v>44688</v>
      </c>
      <c r="I1494" t="s">
        <v>25</v>
      </c>
      <c r="J1494" s="1" t="b">
        <f t="shared" si="161"/>
        <v>0</v>
      </c>
      <c r="K1494" s="1" t="b">
        <f t="shared" si="162"/>
        <v>0</v>
      </c>
      <c r="L1494" s="1" t="b">
        <f t="shared" si="163"/>
        <v>1</v>
      </c>
      <c r="M1494" s="1" t="b">
        <f t="shared" si="164"/>
        <v>0</v>
      </c>
      <c r="N1494" s="1" t="b">
        <f t="shared" si="165"/>
        <v>0</v>
      </c>
      <c r="O1494" s="1" t="b">
        <f t="shared" si="166"/>
        <v>0</v>
      </c>
      <c r="P1494" s="1" t="b">
        <f t="shared" si="167"/>
        <v>0</v>
      </c>
    </row>
    <row r="1495" spans="1:16" x14ac:dyDescent="0.2">
      <c r="A1495">
        <v>1331289</v>
      </c>
      <c r="B1495" t="s">
        <v>2763</v>
      </c>
      <c r="C1495" t="s">
        <v>59</v>
      </c>
      <c r="D1495" t="s">
        <v>139</v>
      </c>
      <c r="E1495" s="1">
        <v>45019</v>
      </c>
      <c r="F1495" t="s">
        <v>2764</v>
      </c>
      <c r="G1495" s="1">
        <v>45045</v>
      </c>
      <c r="H1495" s="1">
        <v>45066</v>
      </c>
      <c r="I1495" t="s">
        <v>43</v>
      </c>
      <c r="J1495" s="1" t="b">
        <f t="shared" si="161"/>
        <v>1</v>
      </c>
      <c r="K1495" s="1" t="b">
        <f t="shared" si="162"/>
        <v>0</v>
      </c>
      <c r="L1495" s="1" t="b">
        <f t="shared" si="163"/>
        <v>0</v>
      </c>
      <c r="M1495" s="1" t="b">
        <f t="shared" si="164"/>
        <v>0</v>
      </c>
      <c r="N1495" s="1" t="b">
        <f t="shared" si="165"/>
        <v>0</v>
      </c>
      <c r="O1495" s="1" t="b">
        <f t="shared" si="166"/>
        <v>1</v>
      </c>
      <c r="P1495" s="1" t="b">
        <f t="shared" si="167"/>
        <v>0</v>
      </c>
    </row>
    <row r="1496" spans="1:16" x14ac:dyDescent="0.2">
      <c r="A1496">
        <v>1331289</v>
      </c>
      <c r="B1496" t="s">
        <v>2765</v>
      </c>
      <c r="C1496" t="s">
        <v>59</v>
      </c>
      <c r="D1496" t="s">
        <v>139</v>
      </c>
      <c r="E1496" s="1">
        <v>44773</v>
      </c>
      <c r="F1496" t="s">
        <v>1419</v>
      </c>
      <c r="G1496" s="1">
        <v>44794</v>
      </c>
      <c r="I1496" t="s">
        <v>13</v>
      </c>
      <c r="J1496" s="1" t="b">
        <f t="shared" si="161"/>
        <v>0</v>
      </c>
      <c r="K1496" s="1" t="b">
        <f t="shared" si="162"/>
        <v>1</v>
      </c>
      <c r="L1496" s="1" t="b">
        <f t="shared" si="163"/>
        <v>0</v>
      </c>
      <c r="M1496" s="1" t="b">
        <f t="shared" si="164"/>
        <v>0</v>
      </c>
      <c r="N1496" s="1" t="b">
        <f t="shared" si="165"/>
        <v>0</v>
      </c>
      <c r="O1496" s="1" t="b">
        <f t="shared" si="166"/>
        <v>0</v>
      </c>
      <c r="P1496" s="1" t="b">
        <f t="shared" si="167"/>
        <v>0</v>
      </c>
    </row>
    <row r="1497" spans="1:16" x14ac:dyDescent="0.2">
      <c r="A1497">
        <v>1331289</v>
      </c>
      <c r="B1497" t="s">
        <v>2766</v>
      </c>
      <c r="C1497" t="s">
        <v>59</v>
      </c>
      <c r="D1497" t="s">
        <v>139</v>
      </c>
      <c r="E1497" s="1">
        <v>44597</v>
      </c>
      <c r="F1497" t="s">
        <v>2767</v>
      </c>
      <c r="G1497" s="1">
        <v>44600</v>
      </c>
      <c r="I1497" t="s">
        <v>13</v>
      </c>
      <c r="J1497" s="1" t="b">
        <f t="shared" si="161"/>
        <v>0</v>
      </c>
      <c r="K1497" s="1" t="b">
        <f t="shared" si="162"/>
        <v>1</v>
      </c>
      <c r="L1497" s="1" t="b">
        <f t="shared" si="163"/>
        <v>0</v>
      </c>
      <c r="M1497" s="1" t="b">
        <f t="shared" si="164"/>
        <v>0</v>
      </c>
      <c r="N1497" s="1" t="b">
        <f t="shared" si="165"/>
        <v>0</v>
      </c>
      <c r="O1497" s="1" t="b">
        <f t="shared" si="166"/>
        <v>0</v>
      </c>
      <c r="P1497" s="1" t="b">
        <f t="shared" si="167"/>
        <v>0</v>
      </c>
    </row>
    <row r="1498" spans="1:16" x14ac:dyDescent="0.2">
      <c r="A1498">
        <v>3092406</v>
      </c>
      <c r="B1498" t="s">
        <v>2768</v>
      </c>
      <c r="C1498" t="s">
        <v>80</v>
      </c>
      <c r="D1498" t="s">
        <v>11</v>
      </c>
      <c r="E1498" s="1">
        <v>44562</v>
      </c>
      <c r="F1498" t="s">
        <v>1259</v>
      </c>
      <c r="G1498" s="1">
        <v>44570</v>
      </c>
      <c r="H1498" s="1">
        <v>44590</v>
      </c>
      <c r="I1498" t="s">
        <v>43</v>
      </c>
      <c r="J1498" s="1" t="b">
        <f t="shared" si="161"/>
        <v>1</v>
      </c>
      <c r="K1498" s="1" t="b">
        <f t="shared" si="162"/>
        <v>0</v>
      </c>
      <c r="L1498" s="1" t="b">
        <f t="shared" si="163"/>
        <v>0</v>
      </c>
      <c r="M1498" s="1" t="b">
        <f t="shared" si="164"/>
        <v>0</v>
      </c>
      <c r="N1498" s="1" t="b">
        <f t="shared" si="165"/>
        <v>0</v>
      </c>
      <c r="O1498" s="1" t="b">
        <f t="shared" si="166"/>
        <v>1</v>
      </c>
      <c r="P1498" s="1" t="b">
        <f t="shared" si="167"/>
        <v>0</v>
      </c>
    </row>
    <row r="1499" spans="1:16" x14ac:dyDescent="0.2">
      <c r="A1499">
        <v>3092406</v>
      </c>
      <c r="B1499" t="s">
        <v>2769</v>
      </c>
      <c r="C1499" t="s">
        <v>80</v>
      </c>
      <c r="D1499" t="s">
        <v>11</v>
      </c>
      <c r="E1499" s="1">
        <v>44862</v>
      </c>
      <c r="F1499" t="s">
        <v>2770</v>
      </c>
      <c r="G1499" s="1">
        <v>44884</v>
      </c>
      <c r="I1499" t="s">
        <v>13</v>
      </c>
      <c r="J1499" s="1" t="b">
        <f t="shared" si="161"/>
        <v>0</v>
      </c>
      <c r="K1499" s="1" t="b">
        <f t="shared" si="162"/>
        <v>1</v>
      </c>
      <c r="L1499" s="1" t="b">
        <f t="shared" si="163"/>
        <v>0</v>
      </c>
      <c r="M1499" s="1" t="b">
        <f t="shared" si="164"/>
        <v>0</v>
      </c>
      <c r="N1499" s="1" t="b">
        <f t="shared" si="165"/>
        <v>0</v>
      </c>
      <c r="O1499" s="1" t="b">
        <f t="shared" si="166"/>
        <v>0</v>
      </c>
      <c r="P1499" s="1" t="b">
        <f t="shared" si="167"/>
        <v>0</v>
      </c>
    </row>
    <row r="1500" spans="1:16" x14ac:dyDescent="0.2">
      <c r="A1500">
        <v>3092406</v>
      </c>
      <c r="B1500" t="s">
        <v>2771</v>
      </c>
      <c r="C1500" t="s">
        <v>80</v>
      </c>
      <c r="D1500" t="s">
        <v>11</v>
      </c>
      <c r="E1500" s="1">
        <v>44882</v>
      </c>
      <c r="F1500" t="s">
        <v>2772</v>
      </c>
      <c r="G1500" s="1">
        <v>44899</v>
      </c>
      <c r="H1500" s="1">
        <v>44958</v>
      </c>
      <c r="I1500" t="s">
        <v>43</v>
      </c>
      <c r="J1500" s="1" t="b">
        <f t="shared" si="161"/>
        <v>1</v>
      </c>
      <c r="K1500" s="1" t="b">
        <f t="shared" si="162"/>
        <v>0</v>
      </c>
      <c r="L1500" s="1" t="b">
        <f t="shared" si="163"/>
        <v>0</v>
      </c>
      <c r="M1500" s="1" t="b">
        <f t="shared" si="164"/>
        <v>0</v>
      </c>
      <c r="N1500" s="1" t="b">
        <f t="shared" si="165"/>
        <v>0</v>
      </c>
      <c r="O1500" s="1" t="b">
        <f t="shared" si="166"/>
        <v>1</v>
      </c>
      <c r="P1500" s="1" t="b">
        <f t="shared" si="167"/>
        <v>0</v>
      </c>
    </row>
    <row r="1501" spans="1:16" x14ac:dyDescent="0.2">
      <c r="A1501">
        <v>6907545</v>
      </c>
      <c r="B1501" t="s">
        <v>2773</v>
      </c>
      <c r="C1501" t="s">
        <v>121</v>
      </c>
      <c r="D1501" t="s">
        <v>139</v>
      </c>
      <c r="E1501" s="1">
        <v>44607</v>
      </c>
      <c r="F1501" t="s">
        <v>94</v>
      </c>
      <c r="G1501" s="1">
        <v>44615</v>
      </c>
      <c r="I1501" t="s">
        <v>13</v>
      </c>
      <c r="J1501" s="1" t="b">
        <f t="shared" si="161"/>
        <v>0</v>
      </c>
      <c r="K1501" s="1" t="b">
        <f t="shared" si="162"/>
        <v>1</v>
      </c>
      <c r="L1501" s="1" t="b">
        <f t="shared" si="163"/>
        <v>0</v>
      </c>
      <c r="M1501" s="1" t="b">
        <f t="shared" si="164"/>
        <v>0</v>
      </c>
      <c r="N1501" s="1" t="b">
        <f t="shared" si="165"/>
        <v>0</v>
      </c>
      <c r="O1501" s="1" t="b">
        <f t="shared" si="166"/>
        <v>0</v>
      </c>
      <c r="P1501" s="1" t="b">
        <f t="shared" si="167"/>
        <v>0</v>
      </c>
    </row>
    <row r="1502" spans="1:16" x14ac:dyDescent="0.2">
      <c r="A1502">
        <v>6907545</v>
      </c>
      <c r="B1502" t="s">
        <v>2774</v>
      </c>
      <c r="C1502" t="s">
        <v>121</v>
      </c>
      <c r="D1502" t="s">
        <v>139</v>
      </c>
      <c r="E1502" s="1">
        <v>44971</v>
      </c>
      <c r="F1502" t="s">
        <v>2775</v>
      </c>
      <c r="G1502" s="1">
        <v>44986</v>
      </c>
      <c r="I1502" t="s">
        <v>13</v>
      </c>
      <c r="J1502" s="1" t="b">
        <f t="shared" si="161"/>
        <v>0</v>
      </c>
      <c r="K1502" s="1" t="b">
        <f t="shared" si="162"/>
        <v>1</v>
      </c>
      <c r="L1502" s="1" t="b">
        <f t="shared" si="163"/>
        <v>0</v>
      </c>
      <c r="M1502" s="1" t="b">
        <f t="shared" si="164"/>
        <v>0</v>
      </c>
      <c r="N1502" s="1" t="b">
        <f t="shared" si="165"/>
        <v>0</v>
      </c>
      <c r="O1502" s="1" t="b">
        <f t="shared" si="166"/>
        <v>0</v>
      </c>
      <c r="P1502" s="1" t="b">
        <f t="shared" si="167"/>
        <v>0</v>
      </c>
    </row>
    <row r="1503" spans="1:16" x14ac:dyDescent="0.2">
      <c r="A1503">
        <v>6907545</v>
      </c>
      <c r="B1503" t="s">
        <v>2776</v>
      </c>
      <c r="C1503" t="s">
        <v>121</v>
      </c>
      <c r="D1503" t="s">
        <v>139</v>
      </c>
      <c r="E1503" s="1">
        <v>44782</v>
      </c>
      <c r="F1503" t="s">
        <v>2328</v>
      </c>
      <c r="G1503" s="1">
        <v>44787</v>
      </c>
      <c r="I1503" t="s">
        <v>13</v>
      </c>
      <c r="J1503" s="1" t="b">
        <f t="shared" si="161"/>
        <v>0</v>
      </c>
      <c r="K1503" s="1" t="b">
        <f t="shared" si="162"/>
        <v>1</v>
      </c>
      <c r="L1503" s="1" t="b">
        <f t="shared" si="163"/>
        <v>0</v>
      </c>
      <c r="M1503" s="1" t="b">
        <f t="shared" si="164"/>
        <v>0</v>
      </c>
      <c r="N1503" s="1" t="b">
        <f t="shared" si="165"/>
        <v>0</v>
      </c>
      <c r="O1503" s="1" t="b">
        <f t="shared" si="166"/>
        <v>0</v>
      </c>
      <c r="P1503" s="1" t="b">
        <f t="shared" si="167"/>
        <v>0</v>
      </c>
    </row>
    <row r="1504" spans="1:16" x14ac:dyDescent="0.2">
      <c r="A1504">
        <v>6907545</v>
      </c>
      <c r="B1504" t="s">
        <v>2777</v>
      </c>
      <c r="C1504" t="s">
        <v>121</v>
      </c>
      <c r="D1504" t="s">
        <v>139</v>
      </c>
      <c r="E1504" s="1">
        <v>44846</v>
      </c>
      <c r="F1504" t="s">
        <v>2778</v>
      </c>
      <c r="G1504" s="1">
        <v>44851</v>
      </c>
      <c r="H1504" s="1">
        <v>44898</v>
      </c>
      <c r="I1504" t="s">
        <v>43</v>
      </c>
      <c r="J1504" s="1" t="b">
        <f t="shared" si="161"/>
        <v>1</v>
      </c>
      <c r="K1504" s="1" t="b">
        <f t="shared" si="162"/>
        <v>0</v>
      </c>
      <c r="L1504" s="1" t="b">
        <f t="shared" si="163"/>
        <v>0</v>
      </c>
      <c r="M1504" s="1" t="b">
        <f t="shared" si="164"/>
        <v>0</v>
      </c>
      <c r="N1504" s="1" t="b">
        <f t="shared" si="165"/>
        <v>0</v>
      </c>
      <c r="O1504" s="1" t="b">
        <f t="shared" si="166"/>
        <v>1</v>
      </c>
      <c r="P1504" s="1" t="b">
        <f t="shared" si="167"/>
        <v>0</v>
      </c>
    </row>
    <row r="1505" spans="1:16" x14ac:dyDescent="0.2">
      <c r="A1505">
        <v>6907545</v>
      </c>
      <c r="B1505" t="s">
        <v>2779</v>
      </c>
      <c r="C1505" t="s">
        <v>121</v>
      </c>
      <c r="D1505" t="s">
        <v>139</v>
      </c>
      <c r="E1505" s="1">
        <v>44828</v>
      </c>
      <c r="F1505" t="s">
        <v>2767</v>
      </c>
      <c r="G1505" s="1">
        <v>44841</v>
      </c>
      <c r="H1505" s="1">
        <v>44883</v>
      </c>
      <c r="I1505" t="s">
        <v>16</v>
      </c>
      <c r="J1505" s="1" t="b">
        <f t="shared" si="161"/>
        <v>1</v>
      </c>
      <c r="K1505" s="1" t="b">
        <f t="shared" si="162"/>
        <v>0</v>
      </c>
      <c r="L1505" s="1" t="b">
        <f t="shared" si="163"/>
        <v>0</v>
      </c>
      <c r="M1505" s="1" t="b">
        <f t="shared" si="164"/>
        <v>0</v>
      </c>
      <c r="N1505" s="1" t="b">
        <f t="shared" si="165"/>
        <v>1</v>
      </c>
      <c r="O1505" s="1" t="b">
        <f t="shared" si="166"/>
        <v>0</v>
      </c>
      <c r="P1505" s="1" t="b">
        <f t="shared" si="167"/>
        <v>0</v>
      </c>
    </row>
    <row r="1506" spans="1:16" x14ac:dyDescent="0.2">
      <c r="A1506">
        <v>2396771</v>
      </c>
      <c r="B1506" t="s">
        <v>2780</v>
      </c>
      <c r="C1506" t="s">
        <v>282</v>
      </c>
      <c r="D1506" t="s">
        <v>60</v>
      </c>
      <c r="E1506" s="1">
        <v>44837</v>
      </c>
      <c r="F1506" t="s">
        <v>2781</v>
      </c>
      <c r="G1506" s="1">
        <v>44858</v>
      </c>
      <c r="H1506" s="1">
        <v>44903</v>
      </c>
      <c r="I1506" t="s">
        <v>16</v>
      </c>
      <c r="J1506" s="1" t="b">
        <f t="shared" si="161"/>
        <v>1</v>
      </c>
      <c r="K1506" s="1" t="b">
        <f t="shared" si="162"/>
        <v>0</v>
      </c>
      <c r="L1506" s="1" t="b">
        <f t="shared" si="163"/>
        <v>0</v>
      </c>
      <c r="M1506" s="1" t="b">
        <f t="shared" si="164"/>
        <v>0</v>
      </c>
      <c r="N1506" s="1" t="b">
        <f t="shared" si="165"/>
        <v>1</v>
      </c>
      <c r="O1506" s="1" t="b">
        <f t="shared" si="166"/>
        <v>0</v>
      </c>
      <c r="P1506" s="1" t="b">
        <f t="shared" si="167"/>
        <v>0</v>
      </c>
    </row>
    <row r="1507" spans="1:16" x14ac:dyDescent="0.2">
      <c r="A1507">
        <v>2396771</v>
      </c>
      <c r="B1507" t="s">
        <v>2782</v>
      </c>
      <c r="C1507" t="s">
        <v>282</v>
      </c>
      <c r="D1507" t="s">
        <v>60</v>
      </c>
      <c r="E1507" s="1">
        <v>45085</v>
      </c>
      <c r="F1507" t="s">
        <v>2783</v>
      </c>
      <c r="G1507" s="1">
        <v>45105</v>
      </c>
      <c r="H1507" s="1">
        <v>45116</v>
      </c>
      <c r="I1507" t="s">
        <v>28</v>
      </c>
      <c r="J1507" s="1" t="b">
        <f t="shared" si="161"/>
        <v>1</v>
      </c>
      <c r="K1507" s="1" t="b">
        <f t="shared" si="162"/>
        <v>0</v>
      </c>
      <c r="L1507" s="1" t="b">
        <f t="shared" si="163"/>
        <v>0</v>
      </c>
      <c r="M1507" s="1" t="b">
        <f t="shared" si="164"/>
        <v>0</v>
      </c>
      <c r="N1507" s="1" t="b">
        <f t="shared" si="165"/>
        <v>0</v>
      </c>
      <c r="O1507" s="1" t="b">
        <f t="shared" si="166"/>
        <v>0</v>
      </c>
      <c r="P1507" s="1" t="b">
        <f t="shared" si="167"/>
        <v>1</v>
      </c>
    </row>
    <row r="1508" spans="1:16" x14ac:dyDescent="0.2">
      <c r="A1508">
        <v>8041170</v>
      </c>
      <c r="B1508" t="s">
        <v>2784</v>
      </c>
      <c r="C1508" t="s">
        <v>150</v>
      </c>
      <c r="D1508" t="s">
        <v>187</v>
      </c>
      <c r="E1508" s="1">
        <v>44815</v>
      </c>
      <c r="F1508" t="s">
        <v>2785</v>
      </c>
      <c r="G1508" s="1">
        <v>44818</v>
      </c>
      <c r="H1508" s="1">
        <v>44836</v>
      </c>
      <c r="J1508" s="1" t="b">
        <f t="shared" si="161"/>
        <v>1</v>
      </c>
      <c r="K1508" s="1" t="b">
        <f t="shared" si="162"/>
        <v>0</v>
      </c>
      <c r="L1508" s="1" t="b">
        <f t="shared" si="163"/>
        <v>0</v>
      </c>
      <c r="M1508" s="1" t="b">
        <f t="shared" si="164"/>
        <v>0</v>
      </c>
      <c r="N1508" s="1" t="b">
        <f t="shared" si="165"/>
        <v>0</v>
      </c>
      <c r="O1508" s="1" t="b">
        <f t="shared" si="166"/>
        <v>0</v>
      </c>
      <c r="P1508" s="1" t="b">
        <f t="shared" si="167"/>
        <v>0</v>
      </c>
    </row>
    <row r="1509" spans="1:16" x14ac:dyDescent="0.2">
      <c r="A1509">
        <v>8041170</v>
      </c>
      <c r="B1509" t="s">
        <v>2786</v>
      </c>
      <c r="C1509" t="s">
        <v>150</v>
      </c>
      <c r="D1509" t="s">
        <v>187</v>
      </c>
      <c r="E1509" s="1">
        <v>44978</v>
      </c>
      <c r="F1509" t="s">
        <v>734</v>
      </c>
      <c r="G1509" s="1">
        <v>44981</v>
      </c>
      <c r="I1509" t="s">
        <v>13</v>
      </c>
      <c r="J1509" s="1" t="b">
        <f t="shared" si="161"/>
        <v>0</v>
      </c>
      <c r="K1509" s="1" t="b">
        <f t="shared" si="162"/>
        <v>1</v>
      </c>
      <c r="L1509" s="1" t="b">
        <f t="shared" si="163"/>
        <v>0</v>
      </c>
      <c r="M1509" s="1" t="b">
        <f t="shared" si="164"/>
        <v>0</v>
      </c>
      <c r="N1509" s="1" t="b">
        <f t="shared" si="165"/>
        <v>0</v>
      </c>
      <c r="O1509" s="1" t="b">
        <f t="shared" si="166"/>
        <v>0</v>
      </c>
      <c r="P1509" s="1" t="b">
        <f t="shared" si="167"/>
        <v>0</v>
      </c>
    </row>
    <row r="1510" spans="1:16" x14ac:dyDescent="0.2">
      <c r="A1510">
        <v>8041170</v>
      </c>
      <c r="B1510" t="s">
        <v>2787</v>
      </c>
      <c r="C1510" t="s">
        <v>150</v>
      </c>
      <c r="D1510" t="s">
        <v>187</v>
      </c>
      <c r="E1510" s="1">
        <v>44903</v>
      </c>
      <c r="F1510" t="s">
        <v>2788</v>
      </c>
      <c r="G1510" s="1">
        <v>44928</v>
      </c>
      <c r="H1510" s="1">
        <v>44946</v>
      </c>
      <c r="I1510" t="s">
        <v>16</v>
      </c>
      <c r="J1510" s="1" t="b">
        <f t="shared" si="161"/>
        <v>1</v>
      </c>
      <c r="K1510" s="1" t="b">
        <f t="shared" si="162"/>
        <v>0</v>
      </c>
      <c r="L1510" s="1" t="b">
        <f t="shared" si="163"/>
        <v>0</v>
      </c>
      <c r="M1510" s="1" t="b">
        <f t="shared" si="164"/>
        <v>0</v>
      </c>
      <c r="N1510" s="1" t="b">
        <f t="shared" si="165"/>
        <v>1</v>
      </c>
      <c r="O1510" s="1" t="b">
        <f t="shared" si="166"/>
        <v>0</v>
      </c>
      <c r="P1510" s="1" t="b">
        <f t="shared" si="167"/>
        <v>0</v>
      </c>
    </row>
    <row r="1511" spans="1:16" x14ac:dyDescent="0.2">
      <c r="A1511">
        <v>3455003</v>
      </c>
      <c r="B1511" t="s">
        <v>2789</v>
      </c>
      <c r="C1511" t="s">
        <v>90</v>
      </c>
      <c r="D1511" t="s">
        <v>19</v>
      </c>
      <c r="E1511" s="1">
        <v>44659</v>
      </c>
      <c r="F1511" t="s">
        <v>2555</v>
      </c>
      <c r="G1511" s="1">
        <v>44676</v>
      </c>
      <c r="I1511" t="s">
        <v>13</v>
      </c>
      <c r="J1511" s="1" t="b">
        <f t="shared" si="161"/>
        <v>0</v>
      </c>
      <c r="K1511" s="1" t="b">
        <f t="shared" si="162"/>
        <v>1</v>
      </c>
      <c r="L1511" s="1" t="b">
        <f t="shared" si="163"/>
        <v>0</v>
      </c>
      <c r="M1511" s="1" t="b">
        <f t="shared" si="164"/>
        <v>0</v>
      </c>
      <c r="N1511" s="1" t="b">
        <f t="shared" si="165"/>
        <v>0</v>
      </c>
      <c r="O1511" s="1" t="b">
        <f t="shared" si="166"/>
        <v>0</v>
      </c>
      <c r="P1511" s="1" t="b">
        <f t="shared" si="167"/>
        <v>0</v>
      </c>
    </row>
    <row r="1512" spans="1:16" x14ac:dyDescent="0.2">
      <c r="A1512">
        <v>3455003</v>
      </c>
      <c r="B1512" t="s">
        <v>2790</v>
      </c>
      <c r="C1512" t="s">
        <v>90</v>
      </c>
      <c r="D1512" t="s">
        <v>19</v>
      </c>
      <c r="E1512" s="1">
        <v>44669</v>
      </c>
      <c r="F1512" t="s">
        <v>1428</v>
      </c>
      <c r="G1512" s="1">
        <v>44695</v>
      </c>
      <c r="I1512" t="s">
        <v>25</v>
      </c>
      <c r="J1512" s="1" t="b">
        <f t="shared" si="161"/>
        <v>0</v>
      </c>
      <c r="K1512" s="1" t="b">
        <f t="shared" si="162"/>
        <v>0</v>
      </c>
      <c r="L1512" s="1" t="b">
        <f t="shared" si="163"/>
        <v>1</v>
      </c>
      <c r="M1512" s="1" t="b">
        <f t="shared" si="164"/>
        <v>0</v>
      </c>
      <c r="N1512" s="1" t="b">
        <f t="shared" si="165"/>
        <v>0</v>
      </c>
      <c r="O1512" s="1" t="b">
        <f t="shared" si="166"/>
        <v>0</v>
      </c>
      <c r="P1512" s="1" t="b">
        <f t="shared" si="167"/>
        <v>0</v>
      </c>
    </row>
    <row r="1513" spans="1:16" x14ac:dyDescent="0.2">
      <c r="A1513">
        <v>3455003</v>
      </c>
      <c r="B1513" t="s">
        <v>2791</v>
      </c>
      <c r="C1513" t="s">
        <v>90</v>
      </c>
      <c r="D1513" t="s">
        <v>19</v>
      </c>
      <c r="E1513" s="1">
        <v>44875</v>
      </c>
      <c r="F1513" t="s">
        <v>2792</v>
      </c>
      <c r="G1513" s="1">
        <v>44894</v>
      </c>
      <c r="H1513" s="1">
        <v>44947</v>
      </c>
      <c r="I1513" t="s">
        <v>43</v>
      </c>
      <c r="J1513" s="1" t="b">
        <f t="shared" si="161"/>
        <v>1</v>
      </c>
      <c r="K1513" s="1" t="b">
        <f t="shared" si="162"/>
        <v>0</v>
      </c>
      <c r="L1513" s="1" t="b">
        <f t="shared" si="163"/>
        <v>0</v>
      </c>
      <c r="M1513" s="1" t="b">
        <f t="shared" si="164"/>
        <v>0</v>
      </c>
      <c r="N1513" s="1" t="b">
        <f t="shared" si="165"/>
        <v>0</v>
      </c>
      <c r="O1513" s="1" t="b">
        <f t="shared" si="166"/>
        <v>1</v>
      </c>
      <c r="P1513" s="1" t="b">
        <f t="shared" si="167"/>
        <v>0</v>
      </c>
    </row>
    <row r="1514" spans="1:16" x14ac:dyDescent="0.2">
      <c r="A1514">
        <v>6853574</v>
      </c>
      <c r="B1514" t="s">
        <v>2793</v>
      </c>
      <c r="C1514" t="s">
        <v>240</v>
      </c>
      <c r="D1514" t="s">
        <v>81</v>
      </c>
      <c r="E1514" s="1">
        <v>44736</v>
      </c>
      <c r="F1514" t="s">
        <v>2794</v>
      </c>
      <c r="G1514" s="1">
        <v>44747</v>
      </c>
      <c r="H1514" s="1">
        <v>44796</v>
      </c>
      <c r="I1514" t="s">
        <v>16</v>
      </c>
      <c r="J1514" s="1" t="b">
        <f t="shared" si="161"/>
        <v>1</v>
      </c>
      <c r="K1514" s="1" t="b">
        <f t="shared" si="162"/>
        <v>0</v>
      </c>
      <c r="L1514" s="1" t="b">
        <f t="shared" si="163"/>
        <v>0</v>
      </c>
      <c r="M1514" s="1" t="b">
        <f t="shared" si="164"/>
        <v>0</v>
      </c>
      <c r="N1514" s="1" t="b">
        <f t="shared" si="165"/>
        <v>1</v>
      </c>
      <c r="O1514" s="1" t="b">
        <f t="shared" si="166"/>
        <v>0</v>
      </c>
      <c r="P1514" s="1" t="b">
        <f t="shared" si="167"/>
        <v>0</v>
      </c>
    </row>
    <row r="1515" spans="1:16" x14ac:dyDescent="0.2">
      <c r="A1515">
        <v>6853574</v>
      </c>
      <c r="B1515" t="s">
        <v>2795</v>
      </c>
      <c r="C1515" t="s">
        <v>240</v>
      </c>
      <c r="D1515" t="s">
        <v>81</v>
      </c>
      <c r="E1515" s="1">
        <v>45106</v>
      </c>
      <c r="F1515" t="s">
        <v>2201</v>
      </c>
      <c r="G1515" s="1">
        <v>45124</v>
      </c>
      <c r="H1515" s="1">
        <v>45163</v>
      </c>
      <c r="I1515" t="s">
        <v>28</v>
      </c>
      <c r="J1515" s="1" t="b">
        <f t="shared" si="161"/>
        <v>1</v>
      </c>
      <c r="K1515" s="1" t="b">
        <f t="shared" si="162"/>
        <v>0</v>
      </c>
      <c r="L1515" s="1" t="b">
        <f t="shared" si="163"/>
        <v>0</v>
      </c>
      <c r="M1515" s="1" t="b">
        <f t="shared" si="164"/>
        <v>0</v>
      </c>
      <c r="N1515" s="1" t="b">
        <f t="shared" si="165"/>
        <v>0</v>
      </c>
      <c r="O1515" s="1" t="b">
        <f t="shared" si="166"/>
        <v>0</v>
      </c>
      <c r="P1515" s="1" t="b">
        <f t="shared" si="167"/>
        <v>1</v>
      </c>
    </row>
    <row r="1516" spans="1:16" x14ac:dyDescent="0.2">
      <c r="A1516">
        <v>6853574</v>
      </c>
      <c r="B1516" t="s">
        <v>2796</v>
      </c>
      <c r="C1516" t="s">
        <v>240</v>
      </c>
      <c r="D1516" t="s">
        <v>81</v>
      </c>
      <c r="E1516" s="1">
        <v>44692</v>
      </c>
      <c r="F1516" t="s">
        <v>2797</v>
      </c>
      <c r="G1516" s="1">
        <v>44701</v>
      </c>
      <c r="H1516" s="1">
        <v>44702</v>
      </c>
      <c r="J1516" s="1" t="b">
        <f t="shared" si="161"/>
        <v>1</v>
      </c>
      <c r="K1516" s="1" t="b">
        <f t="shared" si="162"/>
        <v>0</v>
      </c>
      <c r="L1516" s="1" t="b">
        <f t="shared" si="163"/>
        <v>0</v>
      </c>
      <c r="M1516" s="1" t="b">
        <f t="shared" si="164"/>
        <v>0</v>
      </c>
      <c r="N1516" s="1" t="b">
        <f t="shared" si="165"/>
        <v>0</v>
      </c>
      <c r="O1516" s="1" t="b">
        <f t="shared" si="166"/>
        <v>0</v>
      </c>
      <c r="P1516" s="1" t="b">
        <f t="shared" si="167"/>
        <v>0</v>
      </c>
    </row>
    <row r="1517" spans="1:16" x14ac:dyDescent="0.2">
      <c r="A1517">
        <v>9616197</v>
      </c>
      <c r="B1517" t="s">
        <v>2798</v>
      </c>
      <c r="C1517" t="s">
        <v>240</v>
      </c>
      <c r="D1517" t="s">
        <v>187</v>
      </c>
      <c r="E1517" s="1">
        <v>44835</v>
      </c>
      <c r="F1517" t="s">
        <v>2799</v>
      </c>
      <c r="G1517" s="1">
        <v>44837</v>
      </c>
      <c r="I1517" t="s">
        <v>13</v>
      </c>
      <c r="J1517" s="1" t="b">
        <f t="shared" si="161"/>
        <v>0</v>
      </c>
      <c r="K1517" s="1" t="b">
        <f t="shared" si="162"/>
        <v>1</v>
      </c>
      <c r="L1517" s="1" t="b">
        <f t="shared" si="163"/>
        <v>0</v>
      </c>
      <c r="M1517" s="1" t="b">
        <f t="shared" si="164"/>
        <v>0</v>
      </c>
      <c r="N1517" s="1" t="b">
        <f t="shared" si="165"/>
        <v>0</v>
      </c>
      <c r="O1517" s="1" t="b">
        <f t="shared" si="166"/>
        <v>0</v>
      </c>
      <c r="P1517" s="1" t="b">
        <f t="shared" si="167"/>
        <v>0</v>
      </c>
    </row>
    <row r="1518" spans="1:16" x14ac:dyDescent="0.2">
      <c r="A1518">
        <v>9616197</v>
      </c>
      <c r="B1518" t="s">
        <v>2800</v>
      </c>
      <c r="C1518" t="s">
        <v>240</v>
      </c>
      <c r="D1518" t="s">
        <v>187</v>
      </c>
      <c r="E1518" s="1">
        <v>44817</v>
      </c>
      <c r="F1518" t="s">
        <v>2127</v>
      </c>
      <c r="G1518" s="1">
        <v>44839</v>
      </c>
      <c r="H1518" s="1">
        <v>44878</v>
      </c>
      <c r="I1518" t="s">
        <v>28</v>
      </c>
      <c r="J1518" s="1" t="b">
        <f t="shared" si="161"/>
        <v>1</v>
      </c>
      <c r="K1518" s="1" t="b">
        <f t="shared" si="162"/>
        <v>0</v>
      </c>
      <c r="L1518" s="1" t="b">
        <f t="shared" si="163"/>
        <v>0</v>
      </c>
      <c r="M1518" s="1" t="b">
        <f t="shared" si="164"/>
        <v>0</v>
      </c>
      <c r="N1518" s="1" t="b">
        <f t="shared" si="165"/>
        <v>0</v>
      </c>
      <c r="O1518" s="1" t="b">
        <f t="shared" si="166"/>
        <v>0</v>
      </c>
      <c r="P1518" s="1" t="b">
        <f t="shared" si="167"/>
        <v>1</v>
      </c>
    </row>
    <row r="1519" spans="1:16" x14ac:dyDescent="0.2">
      <c r="A1519">
        <v>8016965</v>
      </c>
      <c r="B1519" t="s">
        <v>2801</v>
      </c>
      <c r="C1519" t="s">
        <v>240</v>
      </c>
      <c r="D1519" t="s">
        <v>77</v>
      </c>
      <c r="E1519" s="1">
        <v>45076</v>
      </c>
      <c r="F1519" t="s">
        <v>2802</v>
      </c>
      <c r="G1519" s="1">
        <v>45086</v>
      </c>
      <c r="H1519" s="1">
        <v>45104</v>
      </c>
      <c r="I1519" t="s">
        <v>28</v>
      </c>
      <c r="J1519" s="1" t="b">
        <f t="shared" si="161"/>
        <v>1</v>
      </c>
      <c r="K1519" s="1" t="b">
        <f t="shared" si="162"/>
        <v>0</v>
      </c>
      <c r="L1519" s="1" t="b">
        <f t="shared" si="163"/>
        <v>0</v>
      </c>
      <c r="M1519" s="1" t="b">
        <f t="shared" si="164"/>
        <v>0</v>
      </c>
      <c r="N1519" s="1" t="b">
        <f t="shared" si="165"/>
        <v>0</v>
      </c>
      <c r="O1519" s="1" t="b">
        <f t="shared" si="166"/>
        <v>0</v>
      </c>
      <c r="P1519" s="1" t="b">
        <f t="shared" si="167"/>
        <v>1</v>
      </c>
    </row>
    <row r="1520" spans="1:16" x14ac:dyDescent="0.2">
      <c r="A1520">
        <v>8016965</v>
      </c>
      <c r="B1520" t="s">
        <v>2803</v>
      </c>
      <c r="C1520" t="s">
        <v>240</v>
      </c>
      <c r="D1520" t="s">
        <v>77</v>
      </c>
      <c r="E1520" s="1">
        <v>44651</v>
      </c>
      <c r="F1520" t="s">
        <v>2804</v>
      </c>
      <c r="G1520" s="1">
        <v>44661</v>
      </c>
      <c r="H1520" s="1">
        <v>44688</v>
      </c>
      <c r="I1520" t="s">
        <v>43</v>
      </c>
      <c r="J1520" s="1" t="b">
        <f t="shared" si="161"/>
        <v>1</v>
      </c>
      <c r="K1520" s="1" t="b">
        <f t="shared" si="162"/>
        <v>0</v>
      </c>
      <c r="L1520" s="1" t="b">
        <f t="shared" si="163"/>
        <v>0</v>
      </c>
      <c r="M1520" s="1" t="b">
        <f t="shared" si="164"/>
        <v>0</v>
      </c>
      <c r="N1520" s="1" t="b">
        <f t="shared" si="165"/>
        <v>0</v>
      </c>
      <c r="O1520" s="1" t="b">
        <f t="shared" si="166"/>
        <v>1</v>
      </c>
      <c r="P1520" s="1" t="b">
        <f t="shared" si="167"/>
        <v>0</v>
      </c>
    </row>
    <row r="1521" spans="1:16" x14ac:dyDescent="0.2">
      <c r="A1521">
        <v>6246854</v>
      </c>
      <c r="B1521" t="s">
        <v>2805</v>
      </c>
      <c r="C1521" t="s">
        <v>90</v>
      </c>
      <c r="D1521" t="s">
        <v>122</v>
      </c>
      <c r="I1521" t="s">
        <v>33</v>
      </c>
      <c r="J1521" s="1" t="b">
        <f t="shared" si="161"/>
        <v>0</v>
      </c>
      <c r="K1521" s="1" t="b">
        <f t="shared" si="162"/>
        <v>0</v>
      </c>
      <c r="L1521" s="1" t="b">
        <f t="shared" si="163"/>
        <v>0</v>
      </c>
      <c r="M1521" s="1" t="b">
        <f t="shared" si="164"/>
        <v>1</v>
      </c>
      <c r="N1521" s="1" t="b">
        <f t="shared" si="165"/>
        <v>0</v>
      </c>
      <c r="O1521" s="1" t="b">
        <f t="shared" si="166"/>
        <v>0</v>
      </c>
      <c r="P1521" s="1" t="b">
        <f t="shared" si="167"/>
        <v>0</v>
      </c>
    </row>
    <row r="1522" spans="1:16" x14ac:dyDescent="0.2">
      <c r="A1522">
        <v>5027148</v>
      </c>
      <c r="B1522" t="s">
        <v>2806</v>
      </c>
      <c r="C1522" t="s">
        <v>76</v>
      </c>
      <c r="D1522" t="s">
        <v>187</v>
      </c>
      <c r="E1522" s="1">
        <v>45102</v>
      </c>
      <c r="F1522" t="s">
        <v>2807</v>
      </c>
      <c r="G1522" s="1">
        <v>45124</v>
      </c>
      <c r="I1522" t="s">
        <v>13</v>
      </c>
      <c r="J1522" s="1" t="b">
        <f t="shared" si="161"/>
        <v>0</v>
      </c>
      <c r="K1522" s="1" t="b">
        <f t="shared" si="162"/>
        <v>1</v>
      </c>
      <c r="L1522" s="1" t="b">
        <f t="shared" si="163"/>
        <v>0</v>
      </c>
      <c r="M1522" s="1" t="b">
        <f t="shared" si="164"/>
        <v>0</v>
      </c>
      <c r="N1522" s="1" t="b">
        <f t="shared" si="165"/>
        <v>0</v>
      </c>
      <c r="O1522" s="1" t="b">
        <f t="shared" si="166"/>
        <v>0</v>
      </c>
      <c r="P1522" s="1" t="b">
        <f t="shared" si="167"/>
        <v>0</v>
      </c>
    </row>
    <row r="1523" spans="1:16" x14ac:dyDescent="0.2">
      <c r="A1523">
        <v>5027148</v>
      </c>
      <c r="B1523" t="s">
        <v>2808</v>
      </c>
      <c r="C1523" t="s">
        <v>76</v>
      </c>
      <c r="D1523" t="s">
        <v>187</v>
      </c>
      <c r="E1523" s="1">
        <v>44572</v>
      </c>
      <c r="F1523" t="s">
        <v>2809</v>
      </c>
      <c r="G1523" s="1">
        <v>44586</v>
      </c>
      <c r="H1523" s="1">
        <v>44630</v>
      </c>
      <c r="J1523" s="1" t="b">
        <f t="shared" si="161"/>
        <v>1</v>
      </c>
      <c r="K1523" s="1" t="b">
        <f t="shared" si="162"/>
        <v>0</v>
      </c>
      <c r="L1523" s="1" t="b">
        <f t="shared" si="163"/>
        <v>0</v>
      </c>
      <c r="M1523" s="1" t="b">
        <f t="shared" si="164"/>
        <v>0</v>
      </c>
      <c r="N1523" s="1" t="b">
        <f t="shared" si="165"/>
        <v>0</v>
      </c>
      <c r="O1523" s="1" t="b">
        <f t="shared" si="166"/>
        <v>0</v>
      </c>
      <c r="P1523" s="1" t="b">
        <f t="shared" si="167"/>
        <v>0</v>
      </c>
    </row>
    <row r="1524" spans="1:16" x14ac:dyDescent="0.2">
      <c r="A1524">
        <v>5027148</v>
      </c>
      <c r="B1524" t="s">
        <v>2810</v>
      </c>
      <c r="C1524" t="s">
        <v>76</v>
      </c>
      <c r="D1524" t="s">
        <v>187</v>
      </c>
      <c r="E1524" s="1">
        <v>45089</v>
      </c>
      <c r="F1524" t="s">
        <v>2811</v>
      </c>
      <c r="G1524" s="1">
        <v>45111</v>
      </c>
      <c r="H1524" s="1">
        <v>45155</v>
      </c>
      <c r="I1524" t="s">
        <v>43</v>
      </c>
      <c r="J1524" s="1" t="b">
        <f t="shared" si="161"/>
        <v>1</v>
      </c>
      <c r="K1524" s="1" t="b">
        <f t="shared" si="162"/>
        <v>0</v>
      </c>
      <c r="L1524" s="1" t="b">
        <f t="shared" si="163"/>
        <v>0</v>
      </c>
      <c r="M1524" s="1" t="b">
        <f t="shared" si="164"/>
        <v>0</v>
      </c>
      <c r="N1524" s="1" t="b">
        <f t="shared" si="165"/>
        <v>0</v>
      </c>
      <c r="O1524" s="1" t="b">
        <f t="shared" si="166"/>
        <v>1</v>
      </c>
      <c r="P1524" s="1" t="b">
        <f t="shared" si="167"/>
        <v>0</v>
      </c>
    </row>
    <row r="1525" spans="1:16" x14ac:dyDescent="0.2">
      <c r="A1525">
        <v>5027148</v>
      </c>
      <c r="B1525" t="s">
        <v>2812</v>
      </c>
      <c r="C1525" t="s">
        <v>76</v>
      </c>
      <c r="D1525" t="s">
        <v>187</v>
      </c>
      <c r="E1525" s="1">
        <v>44756</v>
      </c>
      <c r="F1525" t="s">
        <v>2813</v>
      </c>
      <c r="G1525" s="1">
        <v>44786</v>
      </c>
      <c r="H1525" s="1">
        <v>44840</v>
      </c>
      <c r="I1525" t="s">
        <v>16</v>
      </c>
      <c r="J1525" s="1" t="b">
        <f t="shared" si="161"/>
        <v>1</v>
      </c>
      <c r="K1525" s="1" t="b">
        <f t="shared" si="162"/>
        <v>0</v>
      </c>
      <c r="L1525" s="1" t="b">
        <f t="shared" si="163"/>
        <v>0</v>
      </c>
      <c r="M1525" s="1" t="b">
        <f t="shared" si="164"/>
        <v>0</v>
      </c>
      <c r="N1525" s="1" t="b">
        <f t="shared" si="165"/>
        <v>1</v>
      </c>
      <c r="O1525" s="1" t="b">
        <f t="shared" si="166"/>
        <v>0</v>
      </c>
      <c r="P1525" s="1" t="b">
        <f t="shared" si="167"/>
        <v>0</v>
      </c>
    </row>
    <row r="1526" spans="1:16" x14ac:dyDescent="0.2">
      <c r="A1526">
        <v>5027148</v>
      </c>
      <c r="B1526" t="s">
        <v>2814</v>
      </c>
      <c r="C1526" t="s">
        <v>76</v>
      </c>
      <c r="D1526" t="s">
        <v>187</v>
      </c>
      <c r="E1526" s="1">
        <v>44915</v>
      </c>
      <c r="F1526" t="s">
        <v>2815</v>
      </c>
      <c r="G1526" s="1">
        <v>44923</v>
      </c>
      <c r="H1526" s="1">
        <v>44971</v>
      </c>
      <c r="J1526" s="1" t="b">
        <f t="shared" si="161"/>
        <v>1</v>
      </c>
      <c r="K1526" s="1" t="b">
        <f t="shared" si="162"/>
        <v>0</v>
      </c>
      <c r="L1526" s="1" t="b">
        <f t="shared" si="163"/>
        <v>0</v>
      </c>
      <c r="M1526" s="1" t="b">
        <f t="shared" si="164"/>
        <v>0</v>
      </c>
      <c r="N1526" s="1" t="b">
        <f t="shared" si="165"/>
        <v>0</v>
      </c>
      <c r="O1526" s="1" t="b">
        <f t="shared" si="166"/>
        <v>0</v>
      </c>
      <c r="P1526" s="1" t="b">
        <f t="shared" si="167"/>
        <v>0</v>
      </c>
    </row>
    <row r="1527" spans="1:16" x14ac:dyDescent="0.2">
      <c r="A1527">
        <v>1710615</v>
      </c>
      <c r="B1527" t="s">
        <v>2816</v>
      </c>
      <c r="C1527" t="s">
        <v>121</v>
      </c>
      <c r="D1527" t="s">
        <v>77</v>
      </c>
      <c r="E1527" s="1">
        <v>44937</v>
      </c>
      <c r="F1527" t="s">
        <v>2817</v>
      </c>
      <c r="G1527" s="1">
        <v>44964</v>
      </c>
      <c r="H1527" s="1">
        <v>44973</v>
      </c>
      <c r="I1527" t="s">
        <v>43</v>
      </c>
      <c r="J1527" s="1" t="b">
        <f t="shared" si="161"/>
        <v>1</v>
      </c>
      <c r="K1527" s="1" t="b">
        <f t="shared" si="162"/>
        <v>0</v>
      </c>
      <c r="L1527" s="1" t="b">
        <f t="shared" si="163"/>
        <v>0</v>
      </c>
      <c r="M1527" s="1" t="b">
        <f t="shared" si="164"/>
        <v>0</v>
      </c>
      <c r="N1527" s="1" t="b">
        <f t="shared" si="165"/>
        <v>0</v>
      </c>
      <c r="O1527" s="1" t="b">
        <f t="shared" si="166"/>
        <v>1</v>
      </c>
      <c r="P1527" s="1" t="b">
        <f t="shared" si="167"/>
        <v>0</v>
      </c>
    </row>
    <row r="1528" spans="1:16" x14ac:dyDescent="0.2">
      <c r="A1528">
        <v>1710615</v>
      </c>
      <c r="B1528" t="s">
        <v>2818</v>
      </c>
      <c r="C1528" t="s">
        <v>121</v>
      </c>
      <c r="D1528" t="s">
        <v>77</v>
      </c>
      <c r="E1528" s="1">
        <v>44950</v>
      </c>
      <c r="F1528" t="s">
        <v>2819</v>
      </c>
      <c r="G1528" s="1">
        <v>44956</v>
      </c>
      <c r="H1528" s="1">
        <v>44980</v>
      </c>
      <c r="I1528" t="s">
        <v>16</v>
      </c>
      <c r="J1528" s="1" t="b">
        <f t="shared" si="161"/>
        <v>1</v>
      </c>
      <c r="K1528" s="1" t="b">
        <f t="shared" si="162"/>
        <v>0</v>
      </c>
      <c r="L1528" s="1" t="b">
        <f t="shared" si="163"/>
        <v>0</v>
      </c>
      <c r="M1528" s="1" t="b">
        <f t="shared" si="164"/>
        <v>0</v>
      </c>
      <c r="N1528" s="1" t="b">
        <f t="shared" si="165"/>
        <v>1</v>
      </c>
      <c r="O1528" s="1" t="b">
        <f t="shared" si="166"/>
        <v>0</v>
      </c>
      <c r="P1528" s="1" t="b">
        <f t="shared" si="167"/>
        <v>0</v>
      </c>
    </row>
    <row r="1529" spans="1:16" x14ac:dyDescent="0.2">
      <c r="A1529">
        <v>2899743</v>
      </c>
      <c r="B1529" t="s">
        <v>2820</v>
      </c>
      <c r="C1529" t="s">
        <v>720</v>
      </c>
      <c r="D1529" t="s">
        <v>19</v>
      </c>
      <c r="E1529" s="1">
        <v>45056</v>
      </c>
      <c r="F1529" t="s">
        <v>2821</v>
      </c>
      <c r="G1529" s="1">
        <v>45066</v>
      </c>
      <c r="H1529" s="1">
        <v>45083</v>
      </c>
      <c r="I1529" t="s">
        <v>16</v>
      </c>
      <c r="J1529" s="1" t="b">
        <f t="shared" si="161"/>
        <v>1</v>
      </c>
      <c r="K1529" s="1" t="b">
        <f t="shared" si="162"/>
        <v>0</v>
      </c>
      <c r="L1529" s="1" t="b">
        <f t="shared" si="163"/>
        <v>0</v>
      </c>
      <c r="M1529" s="1" t="b">
        <f t="shared" si="164"/>
        <v>0</v>
      </c>
      <c r="N1529" s="1" t="b">
        <f t="shared" si="165"/>
        <v>1</v>
      </c>
      <c r="O1529" s="1" t="b">
        <f t="shared" si="166"/>
        <v>0</v>
      </c>
      <c r="P1529" s="1" t="b">
        <f t="shared" si="167"/>
        <v>0</v>
      </c>
    </row>
    <row r="1530" spans="1:16" x14ac:dyDescent="0.2">
      <c r="A1530">
        <v>2899743</v>
      </c>
      <c r="B1530" t="s">
        <v>2822</v>
      </c>
      <c r="C1530" t="s">
        <v>720</v>
      </c>
      <c r="D1530" t="s">
        <v>19</v>
      </c>
      <c r="E1530" s="1">
        <v>44965</v>
      </c>
      <c r="F1530" t="s">
        <v>2823</v>
      </c>
      <c r="G1530" s="1">
        <v>44972</v>
      </c>
      <c r="I1530" t="s">
        <v>25</v>
      </c>
      <c r="J1530" s="1" t="b">
        <f t="shared" si="161"/>
        <v>0</v>
      </c>
      <c r="K1530" s="1" t="b">
        <f t="shared" si="162"/>
        <v>0</v>
      </c>
      <c r="L1530" s="1" t="b">
        <f t="shared" si="163"/>
        <v>1</v>
      </c>
      <c r="M1530" s="1" t="b">
        <f t="shared" si="164"/>
        <v>0</v>
      </c>
      <c r="N1530" s="1" t="b">
        <f t="shared" si="165"/>
        <v>0</v>
      </c>
      <c r="O1530" s="1" t="b">
        <f t="shared" si="166"/>
        <v>0</v>
      </c>
      <c r="P1530" s="1" t="b">
        <f t="shared" si="167"/>
        <v>0</v>
      </c>
    </row>
    <row r="1531" spans="1:16" x14ac:dyDescent="0.2">
      <c r="A1531">
        <v>2899743</v>
      </c>
      <c r="B1531" t="s">
        <v>2824</v>
      </c>
      <c r="C1531" t="s">
        <v>720</v>
      </c>
      <c r="D1531" t="s">
        <v>19</v>
      </c>
      <c r="E1531" s="1">
        <v>45061</v>
      </c>
      <c r="F1531" t="s">
        <v>2825</v>
      </c>
      <c r="G1531" s="1">
        <v>45063</v>
      </c>
      <c r="H1531" s="1">
        <v>45086</v>
      </c>
      <c r="I1531" t="s">
        <v>16</v>
      </c>
      <c r="J1531" s="1" t="b">
        <f t="shared" si="161"/>
        <v>1</v>
      </c>
      <c r="K1531" s="1" t="b">
        <f t="shared" si="162"/>
        <v>0</v>
      </c>
      <c r="L1531" s="1" t="b">
        <f t="shared" si="163"/>
        <v>0</v>
      </c>
      <c r="M1531" s="1" t="b">
        <f t="shared" si="164"/>
        <v>0</v>
      </c>
      <c r="N1531" s="1" t="b">
        <f t="shared" si="165"/>
        <v>1</v>
      </c>
      <c r="O1531" s="1" t="b">
        <f t="shared" si="166"/>
        <v>0</v>
      </c>
      <c r="P1531" s="1" t="b">
        <f t="shared" si="167"/>
        <v>0</v>
      </c>
    </row>
    <row r="1532" spans="1:16" x14ac:dyDescent="0.2">
      <c r="A1532">
        <v>2899743</v>
      </c>
      <c r="B1532" t="s">
        <v>2826</v>
      </c>
      <c r="C1532" t="s">
        <v>720</v>
      </c>
      <c r="D1532" t="s">
        <v>19</v>
      </c>
      <c r="E1532" s="1">
        <v>44867</v>
      </c>
      <c r="F1532" t="s">
        <v>2827</v>
      </c>
      <c r="G1532" s="1">
        <v>44879</v>
      </c>
      <c r="I1532" t="s">
        <v>13</v>
      </c>
      <c r="J1532" s="1" t="b">
        <f t="shared" si="161"/>
        <v>0</v>
      </c>
      <c r="K1532" s="1" t="b">
        <f t="shared" si="162"/>
        <v>1</v>
      </c>
      <c r="L1532" s="1" t="b">
        <f t="shared" si="163"/>
        <v>0</v>
      </c>
      <c r="M1532" s="1" t="b">
        <f t="shared" si="164"/>
        <v>0</v>
      </c>
      <c r="N1532" s="1" t="b">
        <f t="shared" si="165"/>
        <v>0</v>
      </c>
      <c r="O1532" s="1" t="b">
        <f t="shared" si="166"/>
        <v>0</v>
      </c>
      <c r="P1532" s="1" t="b">
        <f t="shared" si="167"/>
        <v>0</v>
      </c>
    </row>
    <row r="1533" spans="1:16" x14ac:dyDescent="0.2">
      <c r="A1533">
        <v>2899743</v>
      </c>
      <c r="B1533" t="s">
        <v>2828</v>
      </c>
      <c r="C1533" t="s">
        <v>720</v>
      </c>
      <c r="D1533" t="s">
        <v>19</v>
      </c>
      <c r="E1533" s="1">
        <v>44752</v>
      </c>
      <c r="F1533" t="s">
        <v>2829</v>
      </c>
      <c r="G1533" s="1">
        <v>44765</v>
      </c>
      <c r="I1533" t="s">
        <v>13</v>
      </c>
      <c r="J1533" s="1" t="b">
        <f t="shared" si="161"/>
        <v>0</v>
      </c>
      <c r="K1533" s="1" t="b">
        <f t="shared" si="162"/>
        <v>1</v>
      </c>
      <c r="L1533" s="1" t="b">
        <f t="shared" si="163"/>
        <v>0</v>
      </c>
      <c r="M1533" s="1" t="b">
        <f t="shared" si="164"/>
        <v>0</v>
      </c>
      <c r="N1533" s="1" t="b">
        <f t="shared" si="165"/>
        <v>0</v>
      </c>
      <c r="O1533" s="1" t="b">
        <f t="shared" si="166"/>
        <v>0</v>
      </c>
      <c r="P1533" s="1" t="b">
        <f t="shared" si="167"/>
        <v>0</v>
      </c>
    </row>
    <row r="1534" spans="1:16" x14ac:dyDescent="0.2">
      <c r="A1534">
        <v>6948065</v>
      </c>
      <c r="B1534" t="s">
        <v>2830</v>
      </c>
      <c r="C1534" t="s">
        <v>10</v>
      </c>
      <c r="D1534" t="s">
        <v>122</v>
      </c>
      <c r="E1534" s="1">
        <v>44719</v>
      </c>
      <c r="F1534" t="s">
        <v>384</v>
      </c>
      <c r="G1534" s="1">
        <v>44733</v>
      </c>
      <c r="H1534" s="1">
        <v>44741</v>
      </c>
      <c r="I1534" t="s">
        <v>16</v>
      </c>
      <c r="J1534" s="1" t="b">
        <f t="shared" si="161"/>
        <v>1</v>
      </c>
      <c r="K1534" s="1" t="b">
        <f t="shared" si="162"/>
        <v>0</v>
      </c>
      <c r="L1534" s="1" t="b">
        <f t="shared" si="163"/>
        <v>0</v>
      </c>
      <c r="M1534" s="1" t="b">
        <f t="shared" si="164"/>
        <v>0</v>
      </c>
      <c r="N1534" s="1" t="b">
        <f t="shared" si="165"/>
        <v>1</v>
      </c>
      <c r="O1534" s="1" t="b">
        <f t="shared" si="166"/>
        <v>0</v>
      </c>
      <c r="P1534" s="1" t="b">
        <f t="shared" si="167"/>
        <v>0</v>
      </c>
    </row>
    <row r="1535" spans="1:16" x14ac:dyDescent="0.2">
      <c r="A1535">
        <v>6948065</v>
      </c>
      <c r="B1535" t="s">
        <v>2831</v>
      </c>
      <c r="C1535" t="s">
        <v>10</v>
      </c>
      <c r="D1535" t="s">
        <v>122</v>
      </c>
      <c r="E1535" s="1">
        <v>44818</v>
      </c>
      <c r="F1535" t="s">
        <v>1697</v>
      </c>
      <c r="G1535" s="1">
        <v>44826</v>
      </c>
      <c r="H1535" s="1">
        <v>44857</v>
      </c>
      <c r="I1535" t="s">
        <v>16</v>
      </c>
      <c r="J1535" s="1" t="b">
        <f t="shared" si="161"/>
        <v>1</v>
      </c>
      <c r="K1535" s="1" t="b">
        <f t="shared" si="162"/>
        <v>0</v>
      </c>
      <c r="L1535" s="1" t="b">
        <f t="shared" si="163"/>
        <v>0</v>
      </c>
      <c r="M1535" s="1" t="b">
        <f t="shared" si="164"/>
        <v>0</v>
      </c>
      <c r="N1535" s="1" t="b">
        <f t="shared" si="165"/>
        <v>1</v>
      </c>
      <c r="O1535" s="1" t="b">
        <f t="shared" si="166"/>
        <v>0</v>
      </c>
      <c r="P1535" s="1" t="b">
        <f t="shared" si="167"/>
        <v>0</v>
      </c>
    </row>
    <row r="1536" spans="1:16" x14ac:dyDescent="0.2">
      <c r="A1536">
        <v>6948065</v>
      </c>
      <c r="B1536" t="s">
        <v>2832</v>
      </c>
      <c r="C1536" t="s">
        <v>10</v>
      </c>
      <c r="D1536" t="s">
        <v>122</v>
      </c>
      <c r="E1536" s="1">
        <v>44748</v>
      </c>
      <c r="F1536" t="s">
        <v>179</v>
      </c>
      <c r="G1536" s="1">
        <v>44766</v>
      </c>
      <c r="H1536" s="1">
        <v>44818</v>
      </c>
      <c r="I1536" t="s">
        <v>28</v>
      </c>
      <c r="J1536" s="1" t="b">
        <f t="shared" si="161"/>
        <v>1</v>
      </c>
      <c r="K1536" s="1" t="b">
        <f t="shared" si="162"/>
        <v>0</v>
      </c>
      <c r="L1536" s="1" t="b">
        <f t="shared" si="163"/>
        <v>0</v>
      </c>
      <c r="M1536" s="1" t="b">
        <f t="shared" si="164"/>
        <v>0</v>
      </c>
      <c r="N1536" s="1" t="b">
        <f t="shared" si="165"/>
        <v>0</v>
      </c>
      <c r="O1536" s="1" t="b">
        <f t="shared" si="166"/>
        <v>0</v>
      </c>
      <c r="P1536" s="1" t="b">
        <f t="shared" si="167"/>
        <v>1</v>
      </c>
    </row>
    <row r="1537" spans="1:16" x14ac:dyDescent="0.2">
      <c r="A1537">
        <v>6948065</v>
      </c>
      <c r="B1537" t="s">
        <v>2833</v>
      </c>
      <c r="C1537" t="s">
        <v>10</v>
      </c>
      <c r="D1537" t="s">
        <v>122</v>
      </c>
      <c r="E1537" s="1">
        <v>45011</v>
      </c>
      <c r="F1537" t="s">
        <v>2834</v>
      </c>
      <c r="G1537" s="1">
        <v>45017</v>
      </c>
      <c r="I1537" t="s">
        <v>25</v>
      </c>
      <c r="J1537" s="1" t="b">
        <f t="shared" si="161"/>
        <v>0</v>
      </c>
      <c r="K1537" s="1" t="b">
        <f t="shared" si="162"/>
        <v>0</v>
      </c>
      <c r="L1537" s="1" t="b">
        <f t="shared" si="163"/>
        <v>1</v>
      </c>
      <c r="M1537" s="1" t="b">
        <f t="shared" si="164"/>
        <v>0</v>
      </c>
      <c r="N1537" s="1" t="b">
        <f t="shared" si="165"/>
        <v>0</v>
      </c>
      <c r="O1537" s="1" t="b">
        <f t="shared" si="166"/>
        <v>0</v>
      </c>
      <c r="P1537" s="1" t="b">
        <f t="shared" si="167"/>
        <v>0</v>
      </c>
    </row>
    <row r="1538" spans="1:16" x14ac:dyDescent="0.2">
      <c r="A1538">
        <v>3346703</v>
      </c>
      <c r="B1538" t="s">
        <v>2835</v>
      </c>
      <c r="C1538" t="s">
        <v>542</v>
      </c>
      <c r="D1538" t="s">
        <v>60</v>
      </c>
      <c r="E1538" s="1">
        <v>44765</v>
      </c>
      <c r="F1538" t="s">
        <v>922</v>
      </c>
      <c r="G1538" s="1">
        <v>44769</v>
      </c>
      <c r="I1538" t="s">
        <v>25</v>
      </c>
      <c r="J1538" s="1" t="b">
        <f t="shared" si="161"/>
        <v>0</v>
      </c>
      <c r="K1538" s="1" t="b">
        <f t="shared" si="162"/>
        <v>0</v>
      </c>
      <c r="L1538" s="1" t="b">
        <f t="shared" si="163"/>
        <v>1</v>
      </c>
      <c r="M1538" s="1" t="b">
        <f t="shared" si="164"/>
        <v>0</v>
      </c>
      <c r="N1538" s="1" t="b">
        <f t="shared" si="165"/>
        <v>0</v>
      </c>
      <c r="O1538" s="1" t="b">
        <f t="shared" si="166"/>
        <v>0</v>
      </c>
      <c r="P1538" s="1" t="b">
        <f t="shared" si="167"/>
        <v>0</v>
      </c>
    </row>
    <row r="1539" spans="1:16" x14ac:dyDescent="0.2">
      <c r="A1539">
        <v>4180407</v>
      </c>
      <c r="B1539" t="s">
        <v>2836</v>
      </c>
      <c r="C1539" t="s">
        <v>110</v>
      </c>
      <c r="D1539" t="s">
        <v>56</v>
      </c>
      <c r="E1539" s="1">
        <v>44594</v>
      </c>
      <c r="F1539" t="s">
        <v>714</v>
      </c>
      <c r="G1539" s="1">
        <v>44600</v>
      </c>
      <c r="I1539" t="s">
        <v>25</v>
      </c>
      <c r="J1539" s="1" t="b">
        <f t="shared" ref="J1539:J1602" si="168">AND(NOT(ISBLANK(H1539)), NOT(OR(ISNUMBER(SEARCH("decline", I1539)), ISNUMBER(SEARCH("rescind", I1539)), ISNUMBER(SEARCH("cancel", I1539)))))</f>
        <v>0</v>
      </c>
      <c r="K1539" s="1" t="b">
        <f t="shared" ref="K1539:K1602" si="169">ISNUMBER(SEARCH("decline", I1539))</f>
        <v>0</v>
      </c>
      <c r="L1539" s="1" t="b">
        <f t="shared" ref="L1539:L1602" si="170">ISNUMBER(SEARCH("rescind", I1539))</f>
        <v>1</v>
      </c>
      <c r="M1539" s="1" t="b">
        <f t="shared" ref="M1539:M1602" si="171">ISNUMBER(SEARCH("cancel", I1539))</f>
        <v>0</v>
      </c>
      <c r="N1539" s="1" t="b">
        <f t="shared" ref="N1539:N1602" si="172">ISNUMBER(SEARCH("transfer", I1539))</f>
        <v>0</v>
      </c>
      <c r="O1539" s="1" t="b">
        <f t="shared" ref="O1539:O1602" si="173">ISNUMBER(SEARCH("promo", I1539))</f>
        <v>0</v>
      </c>
      <c r="P1539" s="1" t="b">
        <f t="shared" ref="P1539:P1602" si="174">ISNUMBER(SEARCH("new", I1539))</f>
        <v>0</v>
      </c>
    </row>
    <row r="1540" spans="1:16" x14ac:dyDescent="0.2">
      <c r="A1540">
        <v>4180407</v>
      </c>
      <c r="B1540" t="s">
        <v>2837</v>
      </c>
      <c r="C1540" t="s">
        <v>110</v>
      </c>
      <c r="D1540" t="s">
        <v>56</v>
      </c>
      <c r="E1540" s="1">
        <v>44683</v>
      </c>
      <c r="F1540" t="s">
        <v>2838</v>
      </c>
      <c r="G1540" s="1">
        <v>44697</v>
      </c>
      <c r="H1540" s="1">
        <v>44729</v>
      </c>
      <c r="J1540" s="1" t="b">
        <f t="shared" si="168"/>
        <v>1</v>
      </c>
      <c r="K1540" s="1" t="b">
        <f t="shared" si="169"/>
        <v>0</v>
      </c>
      <c r="L1540" s="1" t="b">
        <f t="shared" si="170"/>
        <v>0</v>
      </c>
      <c r="M1540" s="1" t="b">
        <f t="shared" si="171"/>
        <v>0</v>
      </c>
      <c r="N1540" s="1" t="b">
        <f t="shared" si="172"/>
        <v>0</v>
      </c>
      <c r="O1540" s="1" t="b">
        <f t="shared" si="173"/>
        <v>0</v>
      </c>
      <c r="P1540" s="1" t="b">
        <f t="shared" si="174"/>
        <v>0</v>
      </c>
    </row>
    <row r="1541" spans="1:16" x14ac:dyDescent="0.2">
      <c r="A1541">
        <v>9314244</v>
      </c>
      <c r="B1541" t="s">
        <v>2839</v>
      </c>
      <c r="C1541" t="s">
        <v>47</v>
      </c>
      <c r="D1541" t="s">
        <v>187</v>
      </c>
      <c r="E1541" s="1">
        <v>44960</v>
      </c>
      <c r="F1541" t="s">
        <v>2073</v>
      </c>
      <c r="G1541" s="1">
        <v>44965</v>
      </c>
      <c r="H1541" s="1">
        <v>44973</v>
      </c>
      <c r="J1541" s="1" t="b">
        <f t="shared" si="168"/>
        <v>1</v>
      </c>
      <c r="K1541" s="1" t="b">
        <f t="shared" si="169"/>
        <v>0</v>
      </c>
      <c r="L1541" s="1" t="b">
        <f t="shared" si="170"/>
        <v>0</v>
      </c>
      <c r="M1541" s="1" t="b">
        <f t="shared" si="171"/>
        <v>0</v>
      </c>
      <c r="N1541" s="1" t="b">
        <f t="shared" si="172"/>
        <v>0</v>
      </c>
      <c r="O1541" s="1" t="b">
        <f t="shared" si="173"/>
        <v>0</v>
      </c>
      <c r="P1541" s="1" t="b">
        <f t="shared" si="174"/>
        <v>0</v>
      </c>
    </row>
    <row r="1542" spans="1:16" x14ac:dyDescent="0.2">
      <c r="A1542">
        <v>9314244</v>
      </c>
      <c r="B1542" t="s">
        <v>2840</v>
      </c>
      <c r="C1542" t="s">
        <v>47</v>
      </c>
      <c r="D1542" t="s">
        <v>187</v>
      </c>
      <c r="E1542" s="1">
        <v>44914</v>
      </c>
      <c r="F1542" t="s">
        <v>2841</v>
      </c>
      <c r="G1542" s="1">
        <v>44931</v>
      </c>
      <c r="H1542" s="1">
        <v>44932</v>
      </c>
      <c r="I1542" t="s">
        <v>16</v>
      </c>
      <c r="J1542" s="1" t="b">
        <f t="shared" si="168"/>
        <v>1</v>
      </c>
      <c r="K1542" s="1" t="b">
        <f t="shared" si="169"/>
        <v>0</v>
      </c>
      <c r="L1542" s="1" t="b">
        <f t="shared" si="170"/>
        <v>0</v>
      </c>
      <c r="M1542" s="1" t="b">
        <f t="shared" si="171"/>
        <v>0</v>
      </c>
      <c r="N1542" s="1" t="b">
        <f t="shared" si="172"/>
        <v>1</v>
      </c>
      <c r="O1542" s="1" t="b">
        <f t="shared" si="173"/>
        <v>0</v>
      </c>
      <c r="P1542" s="1" t="b">
        <f t="shared" si="174"/>
        <v>0</v>
      </c>
    </row>
    <row r="1543" spans="1:16" x14ac:dyDescent="0.2">
      <c r="A1543">
        <v>9314244</v>
      </c>
      <c r="B1543" t="s">
        <v>2842</v>
      </c>
      <c r="C1543" t="s">
        <v>47</v>
      </c>
      <c r="D1543" t="s">
        <v>187</v>
      </c>
      <c r="E1543" s="1">
        <v>44912</v>
      </c>
      <c r="F1543" t="s">
        <v>1646</v>
      </c>
      <c r="G1543" s="1">
        <v>44926</v>
      </c>
      <c r="H1543" s="1">
        <v>44965</v>
      </c>
      <c r="I1543" t="s">
        <v>43</v>
      </c>
      <c r="J1543" s="1" t="b">
        <f t="shared" si="168"/>
        <v>1</v>
      </c>
      <c r="K1543" s="1" t="b">
        <f t="shared" si="169"/>
        <v>0</v>
      </c>
      <c r="L1543" s="1" t="b">
        <f t="shared" si="170"/>
        <v>0</v>
      </c>
      <c r="M1543" s="1" t="b">
        <f t="shared" si="171"/>
        <v>0</v>
      </c>
      <c r="N1543" s="1" t="b">
        <f t="shared" si="172"/>
        <v>0</v>
      </c>
      <c r="O1543" s="1" t="b">
        <f t="shared" si="173"/>
        <v>1</v>
      </c>
      <c r="P1543" s="1" t="b">
        <f t="shared" si="174"/>
        <v>0</v>
      </c>
    </row>
    <row r="1544" spans="1:16" x14ac:dyDescent="0.2">
      <c r="A1544">
        <v>1134702</v>
      </c>
      <c r="B1544" t="s">
        <v>2843</v>
      </c>
      <c r="C1544" t="s">
        <v>315</v>
      </c>
      <c r="D1544" t="s">
        <v>77</v>
      </c>
      <c r="E1544" s="1">
        <v>45001</v>
      </c>
      <c r="F1544" t="s">
        <v>2291</v>
      </c>
      <c r="G1544" s="1">
        <v>45009</v>
      </c>
      <c r="I1544" t="s">
        <v>13</v>
      </c>
      <c r="J1544" s="1" t="b">
        <f t="shared" si="168"/>
        <v>0</v>
      </c>
      <c r="K1544" s="1" t="b">
        <f t="shared" si="169"/>
        <v>1</v>
      </c>
      <c r="L1544" s="1" t="b">
        <f t="shared" si="170"/>
        <v>0</v>
      </c>
      <c r="M1544" s="1" t="b">
        <f t="shared" si="171"/>
        <v>0</v>
      </c>
      <c r="N1544" s="1" t="b">
        <f t="shared" si="172"/>
        <v>0</v>
      </c>
      <c r="O1544" s="1" t="b">
        <f t="shared" si="173"/>
        <v>0</v>
      </c>
      <c r="P1544" s="1" t="b">
        <f t="shared" si="174"/>
        <v>0</v>
      </c>
    </row>
    <row r="1545" spans="1:16" x14ac:dyDescent="0.2">
      <c r="A1545">
        <v>1134702</v>
      </c>
      <c r="B1545" t="s">
        <v>2844</v>
      </c>
      <c r="C1545" t="s">
        <v>315</v>
      </c>
      <c r="D1545" t="s">
        <v>77</v>
      </c>
      <c r="E1545" s="1">
        <v>44679</v>
      </c>
      <c r="F1545" t="s">
        <v>685</v>
      </c>
      <c r="G1545" s="1">
        <v>44707</v>
      </c>
      <c r="H1545" s="1">
        <v>44724</v>
      </c>
      <c r="I1545" t="s">
        <v>43</v>
      </c>
      <c r="J1545" s="1" t="b">
        <f t="shared" si="168"/>
        <v>1</v>
      </c>
      <c r="K1545" s="1" t="b">
        <f t="shared" si="169"/>
        <v>0</v>
      </c>
      <c r="L1545" s="1" t="b">
        <f t="shared" si="170"/>
        <v>0</v>
      </c>
      <c r="M1545" s="1" t="b">
        <f t="shared" si="171"/>
        <v>0</v>
      </c>
      <c r="N1545" s="1" t="b">
        <f t="shared" si="172"/>
        <v>0</v>
      </c>
      <c r="O1545" s="1" t="b">
        <f t="shared" si="173"/>
        <v>1</v>
      </c>
      <c r="P1545" s="1" t="b">
        <f t="shared" si="174"/>
        <v>0</v>
      </c>
    </row>
    <row r="1546" spans="1:16" x14ac:dyDescent="0.2">
      <c r="A1546">
        <v>1134702</v>
      </c>
      <c r="B1546" t="s">
        <v>2845</v>
      </c>
      <c r="C1546" t="s">
        <v>315</v>
      </c>
      <c r="D1546" t="s">
        <v>77</v>
      </c>
      <c r="E1546" s="1">
        <v>45001</v>
      </c>
      <c r="F1546" t="s">
        <v>134</v>
      </c>
      <c r="G1546" s="1">
        <v>45008</v>
      </c>
      <c r="H1546" s="1">
        <v>45039</v>
      </c>
      <c r="I1546" t="s">
        <v>43</v>
      </c>
      <c r="J1546" s="1" t="b">
        <f t="shared" si="168"/>
        <v>1</v>
      </c>
      <c r="K1546" s="1" t="b">
        <f t="shared" si="169"/>
        <v>0</v>
      </c>
      <c r="L1546" s="1" t="b">
        <f t="shared" si="170"/>
        <v>0</v>
      </c>
      <c r="M1546" s="1" t="b">
        <f t="shared" si="171"/>
        <v>0</v>
      </c>
      <c r="N1546" s="1" t="b">
        <f t="shared" si="172"/>
        <v>0</v>
      </c>
      <c r="O1546" s="1" t="b">
        <f t="shared" si="173"/>
        <v>1</v>
      </c>
      <c r="P1546" s="1" t="b">
        <f t="shared" si="174"/>
        <v>0</v>
      </c>
    </row>
    <row r="1547" spans="1:16" x14ac:dyDescent="0.2">
      <c r="A1547">
        <v>2729141</v>
      </c>
      <c r="B1547" t="s">
        <v>2846</v>
      </c>
      <c r="C1547" t="s">
        <v>240</v>
      </c>
      <c r="D1547" t="s">
        <v>139</v>
      </c>
      <c r="E1547" s="1">
        <v>44714</v>
      </c>
      <c r="F1547" t="s">
        <v>2847</v>
      </c>
      <c r="G1547" s="1">
        <v>44722</v>
      </c>
      <c r="I1547" t="s">
        <v>13</v>
      </c>
      <c r="J1547" s="1" t="b">
        <f t="shared" si="168"/>
        <v>0</v>
      </c>
      <c r="K1547" s="1" t="b">
        <f t="shared" si="169"/>
        <v>1</v>
      </c>
      <c r="L1547" s="1" t="b">
        <f t="shared" si="170"/>
        <v>0</v>
      </c>
      <c r="M1547" s="1" t="b">
        <f t="shared" si="171"/>
        <v>0</v>
      </c>
      <c r="N1547" s="1" t="b">
        <f t="shared" si="172"/>
        <v>0</v>
      </c>
      <c r="O1547" s="1" t="b">
        <f t="shared" si="173"/>
        <v>0</v>
      </c>
      <c r="P1547" s="1" t="b">
        <f t="shared" si="174"/>
        <v>0</v>
      </c>
    </row>
    <row r="1548" spans="1:16" x14ac:dyDescent="0.2">
      <c r="A1548">
        <v>2729141</v>
      </c>
      <c r="B1548" t="s">
        <v>2848</v>
      </c>
      <c r="C1548" t="s">
        <v>240</v>
      </c>
      <c r="D1548" t="s">
        <v>139</v>
      </c>
      <c r="E1548" s="1">
        <v>44842</v>
      </c>
      <c r="F1548" t="s">
        <v>2849</v>
      </c>
      <c r="G1548" s="1">
        <v>44849</v>
      </c>
      <c r="I1548" t="s">
        <v>13</v>
      </c>
      <c r="J1548" s="1" t="b">
        <f t="shared" si="168"/>
        <v>0</v>
      </c>
      <c r="K1548" s="1" t="b">
        <f t="shared" si="169"/>
        <v>1</v>
      </c>
      <c r="L1548" s="1" t="b">
        <f t="shared" si="170"/>
        <v>0</v>
      </c>
      <c r="M1548" s="1" t="b">
        <f t="shared" si="171"/>
        <v>0</v>
      </c>
      <c r="N1548" s="1" t="b">
        <f t="shared" si="172"/>
        <v>0</v>
      </c>
      <c r="O1548" s="1" t="b">
        <f t="shared" si="173"/>
        <v>0</v>
      </c>
      <c r="P1548" s="1" t="b">
        <f t="shared" si="174"/>
        <v>0</v>
      </c>
    </row>
    <row r="1549" spans="1:16" x14ac:dyDescent="0.2">
      <c r="A1549">
        <v>2729141</v>
      </c>
      <c r="B1549" t="s">
        <v>2850</v>
      </c>
      <c r="C1549" t="s">
        <v>240</v>
      </c>
      <c r="D1549" t="s">
        <v>139</v>
      </c>
      <c r="E1549" s="1">
        <v>44766</v>
      </c>
      <c r="F1549" t="s">
        <v>1598</v>
      </c>
      <c r="G1549" s="1">
        <v>44769</v>
      </c>
      <c r="H1549" s="1">
        <v>44825</v>
      </c>
      <c r="J1549" s="1" t="b">
        <f t="shared" si="168"/>
        <v>1</v>
      </c>
      <c r="K1549" s="1" t="b">
        <f t="shared" si="169"/>
        <v>0</v>
      </c>
      <c r="L1549" s="1" t="b">
        <f t="shared" si="170"/>
        <v>0</v>
      </c>
      <c r="M1549" s="1" t="b">
        <f t="shared" si="171"/>
        <v>0</v>
      </c>
      <c r="N1549" s="1" t="b">
        <f t="shared" si="172"/>
        <v>0</v>
      </c>
      <c r="O1549" s="1" t="b">
        <f t="shared" si="173"/>
        <v>0</v>
      </c>
      <c r="P1549" s="1" t="b">
        <f t="shared" si="174"/>
        <v>0</v>
      </c>
    </row>
    <row r="1550" spans="1:16" x14ac:dyDescent="0.2">
      <c r="A1550">
        <v>2729141</v>
      </c>
      <c r="B1550" t="s">
        <v>2851</v>
      </c>
      <c r="C1550" t="s">
        <v>240</v>
      </c>
      <c r="D1550" t="s">
        <v>139</v>
      </c>
      <c r="E1550" s="1">
        <v>44875</v>
      </c>
      <c r="F1550" t="s">
        <v>2852</v>
      </c>
      <c r="G1550" s="1">
        <v>44898</v>
      </c>
      <c r="I1550" t="s">
        <v>13</v>
      </c>
      <c r="J1550" s="1" t="b">
        <f t="shared" si="168"/>
        <v>0</v>
      </c>
      <c r="K1550" s="1" t="b">
        <f t="shared" si="169"/>
        <v>1</v>
      </c>
      <c r="L1550" s="1" t="b">
        <f t="shared" si="170"/>
        <v>0</v>
      </c>
      <c r="M1550" s="1" t="b">
        <f t="shared" si="171"/>
        <v>0</v>
      </c>
      <c r="N1550" s="1" t="b">
        <f t="shared" si="172"/>
        <v>0</v>
      </c>
      <c r="O1550" s="1" t="b">
        <f t="shared" si="173"/>
        <v>0</v>
      </c>
      <c r="P1550" s="1" t="b">
        <f t="shared" si="174"/>
        <v>0</v>
      </c>
    </row>
    <row r="1551" spans="1:16" x14ac:dyDescent="0.2">
      <c r="A1551">
        <v>2729141</v>
      </c>
      <c r="B1551" t="s">
        <v>2853</v>
      </c>
      <c r="C1551" t="s">
        <v>240</v>
      </c>
      <c r="D1551" t="s">
        <v>139</v>
      </c>
      <c r="E1551" s="1">
        <v>44998</v>
      </c>
      <c r="F1551" t="s">
        <v>479</v>
      </c>
      <c r="G1551" s="1">
        <v>45014</v>
      </c>
      <c r="H1551" s="1">
        <v>45018</v>
      </c>
      <c r="I1551" t="s">
        <v>43</v>
      </c>
      <c r="J1551" s="1" t="b">
        <f t="shared" si="168"/>
        <v>1</v>
      </c>
      <c r="K1551" s="1" t="b">
        <f t="shared" si="169"/>
        <v>0</v>
      </c>
      <c r="L1551" s="1" t="b">
        <f t="shared" si="170"/>
        <v>0</v>
      </c>
      <c r="M1551" s="1" t="b">
        <f t="shared" si="171"/>
        <v>0</v>
      </c>
      <c r="N1551" s="1" t="b">
        <f t="shared" si="172"/>
        <v>0</v>
      </c>
      <c r="O1551" s="1" t="b">
        <f t="shared" si="173"/>
        <v>1</v>
      </c>
      <c r="P1551" s="1" t="b">
        <f t="shared" si="174"/>
        <v>0</v>
      </c>
    </row>
    <row r="1552" spans="1:16" x14ac:dyDescent="0.2">
      <c r="A1552">
        <v>9554093</v>
      </c>
      <c r="B1552" t="s">
        <v>2854</v>
      </c>
      <c r="C1552" t="s">
        <v>315</v>
      </c>
      <c r="D1552" t="s">
        <v>56</v>
      </c>
      <c r="E1552" s="1">
        <v>44921</v>
      </c>
      <c r="F1552" t="s">
        <v>2855</v>
      </c>
      <c r="G1552" s="1">
        <v>44944</v>
      </c>
      <c r="I1552" t="s">
        <v>13</v>
      </c>
      <c r="J1552" s="1" t="b">
        <f t="shared" si="168"/>
        <v>0</v>
      </c>
      <c r="K1552" s="1" t="b">
        <f t="shared" si="169"/>
        <v>1</v>
      </c>
      <c r="L1552" s="1" t="b">
        <f t="shared" si="170"/>
        <v>0</v>
      </c>
      <c r="M1552" s="1" t="b">
        <f t="shared" si="171"/>
        <v>0</v>
      </c>
      <c r="N1552" s="1" t="b">
        <f t="shared" si="172"/>
        <v>0</v>
      </c>
      <c r="O1552" s="1" t="b">
        <f t="shared" si="173"/>
        <v>0</v>
      </c>
      <c r="P1552" s="1" t="b">
        <f t="shared" si="174"/>
        <v>0</v>
      </c>
    </row>
    <row r="1553" spans="1:16" x14ac:dyDescent="0.2">
      <c r="A1553">
        <v>9554093</v>
      </c>
      <c r="B1553" t="s">
        <v>2856</v>
      </c>
      <c r="C1553" t="s">
        <v>315</v>
      </c>
      <c r="D1553" t="s">
        <v>56</v>
      </c>
      <c r="E1553" s="1">
        <v>44748</v>
      </c>
      <c r="F1553" t="s">
        <v>2794</v>
      </c>
      <c r="G1553" s="1">
        <v>44750</v>
      </c>
      <c r="H1553" s="1">
        <v>44751</v>
      </c>
      <c r="I1553" t="s">
        <v>28</v>
      </c>
      <c r="J1553" s="1" t="b">
        <f t="shared" si="168"/>
        <v>1</v>
      </c>
      <c r="K1553" s="1" t="b">
        <f t="shared" si="169"/>
        <v>0</v>
      </c>
      <c r="L1553" s="1" t="b">
        <f t="shared" si="170"/>
        <v>0</v>
      </c>
      <c r="M1553" s="1" t="b">
        <f t="shared" si="171"/>
        <v>0</v>
      </c>
      <c r="N1553" s="1" t="b">
        <f t="shared" si="172"/>
        <v>0</v>
      </c>
      <c r="O1553" s="1" t="b">
        <f t="shared" si="173"/>
        <v>0</v>
      </c>
      <c r="P1553" s="1" t="b">
        <f t="shared" si="174"/>
        <v>1</v>
      </c>
    </row>
    <row r="1554" spans="1:16" x14ac:dyDescent="0.2">
      <c r="A1554">
        <v>9554093</v>
      </c>
      <c r="B1554" t="s">
        <v>2857</v>
      </c>
      <c r="C1554" t="s">
        <v>315</v>
      </c>
      <c r="D1554" t="s">
        <v>56</v>
      </c>
      <c r="E1554" s="1">
        <v>44779</v>
      </c>
      <c r="F1554" t="s">
        <v>113</v>
      </c>
      <c r="G1554" s="1">
        <v>44789</v>
      </c>
      <c r="I1554" t="s">
        <v>13</v>
      </c>
      <c r="J1554" s="1" t="b">
        <f t="shared" si="168"/>
        <v>0</v>
      </c>
      <c r="K1554" s="1" t="b">
        <f t="shared" si="169"/>
        <v>1</v>
      </c>
      <c r="L1554" s="1" t="b">
        <f t="shared" si="170"/>
        <v>0</v>
      </c>
      <c r="M1554" s="1" t="b">
        <f t="shared" si="171"/>
        <v>0</v>
      </c>
      <c r="N1554" s="1" t="b">
        <f t="shared" si="172"/>
        <v>0</v>
      </c>
      <c r="O1554" s="1" t="b">
        <f t="shared" si="173"/>
        <v>0</v>
      </c>
      <c r="P1554" s="1" t="b">
        <f t="shared" si="174"/>
        <v>0</v>
      </c>
    </row>
    <row r="1555" spans="1:16" x14ac:dyDescent="0.2">
      <c r="A1555">
        <v>8919821</v>
      </c>
      <c r="B1555" t="s">
        <v>2858</v>
      </c>
      <c r="C1555" t="s">
        <v>282</v>
      </c>
      <c r="D1555" t="s">
        <v>81</v>
      </c>
      <c r="E1555" s="1">
        <v>44934</v>
      </c>
      <c r="F1555" t="s">
        <v>937</v>
      </c>
      <c r="G1555" s="1">
        <v>44945</v>
      </c>
      <c r="H1555" s="1">
        <v>44965</v>
      </c>
      <c r="I1555" t="s">
        <v>28</v>
      </c>
      <c r="J1555" s="1" t="b">
        <f t="shared" si="168"/>
        <v>1</v>
      </c>
      <c r="K1555" s="1" t="b">
        <f t="shared" si="169"/>
        <v>0</v>
      </c>
      <c r="L1555" s="1" t="b">
        <f t="shared" si="170"/>
        <v>0</v>
      </c>
      <c r="M1555" s="1" t="b">
        <f t="shared" si="171"/>
        <v>0</v>
      </c>
      <c r="N1555" s="1" t="b">
        <f t="shared" si="172"/>
        <v>0</v>
      </c>
      <c r="O1555" s="1" t="b">
        <f t="shared" si="173"/>
        <v>0</v>
      </c>
      <c r="P1555" s="1" t="b">
        <f t="shared" si="174"/>
        <v>1</v>
      </c>
    </row>
    <row r="1556" spans="1:16" x14ac:dyDescent="0.2">
      <c r="A1556">
        <v>2871139</v>
      </c>
      <c r="B1556" t="s">
        <v>2859</v>
      </c>
      <c r="C1556" t="s">
        <v>176</v>
      </c>
      <c r="D1556" t="s">
        <v>56</v>
      </c>
      <c r="E1556" s="1">
        <v>44932</v>
      </c>
      <c r="F1556" t="s">
        <v>2860</v>
      </c>
      <c r="G1556" s="1">
        <v>44956</v>
      </c>
      <c r="H1556" s="1">
        <v>45006</v>
      </c>
      <c r="I1556" t="s">
        <v>43</v>
      </c>
      <c r="J1556" s="1" t="b">
        <f t="shared" si="168"/>
        <v>1</v>
      </c>
      <c r="K1556" s="1" t="b">
        <f t="shared" si="169"/>
        <v>0</v>
      </c>
      <c r="L1556" s="1" t="b">
        <f t="shared" si="170"/>
        <v>0</v>
      </c>
      <c r="M1556" s="1" t="b">
        <f t="shared" si="171"/>
        <v>0</v>
      </c>
      <c r="N1556" s="1" t="b">
        <f t="shared" si="172"/>
        <v>0</v>
      </c>
      <c r="O1556" s="1" t="b">
        <f t="shared" si="173"/>
        <v>1</v>
      </c>
      <c r="P1556" s="1" t="b">
        <f t="shared" si="174"/>
        <v>0</v>
      </c>
    </row>
    <row r="1557" spans="1:16" x14ac:dyDescent="0.2">
      <c r="A1557">
        <v>2871139</v>
      </c>
      <c r="B1557" t="s">
        <v>2861</v>
      </c>
      <c r="C1557" t="s">
        <v>176</v>
      </c>
      <c r="D1557" t="s">
        <v>56</v>
      </c>
      <c r="E1557" s="1">
        <v>44844</v>
      </c>
      <c r="F1557" t="s">
        <v>2156</v>
      </c>
      <c r="G1557" s="1">
        <v>44851</v>
      </c>
      <c r="H1557" s="1">
        <v>44889</v>
      </c>
      <c r="I1557" t="s">
        <v>28</v>
      </c>
      <c r="J1557" s="1" t="b">
        <f t="shared" si="168"/>
        <v>1</v>
      </c>
      <c r="K1557" s="1" t="b">
        <f t="shared" si="169"/>
        <v>0</v>
      </c>
      <c r="L1557" s="1" t="b">
        <f t="shared" si="170"/>
        <v>0</v>
      </c>
      <c r="M1557" s="1" t="b">
        <f t="shared" si="171"/>
        <v>0</v>
      </c>
      <c r="N1557" s="1" t="b">
        <f t="shared" si="172"/>
        <v>0</v>
      </c>
      <c r="O1557" s="1" t="b">
        <f t="shared" si="173"/>
        <v>0</v>
      </c>
      <c r="P1557" s="1" t="b">
        <f t="shared" si="174"/>
        <v>1</v>
      </c>
    </row>
    <row r="1558" spans="1:16" x14ac:dyDescent="0.2">
      <c r="A1558">
        <v>2871139</v>
      </c>
      <c r="B1558" t="s">
        <v>2862</v>
      </c>
      <c r="C1558" t="s">
        <v>176</v>
      </c>
      <c r="D1558" t="s">
        <v>56</v>
      </c>
      <c r="E1558" s="1">
        <v>44685</v>
      </c>
      <c r="F1558" t="s">
        <v>146</v>
      </c>
      <c r="G1558" s="1">
        <v>44687</v>
      </c>
      <c r="H1558" s="1">
        <v>44725</v>
      </c>
      <c r="I1558" t="s">
        <v>16</v>
      </c>
      <c r="J1558" s="1" t="b">
        <f t="shared" si="168"/>
        <v>1</v>
      </c>
      <c r="K1558" s="1" t="b">
        <f t="shared" si="169"/>
        <v>0</v>
      </c>
      <c r="L1558" s="1" t="b">
        <f t="shared" si="170"/>
        <v>0</v>
      </c>
      <c r="M1558" s="1" t="b">
        <f t="shared" si="171"/>
        <v>0</v>
      </c>
      <c r="N1558" s="1" t="b">
        <f t="shared" si="172"/>
        <v>1</v>
      </c>
      <c r="O1558" s="1" t="b">
        <f t="shared" si="173"/>
        <v>0</v>
      </c>
      <c r="P1558" s="1" t="b">
        <f t="shared" si="174"/>
        <v>0</v>
      </c>
    </row>
    <row r="1559" spans="1:16" x14ac:dyDescent="0.2">
      <c r="A1559">
        <v>2871139</v>
      </c>
      <c r="B1559" t="s">
        <v>2863</v>
      </c>
      <c r="C1559" t="s">
        <v>176</v>
      </c>
      <c r="D1559" t="s">
        <v>56</v>
      </c>
      <c r="E1559" s="1">
        <v>45018</v>
      </c>
      <c r="F1559" t="s">
        <v>2864</v>
      </c>
      <c r="G1559" s="1">
        <v>45048</v>
      </c>
      <c r="H1559" s="1">
        <v>45055</v>
      </c>
      <c r="I1559" t="s">
        <v>43</v>
      </c>
      <c r="J1559" s="1" t="b">
        <f t="shared" si="168"/>
        <v>1</v>
      </c>
      <c r="K1559" s="1" t="b">
        <f t="shared" si="169"/>
        <v>0</v>
      </c>
      <c r="L1559" s="1" t="b">
        <f t="shared" si="170"/>
        <v>0</v>
      </c>
      <c r="M1559" s="1" t="b">
        <f t="shared" si="171"/>
        <v>0</v>
      </c>
      <c r="N1559" s="1" t="b">
        <f t="shared" si="172"/>
        <v>0</v>
      </c>
      <c r="O1559" s="1" t="b">
        <f t="shared" si="173"/>
        <v>1</v>
      </c>
      <c r="P1559" s="1" t="b">
        <f t="shared" si="174"/>
        <v>0</v>
      </c>
    </row>
    <row r="1560" spans="1:16" x14ac:dyDescent="0.2">
      <c r="A1560">
        <v>2871139</v>
      </c>
      <c r="B1560" t="s">
        <v>2865</v>
      </c>
      <c r="C1560" t="s">
        <v>176</v>
      </c>
      <c r="D1560" t="s">
        <v>56</v>
      </c>
      <c r="E1560" s="1">
        <v>44913</v>
      </c>
      <c r="F1560" t="s">
        <v>2866</v>
      </c>
      <c r="G1560" s="1">
        <v>44923</v>
      </c>
      <c r="I1560" t="s">
        <v>13</v>
      </c>
      <c r="J1560" s="1" t="b">
        <f t="shared" si="168"/>
        <v>0</v>
      </c>
      <c r="K1560" s="1" t="b">
        <f t="shared" si="169"/>
        <v>1</v>
      </c>
      <c r="L1560" s="1" t="b">
        <f t="shared" si="170"/>
        <v>0</v>
      </c>
      <c r="M1560" s="1" t="b">
        <f t="shared" si="171"/>
        <v>0</v>
      </c>
      <c r="N1560" s="1" t="b">
        <f t="shared" si="172"/>
        <v>0</v>
      </c>
      <c r="O1560" s="1" t="b">
        <f t="shared" si="173"/>
        <v>0</v>
      </c>
      <c r="P1560" s="1" t="b">
        <f t="shared" si="174"/>
        <v>0</v>
      </c>
    </row>
    <row r="1561" spans="1:16" x14ac:dyDescent="0.2">
      <c r="A1561">
        <v>8955730</v>
      </c>
      <c r="B1561" t="s">
        <v>2867</v>
      </c>
      <c r="C1561" t="s">
        <v>35</v>
      </c>
      <c r="D1561" t="s">
        <v>19</v>
      </c>
      <c r="E1561" s="1">
        <v>44990</v>
      </c>
      <c r="F1561" t="s">
        <v>185</v>
      </c>
      <c r="G1561" s="1">
        <v>45008</v>
      </c>
      <c r="H1561" s="1">
        <v>45054</v>
      </c>
      <c r="I1561" t="s">
        <v>16</v>
      </c>
      <c r="J1561" s="1" t="b">
        <f t="shared" si="168"/>
        <v>1</v>
      </c>
      <c r="K1561" s="1" t="b">
        <f t="shared" si="169"/>
        <v>0</v>
      </c>
      <c r="L1561" s="1" t="b">
        <f t="shared" si="170"/>
        <v>0</v>
      </c>
      <c r="M1561" s="1" t="b">
        <f t="shared" si="171"/>
        <v>0</v>
      </c>
      <c r="N1561" s="1" t="b">
        <f t="shared" si="172"/>
        <v>1</v>
      </c>
      <c r="O1561" s="1" t="b">
        <f t="shared" si="173"/>
        <v>0</v>
      </c>
      <c r="P1561" s="1" t="b">
        <f t="shared" si="174"/>
        <v>0</v>
      </c>
    </row>
    <row r="1562" spans="1:16" x14ac:dyDescent="0.2">
      <c r="A1562">
        <v>8955730</v>
      </c>
      <c r="B1562" t="s">
        <v>2868</v>
      </c>
      <c r="C1562" t="s">
        <v>35</v>
      </c>
      <c r="D1562" t="s">
        <v>19</v>
      </c>
      <c r="E1562" s="1">
        <v>44917</v>
      </c>
      <c r="F1562" t="s">
        <v>2869</v>
      </c>
      <c r="G1562" s="1">
        <v>44946</v>
      </c>
      <c r="I1562" t="s">
        <v>25</v>
      </c>
      <c r="J1562" s="1" t="b">
        <f t="shared" si="168"/>
        <v>0</v>
      </c>
      <c r="K1562" s="1" t="b">
        <f t="shared" si="169"/>
        <v>0</v>
      </c>
      <c r="L1562" s="1" t="b">
        <f t="shared" si="170"/>
        <v>1</v>
      </c>
      <c r="M1562" s="1" t="b">
        <f t="shared" si="171"/>
        <v>0</v>
      </c>
      <c r="N1562" s="1" t="b">
        <f t="shared" si="172"/>
        <v>0</v>
      </c>
      <c r="O1562" s="1" t="b">
        <f t="shared" si="173"/>
        <v>0</v>
      </c>
      <c r="P1562" s="1" t="b">
        <f t="shared" si="174"/>
        <v>0</v>
      </c>
    </row>
    <row r="1563" spans="1:16" x14ac:dyDescent="0.2">
      <c r="A1563">
        <v>8955730</v>
      </c>
      <c r="B1563" t="s">
        <v>2870</v>
      </c>
      <c r="C1563" t="s">
        <v>35</v>
      </c>
      <c r="D1563" t="s">
        <v>19</v>
      </c>
      <c r="E1563" s="1">
        <v>44631</v>
      </c>
      <c r="F1563" t="s">
        <v>1836</v>
      </c>
      <c r="G1563" s="1">
        <v>44647</v>
      </c>
      <c r="H1563" s="1">
        <v>44674</v>
      </c>
      <c r="I1563" t="s">
        <v>16</v>
      </c>
      <c r="J1563" s="1" t="b">
        <f t="shared" si="168"/>
        <v>1</v>
      </c>
      <c r="K1563" s="1" t="b">
        <f t="shared" si="169"/>
        <v>0</v>
      </c>
      <c r="L1563" s="1" t="b">
        <f t="shared" si="170"/>
        <v>0</v>
      </c>
      <c r="M1563" s="1" t="b">
        <f t="shared" si="171"/>
        <v>0</v>
      </c>
      <c r="N1563" s="1" t="b">
        <f t="shared" si="172"/>
        <v>1</v>
      </c>
      <c r="O1563" s="1" t="b">
        <f t="shared" si="173"/>
        <v>0</v>
      </c>
      <c r="P1563" s="1" t="b">
        <f t="shared" si="174"/>
        <v>0</v>
      </c>
    </row>
    <row r="1564" spans="1:16" x14ac:dyDescent="0.2">
      <c r="A1564">
        <v>8955730</v>
      </c>
      <c r="B1564" t="s">
        <v>2871</v>
      </c>
      <c r="C1564" t="s">
        <v>35</v>
      </c>
      <c r="D1564" t="s">
        <v>19</v>
      </c>
      <c r="E1564" s="1">
        <v>44842</v>
      </c>
      <c r="F1564" t="s">
        <v>2342</v>
      </c>
      <c r="G1564" s="1">
        <v>44865</v>
      </c>
      <c r="H1564" s="1">
        <v>44874</v>
      </c>
      <c r="I1564" t="s">
        <v>16</v>
      </c>
      <c r="J1564" s="1" t="b">
        <f t="shared" si="168"/>
        <v>1</v>
      </c>
      <c r="K1564" s="1" t="b">
        <f t="shared" si="169"/>
        <v>0</v>
      </c>
      <c r="L1564" s="1" t="b">
        <f t="shared" si="170"/>
        <v>0</v>
      </c>
      <c r="M1564" s="1" t="b">
        <f t="shared" si="171"/>
        <v>0</v>
      </c>
      <c r="N1564" s="1" t="b">
        <f t="shared" si="172"/>
        <v>1</v>
      </c>
      <c r="O1564" s="1" t="b">
        <f t="shared" si="173"/>
        <v>0</v>
      </c>
      <c r="P1564" s="1" t="b">
        <f t="shared" si="174"/>
        <v>0</v>
      </c>
    </row>
    <row r="1565" spans="1:16" x14ac:dyDescent="0.2">
      <c r="A1565">
        <v>8955730</v>
      </c>
      <c r="B1565" t="s">
        <v>2872</v>
      </c>
      <c r="C1565" t="s">
        <v>35</v>
      </c>
      <c r="D1565" t="s">
        <v>19</v>
      </c>
      <c r="E1565" s="1">
        <v>44756</v>
      </c>
      <c r="F1565" t="s">
        <v>2873</v>
      </c>
      <c r="G1565" s="1">
        <v>44780</v>
      </c>
      <c r="I1565" t="s">
        <v>25</v>
      </c>
      <c r="J1565" s="1" t="b">
        <f t="shared" si="168"/>
        <v>0</v>
      </c>
      <c r="K1565" s="1" t="b">
        <f t="shared" si="169"/>
        <v>0</v>
      </c>
      <c r="L1565" s="1" t="b">
        <f t="shared" si="170"/>
        <v>1</v>
      </c>
      <c r="M1565" s="1" t="b">
        <f t="shared" si="171"/>
        <v>0</v>
      </c>
      <c r="N1565" s="1" t="b">
        <f t="shared" si="172"/>
        <v>0</v>
      </c>
      <c r="O1565" s="1" t="b">
        <f t="shared" si="173"/>
        <v>0</v>
      </c>
      <c r="P1565" s="1" t="b">
        <f t="shared" si="174"/>
        <v>0</v>
      </c>
    </row>
    <row r="1566" spans="1:16" x14ac:dyDescent="0.2">
      <c r="A1566">
        <v>7668839</v>
      </c>
      <c r="B1566" t="s">
        <v>2874</v>
      </c>
      <c r="C1566" t="s">
        <v>363</v>
      </c>
      <c r="D1566" t="s">
        <v>139</v>
      </c>
      <c r="E1566" s="1">
        <v>45083</v>
      </c>
      <c r="F1566" t="s">
        <v>2875</v>
      </c>
      <c r="G1566" s="1">
        <v>45096</v>
      </c>
      <c r="H1566" s="1">
        <v>45132</v>
      </c>
      <c r="I1566" t="s">
        <v>43</v>
      </c>
      <c r="J1566" s="1" t="b">
        <f t="shared" si="168"/>
        <v>1</v>
      </c>
      <c r="K1566" s="1" t="b">
        <f t="shared" si="169"/>
        <v>0</v>
      </c>
      <c r="L1566" s="1" t="b">
        <f t="shared" si="170"/>
        <v>0</v>
      </c>
      <c r="M1566" s="1" t="b">
        <f t="shared" si="171"/>
        <v>0</v>
      </c>
      <c r="N1566" s="1" t="b">
        <f t="shared" si="172"/>
        <v>0</v>
      </c>
      <c r="O1566" s="1" t="b">
        <f t="shared" si="173"/>
        <v>1</v>
      </c>
      <c r="P1566" s="1" t="b">
        <f t="shared" si="174"/>
        <v>0</v>
      </c>
    </row>
    <row r="1567" spans="1:16" x14ac:dyDescent="0.2">
      <c r="A1567">
        <v>7668839</v>
      </c>
      <c r="B1567" t="s">
        <v>2876</v>
      </c>
      <c r="C1567" t="s">
        <v>363</v>
      </c>
      <c r="D1567" t="s">
        <v>139</v>
      </c>
      <c r="E1567" s="1">
        <v>44773</v>
      </c>
      <c r="F1567" t="s">
        <v>2877</v>
      </c>
      <c r="G1567" s="1">
        <v>44779</v>
      </c>
      <c r="H1567" s="1">
        <v>44780</v>
      </c>
      <c r="J1567" s="1" t="b">
        <f t="shared" si="168"/>
        <v>1</v>
      </c>
      <c r="K1567" s="1" t="b">
        <f t="shared" si="169"/>
        <v>0</v>
      </c>
      <c r="L1567" s="1" t="b">
        <f t="shared" si="170"/>
        <v>0</v>
      </c>
      <c r="M1567" s="1" t="b">
        <f t="shared" si="171"/>
        <v>0</v>
      </c>
      <c r="N1567" s="1" t="b">
        <f t="shared" si="172"/>
        <v>0</v>
      </c>
      <c r="O1567" s="1" t="b">
        <f t="shared" si="173"/>
        <v>0</v>
      </c>
      <c r="P1567" s="1" t="b">
        <f t="shared" si="174"/>
        <v>0</v>
      </c>
    </row>
    <row r="1568" spans="1:16" x14ac:dyDescent="0.2">
      <c r="A1568">
        <v>7668839</v>
      </c>
      <c r="B1568" t="s">
        <v>2878</v>
      </c>
      <c r="C1568" t="s">
        <v>363</v>
      </c>
      <c r="D1568" t="s">
        <v>139</v>
      </c>
      <c r="E1568" s="1">
        <v>44571</v>
      </c>
      <c r="F1568" t="s">
        <v>819</v>
      </c>
      <c r="G1568" s="1">
        <v>44600</v>
      </c>
      <c r="I1568" t="s">
        <v>13</v>
      </c>
      <c r="J1568" s="1" t="b">
        <f t="shared" si="168"/>
        <v>0</v>
      </c>
      <c r="K1568" s="1" t="b">
        <f t="shared" si="169"/>
        <v>1</v>
      </c>
      <c r="L1568" s="1" t="b">
        <f t="shared" si="170"/>
        <v>0</v>
      </c>
      <c r="M1568" s="1" t="b">
        <f t="shared" si="171"/>
        <v>0</v>
      </c>
      <c r="N1568" s="1" t="b">
        <f t="shared" si="172"/>
        <v>0</v>
      </c>
      <c r="O1568" s="1" t="b">
        <f t="shared" si="173"/>
        <v>0</v>
      </c>
      <c r="P1568" s="1" t="b">
        <f t="shared" si="174"/>
        <v>0</v>
      </c>
    </row>
    <row r="1569" spans="1:16" x14ac:dyDescent="0.2">
      <c r="A1569">
        <v>7668839</v>
      </c>
      <c r="B1569" t="s">
        <v>2879</v>
      </c>
      <c r="C1569" t="s">
        <v>363</v>
      </c>
      <c r="D1569" t="s">
        <v>139</v>
      </c>
      <c r="E1569" s="1">
        <v>45099</v>
      </c>
      <c r="F1569" t="s">
        <v>330</v>
      </c>
      <c r="G1569" s="1">
        <v>45108</v>
      </c>
      <c r="H1569" s="1">
        <v>45128</v>
      </c>
      <c r="J1569" s="1" t="b">
        <f t="shared" si="168"/>
        <v>1</v>
      </c>
      <c r="K1569" s="1" t="b">
        <f t="shared" si="169"/>
        <v>0</v>
      </c>
      <c r="L1569" s="1" t="b">
        <f t="shared" si="170"/>
        <v>0</v>
      </c>
      <c r="M1569" s="1" t="b">
        <f t="shared" si="171"/>
        <v>0</v>
      </c>
      <c r="N1569" s="1" t="b">
        <f t="shared" si="172"/>
        <v>0</v>
      </c>
      <c r="O1569" s="1" t="b">
        <f t="shared" si="173"/>
        <v>0</v>
      </c>
      <c r="P1569" s="1" t="b">
        <f t="shared" si="174"/>
        <v>0</v>
      </c>
    </row>
    <row r="1570" spans="1:16" x14ac:dyDescent="0.2">
      <c r="A1570">
        <v>7668839</v>
      </c>
      <c r="B1570" t="s">
        <v>2880</v>
      </c>
      <c r="C1570" t="s">
        <v>363</v>
      </c>
      <c r="D1570" t="s">
        <v>139</v>
      </c>
      <c r="E1570" s="1">
        <v>44683</v>
      </c>
      <c r="F1570" t="s">
        <v>1018</v>
      </c>
      <c r="G1570" s="1">
        <v>44689</v>
      </c>
      <c r="H1570" s="1">
        <v>44704</v>
      </c>
      <c r="I1570" t="s">
        <v>28</v>
      </c>
      <c r="J1570" s="1" t="b">
        <f t="shared" si="168"/>
        <v>1</v>
      </c>
      <c r="K1570" s="1" t="b">
        <f t="shared" si="169"/>
        <v>0</v>
      </c>
      <c r="L1570" s="1" t="b">
        <f t="shared" si="170"/>
        <v>0</v>
      </c>
      <c r="M1570" s="1" t="b">
        <f t="shared" si="171"/>
        <v>0</v>
      </c>
      <c r="N1570" s="1" t="b">
        <f t="shared" si="172"/>
        <v>0</v>
      </c>
      <c r="O1570" s="1" t="b">
        <f t="shared" si="173"/>
        <v>0</v>
      </c>
      <c r="P1570" s="1" t="b">
        <f t="shared" si="174"/>
        <v>1</v>
      </c>
    </row>
    <row r="1571" spans="1:16" x14ac:dyDescent="0.2">
      <c r="A1571">
        <v>1765250</v>
      </c>
      <c r="B1571" t="s">
        <v>2881</v>
      </c>
      <c r="C1571" t="s">
        <v>18</v>
      </c>
      <c r="D1571" t="s">
        <v>19</v>
      </c>
      <c r="E1571" s="1">
        <v>44917</v>
      </c>
      <c r="F1571" t="s">
        <v>2882</v>
      </c>
      <c r="G1571" s="1">
        <v>44938</v>
      </c>
      <c r="I1571" t="s">
        <v>13</v>
      </c>
      <c r="J1571" s="1" t="b">
        <f t="shared" si="168"/>
        <v>0</v>
      </c>
      <c r="K1571" s="1" t="b">
        <f t="shared" si="169"/>
        <v>1</v>
      </c>
      <c r="L1571" s="1" t="b">
        <f t="shared" si="170"/>
        <v>0</v>
      </c>
      <c r="M1571" s="1" t="b">
        <f t="shared" si="171"/>
        <v>0</v>
      </c>
      <c r="N1571" s="1" t="b">
        <f t="shared" si="172"/>
        <v>0</v>
      </c>
      <c r="O1571" s="1" t="b">
        <f t="shared" si="173"/>
        <v>0</v>
      </c>
      <c r="P1571" s="1" t="b">
        <f t="shared" si="174"/>
        <v>0</v>
      </c>
    </row>
    <row r="1572" spans="1:16" x14ac:dyDescent="0.2">
      <c r="A1572">
        <v>1765250</v>
      </c>
      <c r="B1572" t="s">
        <v>2883</v>
      </c>
      <c r="C1572" t="s">
        <v>18</v>
      </c>
      <c r="D1572" t="s">
        <v>19</v>
      </c>
      <c r="E1572" s="1">
        <v>44698</v>
      </c>
      <c r="F1572" t="s">
        <v>2884</v>
      </c>
      <c r="G1572" s="1">
        <v>44707</v>
      </c>
      <c r="I1572" t="s">
        <v>13</v>
      </c>
      <c r="J1572" s="1" t="b">
        <f t="shared" si="168"/>
        <v>0</v>
      </c>
      <c r="K1572" s="1" t="b">
        <f t="shared" si="169"/>
        <v>1</v>
      </c>
      <c r="L1572" s="1" t="b">
        <f t="shared" si="170"/>
        <v>0</v>
      </c>
      <c r="M1572" s="1" t="b">
        <f t="shared" si="171"/>
        <v>0</v>
      </c>
      <c r="N1572" s="1" t="b">
        <f t="shared" si="172"/>
        <v>0</v>
      </c>
      <c r="O1572" s="1" t="b">
        <f t="shared" si="173"/>
        <v>0</v>
      </c>
      <c r="P1572" s="1" t="b">
        <f t="shared" si="174"/>
        <v>0</v>
      </c>
    </row>
    <row r="1573" spans="1:16" x14ac:dyDescent="0.2">
      <c r="A1573">
        <v>1765250</v>
      </c>
      <c r="B1573" t="s">
        <v>2885</v>
      </c>
      <c r="C1573" t="s">
        <v>18</v>
      </c>
      <c r="D1573" t="s">
        <v>19</v>
      </c>
      <c r="E1573" s="1">
        <v>44777</v>
      </c>
      <c r="F1573" t="s">
        <v>2886</v>
      </c>
      <c r="G1573" s="1">
        <v>44795</v>
      </c>
      <c r="H1573" s="1">
        <v>44803</v>
      </c>
      <c r="I1573" t="s">
        <v>16</v>
      </c>
      <c r="J1573" s="1" t="b">
        <f t="shared" si="168"/>
        <v>1</v>
      </c>
      <c r="K1573" s="1" t="b">
        <f t="shared" si="169"/>
        <v>0</v>
      </c>
      <c r="L1573" s="1" t="b">
        <f t="shared" si="170"/>
        <v>0</v>
      </c>
      <c r="M1573" s="1" t="b">
        <f t="shared" si="171"/>
        <v>0</v>
      </c>
      <c r="N1573" s="1" t="b">
        <f t="shared" si="172"/>
        <v>1</v>
      </c>
      <c r="O1573" s="1" t="b">
        <f t="shared" si="173"/>
        <v>0</v>
      </c>
      <c r="P1573" s="1" t="b">
        <f t="shared" si="174"/>
        <v>0</v>
      </c>
    </row>
    <row r="1574" spans="1:16" x14ac:dyDescent="0.2">
      <c r="A1574">
        <v>7192640</v>
      </c>
      <c r="B1574" t="s">
        <v>2887</v>
      </c>
      <c r="C1574" t="s">
        <v>720</v>
      </c>
      <c r="D1574" t="s">
        <v>122</v>
      </c>
      <c r="E1574" s="1">
        <v>44863</v>
      </c>
      <c r="F1574" t="s">
        <v>2888</v>
      </c>
      <c r="G1574" s="1">
        <v>44874</v>
      </c>
      <c r="I1574" t="s">
        <v>13</v>
      </c>
      <c r="J1574" s="1" t="b">
        <f t="shared" si="168"/>
        <v>0</v>
      </c>
      <c r="K1574" s="1" t="b">
        <f t="shared" si="169"/>
        <v>1</v>
      </c>
      <c r="L1574" s="1" t="b">
        <f t="shared" si="170"/>
        <v>0</v>
      </c>
      <c r="M1574" s="1" t="b">
        <f t="shared" si="171"/>
        <v>0</v>
      </c>
      <c r="N1574" s="1" t="b">
        <f t="shared" si="172"/>
        <v>0</v>
      </c>
      <c r="O1574" s="1" t="b">
        <f t="shared" si="173"/>
        <v>0</v>
      </c>
      <c r="P1574" s="1" t="b">
        <f t="shared" si="174"/>
        <v>0</v>
      </c>
    </row>
    <row r="1575" spans="1:16" x14ac:dyDescent="0.2">
      <c r="A1575">
        <v>7192640</v>
      </c>
      <c r="B1575" t="s">
        <v>2889</v>
      </c>
      <c r="C1575" t="s">
        <v>720</v>
      </c>
      <c r="D1575" t="s">
        <v>122</v>
      </c>
      <c r="E1575" s="1">
        <v>44786</v>
      </c>
      <c r="F1575" t="s">
        <v>2566</v>
      </c>
      <c r="G1575" s="1">
        <v>44810</v>
      </c>
      <c r="H1575" s="1">
        <v>44828</v>
      </c>
      <c r="I1575" t="s">
        <v>16</v>
      </c>
      <c r="J1575" s="1" t="b">
        <f t="shared" si="168"/>
        <v>1</v>
      </c>
      <c r="K1575" s="1" t="b">
        <f t="shared" si="169"/>
        <v>0</v>
      </c>
      <c r="L1575" s="1" t="b">
        <f t="shared" si="170"/>
        <v>0</v>
      </c>
      <c r="M1575" s="1" t="b">
        <f t="shared" si="171"/>
        <v>0</v>
      </c>
      <c r="N1575" s="1" t="b">
        <f t="shared" si="172"/>
        <v>1</v>
      </c>
      <c r="O1575" s="1" t="b">
        <f t="shared" si="173"/>
        <v>0</v>
      </c>
      <c r="P1575" s="1" t="b">
        <f t="shared" si="174"/>
        <v>0</v>
      </c>
    </row>
    <row r="1576" spans="1:16" x14ac:dyDescent="0.2">
      <c r="A1576">
        <v>7192640</v>
      </c>
      <c r="B1576" t="s">
        <v>2890</v>
      </c>
      <c r="C1576" t="s">
        <v>720</v>
      </c>
      <c r="D1576" t="s">
        <v>122</v>
      </c>
      <c r="E1576" s="1">
        <v>44670</v>
      </c>
      <c r="F1576" t="s">
        <v>2152</v>
      </c>
      <c r="G1576" s="1">
        <v>44694</v>
      </c>
      <c r="I1576" t="s">
        <v>13</v>
      </c>
      <c r="J1576" s="1" t="b">
        <f t="shared" si="168"/>
        <v>0</v>
      </c>
      <c r="K1576" s="1" t="b">
        <f t="shared" si="169"/>
        <v>1</v>
      </c>
      <c r="L1576" s="1" t="b">
        <f t="shared" si="170"/>
        <v>0</v>
      </c>
      <c r="M1576" s="1" t="b">
        <f t="shared" si="171"/>
        <v>0</v>
      </c>
      <c r="N1576" s="1" t="b">
        <f t="shared" si="172"/>
        <v>0</v>
      </c>
      <c r="O1576" s="1" t="b">
        <f t="shared" si="173"/>
        <v>0</v>
      </c>
      <c r="P1576" s="1" t="b">
        <f t="shared" si="174"/>
        <v>0</v>
      </c>
    </row>
    <row r="1577" spans="1:16" x14ac:dyDescent="0.2">
      <c r="A1577">
        <v>7192640</v>
      </c>
      <c r="B1577" t="s">
        <v>2891</v>
      </c>
      <c r="C1577" t="s">
        <v>720</v>
      </c>
      <c r="D1577" t="s">
        <v>122</v>
      </c>
      <c r="E1577" s="1">
        <v>44825</v>
      </c>
      <c r="F1577" t="s">
        <v>2892</v>
      </c>
      <c r="G1577" s="1">
        <v>44853</v>
      </c>
      <c r="H1577" s="1">
        <v>44894</v>
      </c>
      <c r="J1577" s="1" t="b">
        <f t="shared" si="168"/>
        <v>1</v>
      </c>
      <c r="K1577" s="1" t="b">
        <f t="shared" si="169"/>
        <v>0</v>
      </c>
      <c r="L1577" s="1" t="b">
        <f t="shared" si="170"/>
        <v>0</v>
      </c>
      <c r="M1577" s="1" t="b">
        <f t="shared" si="171"/>
        <v>0</v>
      </c>
      <c r="N1577" s="1" t="b">
        <f t="shared" si="172"/>
        <v>0</v>
      </c>
      <c r="O1577" s="1" t="b">
        <f t="shared" si="173"/>
        <v>0</v>
      </c>
      <c r="P1577" s="1" t="b">
        <f t="shared" si="174"/>
        <v>0</v>
      </c>
    </row>
    <row r="1578" spans="1:16" x14ac:dyDescent="0.2">
      <c r="A1578">
        <v>7192640</v>
      </c>
      <c r="B1578" t="s">
        <v>2893</v>
      </c>
      <c r="C1578" t="s">
        <v>720</v>
      </c>
      <c r="D1578" t="s">
        <v>122</v>
      </c>
      <c r="E1578" s="1">
        <v>44787</v>
      </c>
      <c r="F1578" t="s">
        <v>2894</v>
      </c>
      <c r="G1578" s="1">
        <v>44798</v>
      </c>
      <c r="H1578" s="1">
        <v>44816</v>
      </c>
      <c r="I1578" t="s">
        <v>43</v>
      </c>
      <c r="J1578" s="1" t="b">
        <f t="shared" si="168"/>
        <v>1</v>
      </c>
      <c r="K1578" s="1" t="b">
        <f t="shared" si="169"/>
        <v>0</v>
      </c>
      <c r="L1578" s="1" t="b">
        <f t="shared" si="170"/>
        <v>0</v>
      </c>
      <c r="M1578" s="1" t="b">
        <f t="shared" si="171"/>
        <v>0</v>
      </c>
      <c r="N1578" s="1" t="b">
        <f t="shared" si="172"/>
        <v>0</v>
      </c>
      <c r="O1578" s="1" t="b">
        <f t="shared" si="173"/>
        <v>1</v>
      </c>
      <c r="P1578" s="1" t="b">
        <f t="shared" si="174"/>
        <v>0</v>
      </c>
    </row>
    <row r="1579" spans="1:16" x14ac:dyDescent="0.2">
      <c r="A1579">
        <v>4421186</v>
      </c>
      <c r="B1579" t="s">
        <v>2895</v>
      </c>
      <c r="C1579" t="s">
        <v>32</v>
      </c>
      <c r="D1579" t="s">
        <v>60</v>
      </c>
      <c r="E1579" s="1">
        <v>45052</v>
      </c>
      <c r="F1579" t="s">
        <v>2896</v>
      </c>
      <c r="G1579" s="1">
        <v>45055</v>
      </c>
      <c r="H1579" s="1">
        <v>45087</v>
      </c>
      <c r="J1579" s="1" t="b">
        <f t="shared" si="168"/>
        <v>1</v>
      </c>
      <c r="K1579" s="1" t="b">
        <f t="shared" si="169"/>
        <v>0</v>
      </c>
      <c r="L1579" s="1" t="b">
        <f t="shared" si="170"/>
        <v>0</v>
      </c>
      <c r="M1579" s="1" t="b">
        <f t="shared" si="171"/>
        <v>0</v>
      </c>
      <c r="N1579" s="1" t="b">
        <f t="shared" si="172"/>
        <v>0</v>
      </c>
      <c r="O1579" s="1" t="b">
        <f t="shared" si="173"/>
        <v>0</v>
      </c>
      <c r="P1579" s="1" t="b">
        <f t="shared" si="174"/>
        <v>0</v>
      </c>
    </row>
    <row r="1580" spans="1:16" x14ac:dyDescent="0.2">
      <c r="A1580">
        <v>4421186</v>
      </c>
      <c r="B1580" t="s">
        <v>2897</v>
      </c>
      <c r="C1580" t="s">
        <v>32</v>
      </c>
      <c r="D1580" t="s">
        <v>60</v>
      </c>
      <c r="E1580" s="1">
        <v>44742</v>
      </c>
      <c r="F1580" t="s">
        <v>2898</v>
      </c>
      <c r="G1580" s="1">
        <v>44749</v>
      </c>
      <c r="I1580" t="s">
        <v>13</v>
      </c>
      <c r="J1580" s="1" t="b">
        <f t="shared" si="168"/>
        <v>0</v>
      </c>
      <c r="K1580" s="1" t="b">
        <f t="shared" si="169"/>
        <v>1</v>
      </c>
      <c r="L1580" s="1" t="b">
        <f t="shared" si="170"/>
        <v>0</v>
      </c>
      <c r="M1580" s="1" t="b">
        <f t="shared" si="171"/>
        <v>0</v>
      </c>
      <c r="N1580" s="1" t="b">
        <f t="shared" si="172"/>
        <v>0</v>
      </c>
      <c r="O1580" s="1" t="b">
        <f t="shared" si="173"/>
        <v>0</v>
      </c>
      <c r="P1580" s="1" t="b">
        <f t="shared" si="174"/>
        <v>0</v>
      </c>
    </row>
    <row r="1581" spans="1:16" x14ac:dyDescent="0.2">
      <c r="A1581">
        <v>9229532</v>
      </c>
      <c r="B1581" t="s">
        <v>2899</v>
      </c>
      <c r="C1581" t="s">
        <v>138</v>
      </c>
      <c r="D1581" t="s">
        <v>187</v>
      </c>
      <c r="E1581" s="1">
        <v>44974</v>
      </c>
      <c r="F1581" t="s">
        <v>2900</v>
      </c>
      <c r="G1581" s="1">
        <v>44978</v>
      </c>
      <c r="I1581" t="s">
        <v>13</v>
      </c>
      <c r="J1581" s="1" t="b">
        <f t="shared" si="168"/>
        <v>0</v>
      </c>
      <c r="K1581" s="1" t="b">
        <f t="shared" si="169"/>
        <v>1</v>
      </c>
      <c r="L1581" s="1" t="b">
        <f t="shared" si="170"/>
        <v>0</v>
      </c>
      <c r="M1581" s="1" t="b">
        <f t="shared" si="171"/>
        <v>0</v>
      </c>
      <c r="N1581" s="1" t="b">
        <f t="shared" si="172"/>
        <v>0</v>
      </c>
      <c r="O1581" s="1" t="b">
        <f t="shared" si="173"/>
        <v>0</v>
      </c>
      <c r="P1581" s="1" t="b">
        <f t="shared" si="174"/>
        <v>0</v>
      </c>
    </row>
    <row r="1582" spans="1:16" x14ac:dyDescent="0.2">
      <c r="A1582">
        <v>9229532</v>
      </c>
      <c r="B1582" t="s">
        <v>2901</v>
      </c>
      <c r="C1582" t="s">
        <v>138</v>
      </c>
      <c r="D1582" t="s">
        <v>187</v>
      </c>
      <c r="E1582" s="1">
        <v>44965</v>
      </c>
      <c r="F1582" t="s">
        <v>2898</v>
      </c>
      <c r="G1582" s="1">
        <v>44987</v>
      </c>
      <c r="I1582" t="s">
        <v>13</v>
      </c>
      <c r="J1582" s="1" t="b">
        <f t="shared" si="168"/>
        <v>0</v>
      </c>
      <c r="K1582" s="1" t="b">
        <f t="shared" si="169"/>
        <v>1</v>
      </c>
      <c r="L1582" s="1" t="b">
        <f t="shared" si="170"/>
        <v>0</v>
      </c>
      <c r="M1582" s="1" t="b">
        <f t="shared" si="171"/>
        <v>0</v>
      </c>
      <c r="N1582" s="1" t="b">
        <f t="shared" si="172"/>
        <v>0</v>
      </c>
      <c r="O1582" s="1" t="b">
        <f t="shared" si="173"/>
        <v>0</v>
      </c>
      <c r="P1582" s="1" t="b">
        <f t="shared" si="174"/>
        <v>0</v>
      </c>
    </row>
    <row r="1583" spans="1:16" x14ac:dyDescent="0.2">
      <c r="A1583">
        <v>9229532</v>
      </c>
      <c r="B1583" t="s">
        <v>2902</v>
      </c>
      <c r="C1583" t="s">
        <v>138</v>
      </c>
      <c r="D1583" t="s">
        <v>187</v>
      </c>
      <c r="E1583" s="1">
        <v>44998</v>
      </c>
      <c r="F1583" t="s">
        <v>2903</v>
      </c>
      <c r="G1583" s="1">
        <v>45006</v>
      </c>
      <c r="H1583" s="1">
        <v>45036</v>
      </c>
      <c r="I1583" t="s">
        <v>16</v>
      </c>
      <c r="J1583" s="1" t="b">
        <f t="shared" si="168"/>
        <v>1</v>
      </c>
      <c r="K1583" s="1" t="b">
        <f t="shared" si="169"/>
        <v>0</v>
      </c>
      <c r="L1583" s="1" t="b">
        <f t="shared" si="170"/>
        <v>0</v>
      </c>
      <c r="M1583" s="1" t="b">
        <f t="shared" si="171"/>
        <v>0</v>
      </c>
      <c r="N1583" s="1" t="b">
        <f t="shared" si="172"/>
        <v>1</v>
      </c>
      <c r="O1583" s="1" t="b">
        <f t="shared" si="173"/>
        <v>0</v>
      </c>
      <c r="P1583" s="1" t="b">
        <f t="shared" si="174"/>
        <v>0</v>
      </c>
    </row>
    <row r="1584" spans="1:16" x14ac:dyDescent="0.2">
      <c r="A1584">
        <v>9837877</v>
      </c>
      <c r="B1584" t="s">
        <v>2904</v>
      </c>
      <c r="C1584" t="s">
        <v>71</v>
      </c>
      <c r="D1584" t="s">
        <v>56</v>
      </c>
      <c r="E1584" s="1">
        <v>44729</v>
      </c>
      <c r="F1584" t="s">
        <v>2905</v>
      </c>
      <c r="G1584" s="1">
        <v>44739</v>
      </c>
      <c r="I1584" t="s">
        <v>13</v>
      </c>
      <c r="J1584" s="1" t="b">
        <f t="shared" si="168"/>
        <v>0</v>
      </c>
      <c r="K1584" s="1" t="b">
        <f t="shared" si="169"/>
        <v>1</v>
      </c>
      <c r="L1584" s="1" t="b">
        <f t="shared" si="170"/>
        <v>0</v>
      </c>
      <c r="M1584" s="1" t="b">
        <f t="shared" si="171"/>
        <v>0</v>
      </c>
      <c r="N1584" s="1" t="b">
        <f t="shared" si="172"/>
        <v>0</v>
      </c>
      <c r="O1584" s="1" t="b">
        <f t="shared" si="173"/>
        <v>0</v>
      </c>
      <c r="P1584" s="1" t="b">
        <f t="shared" si="174"/>
        <v>0</v>
      </c>
    </row>
    <row r="1585" spans="1:16" x14ac:dyDescent="0.2">
      <c r="A1585">
        <v>9837877</v>
      </c>
      <c r="B1585" t="s">
        <v>2906</v>
      </c>
      <c r="C1585" t="s">
        <v>71</v>
      </c>
      <c r="D1585" t="s">
        <v>56</v>
      </c>
      <c r="E1585" s="1">
        <v>44575</v>
      </c>
      <c r="F1585" t="s">
        <v>2907</v>
      </c>
      <c r="G1585" s="1">
        <v>44600</v>
      </c>
      <c r="I1585" t="s">
        <v>25</v>
      </c>
      <c r="J1585" s="1" t="b">
        <f t="shared" si="168"/>
        <v>0</v>
      </c>
      <c r="K1585" s="1" t="b">
        <f t="shared" si="169"/>
        <v>0</v>
      </c>
      <c r="L1585" s="1" t="b">
        <f t="shared" si="170"/>
        <v>1</v>
      </c>
      <c r="M1585" s="1" t="b">
        <f t="shared" si="171"/>
        <v>0</v>
      </c>
      <c r="N1585" s="1" t="b">
        <f t="shared" si="172"/>
        <v>0</v>
      </c>
      <c r="O1585" s="1" t="b">
        <f t="shared" si="173"/>
        <v>0</v>
      </c>
      <c r="P1585" s="1" t="b">
        <f t="shared" si="174"/>
        <v>0</v>
      </c>
    </row>
    <row r="1586" spans="1:16" x14ac:dyDescent="0.2">
      <c r="A1586">
        <v>9837877</v>
      </c>
      <c r="B1586" t="s">
        <v>2908</v>
      </c>
      <c r="C1586" t="s">
        <v>71</v>
      </c>
      <c r="D1586" t="s">
        <v>56</v>
      </c>
      <c r="E1586" s="1">
        <v>44647</v>
      </c>
      <c r="F1586" t="s">
        <v>2909</v>
      </c>
      <c r="G1586" s="1">
        <v>44656</v>
      </c>
      <c r="H1586" s="1">
        <v>44666</v>
      </c>
      <c r="I1586" t="s">
        <v>16</v>
      </c>
      <c r="J1586" s="1" t="b">
        <f t="shared" si="168"/>
        <v>1</v>
      </c>
      <c r="K1586" s="1" t="b">
        <f t="shared" si="169"/>
        <v>0</v>
      </c>
      <c r="L1586" s="1" t="b">
        <f t="shared" si="170"/>
        <v>0</v>
      </c>
      <c r="M1586" s="1" t="b">
        <f t="shared" si="171"/>
        <v>0</v>
      </c>
      <c r="N1586" s="1" t="b">
        <f t="shared" si="172"/>
        <v>1</v>
      </c>
      <c r="O1586" s="1" t="b">
        <f t="shared" si="173"/>
        <v>0</v>
      </c>
      <c r="P1586" s="1" t="b">
        <f t="shared" si="174"/>
        <v>0</v>
      </c>
    </row>
    <row r="1587" spans="1:16" x14ac:dyDescent="0.2">
      <c r="A1587">
        <v>9837877</v>
      </c>
      <c r="B1587" t="s">
        <v>2910</v>
      </c>
      <c r="C1587" t="s">
        <v>71</v>
      </c>
      <c r="D1587" t="s">
        <v>56</v>
      </c>
      <c r="E1587" s="1">
        <v>44670</v>
      </c>
      <c r="F1587" t="s">
        <v>2911</v>
      </c>
      <c r="G1587" s="1">
        <v>44688</v>
      </c>
      <c r="H1587" s="1">
        <v>44736</v>
      </c>
      <c r="I1587" t="s">
        <v>16</v>
      </c>
      <c r="J1587" s="1" t="b">
        <f t="shared" si="168"/>
        <v>1</v>
      </c>
      <c r="K1587" s="1" t="b">
        <f t="shared" si="169"/>
        <v>0</v>
      </c>
      <c r="L1587" s="1" t="b">
        <f t="shared" si="170"/>
        <v>0</v>
      </c>
      <c r="M1587" s="1" t="b">
        <f t="shared" si="171"/>
        <v>0</v>
      </c>
      <c r="N1587" s="1" t="b">
        <f t="shared" si="172"/>
        <v>1</v>
      </c>
      <c r="O1587" s="1" t="b">
        <f t="shared" si="173"/>
        <v>0</v>
      </c>
      <c r="P1587" s="1" t="b">
        <f t="shared" si="174"/>
        <v>0</v>
      </c>
    </row>
    <row r="1588" spans="1:16" x14ac:dyDescent="0.2">
      <c r="A1588">
        <v>9837877</v>
      </c>
      <c r="B1588" t="s">
        <v>2912</v>
      </c>
      <c r="C1588" t="s">
        <v>71</v>
      </c>
      <c r="D1588" t="s">
        <v>56</v>
      </c>
      <c r="E1588" s="1">
        <v>45053</v>
      </c>
      <c r="F1588" t="s">
        <v>2913</v>
      </c>
      <c r="G1588" s="1">
        <v>45078</v>
      </c>
      <c r="H1588" s="1">
        <v>45115</v>
      </c>
      <c r="I1588" t="s">
        <v>16</v>
      </c>
      <c r="J1588" s="1" t="b">
        <f t="shared" si="168"/>
        <v>1</v>
      </c>
      <c r="K1588" s="1" t="b">
        <f t="shared" si="169"/>
        <v>0</v>
      </c>
      <c r="L1588" s="1" t="b">
        <f t="shared" si="170"/>
        <v>0</v>
      </c>
      <c r="M1588" s="1" t="b">
        <f t="shared" si="171"/>
        <v>0</v>
      </c>
      <c r="N1588" s="1" t="b">
        <f t="shared" si="172"/>
        <v>1</v>
      </c>
      <c r="O1588" s="1" t="b">
        <f t="shared" si="173"/>
        <v>0</v>
      </c>
      <c r="P1588" s="1" t="b">
        <f t="shared" si="174"/>
        <v>0</v>
      </c>
    </row>
    <row r="1589" spans="1:16" x14ac:dyDescent="0.2">
      <c r="A1589">
        <v>6565947</v>
      </c>
      <c r="B1589" t="s">
        <v>2914</v>
      </c>
      <c r="C1589" t="s">
        <v>363</v>
      </c>
      <c r="D1589" t="s">
        <v>187</v>
      </c>
      <c r="E1589" s="1">
        <v>45085</v>
      </c>
      <c r="F1589" t="s">
        <v>1185</v>
      </c>
      <c r="G1589" s="1">
        <v>45114</v>
      </c>
      <c r="I1589" t="s">
        <v>13</v>
      </c>
      <c r="J1589" s="1" t="b">
        <f t="shared" si="168"/>
        <v>0</v>
      </c>
      <c r="K1589" s="1" t="b">
        <f t="shared" si="169"/>
        <v>1</v>
      </c>
      <c r="L1589" s="1" t="b">
        <f t="shared" si="170"/>
        <v>0</v>
      </c>
      <c r="M1589" s="1" t="b">
        <f t="shared" si="171"/>
        <v>0</v>
      </c>
      <c r="N1589" s="1" t="b">
        <f t="shared" si="172"/>
        <v>0</v>
      </c>
      <c r="O1589" s="1" t="b">
        <f t="shared" si="173"/>
        <v>0</v>
      </c>
      <c r="P1589" s="1" t="b">
        <f t="shared" si="174"/>
        <v>0</v>
      </c>
    </row>
    <row r="1590" spans="1:16" x14ac:dyDescent="0.2">
      <c r="A1590">
        <v>6565947</v>
      </c>
      <c r="B1590" t="s">
        <v>2915</v>
      </c>
      <c r="C1590" t="s">
        <v>363</v>
      </c>
      <c r="D1590" t="s">
        <v>187</v>
      </c>
      <c r="E1590" s="1">
        <v>44607</v>
      </c>
      <c r="F1590" t="s">
        <v>2916</v>
      </c>
      <c r="G1590" s="1">
        <v>44611</v>
      </c>
      <c r="H1590" s="1">
        <v>44646</v>
      </c>
      <c r="I1590" t="s">
        <v>16</v>
      </c>
      <c r="J1590" s="1" t="b">
        <f t="shared" si="168"/>
        <v>1</v>
      </c>
      <c r="K1590" s="1" t="b">
        <f t="shared" si="169"/>
        <v>0</v>
      </c>
      <c r="L1590" s="1" t="b">
        <f t="shared" si="170"/>
        <v>0</v>
      </c>
      <c r="M1590" s="1" t="b">
        <f t="shared" si="171"/>
        <v>0</v>
      </c>
      <c r="N1590" s="1" t="b">
        <f t="shared" si="172"/>
        <v>1</v>
      </c>
      <c r="O1590" s="1" t="b">
        <f t="shared" si="173"/>
        <v>0</v>
      </c>
      <c r="P1590" s="1" t="b">
        <f t="shared" si="174"/>
        <v>0</v>
      </c>
    </row>
    <row r="1591" spans="1:16" x14ac:dyDescent="0.2">
      <c r="A1591">
        <v>7967320</v>
      </c>
      <c r="B1591" t="s">
        <v>2917</v>
      </c>
      <c r="C1591" t="s">
        <v>71</v>
      </c>
      <c r="D1591" t="s">
        <v>56</v>
      </c>
      <c r="E1591" s="1">
        <v>44955</v>
      </c>
      <c r="F1591" t="s">
        <v>2452</v>
      </c>
      <c r="G1591" s="1">
        <v>44977</v>
      </c>
      <c r="I1591" t="s">
        <v>13</v>
      </c>
      <c r="J1591" s="1" t="b">
        <f t="shared" si="168"/>
        <v>0</v>
      </c>
      <c r="K1591" s="1" t="b">
        <f t="shared" si="169"/>
        <v>1</v>
      </c>
      <c r="L1591" s="1" t="b">
        <f t="shared" si="170"/>
        <v>0</v>
      </c>
      <c r="M1591" s="1" t="b">
        <f t="shared" si="171"/>
        <v>0</v>
      </c>
      <c r="N1591" s="1" t="b">
        <f t="shared" si="172"/>
        <v>0</v>
      </c>
      <c r="O1591" s="1" t="b">
        <f t="shared" si="173"/>
        <v>0</v>
      </c>
      <c r="P1591" s="1" t="b">
        <f t="shared" si="174"/>
        <v>0</v>
      </c>
    </row>
    <row r="1592" spans="1:16" x14ac:dyDescent="0.2">
      <c r="A1592">
        <v>7967320</v>
      </c>
      <c r="B1592" t="s">
        <v>2918</v>
      </c>
      <c r="C1592" t="s">
        <v>71</v>
      </c>
      <c r="D1592" t="s">
        <v>56</v>
      </c>
      <c r="E1592" s="1">
        <v>44855</v>
      </c>
      <c r="F1592" t="s">
        <v>2919</v>
      </c>
      <c r="G1592" s="1">
        <v>44863</v>
      </c>
      <c r="H1592" s="1">
        <v>44922</v>
      </c>
      <c r="I1592" t="s">
        <v>43</v>
      </c>
      <c r="J1592" s="1" t="b">
        <f t="shared" si="168"/>
        <v>1</v>
      </c>
      <c r="K1592" s="1" t="b">
        <f t="shared" si="169"/>
        <v>0</v>
      </c>
      <c r="L1592" s="1" t="b">
        <f t="shared" si="170"/>
        <v>0</v>
      </c>
      <c r="M1592" s="1" t="b">
        <f t="shared" si="171"/>
        <v>0</v>
      </c>
      <c r="N1592" s="1" t="b">
        <f t="shared" si="172"/>
        <v>0</v>
      </c>
      <c r="O1592" s="1" t="b">
        <f t="shared" si="173"/>
        <v>1</v>
      </c>
      <c r="P1592" s="1" t="b">
        <f t="shared" si="174"/>
        <v>0</v>
      </c>
    </row>
    <row r="1593" spans="1:16" x14ac:dyDescent="0.2">
      <c r="A1593">
        <v>2885904</v>
      </c>
      <c r="B1593" t="s">
        <v>2920</v>
      </c>
      <c r="C1593" t="s">
        <v>363</v>
      </c>
      <c r="D1593" t="s">
        <v>187</v>
      </c>
      <c r="E1593" s="1">
        <v>44640</v>
      </c>
      <c r="F1593" t="s">
        <v>574</v>
      </c>
      <c r="G1593" s="1">
        <v>44660</v>
      </c>
      <c r="I1593" t="s">
        <v>13</v>
      </c>
      <c r="J1593" s="1" t="b">
        <f t="shared" si="168"/>
        <v>0</v>
      </c>
      <c r="K1593" s="1" t="b">
        <f t="shared" si="169"/>
        <v>1</v>
      </c>
      <c r="L1593" s="1" t="b">
        <f t="shared" si="170"/>
        <v>0</v>
      </c>
      <c r="M1593" s="1" t="b">
        <f t="shared" si="171"/>
        <v>0</v>
      </c>
      <c r="N1593" s="1" t="b">
        <f t="shared" si="172"/>
        <v>0</v>
      </c>
      <c r="O1593" s="1" t="b">
        <f t="shared" si="173"/>
        <v>0</v>
      </c>
      <c r="P1593" s="1" t="b">
        <f t="shared" si="174"/>
        <v>0</v>
      </c>
    </row>
    <row r="1594" spans="1:16" x14ac:dyDescent="0.2">
      <c r="A1594">
        <v>6598972</v>
      </c>
      <c r="B1594" t="s">
        <v>2921</v>
      </c>
      <c r="C1594" t="s">
        <v>176</v>
      </c>
      <c r="D1594" t="s">
        <v>39</v>
      </c>
      <c r="E1594" s="1">
        <v>45105</v>
      </c>
      <c r="F1594" t="s">
        <v>2922</v>
      </c>
      <c r="G1594" s="1">
        <v>45116</v>
      </c>
      <c r="H1594" s="1">
        <v>45155</v>
      </c>
      <c r="I1594" t="s">
        <v>43</v>
      </c>
      <c r="J1594" s="1" t="b">
        <f t="shared" si="168"/>
        <v>1</v>
      </c>
      <c r="K1594" s="1" t="b">
        <f t="shared" si="169"/>
        <v>0</v>
      </c>
      <c r="L1594" s="1" t="b">
        <f t="shared" si="170"/>
        <v>0</v>
      </c>
      <c r="M1594" s="1" t="b">
        <f t="shared" si="171"/>
        <v>0</v>
      </c>
      <c r="N1594" s="1" t="b">
        <f t="shared" si="172"/>
        <v>0</v>
      </c>
      <c r="O1594" s="1" t="b">
        <f t="shared" si="173"/>
        <v>1</v>
      </c>
      <c r="P1594" s="1" t="b">
        <f t="shared" si="174"/>
        <v>0</v>
      </c>
    </row>
    <row r="1595" spans="1:16" x14ac:dyDescent="0.2">
      <c r="A1595">
        <v>4042807</v>
      </c>
      <c r="B1595" t="s">
        <v>2923</v>
      </c>
      <c r="C1595" t="s">
        <v>167</v>
      </c>
      <c r="D1595" t="s">
        <v>60</v>
      </c>
      <c r="E1595" s="1">
        <v>44855</v>
      </c>
      <c r="F1595" t="s">
        <v>2924</v>
      </c>
      <c r="G1595" s="1">
        <v>44867</v>
      </c>
      <c r="H1595" s="1">
        <v>44924</v>
      </c>
      <c r="I1595" t="s">
        <v>28</v>
      </c>
      <c r="J1595" s="1" t="b">
        <f t="shared" si="168"/>
        <v>1</v>
      </c>
      <c r="K1595" s="1" t="b">
        <f t="shared" si="169"/>
        <v>0</v>
      </c>
      <c r="L1595" s="1" t="b">
        <f t="shared" si="170"/>
        <v>0</v>
      </c>
      <c r="M1595" s="1" t="b">
        <f t="shared" si="171"/>
        <v>0</v>
      </c>
      <c r="N1595" s="1" t="b">
        <f t="shared" si="172"/>
        <v>0</v>
      </c>
      <c r="O1595" s="1" t="b">
        <f t="shared" si="173"/>
        <v>0</v>
      </c>
      <c r="P1595" s="1" t="b">
        <f t="shared" si="174"/>
        <v>1</v>
      </c>
    </row>
    <row r="1596" spans="1:16" x14ac:dyDescent="0.2">
      <c r="A1596">
        <v>4042807</v>
      </c>
      <c r="B1596" t="s">
        <v>2925</v>
      </c>
      <c r="C1596" t="s">
        <v>167</v>
      </c>
      <c r="D1596" t="s">
        <v>60</v>
      </c>
      <c r="E1596" s="1">
        <v>44939</v>
      </c>
      <c r="F1596" t="s">
        <v>2926</v>
      </c>
      <c r="G1596" s="1">
        <v>44969</v>
      </c>
      <c r="I1596" t="s">
        <v>13</v>
      </c>
      <c r="J1596" s="1" t="b">
        <f t="shared" si="168"/>
        <v>0</v>
      </c>
      <c r="K1596" s="1" t="b">
        <f t="shared" si="169"/>
        <v>1</v>
      </c>
      <c r="L1596" s="1" t="b">
        <f t="shared" si="170"/>
        <v>0</v>
      </c>
      <c r="M1596" s="1" t="b">
        <f t="shared" si="171"/>
        <v>0</v>
      </c>
      <c r="N1596" s="1" t="b">
        <f t="shared" si="172"/>
        <v>0</v>
      </c>
      <c r="O1596" s="1" t="b">
        <f t="shared" si="173"/>
        <v>0</v>
      </c>
      <c r="P1596" s="1" t="b">
        <f t="shared" si="174"/>
        <v>0</v>
      </c>
    </row>
    <row r="1597" spans="1:16" x14ac:dyDescent="0.2">
      <c r="A1597">
        <v>5452689</v>
      </c>
      <c r="B1597" t="s">
        <v>2927</v>
      </c>
      <c r="C1597" t="s">
        <v>47</v>
      </c>
      <c r="D1597" t="s">
        <v>122</v>
      </c>
      <c r="E1597" s="1">
        <v>44712</v>
      </c>
      <c r="F1597" t="s">
        <v>592</v>
      </c>
      <c r="G1597" s="1">
        <v>44723</v>
      </c>
      <c r="H1597" s="1">
        <v>44733</v>
      </c>
      <c r="I1597" t="s">
        <v>43</v>
      </c>
      <c r="J1597" s="1" t="b">
        <f t="shared" si="168"/>
        <v>1</v>
      </c>
      <c r="K1597" s="1" t="b">
        <f t="shared" si="169"/>
        <v>0</v>
      </c>
      <c r="L1597" s="1" t="b">
        <f t="shared" si="170"/>
        <v>0</v>
      </c>
      <c r="M1597" s="1" t="b">
        <f t="shared" si="171"/>
        <v>0</v>
      </c>
      <c r="N1597" s="1" t="b">
        <f t="shared" si="172"/>
        <v>0</v>
      </c>
      <c r="O1597" s="1" t="b">
        <f t="shared" si="173"/>
        <v>1</v>
      </c>
      <c r="P1597" s="1" t="b">
        <f t="shared" si="174"/>
        <v>0</v>
      </c>
    </row>
    <row r="1598" spans="1:16" x14ac:dyDescent="0.2">
      <c r="A1598">
        <v>7553173</v>
      </c>
      <c r="B1598" t="s">
        <v>2928</v>
      </c>
      <c r="C1598" t="s">
        <v>287</v>
      </c>
      <c r="D1598" t="s">
        <v>77</v>
      </c>
      <c r="E1598" s="1">
        <v>44847</v>
      </c>
      <c r="F1598" t="s">
        <v>2929</v>
      </c>
      <c r="G1598" s="1">
        <v>44852</v>
      </c>
      <c r="I1598" t="s">
        <v>13</v>
      </c>
      <c r="J1598" s="1" t="b">
        <f t="shared" si="168"/>
        <v>0</v>
      </c>
      <c r="K1598" s="1" t="b">
        <f t="shared" si="169"/>
        <v>1</v>
      </c>
      <c r="L1598" s="1" t="b">
        <f t="shared" si="170"/>
        <v>0</v>
      </c>
      <c r="M1598" s="1" t="b">
        <f t="shared" si="171"/>
        <v>0</v>
      </c>
      <c r="N1598" s="1" t="b">
        <f t="shared" si="172"/>
        <v>0</v>
      </c>
      <c r="O1598" s="1" t="b">
        <f t="shared" si="173"/>
        <v>0</v>
      </c>
      <c r="P1598" s="1" t="b">
        <f t="shared" si="174"/>
        <v>0</v>
      </c>
    </row>
    <row r="1599" spans="1:16" x14ac:dyDescent="0.2">
      <c r="A1599">
        <v>2517449</v>
      </c>
      <c r="B1599" t="s">
        <v>2930</v>
      </c>
      <c r="C1599" t="s">
        <v>720</v>
      </c>
      <c r="D1599" t="s">
        <v>187</v>
      </c>
      <c r="E1599" s="1">
        <v>44996</v>
      </c>
      <c r="F1599" t="s">
        <v>1828</v>
      </c>
      <c r="G1599" s="1">
        <v>45012</v>
      </c>
      <c r="H1599" s="1">
        <v>45057</v>
      </c>
      <c r="I1599" t="s">
        <v>28</v>
      </c>
      <c r="J1599" s="1" t="b">
        <f t="shared" si="168"/>
        <v>1</v>
      </c>
      <c r="K1599" s="1" t="b">
        <f t="shared" si="169"/>
        <v>0</v>
      </c>
      <c r="L1599" s="1" t="b">
        <f t="shared" si="170"/>
        <v>0</v>
      </c>
      <c r="M1599" s="1" t="b">
        <f t="shared" si="171"/>
        <v>0</v>
      </c>
      <c r="N1599" s="1" t="b">
        <f t="shared" si="172"/>
        <v>0</v>
      </c>
      <c r="O1599" s="1" t="b">
        <f t="shared" si="173"/>
        <v>0</v>
      </c>
      <c r="P1599" s="1" t="b">
        <f t="shared" si="174"/>
        <v>1</v>
      </c>
    </row>
    <row r="1600" spans="1:16" x14ac:dyDescent="0.2">
      <c r="A1600">
        <v>2517449</v>
      </c>
      <c r="B1600" t="s">
        <v>2931</v>
      </c>
      <c r="C1600" t="s">
        <v>720</v>
      </c>
      <c r="D1600" t="s">
        <v>187</v>
      </c>
      <c r="E1600" s="1">
        <v>44813</v>
      </c>
      <c r="F1600" t="s">
        <v>2505</v>
      </c>
      <c r="G1600" s="1">
        <v>44826</v>
      </c>
      <c r="H1600" s="1">
        <v>44853</v>
      </c>
      <c r="I1600" t="s">
        <v>28</v>
      </c>
      <c r="J1600" s="1" t="b">
        <f t="shared" si="168"/>
        <v>1</v>
      </c>
      <c r="K1600" s="1" t="b">
        <f t="shared" si="169"/>
        <v>0</v>
      </c>
      <c r="L1600" s="1" t="b">
        <f t="shared" si="170"/>
        <v>0</v>
      </c>
      <c r="M1600" s="1" t="b">
        <f t="shared" si="171"/>
        <v>0</v>
      </c>
      <c r="N1600" s="1" t="b">
        <f t="shared" si="172"/>
        <v>0</v>
      </c>
      <c r="O1600" s="1" t="b">
        <f t="shared" si="173"/>
        <v>0</v>
      </c>
      <c r="P1600" s="1" t="b">
        <f t="shared" si="174"/>
        <v>1</v>
      </c>
    </row>
    <row r="1601" spans="1:16" x14ac:dyDescent="0.2">
      <c r="A1601">
        <v>9339992</v>
      </c>
      <c r="B1601" t="s">
        <v>2932</v>
      </c>
      <c r="C1601" t="s">
        <v>18</v>
      </c>
      <c r="D1601" t="s">
        <v>139</v>
      </c>
      <c r="E1601" s="1">
        <v>44993</v>
      </c>
      <c r="F1601" t="s">
        <v>2933</v>
      </c>
      <c r="G1601" s="1">
        <v>45010</v>
      </c>
      <c r="H1601" s="1">
        <v>45047</v>
      </c>
      <c r="I1601" t="s">
        <v>43</v>
      </c>
      <c r="J1601" s="1" t="b">
        <f t="shared" si="168"/>
        <v>1</v>
      </c>
      <c r="K1601" s="1" t="b">
        <f t="shared" si="169"/>
        <v>0</v>
      </c>
      <c r="L1601" s="1" t="b">
        <f t="shared" si="170"/>
        <v>0</v>
      </c>
      <c r="M1601" s="1" t="b">
        <f t="shared" si="171"/>
        <v>0</v>
      </c>
      <c r="N1601" s="1" t="b">
        <f t="shared" si="172"/>
        <v>0</v>
      </c>
      <c r="O1601" s="1" t="b">
        <f t="shared" si="173"/>
        <v>1</v>
      </c>
      <c r="P1601" s="1" t="b">
        <f t="shared" si="174"/>
        <v>0</v>
      </c>
    </row>
    <row r="1602" spans="1:16" x14ac:dyDescent="0.2">
      <c r="A1602">
        <v>9339992</v>
      </c>
      <c r="B1602" t="s">
        <v>2934</v>
      </c>
      <c r="C1602" t="s">
        <v>18</v>
      </c>
      <c r="D1602" t="s">
        <v>139</v>
      </c>
      <c r="E1602" s="1">
        <v>44802</v>
      </c>
      <c r="F1602" t="s">
        <v>2935</v>
      </c>
      <c r="G1602" s="1">
        <v>44814</v>
      </c>
      <c r="H1602" s="1">
        <v>44815</v>
      </c>
      <c r="I1602" t="s">
        <v>43</v>
      </c>
      <c r="J1602" s="1" t="b">
        <f t="shared" si="168"/>
        <v>1</v>
      </c>
      <c r="K1602" s="1" t="b">
        <f t="shared" si="169"/>
        <v>0</v>
      </c>
      <c r="L1602" s="1" t="b">
        <f t="shared" si="170"/>
        <v>0</v>
      </c>
      <c r="M1602" s="1" t="b">
        <f t="shared" si="171"/>
        <v>0</v>
      </c>
      <c r="N1602" s="1" t="b">
        <f t="shared" si="172"/>
        <v>0</v>
      </c>
      <c r="O1602" s="1" t="b">
        <f t="shared" si="173"/>
        <v>1</v>
      </c>
      <c r="P1602" s="1" t="b">
        <f t="shared" si="174"/>
        <v>0</v>
      </c>
    </row>
    <row r="1603" spans="1:16" x14ac:dyDescent="0.2">
      <c r="A1603">
        <v>9339992</v>
      </c>
      <c r="B1603" t="s">
        <v>2936</v>
      </c>
      <c r="C1603" t="s">
        <v>18</v>
      </c>
      <c r="D1603" t="s">
        <v>139</v>
      </c>
      <c r="E1603" s="1">
        <v>44933</v>
      </c>
      <c r="F1603" t="s">
        <v>2937</v>
      </c>
      <c r="G1603" s="1">
        <v>44951</v>
      </c>
      <c r="I1603" t="s">
        <v>25</v>
      </c>
      <c r="J1603" s="1" t="b">
        <f t="shared" ref="J1603:J1666" si="175">AND(NOT(ISBLANK(H1603)), NOT(OR(ISNUMBER(SEARCH("decline", I1603)), ISNUMBER(SEARCH("rescind", I1603)), ISNUMBER(SEARCH("cancel", I1603)))))</f>
        <v>0</v>
      </c>
      <c r="K1603" s="1" t="b">
        <f t="shared" ref="K1603:K1666" si="176">ISNUMBER(SEARCH("decline", I1603))</f>
        <v>0</v>
      </c>
      <c r="L1603" s="1" t="b">
        <f t="shared" ref="L1603:L1666" si="177">ISNUMBER(SEARCH("rescind", I1603))</f>
        <v>1</v>
      </c>
      <c r="M1603" s="1" t="b">
        <f t="shared" ref="M1603:M1666" si="178">ISNUMBER(SEARCH("cancel", I1603))</f>
        <v>0</v>
      </c>
      <c r="N1603" s="1" t="b">
        <f t="shared" ref="N1603:N1666" si="179">ISNUMBER(SEARCH("transfer", I1603))</f>
        <v>0</v>
      </c>
      <c r="O1603" s="1" t="b">
        <f t="shared" ref="O1603:O1666" si="180">ISNUMBER(SEARCH("promo", I1603))</f>
        <v>0</v>
      </c>
      <c r="P1603" s="1" t="b">
        <f t="shared" ref="P1603:P1666" si="181">ISNUMBER(SEARCH("new", I1603))</f>
        <v>0</v>
      </c>
    </row>
    <row r="1604" spans="1:16" x14ac:dyDescent="0.2">
      <c r="A1604">
        <v>9339992</v>
      </c>
      <c r="B1604" t="s">
        <v>2938</v>
      </c>
      <c r="C1604" t="s">
        <v>18</v>
      </c>
      <c r="D1604" t="s">
        <v>139</v>
      </c>
      <c r="E1604" s="1">
        <v>44623</v>
      </c>
      <c r="F1604" t="s">
        <v>2939</v>
      </c>
      <c r="G1604" s="1">
        <v>44653</v>
      </c>
      <c r="H1604" s="1">
        <v>44676</v>
      </c>
      <c r="I1604" t="s">
        <v>43</v>
      </c>
      <c r="J1604" s="1" t="b">
        <f t="shared" si="175"/>
        <v>1</v>
      </c>
      <c r="K1604" s="1" t="b">
        <f t="shared" si="176"/>
        <v>0</v>
      </c>
      <c r="L1604" s="1" t="b">
        <f t="shared" si="177"/>
        <v>0</v>
      </c>
      <c r="M1604" s="1" t="b">
        <f t="shared" si="178"/>
        <v>0</v>
      </c>
      <c r="N1604" s="1" t="b">
        <f t="shared" si="179"/>
        <v>0</v>
      </c>
      <c r="O1604" s="1" t="b">
        <f t="shared" si="180"/>
        <v>1</v>
      </c>
      <c r="P1604" s="1" t="b">
        <f t="shared" si="181"/>
        <v>0</v>
      </c>
    </row>
    <row r="1605" spans="1:16" x14ac:dyDescent="0.2">
      <c r="A1605">
        <v>7054201</v>
      </c>
      <c r="B1605" t="s">
        <v>2940</v>
      </c>
      <c r="C1605" t="s">
        <v>90</v>
      </c>
      <c r="D1605" t="s">
        <v>187</v>
      </c>
      <c r="E1605" s="1">
        <v>44791</v>
      </c>
      <c r="F1605" t="s">
        <v>2941</v>
      </c>
      <c r="G1605" s="1">
        <v>44793</v>
      </c>
      <c r="H1605" s="1">
        <v>44841</v>
      </c>
      <c r="J1605" s="1" t="b">
        <f t="shared" si="175"/>
        <v>1</v>
      </c>
      <c r="K1605" s="1" t="b">
        <f t="shared" si="176"/>
        <v>0</v>
      </c>
      <c r="L1605" s="1" t="b">
        <f t="shared" si="177"/>
        <v>0</v>
      </c>
      <c r="M1605" s="1" t="b">
        <f t="shared" si="178"/>
        <v>0</v>
      </c>
      <c r="N1605" s="1" t="b">
        <f t="shared" si="179"/>
        <v>0</v>
      </c>
      <c r="O1605" s="1" t="b">
        <f t="shared" si="180"/>
        <v>0</v>
      </c>
      <c r="P1605" s="1" t="b">
        <f t="shared" si="181"/>
        <v>0</v>
      </c>
    </row>
    <row r="1606" spans="1:16" x14ac:dyDescent="0.2">
      <c r="A1606">
        <v>7054201</v>
      </c>
      <c r="B1606" t="s">
        <v>2942</v>
      </c>
      <c r="C1606" t="s">
        <v>90</v>
      </c>
      <c r="D1606" t="s">
        <v>187</v>
      </c>
      <c r="E1606" s="1">
        <v>44708</v>
      </c>
      <c r="F1606" t="s">
        <v>1690</v>
      </c>
      <c r="G1606" s="1">
        <v>44721</v>
      </c>
      <c r="I1606" t="s">
        <v>13</v>
      </c>
      <c r="J1606" s="1" t="b">
        <f t="shared" si="175"/>
        <v>0</v>
      </c>
      <c r="K1606" s="1" t="b">
        <f t="shared" si="176"/>
        <v>1</v>
      </c>
      <c r="L1606" s="1" t="b">
        <f t="shared" si="177"/>
        <v>0</v>
      </c>
      <c r="M1606" s="1" t="b">
        <f t="shared" si="178"/>
        <v>0</v>
      </c>
      <c r="N1606" s="1" t="b">
        <f t="shared" si="179"/>
        <v>0</v>
      </c>
      <c r="O1606" s="1" t="b">
        <f t="shared" si="180"/>
        <v>0</v>
      </c>
      <c r="P1606" s="1" t="b">
        <f t="shared" si="181"/>
        <v>0</v>
      </c>
    </row>
    <row r="1607" spans="1:16" x14ac:dyDescent="0.2">
      <c r="A1607">
        <v>7054201</v>
      </c>
      <c r="B1607" t="s">
        <v>2943</v>
      </c>
      <c r="C1607" t="s">
        <v>90</v>
      </c>
      <c r="D1607" t="s">
        <v>187</v>
      </c>
      <c r="E1607" s="1">
        <v>44670</v>
      </c>
      <c r="F1607" t="s">
        <v>2944</v>
      </c>
      <c r="G1607" s="1">
        <v>44692</v>
      </c>
      <c r="H1607" s="1">
        <v>44730</v>
      </c>
      <c r="J1607" s="1" t="b">
        <f t="shared" si="175"/>
        <v>1</v>
      </c>
      <c r="K1607" s="1" t="b">
        <f t="shared" si="176"/>
        <v>0</v>
      </c>
      <c r="L1607" s="1" t="b">
        <f t="shared" si="177"/>
        <v>0</v>
      </c>
      <c r="M1607" s="1" t="b">
        <f t="shared" si="178"/>
        <v>0</v>
      </c>
      <c r="N1607" s="1" t="b">
        <f t="shared" si="179"/>
        <v>0</v>
      </c>
      <c r="O1607" s="1" t="b">
        <f t="shared" si="180"/>
        <v>0</v>
      </c>
      <c r="P1607" s="1" t="b">
        <f t="shared" si="181"/>
        <v>0</v>
      </c>
    </row>
    <row r="1608" spans="1:16" x14ac:dyDescent="0.2">
      <c r="A1608">
        <v>2237660</v>
      </c>
      <c r="B1608" t="s">
        <v>2945</v>
      </c>
      <c r="C1608" t="s">
        <v>363</v>
      </c>
      <c r="D1608" t="s">
        <v>81</v>
      </c>
      <c r="I1608" t="s">
        <v>33</v>
      </c>
      <c r="J1608" s="1" t="b">
        <f t="shared" si="175"/>
        <v>0</v>
      </c>
      <c r="K1608" s="1" t="b">
        <f t="shared" si="176"/>
        <v>0</v>
      </c>
      <c r="L1608" s="1" t="b">
        <f t="shared" si="177"/>
        <v>0</v>
      </c>
      <c r="M1608" s="1" t="b">
        <f t="shared" si="178"/>
        <v>1</v>
      </c>
      <c r="N1608" s="1" t="b">
        <f t="shared" si="179"/>
        <v>0</v>
      </c>
      <c r="O1608" s="1" t="b">
        <f t="shared" si="180"/>
        <v>0</v>
      </c>
      <c r="P1608" s="1" t="b">
        <f t="shared" si="181"/>
        <v>0</v>
      </c>
    </row>
    <row r="1609" spans="1:16" x14ac:dyDescent="0.2">
      <c r="A1609">
        <v>2237660</v>
      </c>
      <c r="B1609" t="s">
        <v>2946</v>
      </c>
      <c r="C1609" t="s">
        <v>363</v>
      </c>
      <c r="D1609" t="s">
        <v>81</v>
      </c>
      <c r="E1609" s="1">
        <v>44640</v>
      </c>
      <c r="F1609" t="s">
        <v>2947</v>
      </c>
      <c r="G1609" s="1">
        <v>44641</v>
      </c>
      <c r="I1609" t="s">
        <v>25</v>
      </c>
      <c r="J1609" s="1" t="b">
        <f t="shared" si="175"/>
        <v>0</v>
      </c>
      <c r="K1609" s="1" t="b">
        <f t="shared" si="176"/>
        <v>0</v>
      </c>
      <c r="L1609" s="1" t="b">
        <f t="shared" si="177"/>
        <v>1</v>
      </c>
      <c r="M1609" s="1" t="b">
        <f t="shared" si="178"/>
        <v>0</v>
      </c>
      <c r="N1609" s="1" t="b">
        <f t="shared" si="179"/>
        <v>0</v>
      </c>
      <c r="O1609" s="1" t="b">
        <f t="shared" si="180"/>
        <v>0</v>
      </c>
      <c r="P1609" s="1" t="b">
        <f t="shared" si="181"/>
        <v>0</v>
      </c>
    </row>
    <row r="1610" spans="1:16" x14ac:dyDescent="0.2">
      <c r="A1610">
        <v>7987624</v>
      </c>
      <c r="B1610" t="s">
        <v>2948</v>
      </c>
      <c r="C1610" t="s">
        <v>71</v>
      </c>
      <c r="D1610" t="s">
        <v>187</v>
      </c>
      <c r="E1610" s="1">
        <v>44907</v>
      </c>
      <c r="F1610" t="s">
        <v>2949</v>
      </c>
      <c r="G1610" s="1">
        <v>44922</v>
      </c>
      <c r="H1610" s="1">
        <v>44973</v>
      </c>
      <c r="I1610" t="s">
        <v>28</v>
      </c>
      <c r="J1610" s="1" t="b">
        <f t="shared" si="175"/>
        <v>1</v>
      </c>
      <c r="K1610" s="1" t="b">
        <f t="shared" si="176"/>
        <v>0</v>
      </c>
      <c r="L1610" s="1" t="b">
        <f t="shared" si="177"/>
        <v>0</v>
      </c>
      <c r="M1610" s="1" t="b">
        <f t="shared" si="178"/>
        <v>0</v>
      </c>
      <c r="N1610" s="1" t="b">
        <f t="shared" si="179"/>
        <v>0</v>
      </c>
      <c r="O1610" s="1" t="b">
        <f t="shared" si="180"/>
        <v>0</v>
      </c>
      <c r="P1610" s="1" t="b">
        <f t="shared" si="181"/>
        <v>1</v>
      </c>
    </row>
    <row r="1611" spans="1:16" x14ac:dyDescent="0.2">
      <c r="A1611">
        <v>7987624</v>
      </c>
      <c r="B1611" t="s">
        <v>2950</v>
      </c>
      <c r="C1611" t="s">
        <v>71</v>
      </c>
      <c r="D1611" t="s">
        <v>187</v>
      </c>
      <c r="E1611" s="1">
        <v>44721</v>
      </c>
      <c r="F1611" t="s">
        <v>689</v>
      </c>
      <c r="G1611" s="1">
        <v>44723</v>
      </c>
      <c r="H1611" s="1">
        <v>44780</v>
      </c>
      <c r="I1611" t="s">
        <v>16</v>
      </c>
      <c r="J1611" s="1" t="b">
        <f t="shared" si="175"/>
        <v>1</v>
      </c>
      <c r="K1611" s="1" t="b">
        <f t="shared" si="176"/>
        <v>0</v>
      </c>
      <c r="L1611" s="1" t="b">
        <f t="shared" si="177"/>
        <v>0</v>
      </c>
      <c r="M1611" s="1" t="b">
        <f t="shared" si="178"/>
        <v>0</v>
      </c>
      <c r="N1611" s="1" t="b">
        <f t="shared" si="179"/>
        <v>1</v>
      </c>
      <c r="O1611" s="1" t="b">
        <f t="shared" si="180"/>
        <v>0</v>
      </c>
      <c r="P1611" s="1" t="b">
        <f t="shared" si="181"/>
        <v>0</v>
      </c>
    </row>
    <row r="1612" spans="1:16" x14ac:dyDescent="0.2">
      <c r="A1612">
        <v>7987624</v>
      </c>
      <c r="B1612" t="s">
        <v>2951</v>
      </c>
      <c r="C1612" t="s">
        <v>71</v>
      </c>
      <c r="D1612" t="s">
        <v>187</v>
      </c>
      <c r="E1612" s="1">
        <v>44573</v>
      </c>
      <c r="F1612" t="s">
        <v>2952</v>
      </c>
      <c r="G1612" s="1">
        <v>44586</v>
      </c>
      <c r="H1612" s="1">
        <v>44640</v>
      </c>
      <c r="I1612" t="s">
        <v>43</v>
      </c>
      <c r="J1612" s="1" t="b">
        <f t="shared" si="175"/>
        <v>1</v>
      </c>
      <c r="K1612" s="1" t="b">
        <f t="shared" si="176"/>
        <v>0</v>
      </c>
      <c r="L1612" s="1" t="b">
        <f t="shared" si="177"/>
        <v>0</v>
      </c>
      <c r="M1612" s="1" t="b">
        <f t="shared" si="178"/>
        <v>0</v>
      </c>
      <c r="N1612" s="1" t="b">
        <f t="shared" si="179"/>
        <v>0</v>
      </c>
      <c r="O1612" s="1" t="b">
        <f t="shared" si="180"/>
        <v>1</v>
      </c>
      <c r="P1612" s="1" t="b">
        <f t="shared" si="181"/>
        <v>0</v>
      </c>
    </row>
    <row r="1613" spans="1:16" x14ac:dyDescent="0.2">
      <c r="A1613">
        <v>7987624</v>
      </c>
      <c r="B1613" t="s">
        <v>2953</v>
      </c>
      <c r="C1613" t="s">
        <v>71</v>
      </c>
      <c r="D1613" t="s">
        <v>187</v>
      </c>
      <c r="E1613" s="1">
        <v>44826</v>
      </c>
      <c r="F1613" t="s">
        <v>2954</v>
      </c>
      <c r="G1613" s="1">
        <v>44856</v>
      </c>
      <c r="H1613" s="1">
        <v>44893</v>
      </c>
      <c r="J1613" s="1" t="b">
        <f t="shared" si="175"/>
        <v>1</v>
      </c>
      <c r="K1613" s="1" t="b">
        <f t="shared" si="176"/>
        <v>0</v>
      </c>
      <c r="L1613" s="1" t="b">
        <f t="shared" si="177"/>
        <v>0</v>
      </c>
      <c r="M1613" s="1" t="b">
        <f t="shared" si="178"/>
        <v>0</v>
      </c>
      <c r="N1613" s="1" t="b">
        <f t="shared" si="179"/>
        <v>0</v>
      </c>
      <c r="O1613" s="1" t="b">
        <f t="shared" si="180"/>
        <v>0</v>
      </c>
      <c r="P1613" s="1" t="b">
        <f t="shared" si="181"/>
        <v>0</v>
      </c>
    </row>
    <row r="1614" spans="1:16" x14ac:dyDescent="0.2">
      <c r="A1614">
        <v>9420022</v>
      </c>
      <c r="B1614" t="s">
        <v>2955</v>
      </c>
      <c r="C1614" t="s">
        <v>110</v>
      </c>
      <c r="D1614" t="s">
        <v>19</v>
      </c>
      <c r="E1614" s="1">
        <v>44948</v>
      </c>
      <c r="F1614" t="s">
        <v>2956</v>
      </c>
      <c r="G1614" s="1">
        <v>44953</v>
      </c>
      <c r="H1614" s="1">
        <v>45001</v>
      </c>
      <c r="I1614" t="s">
        <v>28</v>
      </c>
      <c r="J1614" s="1" t="b">
        <f t="shared" si="175"/>
        <v>1</v>
      </c>
      <c r="K1614" s="1" t="b">
        <f t="shared" si="176"/>
        <v>0</v>
      </c>
      <c r="L1614" s="1" t="b">
        <f t="shared" si="177"/>
        <v>0</v>
      </c>
      <c r="M1614" s="1" t="b">
        <f t="shared" si="178"/>
        <v>0</v>
      </c>
      <c r="N1614" s="1" t="b">
        <f t="shared" si="179"/>
        <v>0</v>
      </c>
      <c r="O1614" s="1" t="b">
        <f t="shared" si="180"/>
        <v>0</v>
      </c>
      <c r="P1614" s="1" t="b">
        <f t="shared" si="181"/>
        <v>1</v>
      </c>
    </row>
    <row r="1615" spans="1:16" x14ac:dyDescent="0.2">
      <c r="A1615">
        <v>9420022</v>
      </c>
      <c r="B1615" t="s">
        <v>2957</v>
      </c>
      <c r="C1615" t="s">
        <v>110</v>
      </c>
      <c r="D1615" t="s">
        <v>19</v>
      </c>
      <c r="E1615" s="1">
        <v>44786</v>
      </c>
      <c r="F1615" t="s">
        <v>2958</v>
      </c>
      <c r="G1615" s="1">
        <v>44799</v>
      </c>
      <c r="I1615" t="s">
        <v>25</v>
      </c>
      <c r="J1615" s="1" t="b">
        <f t="shared" si="175"/>
        <v>0</v>
      </c>
      <c r="K1615" s="1" t="b">
        <f t="shared" si="176"/>
        <v>0</v>
      </c>
      <c r="L1615" s="1" t="b">
        <f t="shared" si="177"/>
        <v>1</v>
      </c>
      <c r="M1615" s="1" t="b">
        <f t="shared" si="178"/>
        <v>0</v>
      </c>
      <c r="N1615" s="1" t="b">
        <f t="shared" si="179"/>
        <v>0</v>
      </c>
      <c r="O1615" s="1" t="b">
        <f t="shared" si="180"/>
        <v>0</v>
      </c>
      <c r="P1615" s="1" t="b">
        <f t="shared" si="181"/>
        <v>0</v>
      </c>
    </row>
    <row r="1616" spans="1:16" x14ac:dyDescent="0.2">
      <c r="A1616">
        <v>9420022</v>
      </c>
      <c r="B1616" t="s">
        <v>2959</v>
      </c>
      <c r="C1616" t="s">
        <v>110</v>
      </c>
      <c r="D1616" t="s">
        <v>19</v>
      </c>
      <c r="E1616" s="1">
        <v>44641</v>
      </c>
      <c r="F1616" t="s">
        <v>52</v>
      </c>
      <c r="G1616" s="1">
        <v>44668</v>
      </c>
      <c r="I1616" t="s">
        <v>13</v>
      </c>
      <c r="J1616" s="1" t="b">
        <f t="shared" si="175"/>
        <v>0</v>
      </c>
      <c r="K1616" s="1" t="b">
        <f t="shared" si="176"/>
        <v>1</v>
      </c>
      <c r="L1616" s="1" t="b">
        <f t="shared" si="177"/>
        <v>0</v>
      </c>
      <c r="M1616" s="1" t="b">
        <f t="shared" si="178"/>
        <v>0</v>
      </c>
      <c r="N1616" s="1" t="b">
        <f t="shared" si="179"/>
        <v>0</v>
      </c>
      <c r="O1616" s="1" t="b">
        <f t="shared" si="180"/>
        <v>0</v>
      </c>
      <c r="P1616" s="1" t="b">
        <f t="shared" si="181"/>
        <v>0</v>
      </c>
    </row>
    <row r="1617" spans="1:16" x14ac:dyDescent="0.2">
      <c r="A1617">
        <v>9420022</v>
      </c>
      <c r="B1617" t="s">
        <v>2960</v>
      </c>
      <c r="C1617" t="s">
        <v>110</v>
      </c>
      <c r="D1617" t="s">
        <v>19</v>
      </c>
      <c r="E1617" s="1">
        <v>44976</v>
      </c>
      <c r="F1617" t="s">
        <v>1523</v>
      </c>
      <c r="G1617" s="1">
        <v>45003</v>
      </c>
      <c r="H1617" s="1">
        <v>45028</v>
      </c>
      <c r="J1617" s="1" t="b">
        <f t="shared" si="175"/>
        <v>1</v>
      </c>
      <c r="K1617" s="1" t="b">
        <f t="shared" si="176"/>
        <v>0</v>
      </c>
      <c r="L1617" s="1" t="b">
        <f t="shared" si="177"/>
        <v>0</v>
      </c>
      <c r="M1617" s="1" t="b">
        <f t="shared" si="178"/>
        <v>0</v>
      </c>
      <c r="N1617" s="1" t="b">
        <f t="shared" si="179"/>
        <v>0</v>
      </c>
      <c r="O1617" s="1" t="b">
        <f t="shared" si="180"/>
        <v>0</v>
      </c>
      <c r="P1617" s="1" t="b">
        <f t="shared" si="181"/>
        <v>0</v>
      </c>
    </row>
    <row r="1618" spans="1:16" x14ac:dyDescent="0.2">
      <c r="A1618">
        <v>3765293</v>
      </c>
      <c r="B1618" t="s">
        <v>2961</v>
      </c>
      <c r="C1618" t="s">
        <v>521</v>
      </c>
      <c r="D1618" t="s">
        <v>39</v>
      </c>
      <c r="E1618" s="1">
        <v>44641</v>
      </c>
      <c r="F1618" t="s">
        <v>1529</v>
      </c>
      <c r="G1618" s="1">
        <v>44653</v>
      </c>
      <c r="I1618" t="s">
        <v>13</v>
      </c>
      <c r="J1618" s="1" t="b">
        <f t="shared" si="175"/>
        <v>0</v>
      </c>
      <c r="K1618" s="1" t="b">
        <f t="shared" si="176"/>
        <v>1</v>
      </c>
      <c r="L1618" s="1" t="b">
        <f t="shared" si="177"/>
        <v>0</v>
      </c>
      <c r="M1618" s="1" t="b">
        <f t="shared" si="178"/>
        <v>0</v>
      </c>
      <c r="N1618" s="1" t="b">
        <f t="shared" si="179"/>
        <v>0</v>
      </c>
      <c r="O1618" s="1" t="b">
        <f t="shared" si="180"/>
        <v>0</v>
      </c>
      <c r="P1618" s="1" t="b">
        <f t="shared" si="181"/>
        <v>0</v>
      </c>
    </row>
    <row r="1619" spans="1:16" x14ac:dyDescent="0.2">
      <c r="A1619">
        <v>3765293</v>
      </c>
      <c r="B1619" t="s">
        <v>2962</v>
      </c>
      <c r="C1619" t="s">
        <v>521</v>
      </c>
      <c r="D1619" t="s">
        <v>39</v>
      </c>
      <c r="E1619" s="1">
        <v>44850</v>
      </c>
      <c r="F1619" t="s">
        <v>2963</v>
      </c>
      <c r="G1619" s="1">
        <v>44856</v>
      </c>
      <c r="H1619" s="1">
        <v>44891</v>
      </c>
      <c r="I1619" t="s">
        <v>28</v>
      </c>
      <c r="J1619" s="1" t="b">
        <f t="shared" si="175"/>
        <v>1</v>
      </c>
      <c r="K1619" s="1" t="b">
        <f t="shared" si="176"/>
        <v>0</v>
      </c>
      <c r="L1619" s="1" t="b">
        <f t="shared" si="177"/>
        <v>0</v>
      </c>
      <c r="M1619" s="1" t="b">
        <f t="shared" si="178"/>
        <v>0</v>
      </c>
      <c r="N1619" s="1" t="b">
        <f t="shared" si="179"/>
        <v>0</v>
      </c>
      <c r="O1619" s="1" t="b">
        <f t="shared" si="180"/>
        <v>0</v>
      </c>
      <c r="P1619" s="1" t="b">
        <f t="shared" si="181"/>
        <v>1</v>
      </c>
    </row>
    <row r="1620" spans="1:16" x14ac:dyDescent="0.2">
      <c r="A1620">
        <v>3765293</v>
      </c>
      <c r="B1620" t="s">
        <v>2964</v>
      </c>
      <c r="C1620" t="s">
        <v>521</v>
      </c>
      <c r="D1620" t="s">
        <v>39</v>
      </c>
      <c r="E1620" s="1">
        <v>44573</v>
      </c>
      <c r="F1620" t="s">
        <v>2965</v>
      </c>
      <c r="G1620" s="1">
        <v>44598</v>
      </c>
      <c r="I1620" t="s">
        <v>13</v>
      </c>
      <c r="J1620" s="1" t="b">
        <f t="shared" si="175"/>
        <v>0</v>
      </c>
      <c r="K1620" s="1" t="b">
        <f t="shared" si="176"/>
        <v>1</v>
      </c>
      <c r="L1620" s="1" t="b">
        <f t="shared" si="177"/>
        <v>0</v>
      </c>
      <c r="M1620" s="1" t="b">
        <f t="shared" si="178"/>
        <v>0</v>
      </c>
      <c r="N1620" s="1" t="b">
        <f t="shared" si="179"/>
        <v>0</v>
      </c>
      <c r="O1620" s="1" t="b">
        <f t="shared" si="180"/>
        <v>0</v>
      </c>
      <c r="P1620" s="1" t="b">
        <f t="shared" si="181"/>
        <v>0</v>
      </c>
    </row>
    <row r="1621" spans="1:16" x14ac:dyDescent="0.2">
      <c r="A1621">
        <v>3765293</v>
      </c>
      <c r="B1621" t="s">
        <v>2966</v>
      </c>
      <c r="C1621" t="s">
        <v>521</v>
      </c>
      <c r="D1621" t="s">
        <v>39</v>
      </c>
      <c r="E1621" s="1">
        <v>44595</v>
      </c>
      <c r="F1621" t="s">
        <v>2967</v>
      </c>
      <c r="G1621" s="1">
        <v>44603</v>
      </c>
      <c r="H1621" s="1">
        <v>44621</v>
      </c>
      <c r="I1621" t="s">
        <v>43</v>
      </c>
      <c r="J1621" s="1" t="b">
        <f t="shared" si="175"/>
        <v>1</v>
      </c>
      <c r="K1621" s="1" t="b">
        <f t="shared" si="176"/>
        <v>0</v>
      </c>
      <c r="L1621" s="1" t="b">
        <f t="shared" si="177"/>
        <v>0</v>
      </c>
      <c r="M1621" s="1" t="b">
        <f t="shared" si="178"/>
        <v>0</v>
      </c>
      <c r="N1621" s="1" t="b">
        <f t="shared" si="179"/>
        <v>0</v>
      </c>
      <c r="O1621" s="1" t="b">
        <f t="shared" si="180"/>
        <v>1</v>
      </c>
      <c r="P1621" s="1" t="b">
        <f t="shared" si="181"/>
        <v>0</v>
      </c>
    </row>
    <row r="1622" spans="1:16" x14ac:dyDescent="0.2">
      <c r="A1622">
        <v>2426723</v>
      </c>
      <c r="B1622" t="s">
        <v>2968</v>
      </c>
      <c r="C1622" t="s">
        <v>32</v>
      </c>
      <c r="D1622" t="s">
        <v>81</v>
      </c>
      <c r="E1622" s="1">
        <v>44884</v>
      </c>
      <c r="F1622" t="s">
        <v>493</v>
      </c>
      <c r="G1622" s="1">
        <v>44887</v>
      </c>
      <c r="H1622" s="1">
        <v>44907</v>
      </c>
      <c r="J1622" s="1" t="b">
        <f t="shared" si="175"/>
        <v>1</v>
      </c>
      <c r="K1622" s="1" t="b">
        <f t="shared" si="176"/>
        <v>0</v>
      </c>
      <c r="L1622" s="1" t="b">
        <f t="shared" si="177"/>
        <v>0</v>
      </c>
      <c r="M1622" s="1" t="b">
        <f t="shared" si="178"/>
        <v>0</v>
      </c>
      <c r="N1622" s="1" t="b">
        <f t="shared" si="179"/>
        <v>0</v>
      </c>
      <c r="O1622" s="1" t="b">
        <f t="shared" si="180"/>
        <v>0</v>
      </c>
      <c r="P1622" s="1" t="b">
        <f t="shared" si="181"/>
        <v>0</v>
      </c>
    </row>
    <row r="1623" spans="1:16" x14ac:dyDescent="0.2">
      <c r="A1623">
        <v>1142249</v>
      </c>
      <c r="B1623" t="s">
        <v>2969</v>
      </c>
      <c r="C1623" t="s">
        <v>542</v>
      </c>
      <c r="D1623" t="s">
        <v>11</v>
      </c>
      <c r="E1623" s="1">
        <v>44926</v>
      </c>
      <c r="F1623" t="s">
        <v>2458</v>
      </c>
      <c r="G1623" s="1">
        <v>44931</v>
      </c>
      <c r="H1623" s="1">
        <v>44976</v>
      </c>
      <c r="I1623" t="s">
        <v>28</v>
      </c>
      <c r="J1623" s="1" t="b">
        <f t="shared" si="175"/>
        <v>1</v>
      </c>
      <c r="K1623" s="1" t="b">
        <f t="shared" si="176"/>
        <v>0</v>
      </c>
      <c r="L1623" s="1" t="b">
        <f t="shared" si="177"/>
        <v>0</v>
      </c>
      <c r="M1623" s="1" t="b">
        <f t="shared" si="178"/>
        <v>0</v>
      </c>
      <c r="N1623" s="1" t="b">
        <f t="shared" si="179"/>
        <v>0</v>
      </c>
      <c r="O1623" s="1" t="b">
        <f t="shared" si="180"/>
        <v>0</v>
      </c>
      <c r="P1623" s="1" t="b">
        <f t="shared" si="181"/>
        <v>1</v>
      </c>
    </row>
    <row r="1624" spans="1:16" x14ac:dyDescent="0.2">
      <c r="A1624">
        <v>1142249</v>
      </c>
      <c r="B1624" t="s">
        <v>2970</v>
      </c>
      <c r="C1624" t="s">
        <v>542</v>
      </c>
      <c r="D1624" t="s">
        <v>11</v>
      </c>
      <c r="E1624" s="1">
        <v>45077</v>
      </c>
      <c r="F1624" t="s">
        <v>2431</v>
      </c>
      <c r="G1624" s="1">
        <v>45081</v>
      </c>
      <c r="H1624" s="1">
        <v>45114</v>
      </c>
      <c r="I1624" t="s">
        <v>28</v>
      </c>
      <c r="J1624" s="1" t="b">
        <f t="shared" si="175"/>
        <v>1</v>
      </c>
      <c r="K1624" s="1" t="b">
        <f t="shared" si="176"/>
        <v>0</v>
      </c>
      <c r="L1624" s="1" t="b">
        <f t="shared" si="177"/>
        <v>0</v>
      </c>
      <c r="M1624" s="1" t="b">
        <f t="shared" si="178"/>
        <v>0</v>
      </c>
      <c r="N1624" s="1" t="b">
        <f t="shared" si="179"/>
        <v>0</v>
      </c>
      <c r="O1624" s="1" t="b">
        <f t="shared" si="180"/>
        <v>0</v>
      </c>
      <c r="P1624" s="1" t="b">
        <f t="shared" si="181"/>
        <v>1</v>
      </c>
    </row>
    <row r="1625" spans="1:16" x14ac:dyDescent="0.2">
      <c r="A1625">
        <v>1142249</v>
      </c>
      <c r="B1625" t="s">
        <v>2971</v>
      </c>
      <c r="C1625" t="s">
        <v>542</v>
      </c>
      <c r="D1625" t="s">
        <v>11</v>
      </c>
      <c r="E1625" s="1">
        <v>44953</v>
      </c>
      <c r="F1625" t="s">
        <v>973</v>
      </c>
      <c r="G1625" s="1">
        <v>44969</v>
      </c>
      <c r="H1625" s="1">
        <v>45007</v>
      </c>
      <c r="I1625" t="s">
        <v>43</v>
      </c>
      <c r="J1625" s="1" t="b">
        <f t="shared" si="175"/>
        <v>1</v>
      </c>
      <c r="K1625" s="1" t="b">
        <f t="shared" si="176"/>
        <v>0</v>
      </c>
      <c r="L1625" s="1" t="b">
        <f t="shared" si="177"/>
        <v>0</v>
      </c>
      <c r="M1625" s="1" t="b">
        <f t="shared" si="178"/>
        <v>0</v>
      </c>
      <c r="N1625" s="1" t="b">
        <f t="shared" si="179"/>
        <v>0</v>
      </c>
      <c r="O1625" s="1" t="b">
        <f t="shared" si="180"/>
        <v>1</v>
      </c>
      <c r="P1625" s="1" t="b">
        <f t="shared" si="181"/>
        <v>0</v>
      </c>
    </row>
    <row r="1626" spans="1:16" x14ac:dyDescent="0.2">
      <c r="A1626">
        <v>1142249</v>
      </c>
      <c r="B1626" t="s">
        <v>2972</v>
      </c>
      <c r="C1626" t="s">
        <v>542</v>
      </c>
      <c r="D1626" t="s">
        <v>11</v>
      </c>
      <c r="E1626" s="1">
        <v>44717</v>
      </c>
      <c r="F1626" t="s">
        <v>2973</v>
      </c>
      <c r="G1626" s="1">
        <v>44739</v>
      </c>
      <c r="H1626" s="1">
        <v>44769</v>
      </c>
      <c r="I1626" t="s">
        <v>16</v>
      </c>
      <c r="J1626" s="1" t="b">
        <f t="shared" si="175"/>
        <v>1</v>
      </c>
      <c r="K1626" s="1" t="b">
        <f t="shared" si="176"/>
        <v>0</v>
      </c>
      <c r="L1626" s="1" t="b">
        <f t="shared" si="177"/>
        <v>0</v>
      </c>
      <c r="M1626" s="1" t="b">
        <f t="shared" si="178"/>
        <v>0</v>
      </c>
      <c r="N1626" s="1" t="b">
        <f t="shared" si="179"/>
        <v>1</v>
      </c>
      <c r="O1626" s="1" t="b">
        <f t="shared" si="180"/>
        <v>0</v>
      </c>
      <c r="P1626" s="1" t="b">
        <f t="shared" si="181"/>
        <v>0</v>
      </c>
    </row>
    <row r="1627" spans="1:16" x14ac:dyDescent="0.2">
      <c r="A1627">
        <v>2321253</v>
      </c>
      <c r="B1627" t="s">
        <v>2974</v>
      </c>
      <c r="C1627" t="s">
        <v>131</v>
      </c>
      <c r="D1627" t="s">
        <v>122</v>
      </c>
      <c r="E1627" s="1">
        <v>44726</v>
      </c>
      <c r="F1627" t="s">
        <v>2975</v>
      </c>
      <c r="G1627" s="1">
        <v>44743</v>
      </c>
      <c r="H1627" s="1">
        <v>44777</v>
      </c>
      <c r="I1627" t="s">
        <v>43</v>
      </c>
      <c r="J1627" s="1" t="b">
        <f t="shared" si="175"/>
        <v>1</v>
      </c>
      <c r="K1627" s="1" t="b">
        <f t="shared" si="176"/>
        <v>0</v>
      </c>
      <c r="L1627" s="1" t="b">
        <f t="shared" si="177"/>
        <v>0</v>
      </c>
      <c r="M1627" s="1" t="b">
        <f t="shared" si="178"/>
        <v>0</v>
      </c>
      <c r="N1627" s="1" t="b">
        <f t="shared" si="179"/>
        <v>0</v>
      </c>
      <c r="O1627" s="1" t="b">
        <f t="shared" si="180"/>
        <v>1</v>
      </c>
      <c r="P1627" s="1" t="b">
        <f t="shared" si="181"/>
        <v>0</v>
      </c>
    </row>
    <row r="1628" spans="1:16" x14ac:dyDescent="0.2">
      <c r="A1628">
        <v>2321253</v>
      </c>
      <c r="B1628" t="s">
        <v>2976</v>
      </c>
      <c r="C1628" t="s">
        <v>131</v>
      </c>
      <c r="D1628" t="s">
        <v>122</v>
      </c>
      <c r="E1628" s="1">
        <v>44696</v>
      </c>
      <c r="F1628" t="s">
        <v>2977</v>
      </c>
      <c r="G1628" s="1">
        <v>44707</v>
      </c>
      <c r="H1628" s="1">
        <v>44726</v>
      </c>
      <c r="I1628" t="s">
        <v>28</v>
      </c>
      <c r="J1628" s="1" t="b">
        <f t="shared" si="175"/>
        <v>1</v>
      </c>
      <c r="K1628" s="1" t="b">
        <f t="shared" si="176"/>
        <v>0</v>
      </c>
      <c r="L1628" s="1" t="b">
        <f t="shared" si="177"/>
        <v>0</v>
      </c>
      <c r="M1628" s="1" t="b">
        <f t="shared" si="178"/>
        <v>0</v>
      </c>
      <c r="N1628" s="1" t="b">
        <f t="shared" si="179"/>
        <v>0</v>
      </c>
      <c r="O1628" s="1" t="b">
        <f t="shared" si="180"/>
        <v>0</v>
      </c>
      <c r="P1628" s="1" t="b">
        <f t="shared" si="181"/>
        <v>1</v>
      </c>
    </row>
    <row r="1629" spans="1:16" x14ac:dyDescent="0.2">
      <c r="A1629">
        <v>7045105</v>
      </c>
      <c r="B1629" t="s">
        <v>2978</v>
      </c>
      <c r="C1629" t="s">
        <v>121</v>
      </c>
      <c r="D1629" t="s">
        <v>60</v>
      </c>
      <c r="E1629" s="1">
        <v>44638</v>
      </c>
      <c r="F1629" t="s">
        <v>2941</v>
      </c>
      <c r="G1629" s="1">
        <v>44643</v>
      </c>
      <c r="H1629" s="1">
        <v>44680</v>
      </c>
      <c r="J1629" s="1" t="b">
        <f t="shared" si="175"/>
        <v>1</v>
      </c>
      <c r="K1629" s="1" t="b">
        <f t="shared" si="176"/>
        <v>0</v>
      </c>
      <c r="L1629" s="1" t="b">
        <f t="shared" si="177"/>
        <v>0</v>
      </c>
      <c r="M1629" s="1" t="b">
        <f t="shared" si="178"/>
        <v>0</v>
      </c>
      <c r="N1629" s="1" t="b">
        <f t="shared" si="179"/>
        <v>0</v>
      </c>
      <c r="O1629" s="1" t="b">
        <f t="shared" si="180"/>
        <v>0</v>
      </c>
      <c r="P1629" s="1" t="b">
        <f t="shared" si="181"/>
        <v>0</v>
      </c>
    </row>
    <row r="1630" spans="1:16" x14ac:dyDescent="0.2">
      <c r="A1630">
        <v>9347047</v>
      </c>
      <c r="B1630" t="s">
        <v>2979</v>
      </c>
      <c r="C1630" t="s">
        <v>176</v>
      </c>
      <c r="D1630" t="s">
        <v>56</v>
      </c>
      <c r="E1630" s="1">
        <v>44651</v>
      </c>
      <c r="F1630" t="s">
        <v>61</v>
      </c>
      <c r="G1630" s="1">
        <v>44667</v>
      </c>
      <c r="H1630" s="1">
        <v>44674</v>
      </c>
      <c r="I1630" t="s">
        <v>28</v>
      </c>
      <c r="J1630" s="1" t="b">
        <f t="shared" si="175"/>
        <v>1</v>
      </c>
      <c r="K1630" s="1" t="b">
        <f t="shared" si="176"/>
        <v>0</v>
      </c>
      <c r="L1630" s="1" t="b">
        <f t="shared" si="177"/>
        <v>0</v>
      </c>
      <c r="M1630" s="1" t="b">
        <f t="shared" si="178"/>
        <v>0</v>
      </c>
      <c r="N1630" s="1" t="b">
        <f t="shared" si="179"/>
        <v>0</v>
      </c>
      <c r="O1630" s="1" t="b">
        <f t="shared" si="180"/>
        <v>0</v>
      </c>
      <c r="P1630" s="1" t="b">
        <f t="shared" si="181"/>
        <v>1</v>
      </c>
    </row>
    <row r="1631" spans="1:16" x14ac:dyDescent="0.2">
      <c r="A1631">
        <v>9347047</v>
      </c>
      <c r="B1631" t="s">
        <v>2980</v>
      </c>
      <c r="C1631" t="s">
        <v>176</v>
      </c>
      <c r="D1631" t="s">
        <v>56</v>
      </c>
      <c r="E1631" s="1">
        <v>44727</v>
      </c>
      <c r="F1631" t="s">
        <v>2981</v>
      </c>
      <c r="G1631" s="1">
        <v>44730</v>
      </c>
      <c r="H1631" s="1">
        <v>44748</v>
      </c>
      <c r="I1631" t="s">
        <v>43</v>
      </c>
      <c r="J1631" s="1" t="b">
        <f t="shared" si="175"/>
        <v>1</v>
      </c>
      <c r="K1631" s="1" t="b">
        <f t="shared" si="176"/>
        <v>0</v>
      </c>
      <c r="L1631" s="1" t="b">
        <f t="shared" si="177"/>
        <v>0</v>
      </c>
      <c r="M1631" s="1" t="b">
        <f t="shared" si="178"/>
        <v>0</v>
      </c>
      <c r="N1631" s="1" t="b">
        <f t="shared" si="179"/>
        <v>0</v>
      </c>
      <c r="O1631" s="1" t="b">
        <f t="shared" si="180"/>
        <v>1</v>
      </c>
      <c r="P1631" s="1" t="b">
        <f t="shared" si="181"/>
        <v>0</v>
      </c>
    </row>
    <row r="1632" spans="1:16" x14ac:dyDescent="0.2">
      <c r="A1632">
        <v>7095636</v>
      </c>
      <c r="B1632" t="s">
        <v>2982</v>
      </c>
      <c r="C1632" t="s">
        <v>542</v>
      </c>
      <c r="D1632" t="s">
        <v>122</v>
      </c>
      <c r="E1632" s="1">
        <v>44826</v>
      </c>
      <c r="F1632" t="s">
        <v>1473</v>
      </c>
      <c r="G1632" s="1">
        <v>44842</v>
      </c>
      <c r="I1632" t="s">
        <v>13</v>
      </c>
      <c r="J1632" s="1" t="b">
        <f t="shared" si="175"/>
        <v>0</v>
      </c>
      <c r="K1632" s="1" t="b">
        <f t="shared" si="176"/>
        <v>1</v>
      </c>
      <c r="L1632" s="1" t="b">
        <f t="shared" si="177"/>
        <v>0</v>
      </c>
      <c r="M1632" s="1" t="b">
        <f t="shared" si="178"/>
        <v>0</v>
      </c>
      <c r="N1632" s="1" t="b">
        <f t="shared" si="179"/>
        <v>0</v>
      </c>
      <c r="O1632" s="1" t="b">
        <f t="shared" si="180"/>
        <v>0</v>
      </c>
      <c r="P1632" s="1" t="b">
        <f t="shared" si="181"/>
        <v>0</v>
      </c>
    </row>
    <row r="1633" spans="1:16" x14ac:dyDescent="0.2">
      <c r="A1633">
        <v>5295408</v>
      </c>
      <c r="B1633" t="s">
        <v>2983</v>
      </c>
      <c r="C1633" t="s">
        <v>35</v>
      </c>
      <c r="D1633" t="s">
        <v>77</v>
      </c>
      <c r="E1633" s="1">
        <v>44855</v>
      </c>
      <c r="F1633" t="s">
        <v>2984</v>
      </c>
      <c r="G1633" s="1">
        <v>44868</v>
      </c>
      <c r="H1633" s="1">
        <v>44895</v>
      </c>
      <c r="J1633" s="1" t="b">
        <f t="shared" si="175"/>
        <v>1</v>
      </c>
      <c r="K1633" s="1" t="b">
        <f t="shared" si="176"/>
        <v>0</v>
      </c>
      <c r="L1633" s="1" t="b">
        <f t="shared" si="177"/>
        <v>0</v>
      </c>
      <c r="M1633" s="1" t="b">
        <f t="shared" si="178"/>
        <v>0</v>
      </c>
      <c r="N1633" s="1" t="b">
        <f t="shared" si="179"/>
        <v>0</v>
      </c>
      <c r="O1633" s="1" t="b">
        <f t="shared" si="180"/>
        <v>0</v>
      </c>
      <c r="P1633" s="1" t="b">
        <f t="shared" si="181"/>
        <v>0</v>
      </c>
    </row>
    <row r="1634" spans="1:16" x14ac:dyDescent="0.2">
      <c r="A1634">
        <v>5295408</v>
      </c>
      <c r="B1634" t="s">
        <v>2985</v>
      </c>
      <c r="C1634" t="s">
        <v>35</v>
      </c>
      <c r="D1634" t="s">
        <v>77</v>
      </c>
      <c r="E1634" s="1">
        <v>45086</v>
      </c>
      <c r="F1634" t="s">
        <v>594</v>
      </c>
      <c r="G1634" s="1">
        <v>45114</v>
      </c>
      <c r="H1634" s="1">
        <v>45154</v>
      </c>
      <c r="I1634" t="s">
        <v>43</v>
      </c>
      <c r="J1634" s="1" t="b">
        <f t="shared" si="175"/>
        <v>1</v>
      </c>
      <c r="K1634" s="1" t="b">
        <f t="shared" si="176"/>
        <v>0</v>
      </c>
      <c r="L1634" s="1" t="b">
        <f t="shared" si="177"/>
        <v>0</v>
      </c>
      <c r="M1634" s="1" t="b">
        <f t="shared" si="178"/>
        <v>0</v>
      </c>
      <c r="N1634" s="1" t="b">
        <f t="shared" si="179"/>
        <v>0</v>
      </c>
      <c r="O1634" s="1" t="b">
        <f t="shared" si="180"/>
        <v>1</v>
      </c>
      <c r="P1634" s="1" t="b">
        <f t="shared" si="181"/>
        <v>0</v>
      </c>
    </row>
    <row r="1635" spans="1:16" x14ac:dyDescent="0.2">
      <c r="A1635">
        <v>6262096</v>
      </c>
      <c r="B1635" t="s">
        <v>2986</v>
      </c>
      <c r="C1635" t="s">
        <v>542</v>
      </c>
      <c r="D1635" t="s">
        <v>122</v>
      </c>
      <c r="E1635" s="1">
        <v>44605</v>
      </c>
      <c r="F1635" t="s">
        <v>2987</v>
      </c>
      <c r="G1635" s="1">
        <v>44625</v>
      </c>
      <c r="H1635" s="1">
        <v>44667</v>
      </c>
      <c r="I1635" t="s">
        <v>28</v>
      </c>
      <c r="J1635" s="1" t="b">
        <f t="shared" si="175"/>
        <v>1</v>
      </c>
      <c r="K1635" s="1" t="b">
        <f t="shared" si="176"/>
        <v>0</v>
      </c>
      <c r="L1635" s="1" t="b">
        <f t="shared" si="177"/>
        <v>0</v>
      </c>
      <c r="M1635" s="1" t="b">
        <f t="shared" si="178"/>
        <v>0</v>
      </c>
      <c r="N1635" s="1" t="b">
        <f t="shared" si="179"/>
        <v>0</v>
      </c>
      <c r="O1635" s="1" t="b">
        <f t="shared" si="180"/>
        <v>0</v>
      </c>
      <c r="P1635" s="1" t="b">
        <f t="shared" si="181"/>
        <v>1</v>
      </c>
    </row>
    <row r="1636" spans="1:16" x14ac:dyDescent="0.2">
      <c r="A1636">
        <v>6262096</v>
      </c>
      <c r="B1636" t="s">
        <v>2988</v>
      </c>
      <c r="C1636" t="s">
        <v>542</v>
      </c>
      <c r="D1636" t="s">
        <v>122</v>
      </c>
      <c r="E1636" s="1">
        <v>44570</v>
      </c>
      <c r="F1636" t="s">
        <v>2442</v>
      </c>
      <c r="G1636" s="1">
        <v>44575</v>
      </c>
      <c r="I1636" t="s">
        <v>13</v>
      </c>
      <c r="J1636" s="1" t="b">
        <f t="shared" si="175"/>
        <v>0</v>
      </c>
      <c r="K1636" s="1" t="b">
        <f t="shared" si="176"/>
        <v>1</v>
      </c>
      <c r="L1636" s="1" t="b">
        <f t="shared" si="177"/>
        <v>0</v>
      </c>
      <c r="M1636" s="1" t="b">
        <f t="shared" si="178"/>
        <v>0</v>
      </c>
      <c r="N1636" s="1" t="b">
        <f t="shared" si="179"/>
        <v>0</v>
      </c>
      <c r="O1636" s="1" t="b">
        <f t="shared" si="180"/>
        <v>0</v>
      </c>
      <c r="P1636" s="1" t="b">
        <f t="shared" si="181"/>
        <v>0</v>
      </c>
    </row>
    <row r="1637" spans="1:16" x14ac:dyDescent="0.2">
      <c r="A1637">
        <v>6262096</v>
      </c>
      <c r="B1637" t="s">
        <v>2989</v>
      </c>
      <c r="C1637" t="s">
        <v>542</v>
      </c>
      <c r="D1637" t="s">
        <v>122</v>
      </c>
      <c r="E1637" s="1">
        <v>44970</v>
      </c>
      <c r="F1637" t="s">
        <v>2990</v>
      </c>
      <c r="G1637" s="1">
        <v>44998</v>
      </c>
      <c r="H1637" s="1">
        <v>45003</v>
      </c>
      <c r="I1637" t="s">
        <v>28</v>
      </c>
      <c r="J1637" s="1" t="b">
        <f t="shared" si="175"/>
        <v>1</v>
      </c>
      <c r="K1637" s="1" t="b">
        <f t="shared" si="176"/>
        <v>0</v>
      </c>
      <c r="L1637" s="1" t="b">
        <f t="shared" si="177"/>
        <v>0</v>
      </c>
      <c r="M1637" s="1" t="b">
        <f t="shared" si="178"/>
        <v>0</v>
      </c>
      <c r="N1637" s="1" t="b">
        <f t="shared" si="179"/>
        <v>0</v>
      </c>
      <c r="O1637" s="1" t="b">
        <f t="shared" si="180"/>
        <v>0</v>
      </c>
      <c r="P1637" s="1" t="b">
        <f t="shared" si="181"/>
        <v>1</v>
      </c>
    </row>
    <row r="1638" spans="1:16" x14ac:dyDescent="0.2">
      <c r="A1638">
        <v>6262096</v>
      </c>
      <c r="B1638" t="s">
        <v>2991</v>
      </c>
      <c r="C1638" t="s">
        <v>542</v>
      </c>
      <c r="D1638" t="s">
        <v>122</v>
      </c>
      <c r="E1638" s="1">
        <v>44657</v>
      </c>
      <c r="F1638" t="s">
        <v>1850</v>
      </c>
      <c r="G1638" s="1">
        <v>44669</v>
      </c>
      <c r="I1638" t="s">
        <v>25</v>
      </c>
      <c r="J1638" s="1" t="b">
        <f t="shared" si="175"/>
        <v>0</v>
      </c>
      <c r="K1638" s="1" t="b">
        <f t="shared" si="176"/>
        <v>0</v>
      </c>
      <c r="L1638" s="1" t="b">
        <f t="shared" si="177"/>
        <v>1</v>
      </c>
      <c r="M1638" s="1" t="b">
        <f t="shared" si="178"/>
        <v>0</v>
      </c>
      <c r="N1638" s="1" t="b">
        <f t="shared" si="179"/>
        <v>0</v>
      </c>
      <c r="O1638" s="1" t="b">
        <f t="shared" si="180"/>
        <v>0</v>
      </c>
      <c r="P1638" s="1" t="b">
        <f t="shared" si="181"/>
        <v>0</v>
      </c>
    </row>
    <row r="1639" spans="1:16" x14ac:dyDescent="0.2">
      <c r="A1639">
        <v>8816129</v>
      </c>
      <c r="B1639" t="s">
        <v>2992</v>
      </c>
      <c r="C1639" t="s">
        <v>287</v>
      </c>
      <c r="D1639" t="s">
        <v>139</v>
      </c>
      <c r="E1639" s="1">
        <v>44672</v>
      </c>
      <c r="F1639" t="s">
        <v>2993</v>
      </c>
      <c r="G1639" s="1">
        <v>44702</v>
      </c>
      <c r="I1639" t="s">
        <v>13</v>
      </c>
      <c r="J1639" s="1" t="b">
        <f t="shared" si="175"/>
        <v>0</v>
      </c>
      <c r="K1639" s="1" t="b">
        <f t="shared" si="176"/>
        <v>1</v>
      </c>
      <c r="L1639" s="1" t="b">
        <f t="shared" si="177"/>
        <v>0</v>
      </c>
      <c r="M1639" s="1" t="b">
        <f t="shared" si="178"/>
        <v>0</v>
      </c>
      <c r="N1639" s="1" t="b">
        <f t="shared" si="179"/>
        <v>0</v>
      </c>
      <c r="O1639" s="1" t="b">
        <f t="shared" si="180"/>
        <v>0</v>
      </c>
      <c r="P1639" s="1" t="b">
        <f t="shared" si="181"/>
        <v>0</v>
      </c>
    </row>
    <row r="1640" spans="1:16" x14ac:dyDescent="0.2">
      <c r="A1640">
        <v>8816129</v>
      </c>
      <c r="B1640" t="s">
        <v>2994</v>
      </c>
      <c r="C1640" t="s">
        <v>287</v>
      </c>
      <c r="D1640" t="s">
        <v>139</v>
      </c>
      <c r="E1640" s="1">
        <v>44766</v>
      </c>
      <c r="F1640" t="s">
        <v>2995</v>
      </c>
      <c r="G1640" s="1">
        <v>44779</v>
      </c>
      <c r="H1640" s="1">
        <v>44801</v>
      </c>
      <c r="J1640" s="1" t="b">
        <f t="shared" si="175"/>
        <v>1</v>
      </c>
      <c r="K1640" s="1" t="b">
        <f t="shared" si="176"/>
        <v>0</v>
      </c>
      <c r="L1640" s="1" t="b">
        <f t="shared" si="177"/>
        <v>0</v>
      </c>
      <c r="M1640" s="1" t="b">
        <f t="shared" si="178"/>
        <v>0</v>
      </c>
      <c r="N1640" s="1" t="b">
        <f t="shared" si="179"/>
        <v>0</v>
      </c>
      <c r="O1640" s="1" t="b">
        <f t="shared" si="180"/>
        <v>0</v>
      </c>
      <c r="P1640" s="1" t="b">
        <f t="shared" si="181"/>
        <v>0</v>
      </c>
    </row>
    <row r="1641" spans="1:16" x14ac:dyDescent="0.2">
      <c r="A1641">
        <v>8816129</v>
      </c>
      <c r="B1641" t="s">
        <v>2996</v>
      </c>
      <c r="C1641" t="s">
        <v>287</v>
      </c>
      <c r="D1641" t="s">
        <v>139</v>
      </c>
      <c r="E1641" s="1">
        <v>45059</v>
      </c>
      <c r="F1641" t="s">
        <v>2997</v>
      </c>
      <c r="G1641" s="1">
        <v>45066</v>
      </c>
      <c r="I1641" t="s">
        <v>13</v>
      </c>
      <c r="J1641" s="1" t="b">
        <f t="shared" si="175"/>
        <v>0</v>
      </c>
      <c r="K1641" s="1" t="b">
        <f t="shared" si="176"/>
        <v>1</v>
      </c>
      <c r="L1641" s="1" t="b">
        <f t="shared" si="177"/>
        <v>0</v>
      </c>
      <c r="M1641" s="1" t="b">
        <f t="shared" si="178"/>
        <v>0</v>
      </c>
      <c r="N1641" s="1" t="b">
        <f t="shared" si="179"/>
        <v>0</v>
      </c>
      <c r="O1641" s="1" t="b">
        <f t="shared" si="180"/>
        <v>0</v>
      </c>
      <c r="P1641" s="1" t="b">
        <f t="shared" si="181"/>
        <v>0</v>
      </c>
    </row>
    <row r="1642" spans="1:16" x14ac:dyDescent="0.2">
      <c r="A1642">
        <v>8816129</v>
      </c>
      <c r="B1642" t="s">
        <v>2998</v>
      </c>
      <c r="C1642" t="s">
        <v>287</v>
      </c>
      <c r="D1642" t="s">
        <v>139</v>
      </c>
      <c r="E1642" s="1">
        <v>45027</v>
      </c>
      <c r="F1642" t="s">
        <v>2999</v>
      </c>
      <c r="G1642" s="1">
        <v>45029</v>
      </c>
      <c r="H1642" s="1">
        <v>45064</v>
      </c>
      <c r="J1642" s="1" t="b">
        <f t="shared" si="175"/>
        <v>1</v>
      </c>
      <c r="K1642" s="1" t="b">
        <f t="shared" si="176"/>
        <v>0</v>
      </c>
      <c r="L1642" s="1" t="b">
        <f t="shared" si="177"/>
        <v>0</v>
      </c>
      <c r="M1642" s="1" t="b">
        <f t="shared" si="178"/>
        <v>0</v>
      </c>
      <c r="N1642" s="1" t="b">
        <f t="shared" si="179"/>
        <v>0</v>
      </c>
      <c r="O1642" s="1" t="b">
        <f t="shared" si="180"/>
        <v>0</v>
      </c>
      <c r="P1642" s="1" t="b">
        <f t="shared" si="181"/>
        <v>0</v>
      </c>
    </row>
    <row r="1643" spans="1:16" x14ac:dyDescent="0.2">
      <c r="A1643">
        <v>3612902</v>
      </c>
      <c r="B1643" t="s">
        <v>3000</v>
      </c>
      <c r="C1643" t="s">
        <v>363</v>
      </c>
      <c r="D1643" t="s">
        <v>187</v>
      </c>
      <c r="E1643" s="1">
        <v>44951</v>
      </c>
      <c r="F1643" t="s">
        <v>3001</v>
      </c>
      <c r="G1643" s="1">
        <v>44953</v>
      </c>
      <c r="I1643" t="s">
        <v>25</v>
      </c>
      <c r="J1643" s="1" t="b">
        <f t="shared" si="175"/>
        <v>0</v>
      </c>
      <c r="K1643" s="1" t="b">
        <f t="shared" si="176"/>
        <v>0</v>
      </c>
      <c r="L1643" s="1" t="b">
        <f t="shared" si="177"/>
        <v>1</v>
      </c>
      <c r="M1643" s="1" t="b">
        <f t="shared" si="178"/>
        <v>0</v>
      </c>
      <c r="N1643" s="1" t="b">
        <f t="shared" si="179"/>
        <v>0</v>
      </c>
      <c r="O1643" s="1" t="b">
        <f t="shared" si="180"/>
        <v>0</v>
      </c>
      <c r="P1643" s="1" t="b">
        <f t="shared" si="181"/>
        <v>0</v>
      </c>
    </row>
    <row r="1644" spans="1:16" x14ac:dyDescent="0.2">
      <c r="A1644">
        <v>3612902</v>
      </c>
      <c r="B1644" t="s">
        <v>3002</v>
      </c>
      <c r="C1644" t="s">
        <v>363</v>
      </c>
      <c r="D1644" t="s">
        <v>187</v>
      </c>
      <c r="E1644" s="1">
        <v>45046</v>
      </c>
      <c r="F1644" t="s">
        <v>873</v>
      </c>
      <c r="G1644" s="1">
        <v>45053</v>
      </c>
      <c r="H1644" s="1">
        <v>45057</v>
      </c>
      <c r="I1644" t="s">
        <v>28</v>
      </c>
      <c r="J1644" s="1" t="b">
        <f t="shared" si="175"/>
        <v>1</v>
      </c>
      <c r="K1644" s="1" t="b">
        <f t="shared" si="176"/>
        <v>0</v>
      </c>
      <c r="L1644" s="1" t="b">
        <f t="shared" si="177"/>
        <v>0</v>
      </c>
      <c r="M1644" s="1" t="b">
        <f t="shared" si="178"/>
        <v>0</v>
      </c>
      <c r="N1644" s="1" t="b">
        <f t="shared" si="179"/>
        <v>0</v>
      </c>
      <c r="O1644" s="1" t="b">
        <f t="shared" si="180"/>
        <v>0</v>
      </c>
      <c r="P1644" s="1" t="b">
        <f t="shared" si="181"/>
        <v>1</v>
      </c>
    </row>
    <row r="1645" spans="1:16" x14ac:dyDescent="0.2">
      <c r="A1645">
        <v>4548261</v>
      </c>
      <c r="B1645" t="s">
        <v>3003</v>
      </c>
      <c r="C1645" t="s">
        <v>90</v>
      </c>
      <c r="D1645" t="s">
        <v>56</v>
      </c>
      <c r="E1645" s="1">
        <v>44647</v>
      </c>
      <c r="F1645" t="s">
        <v>3004</v>
      </c>
      <c r="G1645" s="1">
        <v>44652</v>
      </c>
      <c r="I1645" t="s">
        <v>13</v>
      </c>
      <c r="J1645" s="1" t="b">
        <f t="shared" si="175"/>
        <v>0</v>
      </c>
      <c r="K1645" s="1" t="b">
        <f t="shared" si="176"/>
        <v>1</v>
      </c>
      <c r="L1645" s="1" t="b">
        <f t="shared" si="177"/>
        <v>0</v>
      </c>
      <c r="M1645" s="1" t="b">
        <f t="shared" si="178"/>
        <v>0</v>
      </c>
      <c r="N1645" s="1" t="b">
        <f t="shared" si="179"/>
        <v>0</v>
      </c>
      <c r="O1645" s="1" t="b">
        <f t="shared" si="180"/>
        <v>0</v>
      </c>
      <c r="P1645" s="1" t="b">
        <f t="shared" si="181"/>
        <v>0</v>
      </c>
    </row>
    <row r="1646" spans="1:16" x14ac:dyDescent="0.2">
      <c r="A1646">
        <v>4548261</v>
      </c>
      <c r="B1646" t="s">
        <v>3005</v>
      </c>
      <c r="C1646" t="s">
        <v>90</v>
      </c>
      <c r="D1646" t="s">
        <v>56</v>
      </c>
      <c r="E1646" s="1">
        <v>44912</v>
      </c>
      <c r="F1646" t="s">
        <v>3006</v>
      </c>
      <c r="G1646" s="1">
        <v>44937</v>
      </c>
      <c r="I1646" t="s">
        <v>13</v>
      </c>
      <c r="J1646" s="1" t="b">
        <f t="shared" si="175"/>
        <v>0</v>
      </c>
      <c r="K1646" s="1" t="b">
        <f t="shared" si="176"/>
        <v>1</v>
      </c>
      <c r="L1646" s="1" t="b">
        <f t="shared" si="177"/>
        <v>0</v>
      </c>
      <c r="M1646" s="1" t="b">
        <f t="shared" si="178"/>
        <v>0</v>
      </c>
      <c r="N1646" s="1" t="b">
        <f t="shared" si="179"/>
        <v>0</v>
      </c>
      <c r="O1646" s="1" t="b">
        <f t="shared" si="180"/>
        <v>0</v>
      </c>
      <c r="P1646" s="1" t="b">
        <f t="shared" si="181"/>
        <v>0</v>
      </c>
    </row>
    <row r="1647" spans="1:16" x14ac:dyDescent="0.2">
      <c r="A1647">
        <v>4548261</v>
      </c>
      <c r="B1647" t="s">
        <v>3007</v>
      </c>
      <c r="C1647" t="s">
        <v>90</v>
      </c>
      <c r="D1647" t="s">
        <v>56</v>
      </c>
      <c r="E1647" s="1">
        <v>45024</v>
      </c>
      <c r="F1647" t="s">
        <v>922</v>
      </c>
      <c r="G1647" s="1">
        <v>45052</v>
      </c>
      <c r="H1647" s="1">
        <v>45079</v>
      </c>
      <c r="I1647" t="s">
        <v>28</v>
      </c>
      <c r="J1647" s="1" t="b">
        <f t="shared" si="175"/>
        <v>1</v>
      </c>
      <c r="K1647" s="1" t="b">
        <f t="shared" si="176"/>
        <v>0</v>
      </c>
      <c r="L1647" s="1" t="b">
        <f t="shared" si="177"/>
        <v>0</v>
      </c>
      <c r="M1647" s="1" t="b">
        <f t="shared" si="178"/>
        <v>0</v>
      </c>
      <c r="N1647" s="1" t="b">
        <f t="shared" si="179"/>
        <v>0</v>
      </c>
      <c r="O1647" s="1" t="b">
        <f t="shared" si="180"/>
        <v>0</v>
      </c>
      <c r="P1647" s="1" t="b">
        <f t="shared" si="181"/>
        <v>1</v>
      </c>
    </row>
    <row r="1648" spans="1:16" x14ac:dyDescent="0.2">
      <c r="A1648">
        <v>4548261</v>
      </c>
      <c r="B1648" t="s">
        <v>3008</v>
      </c>
      <c r="C1648" t="s">
        <v>90</v>
      </c>
      <c r="D1648" t="s">
        <v>56</v>
      </c>
      <c r="E1648" s="1">
        <v>44617</v>
      </c>
      <c r="F1648" t="s">
        <v>2031</v>
      </c>
      <c r="G1648" s="1">
        <v>44620</v>
      </c>
      <c r="H1648" s="1">
        <v>44678</v>
      </c>
      <c r="I1648" t="s">
        <v>28</v>
      </c>
      <c r="J1648" s="1" t="b">
        <f t="shared" si="175"/>
        <v>1</v>
      </c>
      <c r="K1648" s="1" t="b">
        <f t="shared" si="176"/>
        <v>0</v>
      </c>
      <c r="L1648" s="1" t="b">
        <f t="shared" si="177"/>
        <v>0</v>
      </c>
      <c r="M1648" s="1" t="b">
        <f t="shared" si="178"/>
        <v>0</v>
      </c>
      <c r="N1648" s="1" t="b">
        <f t="shared" si="179"/>
        <v>0</v>
      </c>
      <c r="O1648" s="1" t="b">
        <f t="shared" si="180"/>
        <v>0</v>
      </c>
      <c r="P1648" s="1" t="b">
        <f t="shared" si="181"/>
        <v>1</v>
      </c>
    </row>
    <row r="1649" spans="1:16" x14ac:dyDescent="0.2">
      <c r="A1649">
        <v>5981239</v>
      </c>
      <c r="B1649" t="s">
        <v>3009</v>
      </c>
      <c r="C1649" t="s">
        <v>38</v>
      </c>
      <c r="D1649" t="s">
        <v>19</v>
      </c>
      <c r="E1649" s="1">
        <v>44726</v>
      </c>
      <c r="F1649" t="s">
        <v>3010</v>
      </c>
      <c r="G1649" s="1">
        <v>44749</v>
      </c>
      <c r="H1649" s="1">
        <v>44777</v>
      </c>
      <c r="J1649" s="1" t="b">
        <f t="shared" si="175"/>
        <v>1</v>
      </c>
      <c r="K1649" s="1" t="b">
        <f t="shared" si="176"/>
        <v>0</v>
      </c>
      <c r="L1649" s="1" t="b">
        <f t="shared" si="177"/>
        <v>0</v>
      </c>
      <c r="M1649" s="1" t="b">
        <f t="shared" si="178"/>
        <v>0</v>
      </c>
      <c r="N1649" s="1" t="b">
        <f t="shared" si="179"/>
        <v>0</v>
      </c>
      <c r="O1649" s="1" t="b">
        <f t="shared" si="180"/>
        <v>0</v>
      </c>
      <c r="P1649" s="1" t="b">
        <f t="shared" si="181"/>
        <v>0</v>
      </c>
    </row>
    <row r="1650" spans="1:16" x14ac:dyDescent="0.2">
      <c r="A1650">
        <v>5981239</v>
      </c>
      <c r="B1650" t="s">
        <v>3011</v>
      </c>
      <c r="C1650" t="s">
        <v>38</v>
      </c>
      <c r="D1650" t="s">
        <v>19</v>
      </c>
      <c r="E1650" s="1">
        <v>44765</v>
      </c>
      <c r="F1650" t="s">
        <v>3012</v>
      </c>
      <c r="G1650" s="1">
        <v>44768</v>
      </c>
      <c r="H1650" s="1">
        <v>44815</v>
      </c>
      <c r="J1650" s="1" t="b">
        <f t="shared" si="175"/>
        <v>1</v>
      </c>
      <c r="K1650" s="1" t="b">
        <f t="shared" si="176"/>
        <v>0</v>
      </c>
      <c r="L1650" s="1" t="b">
        <f t="shared" si="177"/>
        <v>0</v>
      </c>
      <c r="M1650" s="1" t="b">
        <f t="shared" si="178"/>
        <v>0</v>
      </c>
      <c r="N1650" s="1" t="b">
        <f t="shared" si="179"/>
        <v>0</v>
      </c>
      <c r="O1650" s="1" t="b">
        <f t="shared" si="180"/>
        <v>0</v>
      </c>
      <c r="P1650" s="1" t="b">
        <f t="shared" si="181"/>
        <v>0</v>
      </c>
    </row>
    <row r="1651" spans="1:16" x14ac:dyDescent="0.2">
      <c r="A1651">
        <v>5981239</v>
      </c>
      <c r="B1651" t="s">
        <v>3013</v>
      </c>
      <c r="C1651" t="s">
        <v>38</v>
      </c>
      <c r="D1651" t="s">
        <v>19</v>
      </c>
      <c r="E1651" s="1">
        <v>44886</v>
      </c>
      <c r="F1651" t="s">
        <v>313</v>
      </c>
      <c r="G1651" s="1">
        <v>44887</v>
      </c>
      <c r="H1651" s="1">
        <v>44897</v>
      </c>
      <c r="I1651" t="s">
        <v>43</v>
      </c>
      <c r="J1651" s="1" t="b">
        <f t="shared" si="175"/>
        <v>1</v>
      </c>
      <c r="K1651" s="1" t="b">
        <f t="shared" si="176"/>
        <v>0</v>
      </c>
      <c r="L1651" s="1" t="b">
        <f t="shared" si="177"/>
        <v>0</v>
      </c>
      <c r="M1651" s="1" t="b">
        <f t="shared" si="178"/>
        <v>0</v>
      </c>
      <c r="N1651" s="1" t="b">
        <f t="shared" si="179"/>
        <v>0</v>
      </c>
      <c r="O1651" s="1" t="b">
        <f t="shared" si="180"/>
        <v>1</v>
      </c>
      <c r="P1651" s="1" t="b">
        <f t="shared" si="181"/>
        <v>0</v>
      </c>
    </row>
    <row r="1652" spans="1:16" x14ac:dyDescent="0.2">
      <c r="A1652">
        <v>8695022</v>
      </c>
      <c r="B1652" t="s">
        <v>3014</v>
      </c>
      <c r="C1652" t="s">
        <v>310</v>
      </c>
      <c r="D1652" t="s">
        <v>187</v>
      </c>
      <c r="E1652" s="1">
        <v>44978</v>
      </c>
      <c r="F1652" t="s">
        <v>1360</v>
      </c>
      <c r="G1652" s="1">
        <v>44987</v>
      </c>
      <c r="H1652" s="1">
        <v>45021</v>
      </c>
      <c r="I1652" t="s">
        <v>16</v>
      </c>
      <c r="J1652" s="1" t="b">
        <f t="shared" si="175"/>
        <v>1</v>
      </c>
      <c r="K1652" s="1" t="b">
        <f t="shared" si="176"/>
        <v>0</v>
      </c>
      <c r="L1652" s="1" t="b">
        <f t="shared" si="177"/>
        <v>0</v>
      </c>
      <c r="M1652" s="1" t="b">
        <f t="shared" si="178"/>
        <v>0</v>
      </c>
      <c r="N1652" s="1" t="b">
        <f t="shared" si="179"/>
        <v>1</v>
      </c>
      <c r="O1652" s="1" t="b">
        <f t="shared" si="180"/>
        <v>0</v>
      </c>
      <c r="P1652" s="1" t="b">
        <f t="shared" si="181"/>
        <v>0</v>
      </c>
    </row>
    <row r="1653" spans="1:16" x14ac:dyDescent="0.2">
      <c r="A1653">
        <v>8695022</v>
      </c>
      <c r="B1653" t="s">
        <v>3015</v>
      </c>
      <c r="C1653" t="s">
        <v>310</v>
      </c>
      <c r="D1653" t="s">
        <v>187</v>
      </c>
      <c r="E1653" s="1">
        <v>44690</v>
      </c>
      <c r="F1653" t="s">
        <v>3016</v>
      </c>
      <c r="G1653" s="1">
        <v>44711</v>
      </c>
      <c r="H1653" s="1">
        <v>44740</v>
      </c>
      <c r="J1653" s="1" t="b">
        <f t="shared" si="175"/>
        <v>1</v>
      </c>
      <c r="K1653" s="1" t="b">
        <f t="shared" si="176"/>
        <v>0</v>
      </c>
      <c r="L1653" s="1" t="b">
        <f t="shared" si="177"/>
        <v>0</v>
      </c>
      <c r="M1653" s="1" t="b">
        <f t="shared" si="178"/>
        <v>0</v>
      </c>
      <c r="N1653" s="1" t="b">
        <f t="shared" si="179"/>
        <v>0</v>
      </c>
      <c r="O1653" s="1" t="b">
        <f t="shared" si="180"/>
        <v>0</v>
      </c>
      <c r="P1653" s="1" t="b">
        <f t="shared" si="181"/>
        <v>0</v>
      </c>
    </row>
    <row r="1654" spans="1:16" x14ac:dyDescent="0.2">
      <c r="A1654">
        <v>8695022</v>
      </c>
      <c r="B1654" t="s">
        <v>3017</v>
      </c>
      <c r="C1654" t="s">
        <v>310</v>
      </c>
      <c r="D1654" t="s">
        <v>187</v>
      </c>
      <c r="E1654" s="1">
        <v>44754</v>
      </c>
      <c r="F1654" t="s">
        <v>3018</v>
      </c>
      <c r="G1654" s="1">
        <v>44768</v>
      </c>
      <c r="H1654" s="1">
        <v>44813</v>
      </c>
      <c r="I1654" t="s">
        <v>16</v>
      </c>
      <c r="J1654" s="1" t="b">
        <f t="shared" si="175"/>
        <v>1</v>
      </c>
      <c r="K1654" s="1" t="b">
        <f t="shared" si="176"/>
        <v>0</v>
      </c>
      <c r="L1654" s="1" t="b">
        <f t="shared" si="177"/>
        <v>0</v>
      </c>
      <c r="M1654" s="1" t="b">
        <f t="shared" si="178"/>
        <v>0</v>
      </c>
      <c r="N1654" s="1" t="b">
        <f t="shared" si="179"/>
        <v>1</v>
      </c>
      <c r="O1654" s="1" t="b">
        <f t="shared" si="180"/>
        <v>0</v>
      </c>
      <c r="P1654" s="1" t="b">
        <f t="shared" si="181"/>
        <v>0</v>
      </c>
    </row>
    <row r="1655" spans="1:16" x14ac:dyDescent="0.2">
      <c r="A1655">
        <v>8695022</v>
      </c>
      <c r="B1655" t="s">
        <v>3019</v>
      </c>
      <c r="C1655" t="s">
        <v>310</v>
      </c>
      <c r="D1655" t="s">
        <v>187</v>
      </c>
      <c r="E1655" s="1">
        <v>44783</v>
      </c>
      <c r="F1655" t="s">
        <v>3020</v>
      </c>
      <c r="G1655" s="1">
        <v>44795</v>
      </c>
      <c r="H1655" s="1">
        <v>44809</v>
      </c>
      <c r="I1655" t="s">
        <v>43</v>
      </c>
      <c r="J1655" s="1" t="b">
        <f t="shared" si="175"/>
        <v>1</v>
      </c>
      <c r="K1655" s="1" t="b">
        <f t="shared" si="176"/>
        <v>0</v>
      </c>
      <c r="L1655" s="1" t="b">
        <f t="shared" si="177"/>
        <v>0</v>
      </c>
      <c r="M1655" s="1" t="b">
        <f t="shared" si="178"/>
        <v>0</v>
      </c>
      <c r="N1655" s="1" t="b">
        <f t="shared" si="179"/>
        <v>0</v>
      </c>
      <c r="O1655" s="1" t="b">
        <f t="shared" si="180"/>
        <v>1</v>
      </c>
      <c r="P1655" s="1" t="b">
        <f t="shared" si="181"/>
        <v>0</v>
      </c>
    </row>
    <row r="1656" spans="1:16" x14ac:dyDescent="0.2">
      <c r="A1656">
        <v>4207115</v>
      </c>
      <c r="B1656" t="s">
        <v>3021</v>
      </c>
      <c r="C1656" t="s">
        <v>167</v>
      </c>
      <c r="D1656" t="s">
        <v>81</v>
      </c>
      <c r="E1656" s="1">
        <v>44871</v>
      </c>
      <c r="F1656" t="s">
        <v>3022</v>
      </c>
      <c r="G1656" s="1">
        <v>44900</v>
      </c>
      <c r="I1656" t="s">
        <v>25</v>
      </c>
      <c r="J1656" s="1" t="b">
        <f t="shared" si="175"/>
        <v>0</v>
      </c>
      <c r="K1656" s="1" t="b">
        <f t="shared" si="176"/>
        <v>0</v>
      </c>
      <c r="L1656" s="1" t="b">
        <f t="shared" si="177"/>
        <v>1</v>
      </c>
      <c r="M1656" s="1" t="b">
        <f t="shared" si="178"/>
        <v>0</v>
      </c>
      <c r="N1656" s="1" t="b">
        <f t="shared" si="179"/>
        <v>0</v>
      </c>
      <c r="O1656" s="1" t="b">
        <f t="shared" si="180"/>
        <v>0</v>
      </c>
      <c r="P1656" s="1" t="b">
        <f t="shared" si="181"/>
        <v>0</v>
      </c>
    </row>
    <row r="1657" spans="1:16" x14ac:dyDescent="0.2">
      <c r="A1657">
        <v>6150025</v>
      </c>
      <c r="B1657" t="s">
        <v>3023</v>
      </c>
      <c r="C1657" t="s">
        <v>80</v>
      </c>
      <c r="D1657" t="s">
        <v>122</v>
      </c>
      <c r="E1657" s="1">
        <v>44922</v>
      </c>
      <c r="F1657" t="s">
        <v>216</v>
      </c>
      <c r="G1657" s="1">
        <v>44934</v>
      </c>
      <c r="H1657" s="1">
        <v>44988</v>
      </c>
      <c r="J1657" s="1" t="b">
        <f t="shared" si="175"/>
        <v>1</v>
      </c>
      <c r="K1657" s="1" t="b">
        <f t="shared" si="176"/>
        <v>0</v>
      </c>
      <c r="L1657" s="1" t="b">
        <f t="shared" si="177"/>
        <v>0</v>
      </c>
      <c r="M1657" s="1" t="b">
        <f t="shared" si="178"/>
        <v>0</v>
      </c>
      <c r="N1657" s="1" t="b">
        <f t="shared" si="179"/>
        <v>0</v>
      </c>
      <c r="O1657" s="1" t="b">
        <f t="shared" si="180"/>
        <v>0</v>
      </c>
      <c r="P1657" s="1" t="b">
        <f t="shared" si="181"/>
        <v>0</v>
      </c>
    </row>
    <row r="1658" spans="1:16" x14ac:dyDescent="0.2">
      <c r="A1658">
        <v>6150025</v>
      </c>
      <c r="B1658" t="s">
        <v>3024</v>
      </c>
      <c r="C1658" t="s">
        <v>80</v>
      </c>
      <c r="D1658" t="s">
        <v>122</v>
      </c>
      <c r="E1658" s="1">
        <v>45031</v>
      </c>
      <c r="F1658" t="s">
        <v>3025</v>
      </c>
      <c r="G1658" s="1">
        <v>45045</v>
      </c>
      <c r="H1658" s="1">
        <v>45069</v>
      </c>
      <c r="I1658" t="s">
        <v>28</v>
      </c>
      <c r="J1658" s="1" t="b">
        <f t="shared" si="175"/>
        <v>1</v>
      </c>
      <c r="K1658" s="1" t="b">
        <f t="shared" si="176"/>
        <v>0</v>
      </c>
      <c r="L1658" s="1" t="b">
        <f t="shared" si="177"/>
        <v>0</v>
      </c>
      <c r="M1658" s="1" t="b">
        <f t="shared" si="178"/>
        <v>0</v>
      </c>
      <c r="N1658" s="1" t="b">
        <f t="shared" si="179"/>
        <v>0</v>
      </c>
      <c r="O1658" s="1" t="b">
        <f t="shared" si="180"/>
        <v>0</v>
      </c>
      <c r="P1658" s="1" t="b">
        <f t="shared" si="181"/>
        <v>1</v>
      </c>
    </row>
    <row r="1659" spans="1:16" x14ac:dyDescent="0.2">
      <c r="A1659">
        <v>6150025</v>
      </c>
      <c r="B1659" t="s">
        <v>3026</v>
      </c>
      <c r="C1659" t="s">
        <v>80</v>
      </c>
      <c r="D1659" t="s">
        <v>122</v>
      </c>
      <c r="E1659" s="1">
        <v>45008</v>
      </c>
      <c r="F1659" t="s">
        <v>3027</v>
      </c>
      <c r="G1659" s="1">
        <v>45021</v>
      </c>
      <c r="I1659" t="s">
        <v>13</v>
      </c>
      <c r="J1659" s="1" t="b">
        <f t="shared" si="175"/>
        <v>0</v>
      </c>
      <c r="K1659" s="1" t="b">
        <f t="shared" si="176"/>
        <v>1</v>
      </c>
      <c r="L1659" s="1" t="b">
        <f t="shared" si="177"/>
        <v>0</v>
      </c>
      <c r="M1659" s="1" t="b">
        <f t="shared" si="178"/>
        <v>0</v>
      </c>
      <c r="N1659" s="1" t="b">
        <f t="shared" si="179"/>
        <v>0</v>
      </c>
      <c r="O1659" s="1" t="b">
        <f t="shared" si="180"/>
        <v>0</v>
      </c>
      <c r="P1659" s="1" t="b">
        <f t="shared" si="181"/>
        <v>0</v>
      </c>
    </row>
    <row r="1660" spans="1:16" x14ac:dyDescent="0.2">
      <c r="A1660">
        <v>6150025</v>
      </c>
      <c r="B1660" t="s">
        <v>3028</v>
      </c>
      <c r="C1660" t="s">
        <v>80</v>
      </c>
      <c r="D1660" t="s">
        <v>122</v>
      </c>
      <c r="E1660" s="1">
        <v>45009</v>
      </c>
      <c r="F1660" t="s">
        <v>3029</v>
      </c>
      <c r="G1660" s="1">
        <v>45030</v>
      </c>
      <c r="I1660" t="s">
        <v>25</v>
      </c>
      <c r="J1660" s="1" t="b">
        <f t="shared" si="175"/>
        <v>0</v>
      </c>
      <c r="K1660" s="1" t="b">
        <f t="shared" si="176"/>
        <v>0</v>
      </c>
      <c r="L1660" s="1" t="b">
        <f t="shared" si="177"/>
        <v>1</v>
      </c>
      <c r="M1660" s="1" t="b">
        <f t="shared" si="178"/>
        <v>0</v>
      </c>
      <c r="N1660" s="1" t="b">
        <f t="shared" si="179"/>
        <v>0</v>
      </c>
      <c r="O1660" s="1" t="b">
        <f t="shared" si="180"/>
        <v>0</v>
      </c>
      <c r="P1660" s="1" t="b">
        <f t="shared" si="181"/>
        <v>0</v>
      </c>
    </row>
    <row r="1661" spans="1:16" x14ac:dyDescent="0.2">
      <c r="A1661">
        <v>5752118</v>
      </c>
      <c r="B1661" t="s">
        <v>3030</v>
      </c>
      <c r="C1661" t="s">
        <v>240</v>
      </c>
      <c r="D1661" t="s">
        <v>81</v>
      </c>
      <c r="E1661" s="1">
        <v>44578</v>
      </c>
      <c r="F1661" t="s">
        <v>228</v>
      </c>
      <c r="G1661" s="1">
        <v>44598</v>
      </c>
      <c r="H1661" s="1">
        <v>44658</v>
      </c>
      <c r="I1661" t="s">
        <v>16</v>
      </c>
      <c r="J1661" s="1" t="b">
        <f t="shared" si="175"/>
        <v>1</v>
      </c>
      <c r="K1661" s="1" t="b">
        <f t="shared" si="176"/>
        <v>0</v>
      </c>
      <c r="L1661" s="1" t="b">
        <f t="shared" si="177"/>
        <v>0</v>
      </c>
      <c r="M1661" s="1" t="b">
        <f t="shared" si="178"/>
        <v>0</v>
      </c>
      <c r="N1661" s="1" t="b">
        <f t="shared" si="179"/>
        <v>1</v>
      </c>
      <c r="O1661" s="1" t="b">
        <f t="shared" si="180"/>
        <v>0</v>
      </c>
      <c r="P1661" s="1" t="b">
        <f t="shared" si="181"/>
        <v>0</v>
      </c>
    </row>
    <row r="1662" spans="1:16" x14ac:dyDescent="0.2">
      <c r="A1662">
        <v>7900127</v>
      </c>
      <c r="B1662" t="s">
        <v>3031</v>
      </c>
      <c r="C1662" t="s">
        <v>176</v>
      </c>
      <c r="D1662" t="s">
        <v>77</v>
      </c>
      <c r="E1662" s="1">
        <v>45077</v>
      </c>
      <c r="F1662" t="s">
        <v>2224</v>
      </c>
      <c r="G1662" s="1">
        <v>45096</v>
      </c>
      <c r="H1662" s="1">
        <v>45148</v>
      </c>
      <c r="I1662" t="s">
        <v>16</v>
      </c>
      <c r="J1662" s="1" t="b">
        <f t="shared" si="175"/>
        <v>1</v>
      </c>
      <c r="K1662" s="1" t="b">
        <f t="shared" si="176"/>
        <v>0</v>
      </c>
      <c r="L1662" s="1" t="b">
        <f t="shared" si="177"/>
        <v>0</v>
      </c>
      <c r="M1662" s="1" t="b">
        <f t="shared" si="178"/>
        <v>0</v>
      </c>
      <c r="N1662" s="1" t="b">
        <f t="shared" si="179"/>
        <v>1</v>
      </c>
      <c r="O1662" s="1" t="b">
        <f t="shared" si="180"/>
        <v>0</v>
      </c>
      <c r="P1662" s="1" t="b">
        <f t="shared" si="181"/>
        <v>0</v>
      </c>
    </row>
    <row r="1663" spans="1:16" x14ac:dyDescent="0.2">
      <c r="A1663">
        <v>7900127</v>
      </c>
      <c r="B1663" t="s">
        <v>3032</v>
      </c>
      <c r="C1663" t="s">
        <v>176</v>
      </c>
      <c r="D1663" t="s">
        <v>77</v>
      </c>
      <c r="E1663" s="1">
        <v>44992</v>
      </c>
      <c r="F1663" t="s">
        <v>3033</v>
      </c>
      <c r="G1663" s="1">
        <v>44999</v>
      </c>
      <c r="I1663" t="s">
        <v>13</v>
      </c>
      <c r="J1663" s="1" t="b">
        <f t="shared" si="175"/>
        <v>0</v>
      </c>
      <c r="K1663" s="1" t="b">
        <f t="shared" si="176"/>
        <v>1</v>
      </c>
      <c r="L1663" s="1" t="b">
        <f t="shared" si="177"/>
        <v>0</v>
      </c>
      <c r="M1663" s="1" t="b">
        <f t="shared" si="178"/>
        <v>0</v>
      </c>
      <c r="N1663" s="1" t="b">
        <f t="shared" si="179"/>
        <v>0</v>
      </c>
      <c r="O1663" s="1" t="b">
        <f t="shared" si="180"/>
        <v>0</v>
      </c>
      <c r="P1663" s="1" t="b">
        <f t="shared" si="181"/>
        <v>0</v>
      </c>
    </row>
    <row r="1664" spans="1:16" x14ac:dyDescent="0.2">
      <c r="A1664">
        <v>7900127</v>
      </c>
      <c r="B1664" t="s">
        <v>3034</v>
      </c>
      <c r="C1664" t="s">
        <v>176</v>
      </c>
      <c r="D1664" t="s">
        <v>77</v>
      </c>
      <c r="E1664" s="1">
        <v>44952</v>
      </c>
      <c r="F1664" t="s">
        <v>3035</v>
      </c>
      <c r="G1664" s="1">
        <v>44956</v>
      </c>
      <c r="I1664" t="s">
        <v>25</v>
      </c>
      <c r="J1664" s="1" t="b">
        <f t="shared" si="175"/>
        <v>0</v>
      </c>
      <c r="K1664" s="1" t="b">
        <f t="shared" si="176"/>
        <v>0</v>
      </c>
      <c r="L1664" s="1" t="b">
        <f t="shared" si="177"/>
        <v>1</v>
      </c>
      <c r="M1664" s="1" t="b">
        <f t="shared" si="178"/>
        <v>0</v>
      </c>
      <c r="N1664" s="1" t="b">
        <f t="shared" si="179"/>
        <v>0</v>
      </c>
      <c r="O1664" s="1" t="b">
        <f t="shared" si="180"/>
        <v>0</v>
      </c>
      <c r="P1664" s="1" t="b">
        <f t="shared" si="181"/>
        <v>0</v>
      </c>
    </row>
    <row r="1665" spans="1:16" x14ac:dyDescent="0.2">
      <c r="A1665">
        <v>7900127</v>
      </c>
      <c r="B1665" t="s">
        <v>3036</v>
      </c>
      <c r="C1665" t="s">
        <v>176</v>
      </c>
      <c r="D1665" t="s">
        <v>77</v>
      </c>
      <c r="E1665" s="1">
        <v>44921</v>
      </c>
      <c r="F1665" t="s">
        <v>3037</v>
      </c>
      <c r="G1665" s="1">
        <v>44947</v>
      </c>
      <c r="I1665" t="s">
        <v>13</v>
      </c>
      <c r="J1665" s="1" t="b">
        <f t="shared" si="175"/>
        <v>0</v>
      </c>
      <c r="K1665" s="1" t="b">
        <f t="shared" si="176"/>
        <v>1</v>
      </c>
      <c r="L1665" s="1" t="b">
        <f t="shared" si="177"/>
        <v>0</v>
      </c>
      <c r="M1665" s="1" t="b">
        <f t="shared" si="178"/>
        <v>0</v>
      </c>
      <c r="N1665" s="1" t="b">
        <f t="shared" si="179"/>
        <v>0</v>
      </c>
      <c r="O1665" s="1" t="b">
        <f t="shared" si="180"/>
        <v>0</v>
      </c>
      <c r="P1665" s="1" t="b">
        <f t="shared" si="181"/>
        <v>0</v>
      </c>
    </row>
    <row r="1666" spans="1:16" x14ac:dyDescent="0.2">
      <c r="A1666">
        <v>7900127</v>
      </c>
      <c r="B1666" t="s">
        <v>3038</v>
      </c>
      <c r="C1666" t="s">
        <v>176</v>
      </c>
      <c r="D1666" t="s">
        <v>77</v>
      </c>
      <c r="E1666" s="1">
        <v>44967</v>
      </c>
      <c r="F1666" t="s">
        <v>3039</v>
      </c>
      <c r="G1666" s="1">
        <v>44968</v>
      </c>
      <c r="H1666" s="1">
        <v>44992</v>
      </c>
      <c r="J1666" s="1" t="b">
        <f t="shared" si="175"/>
        <v>1</v>
      </c>
      <c r="K1666" s="1" t="b">
        <f t="shared" si="176"/>
        <v>0</v>
      </c>
      <c r="L1666" s="1" t="b">
        <f t="shared" si="177"/>
        <v>0</v>
      </c>
      <c r="M1666" s="1" t="b">
        <f t="shared" si="178"/>
        <v>0</v>
      </c>
      <c r="N1666" s="1" t="b">
        <f t="shared" si="179"/>
        <v>0</v>
      </c>
      <c r="O1666" s="1" t="b">
        <f t="shared" si="180"/>
        <v>0</v>
      </c>
      <c r="P1666" s="1" t="b">
        <f t="shared" si="181"/>
        <v>0</v>
      </c>
    </row>
    <row r="1667" spans="1:16" x14ac:dyDescent="0.2">
      <c r="A1667">
        <v>4757032</v>
      </c>
      <c r="B1667" t="s">
        <v>3040</v>
      </c>
      <c r="C1667" t="s">
        <v>80</v>
      </c>
      <c r="D1667" t="s">
        <v>11</v>
      </c>
      <c r="E1667" s="1">
        <v>44986</v>
      </c>
      <c r="F1667" t="s">
        <v>3041</v>
      </c>
      <c r="G1667" s="1">
        <v>45008</v>
      </c>
      <c r="H1667" s="1">
        <v>45024</v>
      </c>
      <c r="I1667" t="s">
        <v>28</v>
      </c>
      <c r="J1667" s="1" t="b">
        <f t="shared" ref="J1667:J1730" si="182">AND(NOT(ISBLANK(H1667)), NOT(OR(ISNUMBER(SEARCH("decline", I1667)), ISNUMBER(SEARCH("rescind", I1667)), ISNUMBER(SEARCH("cancel", I1667)))))</f>
        <v>1</v>
      </c>
      <c r="K1667" s="1" t="b">
        <f t="shared" ref="K1667:K1730" si="183">ISNUMBER(SEARCH("decline", I1667))</f>
        <v>0</v>
      </c>
      <c r="L1667" s="1" t="b">
        <f t="shared" ref="L1667:L1730" si="184">ISNUMBER(SEARCH("rescind", I1667))</f>
        <v>0</v>
      </c>
      <c r="M1667" s="1" t="b">
        <f t="shared" ref="M1667:M1730" si="185">ISNUMBER(SEARCH("cancel", I1667))</f>
        <v>0</v>
      </c>
      <c r="N1667" s="1" t="b">
        <f t="shared" ref="N1667:N1730" si="186">ISNUMBER(SEARCH("transfer", I1667))</f>
        <v>0</v>
      </c>
      <c r="O1667" s="1" t="b">
        <f t="shared" ref="O1667:O1730" si="187">ISNUMBER(SEARCH("promo", I1667))</f>
        <v>0</v>
      </c>
      <c r="P1667" s="1" t="b">
        <f t="shared" ref="P1667:P1730" si="188">ISNUMBER(SEARCH("new", I1667))</f>
        <v>1</v>
      </c>
    </row>
    <row r="1668" spans="1:16" x14ac:dyDescent="0.2">
      <c r="A1668">
        <v>4757032</v>
      </c>
      <c r="B1668" t="s">
        <v>3042</v>
      </c>
      <c r="C1668" t="s">
        <v>80</v>
      </c>
      <c r="D1668" t="s">
        <v>11</v>
      </c>
      <c r="E1668" s="1">
        <v>44595</v>
      </c>
      <c r="F1668" t="s">
        <v>959</v>
      </c>
      <c r="G1668" s="1">
        <v>44596</v>
      </c>
      <c r="I1668" t="s">
        <v>13</v>
      </c>
      <c r="J1668" s="1" t="b">
        <f t="shared" si="182"/>
        <v>0</v>
      </c>
      <c r="K1668" s="1" t="b">
        <f t="shared" si="183"/>
        <v>1</v>
      </c>
      <c r="L1668" s="1" t="b">
        <f t="shared" si="184"/>
        <v>0</v>
      </c>
      <c r="M1668" s="1" t="b">
        <f t="shared" si="185"/>
        <v>0</v>
      </c>
      <c r="N1668" s="1" t="b">
        <f t="shared" si="186"/>
        <v>0</v>
      </c>
      <c r="O1668" s="1" t="b">
        <f t="shared" si="187"/>
        <v>0</v>
      </c>
      <c r="P1668" s="1" t="b">
        <f t="shared" si="188"/>
        <v>0</v>
      </c>
    </row>
    <row r="1669" spans="1:16" x14ac:dyDescent="0.2">
      <c r="A1669">
        <v>4757032</v>
      </c>
      <c r="B1669" t="s">
        <v>3043</v>
      </c>
      <c r="C1669" t="s">
        <v>80</v>
      </c>
      <c r="D1669" t="s">
        <v>11</v>
      </c>
      <c r="E1669" s="1">
        <v>45093</v>
      </c>
      <c r="F1669" t="s">
        <v>610</v>
      </c>
      <c r="G1669" s="1">
        <v>45120</v>
      </c>
      <c r="I1669" t="s">
        <v>13</v>
      </c>
      <c r="J1669" s="1" t="b">
        <f t="shared" si="182"/>
        <v>0</v>
      </c>
      <c r="K1669" s="1" t="b">
        <f t="shared" si="183"/>
        <v>1</v>
      </c>
      <c r="L1669" s="1" t="b">
        <f t="shared" si="184"/>
        <v>0</v>
      </c>
      <c r="M1669" s="1" t="b">
        <f t="shared" si="185"/>
        <v>0</v>
      </c>
      <c r="N1669" s="1" t="b">
        <f t="shared" si="186"/>
        <v>0</v>
      </c>
      <c r="O1669" s="1" t="b">
        <f t="shared" si="187"/>
        <v>0</v>
      </c>
      <c r="P1669" s="1" t="b">
        <f t="shared" si="188"/>
        <v>0</v>
      </c>
    </row>
    <row r="1670" spans="1:16" x14ac:dyDescent="0.2">
      <c r="A1670">
        <v>6326278</v>
      </c>
      <c r="B1670" t="s">
        <v>3044</v>
      </c>
      <c r="C1670" t="s">
        <v>720</v>
      </c>
      <c r="D1670" t="s">
        <v>187</v>
      </c>
      <c r="E1670" s="1">
        <v>44759</v>
      </c>
      <c r="F1670" t="s">
        <v>1651</v>
      </c>
      <c r="G1670" s="1">
        <v>44779</v>
      </c>
      <c r="H1670" s="1">
        <v>44821</v>
      </c>
      <c r="I1670" t="s">
        <v>43</v>
      </c>
      <c r="J1670" s="1" t="b">
        <f t="shared" si="182"/>
        <v>1</v>
      </c>
      <c r="K1670" s="1" t="b">
        <f t="shared" si="183"/>
        <v>0</v>
      </c>
      <c r="L1670" s="1" t="b">
        <f t="shared" si="184"/>
        <v>0</v>
      </c>
      <c r="M1670" s="1" t="b">
        <f t="shared" si="185"/>
        <v>0</v>
      </c>
      <c r="N1670" s="1" t="b">
        <f t="shared" si="186"/>
        <v>0</v>
      </c>
      <c r="O1670" s="1" t="b">
        <f t="shared" si="187"/>
        <v>1</v>
      </c>
      <c r="P1670" s="1" t="b">
        <f t="shared" si="188"/>
        <v>0</v>
      </c>
    </row>
    <row r="1671" spans="1:16" x14ac:dyDescent="0.2">
      <c r="A1671">
        <v>6326278</v>
      </c>
      <c r="B1671" t="s">
        <v>3045</v>
      </c>
      <c r="C1671" t="s">
        <v>720</v>
      </c>
      <c r="D1671" t="s">
        <v>187</v>
      </c>
      <c r="E1671" s="1">
        <v>45001</v>
      </c>
      <c r="F1671" t="s">
        <v>3046</v>
      </c>
      <c r="G1671" s="1">
        <v>45006</v>
      </c>
      <c r="H1671" s="1">
        <v>45047</v>
      </c>
      <c r="I1671" t="s">
        <v>16</v>
      </c>
      <c r="J1671" s="1" t="b">
        <f t="shared" si="182"/>
        <v>1</v>
      </c>
      <c r="K1671" s="1" t="b">
        <f t="shared" si="183"/>
        <v>0</v>
      </c>
      <c r="L1671" s="1" t="b">
        <f t="shared" si="184"/>
        <v>0</v>
      </c>
      <c r="M1671" s="1" t="b">
        <f t="shared" si="185"/>
        <v>0</v>
      </c>
      <c r="N1671" s="1" t="b">
        <f t="shared" si="186"/>
        <v>1</v>
      </c>
      <c r="O1671" s="1" t="b">
        <f t="shared" si="187"/>
        <v>0</v>
      </c>
      <c r="P1671" s="1" t="b">
        <f t="shared" si="188"/>
        <v>0</v>
      </c>
    </row>
    <row r="1672" spans="1:16" x14ac:dyDescent="0.2">
      <c r="A1672">
        <v>6326278</v>
      </c>
      <c r="B1672" t="s">
        <v>3047</v>
      </c>
      <c r="C1672" t="s">
        <v>720</v>
      </c>
      <c r="D1672" t="s">
        <v>187</v>
      </c>
      <c r="E1672" s="1">
        <v>44887</v>
      </c>
      <c r="F1672" t="s">
        <v>3048</v>
      </c>
      <c r="G1672" s="1">
        <v>44904</v>
      </c>
      <c r="H1672" s="1">
        <v>44915</v>
      </c>
      <c r="I1672" t="s">
        <v>43</v>
      </c>
      <c r="J1672" s="1" t="b">
        <f t="shared" si="182"/>
        <v>1</v>
      </c>
      <c r="K1672" s="1" t="b">
        <f t="shared" si="183"/>
        <v>0</v>
      </c>
      <c r="L1672" s="1" t="b">
        <f t="shared" si="184"/>
        <v>0</v>
      </c>
      <c r="M1672" s="1" t="b">
        <f t="shared" si="185"/>
        <v>0</v>
      </c>
      <c r="N1672" s="1" t="b">
        <f t="shared" si="186"/>
        <v>0</v>
      </c>
      <c r="O1672" s="1" t="b">
        <f t="shared" si="187"/>
        <v>1</v>
      </c>
      <c r="P1672" s="1" t="b">
        <f t="shared" si="188"/>
        <v>0</v>
      </c>
    </row>
    <row r="1673" spans="1:16" x14ac:dyDescent="0.2">
      <c r="A1673">
        <v>6326278</v>
      </c>
      <c r="B1673" t="s">
        <v>3049</v>
      </c>
      <c r="C1673" t="s">
        <v>720</v>
      </c>
      <c r="D1673" t="s">
        <v>187</v>
      </c>
      <c r="E1673" s="1">
        <v>44691</v>
      </c>
      <c r="F1673" t="s">
        <v>3050</v>
      </c>
      <c r="G1673" s="1">
        <v>44708</v>
      </c>
      <c r="H1673" s="1">
        <v>44716</v>
      </c>
      <c r="I1673" t="s">
        <v>16</v>
      </c>
      <c r="J1673" s="1" t="b">
        <f t="shared" si="182"/>
        <v>1</v>
      </c>
      <c r="K1673" s="1" t="b">
        <f t="shared" si="183"/>
        <v>0</v>
      </c>
      <c r="L1673" s="1" t="b">
        <f t="shared" si="184"/>
        <v>0</v>
      </c>
      <c r="M1673" s="1" t="b">
        <f t="shared" si="185"/>
        <v>0</v>
      </c>
      <c r="N1673" s="1" t="b">
        <f t="shared" si="186"/>
        <v>1</v>
      </c>
      <c r="O1673" s="1" t="b">
        <f t="shared" si="187"/>
        <v>0</v>
      </c>
      <c r="P1673" s="1" t="b">
        <f t="shared" si="188"/>
        <v>0</v>
      </c>
    </row>
    <row r="1674" spans="1:16" x14ac:dyDescent="0.2">
      <c r="A1674">
        <v>6326278</v>
      </c>
      <c r="B1674" t="s">
        <v>3051</v>
      </c>
      <c r="C1674" t="s">
        <v>720</v>
      </c>
      <c r="D1674" t="s">
        <v>187</v>
      </c>
      <c r="E1674" s="1">
        <v>44828</v>
      </c>
      <c r="F1674" t="s">
        <v>409</v>
      </c>
      <c r="G1674" s="1">
        <v>44855</v>
      </c>
      <c r="H1674" s="1">
        <v>44891</v>
      </c>
      <c r="J1674" s="1" t="b">
        <f t="shared" si="182"/>
        <v>1</v>
      </c>
      <c r="K1674" s="1" t="b">
        <f t="shared" si="183"/>
        <v>0</v>
      </c>
      <c r="L1674" s="1" t="b">
        <f t="shared" si="184"/>
        <v>0</v>
      </c>
      <c r="M1674" s="1" t="b">
        <f t="shared" si="185"/>
        <v>0</v>
      </c>
      <c r="N1674" s="1" t="b">
        <f t="shared" si="186"/>
        <v>0</v>
      </c>
      <c r="O1674" s="1" t="b">
        <f t="shared" si="187"/>
        <v>0</v>
      </c>
      <c r="P1674" s="1" t="b">
        <f t="shared" si="188"/>
        <v>0</v>
      </c>
    </row>
    <row r="1675" spans="1:16" x14ac:dyDescent="0.2">
      <c r="A1675">
        <v>3668469</v>
      </c>
      <c r="B1675" t="s">
        <v>3052</v>
      </c>
      <c r="C1675" t="s">
        <v>720</v>
      </c>
      <c r="D1675" t="s">
        <v>19</v>
      </c>
      <c r="I1675" t="s">
        <v>33</v>
      </c>
      <c r="J1675" s="1" t="b">
        <f t="shared" si="182"/>
        <v>0</v>
      </c>
      <c r="K1675" s="1" t="b">
        <f t="shared" si="183"/>
        <v>0</v>
      </c>
      <c r="L1675" s="1" t="b">
        <f t="shared" si="184"/>
        <v>0</v>
      </c>
      <c r="M1675" s="1" t="b">
        <f t="shared" si="185"/>
        <v>1</v>
      </c>
      <c r="N1675" s="1" t="b">
        <f t="shared" si="186"/>
        <v>0</v>
      </c>
      <c r="O1675" s="1" t="b">
        <f t="shared" si="187"/>
        <v>0</v>
      </c>
      <c r="P1675" s="1" t="b">
        <f t="shared" si="188"/>
        <v>0</v>
      </c>
    </row>
    <row r="1676" spans="1:16" x14ac:dyDescent="0.2">
      <c r="A1676">
        <v>8338707</v>
      </c>
      <c r="B1676" t="s">
        <v>3053</v>
      </c>
      <c r="C1676" t="s">
        <v>10</v>
      </c>
      <c r="D1676" t="s">
        <v>81</v>
      </c>
      <c r="E1676" s="1">
        <v>44928</v>
      </c>
      <c r="F1676" t="s">
        <v>3054</v>
      </c>
      <c r="G1676" s="1">
        <v>44934</v>
      </c>
      <c r="I1676" t="s">
        <v>13</v>
      </c>
      <c r="J1676" s="1" t="b">
        <f t="shared" si="182"/>
        <v>0</v>
      </c>
      <c r="K1676" s="1" t="b">
        <f t="shared" si="183"/>
        <v>1</v>
      </c>
      <c r="L1676" s="1" t="b">
        <f t="shared" si="184"/>
        <v>0</v>
      </c>
      <c r="M1676" s="1" t="b">
        <f t="shared" si="185"/>
        <v>0</v>
      </c>
      <c r="N1676" s="1" t="b">
        <f t="shared" si="186"/>
        <v>0</v>
      </c>
      <c r="O1676" s="1" t="b">
        <f t="shared" si="187"/>
        <v>0</v>
      </c>
      <c r="P1676" s="1" t="b">
        <f t="shared" si="188"/>
        <v>0</v>
      </c>
    </row>
    <row r="1677" spans="1:16" x14ac:dyDescent="0.2">
      <c r="A1677">
        <v>8338707</v>
      </c>
      <c r="B1677" t="s">
        <v>3055</v>
      </c>
      <c r="C1677" t="s">
        <v>10</v>
      </c>
      <c r="D1677" t="s">
        <v>81</v>
      </c>
      <c r="E1677" s="1">
        <v>44587</v>
      </c>
      <c r="F1677" t="s">
        <v>2162</v>
      </c>
      <c r="G1677" s="1">
        <v>44611</v>
      </c>
      <c r="H1677" s="1">
        <v>44658</v>
      </c>
      <c r="I1677" t="s">
        <v>16</v>
      </c>
      <c r="J1677" s="1" t="b">
        <f t="shared" si="182"/>
        <v>1</v>
      </c>
      <c r="K1677" s="1" t="b">
        <f t="shared" si="183"/>
        <v>0</v>
      </c>
      <c r="L1677" s="1" t="b">
        <f t="shared" si="184"/>
        <v>0</v>
      </c>
      <c r="M1677" s="1" t="b">
        <f t="shared" si="185"/>
        <v>0</v>
      </c>
      <c r="N1677" s="1" t="b">
        <f t="shared" si="186"/>
        <v>1</v>
      </c>
      <c r="O1677" s="1" t="b">
        <f t="shared" si="187"/>
        <v>0</v>
      </c>
      <c r="P1677" s="1" t="b">
        <f t="shared" si="188"/>
        <v>0</v>
      </c>
    </row>
    <row r="1678" spans="1:16" x14ac:dyDescent="0.2">
      <c r="A1678">
        <v>5021865</v>
      </c>
      <c r="B1678" t="s">
        <v>3056</v>
      </c>
      <c r="C1678" t="s">
        <v>265</v>
      </c>
      <c r="D1678" t="s">
        <v>19</v>
      </c>
      <c r="E1678" s="1">
        <v>44949</v>
      </c>
      <c r="F1678" t="s">
        <v>3057</v>
      </c>
      <c r="G1678" s="1">
        <v>44974</v>
      </c>
      <c r="I1678" t="s">
        <v>13</v>
      </c>
      <c r="J1678" s="1" t="b">
        <f t="shared" si="182"/>
        <v>0</v>
      </c>
      <c r="K1678" s="1" t="b">
        <f t="shared" si="183"/>
        <v>1</v>
      </c>
      <c r="L1678" s="1" t="b">
        <f t="shared" si="184"/>
        <v>0</v>
      </c>
      <c r="M1678" s="1" t="b">
        <f t="shared" si="185"/>
        <v>0</v>
      </c>
      <c r="N1678" s="1" t="b">
        <f t="shared" si="186"/>
        <v>0</v>
      </c>
      <c r="O1678" s="1" t="b">
        <f t="shared" si="187"/>
        <v>0</v>
      </c>
      <c r="P1678" s="1" t="b">
        <f t="shared" si="188"/>
        <v>0</v>
      </c>
    </row>
    <row r="1679" spans="1:16" x14ac:dyDescent="0.2">
      <c r="A1679">
        <v>5021865</v>
      </c>
      <c r="B1679" t="s">
        <v>3058</v>
      </c>
      <c r="C1679" t="s">
        <v>265</v>
      </c>
      <c r="D1679" t="s">
        <v>19</v>
      </c>
      <c r="E1679" s="1">
        <v>44646</v>
      </c>
      <c r="F1679" t="s">
        <v>774</v>
      </c>
      <c r="G1679" s="1">
        <v>44676</v>
      </c>
      <c r="I1679" t="s">
        <v>13</v>
      </c>
      <c r="J1679" s="1" t="b">
        <f t="shared" si="182"/>
        <v>0</v>
      </c>
      <c r="K1679" s="1" t="b">
        <f t="shared" si="183"/>
        <v>1</v>
      </c>
      <c r="L1679" s="1" t="b">
        <f t="shared" si="184"/>
        <v>0</v>
      </c>
      <c r="M1679" s="1" t="b">
        <f t="shared" si="185"/>
        <v>0</v>
      </c>
      <c r="N1679" s="1" t="b">
        <f t="shared" si="186"/>
        <v>0</v>
      </c>
      <c r="O1679" s="1" t="b">
        <f t="shared" si="187"/>
        <v>0</v>
      </c>
      <c r="P1679" s="1" t="b">
        <f t="shared" si="188"/>
        <v>0</v>
      </c>
    </row>
    <row r="1680" spans="1:16" x14ac:dyDescent="0.2">
      <c r="A1680">
        <v>5021865</v>
      </c>
      <c r="B1680" t="s">
        <v>3059</v>
      </c>
      <c r="C1680" t="s">
        <v>265</v>
      </c>
      <c r="D1680" t="s">
        <v>19</v>
      </c>
      <c r="E1680" s="1">
        <v>44667</v>
      </c>
      <c r="F1680" t="s">
        <v>2710</v>
      </c>
      <c r="G1680" s="1">
        <v>44671</v>
      </c>
      <c r="I1680" t="s">
        <v>13</v>
      </c>
      <c r="J1680" s="1" t="b">
        <f t="shared" si="182"/>
        <v>0</v>
      </c>
      <c r="K1680" s="1" t="b">
        <f t="shared" si="183"/>
        <v>1</v>
      </c>
      <c r="L1680" s="1" t="b">
        <f t="shared" si="184"/>
        <v>0</v>
      </c>
      <c r="M1680" s="1" t="b">
        <f t="shared" si="185"/>
        <v>0</v>
      </c>
      <c r="N1680" s="1" t="b">
        <f t="shared" si="186"/>
        <v>0</v>
      </c>
      <c r="O1680" s="1" t="b">
        <f t="shared" si="187"/>
        <v>0</v>
      </c>
      <c r="P1680" s="1" t="b">
        <f t="shared" si="188"/>
        <v>0</v>
      </c>
    </row>
    <row r="1681" spans="1:16" x14ac:dyDescent="0.2">
      <c r="A1681">
        <v>8702884</v>
      </c>
      <c r="B1681" t="s">
        <v>3060</v>
      </c>
      <c r="C1681" t="s">
        <v>310</v>
      </c>
      <c r="D1681" t="s">
        <v>81</v>
      </c>
      <c r="E1681" s="1">
        <v>44746</v>
      </c>
      <c r="F1681" t="s">
        <v>3061</v>
      </c>
      <c r="G1681" s="1">
        <v>44749</v>
      </c>
      <c r="I1681" t="s">
        <v>13</v>
      </c>
      <c r="J1681" s="1" t="b">
        <f t="shared" si="182"/>
        <v>0</v>
      </c>
      <c r="K1681" s="1" t="b">
        <f t="shared" si="183"/>
        <v>1</v>
      </c>
      <c r="L1681" s="1" t="b">
        <f t="shared" si="184"/>
        <v>0</v>
      </c>
      <c r="M1681" s="1" t="b">
        <f t="shared" si="185"/>
        <v>0</v>
      </c>
      <c r="N1681" s="1" t="b">
        <f t="shared" si="186"/>
        <v>0</v>
      </c>
      <c r="O1681" s="1" t="b">
        <f t="shared" si="187"/>
        <v>0</v>
      </c>
      <c r="P1681" s="1" t="b">
        <f t="shared" si="188"/>
        <v>0</v>
      </c>
    </row>
    <row r="1682" spans="1:16" x14ac:dyDescent="0.2">
      <c r="A1682">
        <v>2298244</v>
      </c>
      <c r="B1682" t="s">
        <v>3062</v>
      </c>
      <c r="C1682" t="s">
        <v>363</v>
      </c>
      <c r="D1682" t="s">
        <v>39</v>
      </c>
      <c r="E1682" s="1">
        <v>44584</v>
      </c>
      <c r="F1682" t="s">
        <v>3063</v>
      </c>
      <c r="G1682" s="1">
        <v>44598</v>
      </c>
      <c r="I1682" t="s">
        <v>25</v>
      </c>
      <c r="J1682" s="1" t="b">
        <f t="shared" si="182"/>
        <v>0</v>
      </c>
      <c r="K1682" s="1" t="b">
        <f t="shared" si="183"/>
        <v>0</v>
      </c>
      <c r="L1682" s="1" t="b">
        <f t="shared" si="184"/>
        <v>1</v>
      </c>
      <c r="M1682" s="1" t="b">
        <f t="shared" si="185"/>
        <v>0</v>
      </c>
      <c r="N1682" s="1" t="b">
        <f t="shared" si="186"/>
        <v>0</v>
      </c>
      <c r="O1682" s="1" t="b">
        <f t="shared" si="187"/>
        <v>0</v>
      </c>
      <c r="P1682" s="1" t="b">
        <f t="shared" si="188"/>
        <v>0</v>
      </c>
    </row>
    <row r="1683" spans="1:16" x14ac:dyDescent="0.2">
      <c r="A1683">
        <v>2298244</v>
      </c>
      <c r="B1683" t="s">
        <v>3064</v>
      </c>
      <c r="C1683" t="s">
        <v>363</v>
      </c>
      <c r="D1683" t="s">
        <v>39</v>
      </c>
      <c r="I1683" t="s">
        <v>33</v>
      </c>
      <c r="J1683" s="1" t="b">
        <f t="shared" si="182"/>
        <v>0</v>
      </c>
      <c r="K1683" s="1" t="b">
        <f t="shared" si="183"/>
        <v>0</v>
      </c>
      <c r="L1683" s="1" t="b">
        <f t="shared" si="184"/>
        <v>0</v>
      </c>
      <c r="M1683" s="1" t="b">
        <f t="shared" si="185"/>
        <v>1</v>
      </c>
      <c r="N1683" s="1" t="b">
        <f t="shared" si="186"/>
        <v>0</v>
      </c>
      <c r="O1683" s="1" t="b">
        <f t="shared" si="187"/>
        <v>0</v>
      </c>
      <c r="P1683" s="1" t="b">
        <f t="shared" si="188"/>
        <v>0</v>
      </c>
    </row>
    <row r="1684" spans="1:16" x14ac:dyDescent="0.2">
      <c r="A1684">
        <v>2280314</v>
      </c>
      <c r="B1684" t="s">
        <v>3065</v>
      </c>
      <c r="C1684" t="s">
        <v>454</v>
      </c>
      <c r="D1684" t="s">
        <v>60</v>
      </c>
      <c r="E1684" s="1">
        <v>44746</v>
      </c>
      <c r="F1684" t="s">
        <v>3066</v>
      </c>
      <c r="G1684" s="1">
        <v>44756</v>
      </c>
      <c r="H1684" s="1">
        <v>44757</v>
      </c>
      <c r="J1684" s="1" t="b">
        <f t="shared" si="182"/>
        <v>1</v>
      </c>
      <c r="K1684" s="1" t="b">
        <f t="shared" si="183"/>
        <v>0</v>
      </c>
      <c r="L1684" s="1" t="b">
        <f t="shared" si="184"/>
        <v>0</v>
      </c>
      <c r="M1684" s="1" t="b">
        <f t="shared" si="185"/>
        <v>0</v>
      </c>
      <c r="N1684" s="1" t="b">
        <f t="shared" si="186"/>
        <v>0</v>
      </c>
      <c r="O1684" s="1" t="b">
        <f t="shared" si="187"/>
        <v>0</v>
      </c>
      <c r="P1684" s="1" t="b">
        <f t="shared" si="188"/>
        <v>0</v>
      </c>
    </row>
    <row r="1685" spans="1:16" x14ac:dyDescent="0.2">
      <c r="A1685">
        <v>2280314</v>
      </c>
      <c r="B1685" t="s">
        <v>3067</v>
      </c>
      <c r="C1685" t="s">
        <v>454</v>
      </c>
      <c r="D1685" t="s">
        <v>60</v>
      </c>
      <c r="E1685" s="1">
        <v>44917</v>
      </c>
      <c r="F1685" t="s">
        <v>3068</v>
      </c>
      <c r="G1685" s="1">
        <v>44933</v>
      </c>
      <c r="H1685" s="1">
        <v>44973</v>
      </c>
      <c r="I1685" t="s">
        <v>16</v>
      </c>
      <c r="J1685" s="1" t="b">
        <f t="shared" si="182"/>
        <v>1</v>
      </c>
      <c r="K1685" s="1" t="b">
        <f t="shared" si="183"/>
        <v>0</v>
      </c>
      <c r="L1685" s="1" t="b">
        <f t="shared" si="184"/>
        <v>0</v>
      </c>
      <c r="M1685" s="1" t="b">
        <f t="shared" si="185"/>
        <v>0</v>
      </c>
      <c r="N1685" s="1" t="b">
        <f t="shared" si="186"/>
        <v>1</v>
      </c>
      <c r="O1685" s="1" t="b">
        <f t="shared" si="187"/>
        <v>0</v>
      </c>
      <c r="P1685" s="1" t="b">
        <f t="shared" si="188"/>
        <v>0</v>
      </c>
    </row>
    <row r="1686" spans="1:16" x14ac:dyDescent="0.2">
      <c r="A1686">
        <v>2280314</v>
      </c>
      <c r="B1686" t="s">
        <v>3069</v>
      </c>
      <c r="C1686" t="s">
        <v>454</v>
      </c>
      <c r="D1686" t="s">
        <v>60</v>
      </c>
      <c r="E1686" s="1">
        <v>44822</v>
      </c>
      <c r="F1686" t="s">
        <v>3070</v>
      </c>
      <c r="G1686" s="1">
        <v>44852</v>
      </c>
      <c r="H1686" s="1">
        <v>44860</v>
      </c>
      <c r="I1686" t="s">
        <v>16</v>
      </c>
      <c r="J1686" s="1" t="b">
        <f t="shared" si="182"/>
        <v>1</v>
      </c>
      <c r="K1686" s="1" t="b">
        <f t="shared" si="183"/>
        <v>0</v>
      </c>
      <c r="L1686" s="1" t="b">
        <f t="shared" si="184"/>
        <v>0</v>
      </c>
      <c r="M1686" s="1" t="b">
        <f t="shared" si="185"/>
        <v>0</v>
      </c>
      <c r="N1686" s="1" t="b">
        <f t="shared" si="186"/>
        <v>1</v>
      </c>
      <c r="O1686" s="1" t="b">
        <f t="shared" si="187"/>
        <v>0</v>
      </c>
      <c r="P1686" s="1" t="b">
        <f t="shared" si="188"/>
        <v>0</v>
      </c>
    </row>
    <row r="1687" spans="1:16" x14ac:dyDescent="0.2">
      <c r="A1687">
        <v>2280314</v>
      </c>
      <c r="B1687" t="s">
        <v>3071</v>
      </c>
      <c r="C1687" t="s">
        <v>454</v>
      </c>
      <c r="D1687" t="s">
        <v>60</v>
      </c>
      <c r="E1687" s="1">
        <v>44585</v>
      </c>
      <c r="F1687" t="s">
        <v>2152</v>
      </c>
      <c r="G1687" s="1">
        <v>44602</v>
      </c>
      <c r="I1687" t="s">
        <v>13</v>
      </c>
      <c r="J1687" s="1" t="b">
        <f t="shared" si="182"/>
        <v>0</v>
      </c>
      <c r="K1687" s="1" t="b">
        <f t="shared" si="183"/>
        <v>1</v>
      </c>
      <c r="L1687" s="1" t="b">
        <f t="shared" si="184"/>
        <v>0</v>
      </c>
      <c r="M1687" s="1" t="b">
        <f t="shared" si="185"/>
        <v>0</v>
      </c>
      <c r="N1687" s="1" t="b">
        <f t="shared" si="186"/>
        <v>0</v>
      </c>
      <c r="O1687" s="1" t="b">
        <f t="shared" si="187"/>
        <v>0</v>
      </c>
      <c r="P1687" s="1" t="b">
        <f t="shared" si="188"/>
        <v>0</v>
      </c>
    </row>
    <row r="1688" spans="1:16" x14ac:dyDescent="0.2">
      <c r="A1688">
        <v>9585651</v>
      </c>
      <c r="B1688" t="s">
        <v>3072</v>
      </c>
      <c r="C1688" t="s">
        <v>35</v>
      </c>
      <c r="D1688" t="s">
        <v>187</v>
      </c>
      <c r="E1688" s="1">
        <v>44592</v>
      </c>
      <c r="F1688" t="s">
        <v>3073</v>
      </c>
      <c r="G1688" s="1">
        <v>44603</v>
      </c>
      <c r="H1688" s="1">
        <v>44612</v>
      </c>
      <c r="I1688" t="s">
        <v>16</v>
      </c>
      <c r="J1688" s="1" t="b">
        <f t="shared" si="182"/>
        <v>1</v>
      </c>
      <c r="K1688" s="1" t="b">
        <f t="shared" si="183"/>
        <v>0</v>
      </c>
      <c r="L1688" s="1" t="b">
        <f t="shared" si="184"/>
        <v>0</v>
      </c>
      <c r="M1688" s="1" t="b">
        <f t="shared" si="185"/>
        <v>0</v>
      </c>
      <c r="N1688" s="1" t="b">
        <f t="shared" si="186"/>
        <v>1</v>
      </c>
      <c r="O1688" s="1" t="b">
        <f t="shared" si="187"/>
        <v>0</v>
      </c>
      <c r="P1688" s="1" t="b">
        <f t="shared" si="188"/>
        <v>0</v>
      </c>
    </row>
    <row r="1689" spans="1:16" x14ac:dyDescent="0.2">
      <c r="A1689">
        <v>9585651</v>
      </c>
      <c r="B1689" t="s">
        <v>3074</v>
      </c>
      <c r="C1689" t="s">
        <v>35</v>
      </c>
      <c r="D1689" t="s">
        <v>187</v>
      </c>
      <c r="E1689" s="1">
        <v>44691</v>
      </c>
      <c r="F1689" t="s">
        <v>3075</v>
      </c>
      <c r="G1689" s="1">
        <v>44700</v>
      </c>
      <c r="I1689" t="s">
        <v>25</v>
      </c>
      <c r="J1689" s="1" t="b">
        <f t="shared" si="182"/>
        <v>0</v>
      </c>
      <c r="K1689" s="1" t="b">
        <f t="shared" si="183"/>
        <v>0</v>
      </c>
      <c r="L1689" s="1" t="b">
        <f t="shared" si="184"/>
        <v>1</v>
      </c>
      <c r="M1689" s="1" t="b">
        <f t="shared" si="185"/>
        <v>0</v>
      </c>
      <c r="N1689" s="1" t="b">
        <f t="shared" si="186"/>
        <v>0</v>
      </c>
      <c r="O1689" s="1" t="b">
        <f t="shared" si="187"/>
        <v>0</v>
      </c>
      <c r="P1689" s="1" t="b">
        <f t="shared" si="188"/>
        <v>0</v>
      </c>
    </row>
    <row r="1690" spans="1:16" x14ac:dyDescent="0.2">
      <c r="A1690">
        <v>5591361</v>
      </c>
      <c r="B1690" t="s">
        <v>3076</v>
      </c>
      <c r="C1690" t="s">
        <v>363</v>
      </c>
      <c r="D1690" t="s">
        <v>19</v>
      </c>
      <c r="E1690" s="1">
        <v>44863</v>
      </c>
      <c r="F1690" t="s">
        <v>1173</v>
      </c>
      <c r="G1690" s="1">
        <v>44878</v>
      </c>
      <c r="I1690" t="s">
        <v>25</v>
      </c>
      <c r="J1690" s="1" t="b">
        <f t="shared" si="182"/>
        <v>0</v>
      </c>
      <c r="K1690" s="1" t="b">
        <f t="shared" si="183"/>
        <v>0</v>
      </c>
      <c r="L1690" s="1" t="b">
        <f t="shared" si="184"/>
        <v>1</v>
      </c>
      <c r="M1690" s="1" t="b">
        <f t="shared" si="185"/>
        <v>0</v>
      </c>
      <c r="N1690" s="1" t="b">
        <f t="shared" si="186"/>
        <v>0</v>
      </c>
      <c r="O1690" s="1" t="b">
        <f t="shared" si="187"/>
        <v>0</v>
      </c>
      <c r="P1690" s="1" t="b">
        <f t="shared" si="188"/>
        <v>0</v>
      </c>
    </row>
    <row r="1691" spans="1:16" x14ac:dyDescent="0.2">
      <c r="A1691">
        <v>9318172</v>
      </c>
      <c r="B1691" t="s">
        <v>3077</v>
      </c>
      <c r="C1691" t="s">
        <v>315</v>
      </c>
      <c r="D1691" t="s">
        <v>139</v>
      </c>
      <c r="E1691" s="1">
        <v>44849</v>
      </c>
      <c r="F1691" t="s">
        <v>382</v>
      </c>
      <c r="G1691" s="1">
        <v>44862</v>
      </c>
      <c r="H1691" s="1">
        <v>44869</v>
      </c>
      <c r="I1691" t="s">
        <v>28</v>
      </c>
      <c r="J1691" s="1" t="b">
        <f t="shared" si="182"/>
        <v>1</v>
      </c>
      <c r="K1691" s="1" t="b">
        <f t="shared" si="183"/>
        <v>0</v>
      </c>
      <c r="L1691" s="1" t="b">
        <f t="shared" si="184"/>
        <v>0</v>
      </c>
      <c r="M1691" s="1" t="b">
        <f t="shared" si="185"/>
        <v>0</v>
      </c>
      <c r="N1691" s="1" t="b">
        <f t="shared" si="186"/>
        <v>0</v>
      </c>
      <c r="O1691" s="1" t="b">
        <f t="shared" si="187"/>
        <v>0</v>
      </c>
      <c r="P1691" s="1" t="b">
        <f t="shared" si="188"/>
        <v>1</v>
      </c>
    </row>
    <row r="1692" spans="1:16" x14ac:dyDescent="0.2">
      <c r="A1692">
        <v>9318172</v>
      </c>
      <c r="B1692" t="s">
        <v>3078</v>
      </c>
      <c r="C1692" t="s">
        <v>315</v>
      </c>
      <c r="D1692" t="s">
        <v>139</v>
      </c>
      <c r="E1692" s="1">
        <v>44772</v>
      </c>
      <c r="F1692" t="s">
        <v>57</v>
      </c>
      <c r="G1692" s="1">
        <v>44796</v>
      </c>
      <c r="H1692" s="1">
        <v>44828</v>
      </c>
      <c r="I1692" t="s">
        <v>28</v>
      </c>
      <c r="J1692" s="1" t="b">
        <f t="shared" si="182"/>
        <v>1</v>
      </c>
      <c r="K1692" s="1" t="b">
        <f t="shared" si="183"/>
        <v>0</v>
      </c>
      <c r="L1692" s="1" t="b">
        <f t="shared" si="184"/>
        <v>0</v>
      </c>
      <c r="M1692" s="1" t="b">
        <f t="shared" si="185"/>
        <v>0</v>
      </c>
      <c r="N1692" s="1" t="b">
        <f t="shared" si="186"/>
        <v>0</v>
      </c>
      <c r="O1692" s="1" t="b">
        <f t="shared" si="187"/>
        <v>0</v>
      </c>
      <c r="P1692" s="1" t="b">
        <f t="shared" si="188"/>
        <v>1</v>
      </c>
    </row>
    <row r="1693" spans="1:16" x14ac:dyDescent="0.2">
      <c r="A1693">
        <v>9318172</v>
      </c>
      <c r="B1693" t="s">
        <v>3079</v>
      </c>
      <c r="C1693" t="s">
        <v>315</v>
      </c>
      <c r="D1693" t="s">
        <v>139</v>
      </c>
      <c r="E1693" s="1">
        <v>44840</v>
      </c>
      <c r="F1693" t="s">
        <v>1749</v>
      </c>
      <c r="G1693" s="1">
        <v>44867</v>
      </c>
      <c r="H1693" s="1">
        <v>44888</v>
      </c>
      <c r="J1693" s="1" t="b">
        <f t="shared" si="182"/>
        <v>1</v>
      </c>
      <c r="K1693" s="1" t="b">
        <f t="shared" si="183"/>
        <v>0</v>
      </c>
      <c r="L1693" s="1" t="b">
        <f t="shared" si="184"/>
        <v>0</v>
      </c>
      <c r="M1693" s="1" t="b">
        <f t="shared" si="185"/>
        <v>0</v>
      </c>
      <c r="N1693" s="1" t="b">
        <f t="shared" si="186"/>
        <v>0</v>
      </c>
      <c r="O1693" s="1" t="b">
        <f t="shared" si="187"/>
        <v>0</v>
      </c>
      <c r="P1693" s="1" t="b">
        <f t="shared" si="188"/>
        <v>0</v>
      </c>
    </row>
    <row r="1694" spans="1:16" x14ac:dyDescent="0.2">
      <c r="A1694">
        <v>9318172</v>
      </c>
      <c r="B1694" t="s">
        <v>3080</v>
      </c>
      <c r="C1694" t="s">
        <v>315</v>
      </c>
      <c r="D1694" t="s">
        <v>139</v>
      </c>
      <c r="E1694" s="1">
        <v>44923</v>
      </c>
      <c r="F1694" t="s">
        <v>3081</v>
      </c>
      <c r="G1694" s="1">
        <v>44935</v>
      </c>
      <c r="H1694" s="1">
        <v>44993</v>
      </c>
      <c r="J1694" s="1" t="b">
        <f t="shared" si="182"/>
        <v>1</v>
      </c>
      <c r="K1694" s="1" t="b">
        <f t="shared" si="183"/>
        <v>0</v>
      </c>
      <c r="L1694" s="1" t="b">
        <f t="shared" si="184"/>
        <v>0</v>
      </c>
      <c r="M1694" s="1" t="b">
        <f t="shared" si="185"/>
        <v>0</v>
      </c>
      <c r="N1694" s="1" t="b">
        <f t="shared" si="186"/>
        <v>0</v>
      </c>
      <c r="O1694" s="1" t="b">
        <f t="shared" si="187"/>
        <v>0</v>
      </c>
      <c r="P1694" s="1" t="b">
        <f t="shared" si="188"/>
        <v>0</v>
      </c>
    </row>
    <row r="1695" spans="1:16" x14ac:dyDescent="0.2">
      <c r="A1695">
        <v>2078208</v>
      </c>
      <c r="B1695" t="s">
        <v>3082</v>
      </c>
      <c r="C1695" t="s">
        <v>287</v>
      </c>
      <c r="D1695" t="s">
        <v>187</v>
      </c>
      <c r="E1695" s="1">
        <v>44862</v>
      </c>
      <c r="F1695" t="s">
        <v>3083</v>
      </c>
      <c r="G1695" s="1">
        <v>44882</v>
      </c>
      <c r="H1695" s="1">
        <v>44935</v>
      </c>
      <c r="I1695" t="s">
        <v>28</v>
      </c>
      <c r="J1695" s="1" t="b">
        <f t="shared" si="182"/>
        <v>1</v>
      </c>
      <c r="K1695" s="1" t="b">
        <f t="shared" si="183"/>
        <v>0</v>
      </c>
      <c r="L1695" s="1" t="b">
        <f t="shared" si="184"/>
        <v>0</v>
      </c>
      <c r="M1695" s="1" t="b">
        <f t="shared" si="185"/>
        <v>0</v>
      </c>
      <c r="N1695" s="1" t="b">
        <f t="shared" si="186"/>
        <v>0</v>
      </c>
      <c r="O1695" s="1" t="b">
        <f t="shared" si="187"/>
        <v>0</v>
      </c>
      <c r="P1695" s="1" t="b">
        <f t="shared" si="188"/>
        <v>1</v>
      </c>
    </row>
    <row r="1696" spans="1:16" x14ac:dyDescent="0.2">
      <c r="A1696">
        <v>9900282</v>
      </c>
      <c r="B1696" t="s">
        <v>3084</v>
      </c>
      <c r="C1696" t="s">
        <v>542</v>
      </c>
      <c r="D1696" t="s">
        <v>60</v>
      </c>
      <c r="E1696" s="1">
        <v>45001</v>
      </c>
      <c r="F1696" t="s">
        <v>2199</v>
      </c>
      <c r="G1696" s="1">
        <v>45027</v>
      </c>
      <c r="I1696" t="s">
        <v>13</v>
      </c>
      <c r="J1696" s="1" t="b">
        <f t="shared" si="182"/>
        <v>0</v>
      </c>
      <c r="K1696" s="1" t="b">
        <f t="shared" si="183"/>
        <v>1</v>
      </c>
      <c r="L1696" s="1" t="b">
        <f t="shared" si="184"/>
        <v>0</v>
      </c>
      <c r="M1696" s="1" t="b">
        <f t="shared" si="185"/>
        <v>0</v>
      </c>
      <c r="N1696" s="1" t="b">
        <f t="shared" si="186"/>
        <v>0</v>
      </c>
      <c r="O1696" s="1" t="b">
        <f t="shared" si="187"/>
        <v>0</v>
      </c>
      <c r="P1696" s="1" t="b">
        <f t="shared" si="188"/>
        <v>0</v>
      </c>
    </row>
    <row r="1697" spans="1:16" x14ac:dyDescent="0.2">
      <c r="A1697">
        <v>4119134</v>
      </c>
      <c r="B1697" t="s">
        <v>3085</v>
      </c>
      <c r="C1697" t="s">
        <v>542</v>
      </c>
      <c r="D1697" t="s">
        <v>19</v>
      </c>
      <c r="E1697" s="1">
        <v>44710</v>
      </c>
      <c r="F1697" t="s">
        <v>3086</v>
      </c>
      <c r="G1697" s="1">
        <v>44735</v>
      </c>
      <c r="I1697" t="s">
        <v>13</v>
      </c>
      <c r="J1697" s="1" t="b">
        <f t="shared" si="182"/>
        <v>0</v>
      </c>
      <c r="K1697" s="1" t="b">
        <f t="shared" si="183"/>
        <v>1</v>
      </c>
      <c r="L1697" s="1" t="b">
        <f t="shared" si="184"/>
        <v>0</v>
      </c>
      <c r="M1697" s="1" t="b">
        <f t="shared" si="185"/>
        <v>0</v>
      </c>
      <c r="N1697" s="1" t="b">
        <f t="shared" si="186"/>
        <v>0</v>
      </c>
      <c r="O1697" s="1" t="b">
        <f t="shared" si="187"/>
        <v>0</v>
      </c>
      <c r="P1697" s="1" t="b">
        <f t="shared" si="188"/>
        <v>0</v>
      </c>
    </row>
    <row r="1698" spans="1:16" x14ac:dyDescent="0.2">
      <c r="A1698">
        <v>6275644</v>
      </c>
      <c r="B1698" t="s">
        <v>3087</v>
      </c>
      <c r="C1698" t="s">
        <v>176</v>
      </c>
      <c r="D1698" t="s">
        <v>56</v>
      </c>
      <c r="E1698" s="1">
        <v>44891</v>
      </c>
      <c r="F1698" t="s">
        <v>3088</v>
      </c>
      <c r="G1698" s="1">
        <v>44920</v>
      </c>
      <c r="H1698" s="1">
        <v>44935</v>
      </c>
      <c r="I1698" t="s">
        <v>28</v>
      </c>
      <c r="J1698" s="1" t="b">
        <f t="shared" si="182"/>
        <v>1</v>
      </c>
      <c r="K1698" s="1" t="b">
        <f t="shared" si="183"/>
        <v>0</v>
      </c>
      <c r="L1698" s="1" t="b">
        <f t="shared" si="184"/>
        <v>0</v>
      </c>
      <c r="M1698" s="1" t="b">
        <f t="shared" si="185"/>
        <v>0</v>
      </c>
      <c r="N1698" s="1" t="b">
        <f t="shared" si="186"/>
        <v>0</v>
      </c>
      <c r="O1698" s="1" t="b">
        <f t="shared" si="187"/>
        <v>0</v>
      </c>
      <c r="P1698" s="1" t="b">
        <f t="shared" si="188"/>
        <v>1</v>
      </c>
    </row>
    <row r="1699" spans="1:16" x14ac:dyDescent="0.2">
      <c r="A1699">
        <v>6275644</v>
      </c>
      <c r="B1699" t="s">
        <v>3089</v>
      </c>
      <c r="C1699" t="s">
        <v>176</v>
      </c>
      <c r="D1699" t="s">
        <v>56</v>
      </c>
      <c r="E1699" s="1">
        <v>44779</v>
      </c>
      <c r="F1699" t="s">
        <v>441</v>
      </c>
      <c r="G1699" s="1">
        <v>44796</v>
      </c>
      <c r="H1699" s="1">
        <v>44810</v>
      </c>
      <c r="J1699" s="1" t="b">
        <f t="shared" si="182"/>
        <v>1</v>
      </c>
      <c r="K1699" s="1" t="b">
        <f t="shared" si="183"/>
        <v>0</v>
      </c>
      <c r="L1699" s="1" t="b">
        <f t="shared" si="184"/>
        <v>0</v>
      </c>
      <c r="M1699" s="1" t="b">
        <f t="shared" si="185"/>
        <v>0</v>
      </c>
      <c r="N1699" s="1" t="b">
        <f t="shared" si="186"/>
        <v>0</v>
      </c>
      <c r="O1699" s="1" t="b">
        <f t="shared" si="187"/>
        <v>0</v>
      </c>
      <c r="P1699" s="1" t="b">
        <f t="shared" si="188"/>
        <v>0</v>
      </c>
    </row>
    <row r="1700" spans="1:16" x14ac:dyDescent="0.2">
      <c r="A1700">
        <v>6275644</v>
      </c>
      <c r="B1700" t="s">
        <v>3090</v>
      </c>
      <c r="C1700" t="s">
        <v>176</v>
      </c>
      <c r="D1700" t="s">
        <v>56</v>
      </c>
      <c r="E1700" s="1">
        <v>44638</v>
      </c>
      <c r="F1700" t="s">
        <v>3091</v>
      </c>
      <c r="G1700" s="1">
        <v>44657</v>
      </c>
      <c r="I1700" t="s">
        <v>13</v>
      </c>
      <c r="J1700" s="1" t="b">
        <f t="shared" si="182"/>
        <v>0</v>
      </c>
      <c r="K1700" s="1" t="b">
        <f t="shared" si="183"/>
        <v>1</v>
      </c>
      <c r="L1700" s="1" t="b">
        <f t="shared" si="184"/>
        <v>0</v>
      </c>
      <c r="M1700" s="1" t="b">
        <f t="shared" si="185"/>
        <v>0</v>
      </c>
      <c r="N1700" s="1" t="b">
        <f t="shared" si="186"/>
        <v>0</v>
      </c>
      <c r="O1700" s="1" t="b">
        <f t="shared" si="187"/>
        <v>0</v>
      </c>
      <c r="P1700" s="1" t="b">
        <f t="shared" si="188"/>
        <v>0</v>
      </c>
    </row>
    <row r="1701" spans="1:16" x14ac:dyDescent="0.2">
      <c r="A1701">
        <v>8075793</v>
      </c>
      <c r="B1701" t="s">
        <v>3092</v>
      </c>
      <c r="C1701" t="s">
        <v>167</v>
      </c>
      <c r="D1701" t="s">
        <v>60</v>
      </c>
      <c r="E1701" s="1">
        <v>45067</v>
      </c>
      <c r="F1701" t="s">
        <v>3093</v>
      </c>
      <c r="G1701" s="1">
        <v>45083</v>
      </c>
      <c r="H1701" s="1">
        <v>45086</v>
      </c>
      <c r="I1701" t="s">
        <v>43</v>
      </c>
      <c r="J1701" s="1" t="b">
        <f t="shared" si="182"/>
        <v>1</v>
      </c>
      <c r="K1701" s="1" t="b">
        <f t="shared" si="183"/>
        <v>0</v>
      </c>
      <c r="L1701" s="1" t="b">
        <f t="shared" si="184"/>
        <v>0</v>
      </c>
      <c r="M1701" s="1" t="b">
        <f t="shared" si="185"/>
        <v>0</v>
      </c>
      <c r="N1701" s="1" t="b">
        <f t="shared" si="186"/>
        <v>0</v>
      </c>
      <c r="O1701" s="1" t="b">
        <f t="shared" si="187"/>
        <v>1</v>
      </c>
      <c r="P1701" s="1" t="b">
        <f t="shared" si="188"/>
        <v>0</v>
      </c>
    </row>
    <row r="1702" spans="1:16" x14ac:dyDescent="0.2">
      <c r="A1702">
        <v>8075793</v>
      </c>
      <c r="B1702" t="s">
        <v>3094</v>
      </c>
      <c r="C1702" t="s">
        <v>167</v>
      </c>
      <c r="D1702" t="s">
        <v>60</v>
      </c>
      <c r="E1702" s="1">
        <v>45025</v>
      </c>
      <c r="F1702" t="s">
        <v>3095</v>
      </c>
      <c r="G1702" s="1">
        <v>45031</v>
      </c>
      <c r="H1702" s="1">
        <v>45070</v>
      </c>
      <c r="J1702" s="1" t="b">
        <f t="shared" si="182"/>
        <v>1</v>
      </c>
      <c r="K1702" s="1" t="b">
        <f t="shared" si="183"/>
        <v>0</v>
      </c>
      <c r="L1702" s="1" t="b">
        <f t="shared" si="184"/>
        <v>0</v>
      </c>
      <c r="M1702" s="1" t="b">
        <f t="shared" si="185"/>
        <v>0</v>
      </c>
      <c r="N1702" s="1" t="b">
        <f t="shared" si="186"/>
        <v>0</v>
      </c>
      <c r="O1702" s="1" t="b">
        <f t="shared" si="187"/>
        <v>0</v>
      </c>
      <c r="P1702" s="1" t="b">
        <f t="shared" si="188"/>
        <v>0</v>
      </c>
    </row>
    <row r="1703" spans="1:16" x14ac:dyDescent="0.2">
      <c r="A1703">
        <v>8075793</v>
      </c>
      <c r="B1703" t="s">
        <v>3096</v>
      </c>
      <c r="C1703" t="s">
        <v>167</v>
      </c>
      <c r="D1703" t="s">
        <v>60</v>
      </c>
      <c r="E1703" s="1">
        <v>44583</v>
      </c>
      <c r="F1703" t="s">
        <v>821</v>
      </c>
      <c r="G1703" s="1">
        <v>44593</v>
      </c>
      <c r="H1703" s="1">
        <v>44595</v>
      </c>
      <c r="J1703" s="1" t="b">
        <f t="shared" si="182"/>
        <v>1</v>
      </c>
      <c r="K1703" s="1" t="b">
        <f t="shared" si="183"/>
        <v>0</v>
      </c>
      <c r="L1703" s="1" t="b">
        <f t="shared" si="184"/>
        <v>0</v>
      </c>
      <c r="M1703" s="1" t="b">
        <f t="shared" si="185"/>
        <v>0</v>
      </c>
      <c r="N1703" s="1" t="b">
        <f t="shared" si="186"/>
        <v>0</v>
      </c>
      <c r="O1703" s="1" t="b">
        <f t="shared" si="187"/>
        <v>0</v>
      </c>
      <c r="P1703" s="1" t="b">
        <f t="shared" si="188"/>
        <v>0</v>
      </c>
    </row>
    <row r="1704" spans="1:16" x14ac:dyDescent="0.2">
      <c r="A1704">
        <v>1077963</v>
      </c>
      <c r="B1704" t="s">
        <v>3097</v>
      </c>
      <c r="C1704" t="s">
        <v>310</v>
      </c>
      <c r="D1704" t="s">
        <v>77</v>
      </c>
      <c r="E1704" s="1">
        <v>45102</v>
      </c>
      <c r="F1704" t="s">
        <v>2849</v>
      </c>
      <c r="G1704" s="1">
        <v>45104</v>
      </c>
      <c r="I1704" t="s">
        <v>13</v>
      </c>
      <c r="J1704" s="1" t="b">
        <f t="shared" si="182"/>
        <v>0</v>
      </c>
      <c r="K1704" s="1" t="b">
        <f t="shared" si="183"/>
        <v>1</v>
      </c>
      <c r="L1704" s="1" t="b">
        <f t="shared" si="184"/>
        <v>0</v>
      </c>
      <c r="M1704" s="1" t="b">
        <f t="shared" si="185"/>
        <v>0</v>
      </c>
      <c r="N1704" s="1" t="b">
        <f t="shared" si="186"/>
        <v>0</v>
      </c>
      <c r="O1704" s="1" t="b">
        <f t="shared" si="187"/>
        <v>0</v>
      </c>
      <c r="P1704" s="1" t="b">
        <f t="shared" si="188"/>
        <v>0</v>
      </c>
    </row>
    <row r="1705" spans="1:16" x14ac:dyDescent="0.2">
      <c r="A1705">
        <v>1077963</v>
      </c>
      <c r="B1705" t="s">
        <v>3098</v>
      </c>
      <c r="C1705" t="s">
        <v>310</v>
      </c>
      <c r="D1705" t="s">
        <v>77</v>
      </c>
      <c r="E1705" s="1">
        <v>45043</v>
      </c>
      <c r="F1705" t="s">
        <v>3099</v>
      </c>
      <c r="G1705" s="1">
        <v>45047</v>
      </c>
      <c r="I1705" t="s">
        <v>25</v>
      </c>
      <c r="J1705" s="1" t="b">
        <f t="shared" si="182"/>
        <v>0</v>
      </c>
      <c r="K1705" s="1" t="b">
        <f t="shared" si="183"/>
        <v>0</v>
      </c>
      <c r="L1705" s="1" t="b">
        <f t="shared" si="184"/>
        <v>1</v>
      </c>
      <c r="M1705" s="1" t="b">
        <f t="shared" si="185"/>
        <v>0</v>
      </c>
      <c r="N1705" s="1" t="b">
        <f t="shared" si="186"/>
        <v>0</v>
      </c>
      <c r="O1705" s="1" t="b">
        <f t="shared" si="187"/>
        <v>0</v>
      </c>
      <c r="P1705" s="1" t="b">
        <f t="shared" si="188"/>
        <v>0</v>
      </c>
    </row>
    <row r="1706" spans="1:16" x14ac:dyDescent="0.2">
      <c r="A1706">
        <v>1077963</v>
      </c>
      <c r="B1706" t="s">
        <v>3100</v>
      </c>
      <c r="C1706" t="s">
        <v>310</v>
      </c>
      <c r="D1706" t="s">
        <v>77</v>
      </c>
      <c r="E1706" s="1">
        <v>44843</v>
      </c>
      <c r="F1706" t="s">
        <v>3101</v>
      </c>
      <c r="G1706" s="1">
        <v>44854</v>
      </c>
      <c r="H1706" s="1">
        <v>44903</v>
      </c>
      <c r="J1706" s="1" t="b">
        <f t="shared" si="182"/>
        <v>1</v>
      </c>
      <c r="K1706" s="1" t="b">
        <f t="shared" si="183"/>
        <v>0</v>
      </c>
      <c r="L1706" s="1" t="b">
        <f t="shared" si="184"/>
        <v>0</v>
      </c>
      <c r="M1706" s="1" t="b">
        <f t="shared" si="185"/>
        <v>0</v>
      </c>
      <c r="N1706" s="1" t="b">
        <f t="shared" si="186"/>
        <v>0</v>
      </c>
      <c r="O1706" s="1" t="b">
        <f t="shared" si="187"/>
        <v>0</v>
      </c>
      <c r="P1706" s="1" t="b">
        <f t="shared" si="188"/>
        <v>0</v>
      </c>
    </row>
    <row r="1707" spans="1:16" x14ac:dyDescent="0.2">
      <c r="A1707">
        <v>6801971</v>
      </c>
      <c r="B1707" t="s">
        <v>3102</v>
      </c>
      <c r="C1707" t="s">
        <v>59</v>
      </c>
      <c r="D1707" t="s">
        <v>122</v>
      </c>
      <c r="E1707" s="1">
        <v>44964</v>
      </c>
      <c r="F1707" t="s">
        <v>2958</v>
      </c>
      <c r="G1707" s="1">
        <v>44974</v>
      </c>
      <c r="H1707" s="1">
        <v>45019</v>
      </c>
      <c r="J1707" s="1" t="b">
        <f t="shared" si="182"/>
        <v>1</v>
      </c>
      <c r="K1707" s="1" t="b">
        <f t="shared" si="183"/>
        <v>0</v>
      </c>
      <c r="L1707" s="1" t="b">
        <f t="shared" si="184"/>
        <v>0</v>
      </c>
      <c r="M1707" s="1" t="b">
        <f t="shared" si="185"/>
        <v>0</v>
      </c>
      <c r="N1707" s="1" t="b">
        <f t="shared" si="186"/>
        <v>0</v>
      </c>
      <c r="O1707" s="1" t="b">
        <f t="shared" si="187"/>
        <v>0</v>
      </c>
      <c r="P1707" s="1" t="b">
        <f t="shared" si="188"/>
        <v>0</v>
      </c>
    </row>
    <row r="1708" spans="1:16" x14ac:dyDescent="0.2">
      <c r="A1708">
        <v>6801971</v>
      </c>
      <c r="B1708" t="s">
        <v>3103</v>
      </c>
      <c r="C1708" t="s">
        <v>59</v>
      </c>
      <c r="D1708" t="s">
        <v>122</v>
      </c>
      <c r="E1708" s="1">
        <v>44686</v>
      </c>
      <c r="F1708" t="s">
        <v>3104</v>
      </c>
      <c r="G1708" s="1">
        <v>44713</v>
      </c>
      <c r="H1708" s="1">
        <v>44737</v>
      </c>
      <c r="J1708" s="1" t="b">
        <f t="shared" si="182"/>
        <v>1</v>
      </c>
      <c r="K1708" s="1" t="b">
        <f t="shared" si="183"/>
        <v>0</v>
      </c>
      <c r="L1708" s="1" t="b">
        <f t="shared" si="184"/>
        <v>0</v>
      </c>
      <c r="M1708" s="1" t="b">
        <f t="shared" si="185"/>
        <v>0</v>
      </c>
      <c r="N1708" s="1" t="b">
        <f t="shared" si="186"/>
        <v>0</v>
      </c>
      <c r="O1708" s="1" t="b">
        <f t="shared" si="187"/>
        <v>0</v>
      </c>
      <c r="P1708" s="1" t="b">
        <f t="shared" si="188"/>
        <v>0</v>
      </c>
    </row>
    <row r="1709" spans="1:16" x14ac:dyDescent="0.2">
      <c r="A1709">
        <v>6801971</v>
      </c>
      <c r="B1709" t="s">
        <v>3105</v>
      </c>
      <c r="C1709" t="s">
        <v>59</v>
      </c>
      <c r="D1709" t="s">
        <v>122</v>
      </c>
      <c r="E1709" s="1">
        <v>44610</v>
      </c>
      <c r="F1709" t="s">
        <v>3106</v>
      </c>
      <c r="G1709" s="1">
        <v>44637</v>
      </c>
      <c r="H1709" s="1">
        <v>44638</v>
      </c>
      <c r="I1709" t="s">
        <v>16</v>
      </c>
      <c r="J1709" s="1" t="b">
        <f t="shared" si="182"/>
        <v>1</v>
      </c>
      <c r="K1709" s="1" t="b">
        <f t="shared" si="183"/>
        <v>0</v>
      </c>
      <c r="L1709" s="1" t="b">
        <f t="shared" si="184"/>
        <v>0</v>
      </c>
      <c r="M1709" s="1" t="b">
        <f t="shared" si="185"/>
        <v>0</v>
      </c>
      <c r="N1709" s="1" t="b">
        <f t="shared" si="186"/>
        <v>1</v>
      </c>
      <c r="O1709" s="1" t="b">
        <f t="shared" si="187"/>
        <v>0</v>
      </c>
      <c r="P1709" s="1" t="b">
        <f t="shared" si="188"/>
        <v>0</v>
      </c>
    </row>
    <row r="1710" spans="1:16" x14ac:dyDescent="0.2">
      <c r="A1710">
        <v>6801971</v>
      </c>
      <c r="B1710" t="s">
        <v>3107</v>
      </c>
      <c r="C1710" t="s">
        <v>59</v>
      </c>
      <c r="D1710" t="s">
        <v>122</v>
      </c>
      <c r="E1710" s="1">
        <v>45008</v>
      </c>
      <c r="F1710" t="s">
        <v>638</v>
      </c>
      <c r="G1710" s="1">
        <v>45016</v>
      </c>
      <c r="I1710" t="s">
        <v>13</v>
      </c>
      <c r="J1710" s="1" t="b">
        <f t="shared" si="182"/>
        <v>0</v>
      </c>
      <c r="K1710" s="1" t="b">
        <f t="shared" si="183"/>
        <v>1</v>
      </c>
      <c r="L1710" s="1" t="b">
        <f t="shared" si="184"/>
        <v>0</v>
      </c>
      <c r="M1710" s="1" t="b">
        <f t="shared" si="185"/>
        <v>0</v>
      </c>
      <c r="N1710" s="1" t="b">
        <f t="shared" si="186"/>
        <v>0</v>
      </c>
      <c r="O1710" s="1" t="b">
        <f t="shared" si="187"/>
        <v>0</v>
      </c>
      <c r="P1710" s="1" t="b">
        <f t="shared" si="188"/>
        <v>0</v>
      </c>
    </row>
    <row r="1711" spans="1:16" x14ac:dyDescent="0.2">
      <c r="A1711">
        <v>6801971</v>
      </c>
      <c r="B1711" t="s">
        <v>3108</v>
      </c>
      <c r="C1711" t="s">
        <v>59</v>
      </c>
      <c r="D1711" t="s">
        <v>122</v>
      </c>
      <c r="E1711" s="1">
        <v>44939</v>
      </c>
      <c r="F1711" t="s">
        <v>1205</v>
      </c>
      <c r="G1711" s="1">
        <v>44966</v>
      </c>
      <c r="I1711" t="s">
        <v>13</v>
      </c>
      <c r="J1711" s="1" t="b">
        <f t="shared" si="182"/>
        <v>0</v>
      </c>
      <c r="K1711" s="1" t="b">
        <f t="shared" si="183"/>
        <v>1</v>
      </c>
      <c r="L1711" s="1" t="b">
        <f t="shared" si="184"/>
        <v>0</v>
      </c>
      <c r="M1711" s="1" t="b">
        <f t="shared" si="185"/>
        <v>0</v>
      </c>
      <c r="N1711" s="1" t="b">
        <f t="shared" si="186"/>
        <v>0</v>
      </c>
      <c r="O1711" s="1" t="b">
        <f t="shared" si="187"/>
        <v>0</v>
      </c>
      <c r="P1711" s="1" t="b">
        <f t="shared" si="188"/>
        <v>0</v>
      </c>
    </row>
    <row r="1712" spans="1:16" x14ac:dyDescent="0.2">
      <c r="A1712">
        <v>1082902</v>
      </c>
      <c r="B1712" t="s">
        <v>3109</v>
      </c>
      <c r="C1712" t="s">
        <v>310</v>
      </c>
      <c r="D1712" t="s">
        <v>56</v>
      </c>
      <c r="E1712" s="1">
        <v>44873</v>
      </c>
      <c r="F1712" t="s">
        <v>3110</v>
      </c>
      <c r="G1712" s="1">
        <v>44876</v>
      </c>
      <c r="H1712" s="1">
        <v>44893</v>
      </c>
      <c r="I1712" t="s">
        <v>16</v>
      </c>
      <c r="J1712" s="1" t="b">
        <f t="shared" si="182"/>
        <v>1</v>
      </c>
      <c r="K1712" s="1" t="b">
        <f t="shared" si="183"/>
        <v>0</v>
      </c>
      <c r="L1712" s="1" t="b">
        <f t="shared" si="184"/>
        <v>0</v>
      </c>
      <c r="M1712" s="1" t="b">
        <f t="shared" si="185"/>
        <v>0</v>
      </c>
      <c r="N1712" s="1" t="b">
        <f t="shared" si="186"/>
        <v>1</v>
      </c>
      <c r="O1712" s="1" t="b">
        <f t="shared" si="187"/>
        <v>0</v>
      </c>
      <c r="P1712" s="1" t="b">
        <f t="shared" si="188"/>
        <v>0</v>
      </c>
    </row>
    <row r="1713" spans="1:16" x14ac:dyDescent="0.2">
      <c r="A1713">
        <v>1082902</v>
      </c>
      <c r="B1713" t="s">
        <v>3111</v>
      </c>
      <c r="C1713" t="s">
        <v>310</v>
      </c>
      <c r="D1713" t="s">
        <v>56</v>
      </c>
      <c r="E1713" s="1">
        <v>44736</v>
      </c>
      <c r="F1713" t="s">
        <v>40</v>
      </c>
      <c r="G1713" s="1">
        <v>44766</v>
      </c>
      <c r="H1713" s="1">
        <v>44775</v>
      </c>
      <c r="J1713" s="1" t="b">
        <f t="shared" si="182"/>
        <v>1</v>
      </c>
      <c r="K1713" s="1" t="b">
        <f t="shared" si="183"/>
        <v>0</v>
      </c>
      <c r="L1713" s="1" t="b">
        <f t="shared" si="184"/>
        <v>0</v>
      </c>
      <c r="M1713" s="1" t="b">
        <f t="shared" si="185"/>
        <v>0</v>
      </c>
      <c r="N1713" s="1" t="b">
        <f t="shared" si="186"/>
        <v>0</v>
      </c>
      <c r="O1713" s="1" t="b">
        <f t="shared" si="187"/>
        <v>0</v>
      </c>
      <c r="P1713" s="1" t="b">
        <f t="shared" si="188"/>
        <v>0</v>
      </c>
    </row>
    <row r="1714" spans="1:16" x14ac:dyDescent="0.2">
      <c r="A1714">
        <v>1082902</v>
      </c>
      <c r="B1714" t="s">
        <v>3112</v>
      </c>
      <c r="C1714" t="s">
        <v>310</v>
      </c>
      <c r="D1714" t="s">
        <v>56</v>
      </c>
      <c r="E1714" s="1">
        <v>44713</v>
      </c>
      <c r="F1714" t="s">
        <v>3113</v>
      </c>
      <c r="G1714" s="1">
        <v>44738</v>
      </c>
      <c r="H1714" s="1">
        <v>44776</v>
      </c>
      <c r="I1714" t="s">
        <v>16</v>
      </c>
      <c r="J1714" s="1" t="b">
        <f t="shared" si="182"/>
        <v>1</v>
      </c>
      <c r="K1714" s="1" t="b">
        <f t="shared" si="183"/>
        <v>0</v>
      </c>
      <c r="L1714" s="1" t="b">
        <f t="shared" si="184"/>
        <v>0</v>
      </c>
      <c r="M1714" s="1" t="b">
        <f t="shared" si="185"/>
        <v>0</v>
      </c>
      <c r="N1714" s="1" t="b">
        <f t="shared" si="186"/>
        <v>1</v>
      </c>
      <c r="O1714" s="1" t="b">
        <f t="shared" si="187"/>
        <v>0</v>
      </c>
      <c r="P1714" s="1" t="b">
        <f t="shared" si="188"/>
        <v>0</v>
      </c>
    </row>
    <row r="1715" spans="1:16" x14ac:dyDescent="0.2">
      <c r="A1715">
        <v>7933921</v>
      </c>
      <c r="B1715" t="s">
        <v>3114</v>
      </c>
      <c r="C1715" t="s">
        <v>265</v>
      </c>
      <c r="D1715" t="s">
        <v>77</v>
      </c>
      <c r="E1715" s="1">
        <v>45063</v>
      </c>
      <c r="F1715" t="s">
        <v>3115</v>
      </c>
      <c r="G1715" s="1">
        <v>45072</v>
      </c>
      <c r="H1715" s="1">
        <v>45093</v>
      </c>
      <c r="I1715" t="s">
        <v>43</v>
      </c>
      <c r="J1715" s="1" t="b">
        <f t="shared" si="182"/>
        <v>1</v>
      </c>
      <c r="K1715" s="1" t="b">
        <f t="shared" si="183"/>
        <v>0</v>
      </c>
      <c r="L1715" s="1" t="b">
        <f t="shared" si="184"/>
        <v>0</v>
      </c>
      <c r="M1715" s="1" t="b">
        <f t="shared" si="185"/>
        <v>0</v>
      </c>
      <c r="N1715" s="1" t="b">
        <f t="shared" si="186"/>
        <v>0</v>
      </c>
      <c r="O1715" s="1" t="b">
        <f t="shared" si="187"/>
        <v>1</v>
      </c>
      <c r="P1715" s="1" t="b">
        <f t="shared" si="188"/>
        <v>0</v>
      </c>
    </row>
    <row r="1716" spans="1:16" x14ac:dyDescent="0.2">
      <c r="A1716">
        <v>9098468</v>
      </c>
      <c r="B1716" t="s">
        <v>3116</v>
      </c>
      <c r="C1716" t="s">
        <v>93</v>
      </c>
      <c r="D1716" t="s">
        <v>122</v>
      </c>
      <c r="E1716" s="1">
        <v>44810</v>
      </c>
      <c r="F1716" t="s">
        <v>3117</v>
      </c>
      <c r="G1716" s="1">
        <v>44832</v>
      </c>
      <c r="H1716" s="1">
        <v>44874</v>
      </c>
      <c r="I1716" t="s">
        <v>16</v>
      </c>
      <c r="J1716" s="1" t="b">
        <f t="shared" si="182"/>
        <v>1</v>
      </c>
      <c r="K1716" s="1" t="b">
        <f t="shared" si="183"/>
        <v>0</v>
      </c>
      <c r="L1716" s="1" t="b">
        <f t="shared" si="184"/>
        <v>0</v>
      </c>
      <c r="M1716" s="1" t="b">
        <f t="shared" si="185"/>
        <v>0</v>
      </c>
      <c r="N1716" s="1" t="b">
        <f t="shared" si="186"/>
        <v>1</v>
      </c>
      <c r="O1716" s="1" t="b">
        <f t="shared" si="187"/>
        <v>0</v>
      </c>
      <c r="P1716" s="1" t="b">
        <f t="shared" si="188"/>
        <v>0</v>
      </c>
    </row>
    <row r="1717" spans="1:16" x14ac:dyDescent="0.2">
      <c r="A1717">
        <v>9098468</v>
      </c>
      <c r="B1717" t="s">
        <v>3118</v>
      </c>
      <c r="C1717" t="s">
        <v>93</v>
      </c>
      <c r="D1717" t="s">
        <v>122</v>
      </c>
      <c r="E1717" s="1">
        <v>44638</v>
      </c>
      <c r="F1717" t="s">
        <v>1092</v>
      </c>
      <c r="G1717" s="1">
        <v>44654</v>
      </c>
      <c r="H1717" s="1">
        <v>44658</v>
      </c>
      <c r="I1717" t="s">
        <v>43</v>
      </c>
      <c r="J1717" s="1" t="b">
        <f t="shared" si="182"/>
        <v>1</v>
      </c>
      <c r="K1717" s="1" t="b">
        <f t="shared" si="183"/>
        <v>0</v>
      </c>
      <c r="L1717" s="1" t="b">
        <f t="shared" si="184"/>
        <v>0</v>
      </c>
      <c r="M1717" s="1" t="b">
        <f t="shared" si="185"/>
        <v>0</v>
      </c>
      <c r="N1717" s="1" t="b">
        <f t="shared" si="186"/>
        <v>0</v>
      </c>
      <c r="O1717" s="1" t="b">
        <f t="shared" si="187"/>
        <v>1</v>
      </c>
      <c r="P1717" s="1" t="b">
        <f t="shared" si="188"/>
        <v>0</v>
      </c>
    </row>
    <row r="1718" spans="1:16" x14ac:dyDescent="0.2">
      <c r="A1718">
        <v>9098468</v>
      </c>
      <c r="B1718" t="s">
        <v>3119</v>
      </c>
      <c r="C1718" t="s">
        <v>93</v>
      </c>
      <c r="D1718" t="s">
        <v>122</v>
      </c>
      <c r="E1718" s="1">
        <v>45041</v>
      </c>
      <c r="F1718" t="s">
        <v>3120</v>
      </c>
      <c r="G1718" s="1">
        <v>45068</v>
      </c>
      <c r="I1718" t="s">
        <v>25</v>
      </c>
      <c r="J1718" s="1" t="b">
        <f t="shared" si="182"/>
        <v>0</v>
      </c>
      <c r="K1718" s="1" t="b">
        <f t="shared" si="183"/>
        <v>0</v>
      </c>
      <c r="L1718" s="1" t="b">
        <f t="shared" si="184"/>
        <v>1</v>
      </c>
      <c r="M1718" s="1" t="b">
        <f t="shared" si="185"/>
        <v>0</v>
      </c>
      <c r="N1718" s="1" t="b">
        <f t="shared" si="186"/>
        <v>0</v>
      </c>
      <c r="O1718" s="1" t="b">
        <f t="shared" si="187"/>
        <v>0</v>
      </c>
      <c r="P1718" s="1" t="b">
        <f t="shared" si="188"/>
        <v>0</v>
      </c>
    </row>
    <row r="1719" spans="1:16" x14ac:dyDescent="0.2">
      <c r="A1719">
        <v>7460238</v>
      </c>
      <c r="B1719" t="s">
        <v>3121</v>
      </c>
      <c r="C1719" t="s">
        <v>454</v>
      </c>
      <c r="D1719" t="s">
        <v>77</v>
      </c>
      <c r="E1719" s="1">
        <v>45102</v>
      </c>
      <c r="F1719" t="s">
        <v>3122</v>
      </c>
      <c r="G1719" s="1">
        <v>45119</v>
      </c>
      <c r="I1719" t="s">
        <v>25</v>
      </c>
      <c r="J1719" s="1" t="b">
        <f t="shared" si="182"/>
        <v>0</v>
      </c>
      <c r="K1719" s="1" t="b">
        <f t="shared" si="183"/>
        <v>0</v>
      </c>
      <c r="L1719" s="1" t="b">
        <f t="shared" si="184"/>
        <v>1</v>
      </c>
      <c r="M1719" s="1" t="b">
        <f t="shared" si="185"/>
        <v>0</v>
      </c>
      <c r="N1719" s="1" t="b">
        <f t="shared" si="186"/>
        <v>0</v>
      </c>
      <c r="O1719" s="1" t="b">
        <f t="shared" si="187"/>
        <v>0</v>
      </c>
      <c r="P1719" s="1" t="b">
        <f t="shared" si="188"/>
        <v>0</v>
      </c>
    </row>
    <row r="1720" spans="1:16" x14ac:dyDescent="0.2">
      <c r="A1720">
        <v>6257292</v>
      </c>
      <c r="B1720" t="s">
        <v>3123</v>
      </c>
      <c r="C1720" t="s">
        <v>35</v>
      </c>
      <c r="D1720" t="s">
        <v>11</v>
      </c>
      <c r="E1720" s="1">
        <v>44786</v>
      </c>
      <c r="F1720" t="s">
        <v>3124</v>
      </c>
      <c r="G1720" s="1">
        <v>44816</v>
      </c>
      <c r="H1720" s="1">
        <v>44840</v>
      </c>
      <c r="I1720" t="s">
        <v>16</v>
      </c>
      <c r="J1720" s="1" t="b">
        <f t="shared" si="182"/>
        <v>1</v>
      </c>
      <c r="K1720" s="1" t="b">
        <f t="shared" si="183"/>
        <v>0</v>
      </c>
      <c r="L1720" s="1" t="b">
        <f t="shared" si="184"/>
        <v>0</v>
      </c>
      <c r="M1720" s="1" t="b">
        <f t="shared" si="185"/>
        <v>0</v>
      </c>
      <c r="N1720" s="1" t="b">
        <f t="shared" si="186"/>
        <v>1</v>
      </c>
      <c r="O1720" s="1" t="b">
        <f t="shared" si="187"/>
        <v>0</v>
      </c>
      <c r="P1720" s="1" t="b">
        <f t="shared" si="188"/>
        <v>0</v>
      </c>
    </row>
    <row r="1721" spans="1:16" x14ac:dyDescent="0.2">
      <c r="A1721">
        <v>6257292</v>
      </c>
      <c r="B1721" t="s">
        <v>3125</v>
      </c>
      <c r="C1721" t="s">
        <v>35</v>
      </c>
      <c r="D1721" t="s">
        <v>11</v>
      </c>
      <c r="E1721" s="1">
        <v>45087</v>
      </c>
      <c r="F1721" t="s">
        <v>3126</v>
      </c>
      <c r="G1721" s="1">
        <v>45094</v>
      </c>
      <c r="H1721" s="1">
        <v>45144</v>
      </c>
      <c r="J1721" s="1" t="b">
        <f t="shared" si="182"/>
        <v>1</v>
      </c>
      <c r="K1721" s="1" t="b">
        <f t="shared" si="183"/>
        <v>0</v>
      </c>
      <c r="L1721" s="1" t="b">
        <f t="shared" si="184"/>
        <v>0</v>
      </c>
      <c r="M1721" s="1" t="b">
        <f t="shared" si="185"/>
        <v>0</v>
      </c>
      <c r="N1721" s="1" t="b">
        <f t="shared" si="186"/>
        <v>0</v>
      </c>
      <c r="O1721" s="1" t="b">
        <f t="shared" si="187"/>
        <v>0</v>
      </c>
      <c r="P1721" s="1" t="b">
        <f t="shared" si="188"/>
        <v>0</v>
      </c>
    </row>
    <row r="1722" spans="1:16" x14ac:dyDescent="0.2">
      <c r="A1722">
        <v>6257292</v>
      </c>
      <c r="B1722" t="s">
        <v>3127</v>
      </c>
      <c r="C1722" t="s">
        <v>35</v>
      </c>
      <c r="D1722" t="s">
        <v>11</v>
      </c>
      <c r="E1722" s="1">
        <v>44730</v>
      </c>
      <c r="F1722" t="s">
        <v>3128</v>
      </c>
      <c r="G1722" s="1">
        <v>44752</v>
      </c>
      <c r="H1722" s="1">
        <v>44772</v>
      </c>
      <c r="I1722" t="s">
        <v>16</v>
      </c>
      <c r="J1722" s="1" t="b">
        <f t="shared" si="182"/>
        <v>1</v>
      </c>
      <c r="K1722" s="1" t="b">
        <f t="shared" si="183"/>
        <v>0</v>
      </c>
      <c r="L1722" s="1" t="b">
        <f t="shared" si="184"/>
        <v>0</v>
      </c>
      <c r="M1722" s="1" t="b">
        <f t="shared" si="185"/>
        <v>0</v>
      </c>
      <c r="N1722" s="1" t="b">
        <f t="shared" si="186"/>
        <v>1</v>
      </c>
      <c r="O1722" s="1" t="b">
        <f t="shared" si="187"/>
        <v>0</v>
      </c>
      <c r="P1722" s="1" t="b">
        <f t="shared" si="188"/>
        <v>0</v>
      </c>
    </row>
    <row r="1723" spans="1:16" x14ac:dyDescent="0.2">
      <c r="A1723">
        <v>6257292</v>
      </c>
      <c r="B1723" t="s">
        <v>3129</v>
      </c>
      <c r="C1723" t="s">
        <v>35</v>
      </c>
      <c r="D1723" t="s">
        <v>11</v>
      </c>
      <c r="E1723" s="1">
        <v>44671</v>
      </c>
      <c r="F1723" t="s">
        <v>3130</v>
      </c>
      <c r="G1723" s="1">
        <v>44695</v>
      </c>
      <c r="H1723" s="1">
        <v>44703</v>
      </c>
      <c r="I1723" t="s">
        <v>16</v>
      </c>
      <c r="J1723" s="1" t="b">
        <f t="shared" si="182"/>
        <v>1</v>
      </c>
      <c r="K1723" s="1" t="b">
        <f t="shared" si="183"/>
        <v>0</v>
      </c>
      <c r="L1723" s="1" t="b">
        <f t="shared" si="184"/>
        <v>0</v>
      </c>
      <c r="M1723" s="1" t="b">
        <f t="shared" si="185"/>
        <v>0</v>
      </c>
      <c r="N1723" s="1" t="b">
        <f t="shared" si="186"/>
        <v>1</v>
      </c>
      <c r="O1723" s="1" t="b">
        <f t="shared" si="187"/>
        <v>0</v>
      </c>
      <c r="P1723" s="1" t="b">
        <f t="shared" si="188"/>
        <v>0</v>
      </c>
    </row>
    <row r="1724" spans="1:16" x14ac:dyDescent="0.2">
      <c r="A1724">
        <v>5035968</v>
      </c>
      <c r="B1724" t="s">
        <v>3131</v>
      </c>
      <c r="C1724" t="s">
        <v>10</v>
      </c>
      <c r="D1724" t="s">
        <v>77</v>
      </c>
      <c r="E1724" s="1">
        <v>45105</v>
      </c>
      <c r="F1724" t="s">
        <v>1433</v>
      </c>
      <c r="G1724" s="1">
        <v>45120</v>
      </c>
      <c r="I1724" t="s">
        <v>13</v>
      </c>
      <c r="J1724" s="1" t="b">
        <f t="shared" si="182"/>
        <v>0</v>
      </c>
      <c r="K1724" s="1" t="b">
        <f t="shared" si="183"/>
        <v>1</v>
      </c>
      <c r="L1724" s="1" t="b">
        <f t="shared" si="184"/>
        <v>0</v>
      </c>
      <c r="M1724" s="1" t="b">
        <f t="shared" si="185"/>
        <v>0</v>
      </c>
      <c r="N1724" s="1" t="b">
        <f t="shared" si="186"/>
        <v>0</v>
      </c>
      <c r="O1724" s="1" t="b">
        <f t="shared" si="187"/>
        <v>0</v>
      </c>
      <c r="P1724" s="1" t="b">
        <f t="shared" si="188"/>
        <v>0</v>
      </c>
    </row>
    <row r="1725" spans="1:16" x14ac:dyDescent="0.2">
      <c r="A1725">
        <v>5035968</v>
      </c>
      <c r="B1725" t="s">
        <v>3132</v>
      </c>
      <c r="C1725" t="s">
        <v>10</v>
      </c>
      <c r="D1725" t="s">
        <v>77</v>
      </c>
      <c r="E1725" s="1">
        <v>44648</v>
      </c>
      <c r="F1725" t="s">
        <v>3133</v>
      </c>
      <c r="G1725" s="1">
        <v>44660</v>
      </c>
      <c r="I1725" t="s">
        <v>25</v>
      </c>
      <c r="J1725" s="1" t="b">
        <f t="shared" si="182"/>
        <v>0</v>
      </c>
      <c r="K1725" s="1" t="b">
        <f t="shared" si="183"/>
        <v>0</v>
      </c>
      <c r="L1725" s="1" t="b">
        <f t="shared" si="184"/>
        <v>1</v>
      </c>
      <c r="M1725" s="1" t="b">
        <f t="shared" si="185"/>
        <v>0</v>
      </c>
      <c r="N1725" s="1" t="b">
        <f t="shared" si="186"/>
        <v>0</v>
      </c>
      <c r="O1725" s="1" t="b">
        <f t="shared" si="187"/>
        <v>0</v>
      </c>
      <c r="P1725" s="1" t="b">
        <f t="shared" si="188"/>
        <v>0</v>
      </c>
    </row>
    <row r="1726" spans="1:16" x14ac:dyDescent="0.2">
      <c r="A1726">
        <v>8238926</v>
      </c>
      <c r="B1726" t="s">
        <v>3134</v>
      </c>
      <c r="C1726" t="s">
        <v>454</v>
      </c>
      <c r="D1726" t="s">
        <v>187</v>
      </c>
      <c r="E1726" s="1">
        <v>44841</v>
      </c>
      <c r="F1726" t="s">
        <v>499</v>
      </c>
      <c r="G1726" s="1">
        <v>44853</v>
      </c>
      <c r="H1726" s="1">
        <v>44860</v>
      </c>
      <c r="I1726" t="s">
        <v>28</v>
      </c>
      <c r="J1726" s="1" t="b">
        <f t="shared" si="182"/>
        <v>1</v>
      </c>
      <c r="K1726" s="1" t="b">
        <f t="shared" si="183"/>
        <v>0</v>
      </c>
      <c r="L1726" s="1" t="b">
        <f t="shared" si="184"/>
        <v>0</v>
      </c>
      <c r="M1726" s="1" t="b">
        <f t="shared" si="185"/>
        <v>0</v>
      </c>
      <c r="N1726" s="1" t="b">
        <f t="shared" si="186"/>
        <v>0</v>
      </c>
      <c r="O1726" s="1" t="b">
        <f t="shared" si="187"/>
        <v>0</v>
      </c>
      <c r="P1726" s="1" t="b">
        <f t="shared" si="188"/>
        <v>1</v>
      </c>
    </row>
    <row r="1727" spans="1:16" x14ac:dyDescent="0.2">
      <c r="A1727">
        <v>8238926</v>
      </c>
      <c r="B1727" t="s">
        <v>3135</v>
      </c>
      <c r="C1727" t="s">
        <v>454</v>
      </c>
      <c r="D1727" t="s">
        <v>187</v>
      </c>
      <c r="E1727" s="1">
        <v>44994</v>
      </c>
      <c r="F1727" t="s">
        <v>3136</v>
      </c>
      <c r="G1727" s="1">
        <v>45001</v>
      </c>
      <c r="I1727" t="s">
        <v>13</v>
      </c>
      <c r="J1727" s="1" t="b">
        <f t="shared" si="182"/>
        <v>0</v>
      </c>
      <c r="K1727" s="1" t="b">
        <f t="shared" si="183"/>
        <v>1</v>
      </c>
      <c r="L1727" s="1" t="b">
        <f t="shared" si="184"/>
        <v>0</v>
      </c>
      <c r="M1727" s="1" t="b">
        <f t="shared" si="185"/>
        <v>0</v>
      </c>
      <c r="N1727" s="1" t="b">
        <f t="shared" si="186"/>
        <v>0</v>
      </c>
      <c r="O1727" s="1" t="b">
        <f t="shared" si="187"/>
        <v>0</v>
      </c>
      <c r="P1727" s="1" t="b">
        <f t="shared" si="188"/>
        <v>0</v>
      </c>
    </row>
    <row r="1728" spans="1:16" x14ac:dyDescent="0.2">
      <c r="A1728">
        <v>8238926</v>
      </c>
      <c r="B1728" t="s">
        <v>3137</v>
      </c>
      <c r="C1728" t="s">
        <v>454</v>
      </c>
      <c r="D1728" t="s">
        <v>187</v>
      </c>
      <c r="E1728" s="1">
        <v>44844</v>
      </c>
      <c r="F1728" t="s">
        <v>3138</v>
      </c>
      <c r="G1728" s="1">
        <v>44861</v>
      </c>
      <c r="I1728" t="s">
        <v>25</v>
      </c>
      <c r="J1728" s="1" t="b">
        <f t="shared" si="182"/>
        <v>0</v>
      </c>
      <c r="K1728" s="1" t="b">
        <f t="shared" si="183"/>
        <v>0</v>
      </c>
      <c r="L1728" s="1" t="b">
        <f t="shared" si="184"/>
        <v>1</v>
      </c>
      <c r="M1728" s="1" t="b">
        <f t="shared" si="185"/>
        <v>0</v>
      </c>
      <c r="N1728" s="1" t="b">
        <f t="shared" si="186"/>
        <v>0</v>
      </c>
      <c r="O1728" s="1" t="b">
        <f t="shared" si="187"/>
        <v>0</v>
      </c>
      <c r="P1728" s="1" t="b">
        <f t="shared" si="188"/>
        <v>0</v>
      </c>
    </row>
    <row r="1729" spans="1:16" x14ac:dyDescent="0.2">
      <c r="A1729">
        <v>8238926</v>
      </c>
      <c r="B1729" t="s">
        <v>3139</v>
      </c>
      <c r="C1729" t="s">
        <v>454</v>
      </c>
      <c r="D1729" t="s">
        <v>187</v>
      </c>
      <c r="E1729" s="1">
        <v>44613</v>
      </c>
      <c r="F1729" t="s">
        <v>392</v>
      </c>
      <c r="G1729" s="1">
        <v>44634</v>
      </c>
      <c r="H1729" s="1">
        <v>44650</v>
      </c>
      <c r="J1729" s="1" t="b">
        <f t="shared" si="182"/>
        <v>1</v>
      </c>
      <c r="K1729" s="1" t="b">
        <f t="shared" si="183"/>
        <v>0</v>
      </c>
      <c r="L1729" s="1" t="b">
        <f t="shared" si="184"/>
        <v>0</v>
      </c>
      <c r="M1729" s="1" t="b">
        <f t="shared" si="185"/>
        <v>0</v>
      </c>
      <c r="N1729" s="1" t="b">
        <f t="shared" si="186"/>
        <v>0</v>
      </c>
      <c r="O1729" s="1" t="b">
        <f t="shared" si="187"/>
        <v>0</v>
      </c>
      <c r="P1729" s="1" t="b">
        <f t="shared" si="188"/>
        <v>0</v>
      </c>
    </row>
    <row r="1730" spans="1:16" x14ac:dyDescent="0.2">
      <c r="A1730">
        <v>2863660</v>
      </c>
      <c r="B1730" t="s">
        <v>3140</v>
      </c>
      <c r="C1730" t="s">
        <v>93</v>
      </c>
      <c r="D1730" t="s">
        <v>122</v>
      </c>
      <c r="E1730" s="1">
        <v>45106</v>
      </c>
      <c r="F1730" t="s">
        <v>3141</v>
      </c>
      <c r="G1730" s="1">
        <v>45110</v>
      </c>
      <c r="H1730" s="1">
        <v>45128</v>
      </c>
      <c r="I1730" t="s">
        <v>28</v>
      </c>
      <c r="J1730" s="1" t="b">
        <f t="shared" si="182"/>
        <v>1</v>
      </c>
      <c r="K1730" s="1" t="b">
        <f t="shared" si="183"/>
        <v>0</v>
      </c>
      <c r="L1730" s="1" t="b">
        <f t="shared" si="184"/>
        <v>0</v>
      </c>
      <c r="M1730" s="1" t="b">
        <f t="shared" si="185"/>
        <v>0</v>
      </c>
      <c r="N1730" s="1" t="b">
        <f t="shared" si="186"/>
        <v>0</v>
      </c>
      <c r="O1730" s="1" t="b">
        <f t="shared" si="187"/>
        <v>0</v>
      </c>
      <c r="P1730" s="1" t="b">
        <f t="shared" si="188"/>
        <v>1</v>
      </c>
    </row>
    <row r="1731" spans="1:16" x14ac:dyDescent="0.2">
      <c r="A1731">
        <v>4799452</v>
      </c>
      <c r="B1731" t="s">
        <v>3142</v>
      </c>
      <c r="C1731" t="s">
        <v>131</v>
      </c>
      <c r="D1731" t="s">
        <v>81</v>
      </c>
      <c r="E1731" s="1">
        <v>44836</v>
      </c>
      <c r="F1731" t="s">
        <v>3143</v>
      </c>
      <c r="G1731" s="1">
        <v>44852</v>
      </c>
      <c r="I1731" t="s">
        <v>25</v>
      </c>
      <c r="J1731" s="1" t="b">
        <f t="shared" ref="J1731:J1794" si="189">AND(NOT(ISBLANK(H1731)), NOT(OR(ISNUMBER(SEARCH("decline", I1731)), ISNUMBER(SEARCH("rescind", I1731)), ISNUMBER(SEARCH("cancel", I1731)))))</f>
        <v>0</v>
      </c>
      <c r="K1731" s="1" t="b">
        <f t="shared" ref="K1731:K1794" si="190">ISNUMBER(SEARCH("decline", I1731))</f>
        <v>0</v>
      </c>
      <c r="L1731" s="1" t="b">
        <f t="shared" ref="L1731:L1794" si="191">ISNUMBER(SEARCH("rescind", I1731))</f>
        <v>1</v>
      </c>
      <c r="M1731" s="1" t="b">
        <f t="shared" ref="M1731:M1794" si="192">ISNUMBER(SEARCH("cancel", I1731))</f>
        <v>0</v>
      </c>
      <c r="N1731" s="1" t="b">
        <f t="shared" ref="N1731:N1794" si="193">ISNUMBER(SEARCH("transfer", I1731))</f>
        <v>0</v>
      </c>
      <c r="O1731" s="1" t="b">
        <f t="shared" ref="O1731:O1794" si="194">ISNUMBER(SEARCH("promo", I1731))</f>
        <v>0</v>
      </c>
      <c r="P1731" s="1" t="b">
        <f t="shared" ref="P1731:P1794" si="195">ISNUMBER(SEARCH("new", I1731))</f>
        <v>0</v>
      </c>
    </row>
    <row r="1732" spans="1:16" x14ac:dyDescent="0.2">
      <c r="A1732">
        <v>4799452</v>
      </c>
      <c r="B1732" t="s">
        <v>3144</v>
      </c>
      <c r="C1732" t="s">
        <v>131</v>
      </c>
      <c r="D1732" t="s">
        <v>81</v>
      </c>
      <c r="E1732" s="1">
        <v>44917</v>
      </c>
      <c r="F1732" t="s">
        <v>3145</v>
      </c>
      <c r="G1732" s="1">
        <v>44938</v>
      </c>
      <c r="I1732" t="s">
        <v>13</v>
      </c>
      <c r="J1732" s="1" t="b">
        <f t="shared" si="189"/>
        <v>0</v>
      </c>
      <c r="K1732" s="1" t="b">
        <f t="shared" si="190"/>
        <v>1</v>
      </c>
      <c r="L1732" s="1" t="b">
        <f t="shared" si="191"/>
        <v>0</v>
      </c>
      <c r="M1732" s="1" t="b">
        <f t="shared" si="192"/>
        <v>0</v>
      </c>
      <c r="N1732" s="1" t="b">
        <f t="shared" si="193"/>
        <v>0</v>
      </c>
      <c r="O1732" s="1" t="b">
        <f t="shared" si="194"/>
        <v>0</v>
      </c>
      <c r="P1732" s="1" t="b">
        <f t="shared" si="195"/>
        <v>0</v>
      </c>
    </row>
    <row r="1733" spans="1:16" x14ac:dyDescent="0.2">
      <c r="A1733">
        <v>4799452</v>
      </c>
      <c r="B1733" t="s">
        <v>3146</v>
      </c>
      <c r="C1733" t="s">
        <v>131</v>
      </c>
      <c r="D1733" t="s">
        <v>81</v>
      </c>
      <c r="E1733" s="1">
        <v>44565</v>
      </c>
      <c r="F1733" t="s">
        <v>3147</v>
      </c>
      <c r="G1733" s="1">
        <v>44569</v>
      </c>
      <c r="I1733" t="s">
        <v>13</v>
      </c>
      <c r="J1733" s="1" t="b">
        <f t="shared" si="189"/>
        <v>0</v>
      </c>
      <c r="K1733" s="1" t="b">
        <f t="shared" si="190"/>
        <v>1</v>
      </c>
      <c r="L1733" s="1" t="b">
        <f t="shared" si="191"/>
        <v>0</v>
      </c>
      <c r="M1733" s="1" t="b">
        <f t="shared" si="192"/>
        <v>0</v>
      </c>
      <c r="N1733" s="1" t="b">
        <f t="shared" si="193"/>
        <v>0</v>
      </c>
      <c r="O1733" s="1" t="b">
        <f t="shared" si="194"/>
        <v>0</v>
      </c>
      <c r="P1733" s="1" t="b">
        <f t="shared" si="195"/>
        <v>0</v>
      </c>
    </row>
    <row r="1734" spans="1:16" x14ac:dyDescent="0.2">
      <c r="A1734">
        <v>4799452</v>
      </c>
      <c r="B1734" t="s">
        <v>3148</v>
      </c>
      <c r="C1734" t="s">
        <v>131</v>
      </c>
      <c r="D1734" t="s">
        <v>81</v>
      </c>
      <c r="E1734" s="1">
        <v>45050</v>
      </c>
      <c r="F1734" t="s">
        <v>396</v>
      </c>
      <c r="G1734" s="1">
        <v>45074</v>
      </c>
      <c r="I1734" t="s">
        <v>13</v>
      </c>
      <c r="J1734" s="1" t="b">
        <f t="shared" si="189"/>
        <v>0</v>
      </c>
      <c r="K1734" s="1" t="b">
        <f t="shared" si="190"/>
        <v>1</v>
      </c>
      <c r="L1734" s="1" t="b">
        <f t="shared" si="191"/>
        <v>0</v>
      </c>
      <c r="M1734" s="1" t="b">
        <f t="shared" si="192"/>
        <v>0</v>
      </c>
      <c r="N1734" s="1" t="b">
        <f t="shared" si="193"/>
        <v>0</v>
      </c>
      <c r="O1734" s="1" t="b">
        <f t="shared" si="194"/>
        <v>0</v>
      </c>
      <c r="P1734" s="1" t="b">
        <f t="shared" si="195"/>
        <v>0</v>
      </c>
    </row>
    <row r="1735" spans="1:16" x14ac:dyDescent="0.2">
      <c r="A1735">
        <v>6122489</v>
      </c>
      <c r="B1735" t="s">
        <v>3149</v>
      </c>
      <c r="C1735" t="s">
        <v>90</v>
      </c>
      <c r="D1735" t="s">
        <v>19</v>
      </c>
      <c r="E1735" s="1">
        <v>44753</v>
      </c>
      <c r="F1735" t="s">
        <v>3150</v>
      </c>
      <c r="G1735" s="1">
        <v>44764</v>
      </c>
      <c r="I1735" t="s">
        <v>25</v>
      </c>
      <c r="J1735" s="1" t="b">
        <f t="shared" si="189"/>
        <v>0</v>
      </c>
      <c r="K1735" s="1" t="b">
        <f t="shared" si="190"/>
        <v>0</v>
      </c>
      <c r="L1735" s="1" t="b">
        <f t="shared" si="191"/>
        <v>1</v>
      </c>
      <c r="M1735" s="1" t="b">
        <f t="shared" si="192"/>
        <v>0</v>
      </c>
      <c r="N1735" s="1" t="b">
        <f t="shared" si="193"/>
        <v>0</v>
      </c>
      <c r="O1735" s="1" t="b">
        <f t="shared" si="194"/>
        <v>0</v>
      </c>
      <c r="P1735" s="1" t="b">
        <f t="shared" si="195"/>
        <v>0</v>
      </c>
    </row>
    <row r="1736" spans="1:16" x14ac:dyDescent="0.2">
      <c r="A1736">
        <v>6122489</v>
      </c>
      <c r="B1736" t="s">
        <v>3151</v>
      </c>
      <c r="C1736" t="s">
        <v>90</v>
      </c>
      <c r="D1736" t="s">
        <v>19</v>
      </c>
      <c r="E1736" s="1">
        <v>45047</v>
      </c>
      <c r="F1736" t="s">
        <v>3152</v>
      </c>
      <c r="G1736" s="1">
        <v>45061</v>
      </c>
      <c r="H1736" s="1">
        <v>45083</v>
      </c>
      <c r="I1736" t="s">
        <v>43</v>
      </c>
      <c r="J1736" s="1" t="b">
        <f t="shared" si="189"/>
        <v>1</v>
      </c>
      <c r="K1736" s="1" t="b">
        <f t="shared" si="190"/>
        <v>0</v>
      </c>
      <c r="L1736" s="1" t="b">
        <f t="shared" si="191"/>
        <v>0</v>
      </c>
      <c r="M1736" s="1" t="b">
        <f t="shared" si="192"/>
        <v>0</v>
      </c>
      <c r="N1736" s="1" t="b">
        <f t="shared" si="193"/>
        <v>0</v>
      </c>
      <c r="O1736" s="1" t="b">
        <f t="shared" si="194"/>
        <v>1</v>
      </c>
      <c r="P1736" s="1" t="b">
        <f t="shared" si="195"/>
        <v>0</v>
      </c>
    </row>
    <row r="1737" spans="1:16" x14ac:dyDescent="0.2">
      <c r="A1737">
        <v>1349416</v>
      </c>
      <c r="B1737" t="s">
        <v>3153</v>
      </c>
      <c r="C1737" t="s">
        <v>38</v>
      </c>
      <c r="D1737" t="s">
        <v>11</v>
      </c>
      <c r="E1737" s="1">
        <v>44571</v>
      </c>
      <c r="F1737" t="s">
        <v>3154</v>
      </c>
      <c r="G1737" s="1">
        <v>44591</v>
      </c>
      <c r="I1737" t="s">
        <v>13</v>
      </c>
      <c r="J1737" s="1" t="b">
        <f t="shared" si="189"/>
        <v>0</v>
      </c>
      <c r="K1737" s="1" t="b">
        <f t="shared" si="190"/>
        <v>1</v>
      </c>
      <c r="L1737" s="1" t="b">
        <f t="shared" si="191"/>
        <v>0</v>
      </c>
      <c r="M1737" s="1" t="b">
        <f t="shared" si="192"/>
        <v>0</v>
      </c>
      <c r="N1737" s="1" t="b">
        <f t="shared" si="193"/>
        <v>0</v>
      </c>
      <c r="O1737" s="1" t="b">
        <f t="shared" si="194"/>
        <v>0</v>
      </c>
      <c r="P1737" s="1" t="b">
        <f t="shared" si="195"/>
        <v>0</v>
      </c>
    </row>
    <row r="1738" spans="1:16" x14ac:dyDescent="0.2">
      <c r="A1738">
        <v>6907989</v>
      </c>
      <c r="B1738" t="s">
        <v>3155</v>
      </c>
      <c r="C1738" t="s">
        <v>363</v>
      </c>
      <c r="D1738" t="s">
        <v>81</v>
      </c>
      <c r="E1738" s="1">
        <v>44608</v>
      </c>
      <c r="F1738" t="s">
        <v>3037</v>
      </c>
      <c r="G1738" s="1">
        <v>44635</v>
      </c>
      <c r="H1738" s="1">
        <v>44637</v>
      </c>
      <c r="I1738" t="s">
        <v>43</v>
      </c>
      <c r="J1738" s="1" t="b">
        <f t="shared" si="189"/>
        <v>1</v>
      </c>
      <c r="K1738" s="1" t="b">
        <f t="shared" si="190"/>
        <v>0</v>
      </c>
      <c r="L1738" s="1" t="b">
        <f t="shared" si="191"/>
        <v>0</v>
      </c>
      <c r="M1738" s="1" t="b">
        <f t="shared" si="192"/>
        <v>0</v>
      </c>
      <c r="N1738" s="1" t="b">
        <f t="shared" si="193"/>
        <v>0</v>
      </c>
      <c r="O1738" s="1" t="b">
        <f t="shared" si="194"/>
        <v>1</v>
      </c>
      <c r="P1738" s="1" t="b">
        <f t="shared" si="195"/>
        <v>0</v>
      </c>
    </row>
    <row r="1739" spans="1:16" x14ac:dyDescent="0.2">
      <c r="A1739">
        <v>5876441</v>
      </c>
      <c r="B1739" t="s">
        <v>3156</v>
      </c>
      <c r="C1739" t="s">
        <v>150</v>
      </c>
      <c r="D1739" t="s">
        <v>19</v>
      </c>
      <c r="E1739" s="1">
        <v>44664</v>
      </c>
      <c r="F1739" t="s">
        <v>3157</v>
      </c>
      <c r="G1739" s="1">
        <v>44674</v>
      </c>
      <c r="H1739" s="1">
        <v>44726</v>
      </c>
      <c r="I1739" t="s">
        <v>43</v>
      </c>
      <c r="J1739" s="1" t="b">
        <f t="shared" si="189"/>
        <v>1</v>
      </c>
      <c r="K1739" s="1" t="b">
        <f t="shared" si="190"/>
        <v>0</v>
      </c>
      <c r="L1739" s="1" t="b">
        <f t="shared" si="191"/>
        <v>0</v>
      </c>
      <c r="M1739" s="1" t="b">
        <f t="shared" si="192"/>
        <v>0</v>
      </c>
      <c r="N1739" s="1" t="b">
        <f t="shared" si="193"/>
        <v>0</v>
      </c>
      <c r="O1739" s="1" t="b">
        <f t="shared" si="194"/>
        <v>1</v>
      </c>
      <c r="P1739" s="1" t="b">
        <f t="shared" si="195"/>
        <v>0</v>
      </c>
    </row>
    <row r="1740" spans="1:16" x14ac:dyDescent="0.2">
      <c r="A1740">
        <v>5876441</v>
      </c>
      <c r="B1740" t="s">
        <v>3158</v>
      </c>
      <c r="C1740" t="s">
        <v>150</v>
      </c>
      <c r="D1740" t="s">
        <v>19</v>
      </c>
      <c r="E1740" s="1">
        <v>44921</v>
      </c>
      <c r="F1740" t="s">
        <v>3159</v>
      </c>
      <c r="G1740" s="1">
        <v>44939</v>
      </c>
      <c r="H1740" s="1">
        <v>44956</v>
      </c>
      <c r="J1740" s="1" t="b">
        <f t="shared" si="189"/>
        <v>1</v>
      </c>
      <c r="K1740" s="1" t="b">
        <f t="shared" si="190"/>
        <v>0</v>
      </c>
      <c r="L1740" s="1" t="b">
        <f t="shared" si="191"/>
        <v>0</v>
      </c>
      <c r="M1740" s="1" t="b">
        <f t="shared" si="192"/>
        <v>0</v>
      </c>
      <c r="N1740" s="1" t="b">
        <f t="shared" si="193"/>
        <v>0</v>
      </c>
      <c r="O1740" s="1" t="b">
        <f t="shared" si="194"/>
        <v>0</v>
      </c>
      <c r="P1740" s="1" t="b">
        <f t="shared" si="195"/>
        <v>0</v>
      </c>
    </row>
    <row r="1741" spans="1:16" x14ac:dyDescent="0.2">
      <c r="A1741">
        <v>5876441</v>
      </c>
      <c r="B1741" t="s">
        <v>3160</v>
      </c>
      <c r="C1741" t="s">
        <v>150</v>
      </c>
      <c r="D1741" t="s">
        <v>19</v>
      </c>
      <c r="E1741" s="1">
        <v>44575</v>
      </c>
      <c r="F1741" t="s">
        <v>1567</v>
      </c>
      <c r="G1741" s="1">
        <v>44602</v>
      </c>
      <c r="H1741" s="1">
        <v>44625</v>
      </c>
      <c r="I1741" t="s">
        <v>28</v>
      </c>
      <c r="J1741" s="1" t="b">
        <f t="shared" si="189"/>
        <v>1</v>
      </c>
      <c r="K1741" s="1" t="b">
        <f t="shared" si="190"/>
        <v>0</v>
      </c>
      <c r="L1741" s="1" t="b">
        <f t="shared" si="191"/>
        <v>0</v>
      </c>
      <c r="M1741" s="1" t="b">
        <f t="shared" si="192"/>
        <v>0</v>
      </c>
      <c r="N1741" s="1" t="b">
        <f t="shared" si="193"/>
        <v>0</v>
      </c>
      <c r="O1741" s="1" t="b">
        <f t="shared" si="194"/>
        <v>0</v>
      </c>
      <c r="P1741" s="1" t="b">
        <f t="shared" si="195"/>
        <v>1</v>
      </c>
    </row>
    <row r="1742" spans="1:16" x14ac:dyDescent="0.2">
      <c r="A1742">
        <v>5876441</v>
      </c>
      <c r="B1742" t="s">
        <v>3161</v>
      </c>
      <c r="C1742" t="s">
        <v>150</v>
      </c>
      <c r="D1742" t="s">
        <v>19</v>
      </c>
      <c r="E1742" s="1">
        <v>45057</v>
      </c>
      <c r="F1742" t="s">
        <v>3162</v>
      </c>
      <c r="G1742" s="1">
        <v>45061</v>
      </c>
      <c r="H1742" s="1">
        <v>45079</v>
      </c>
      <c r="I1742" t="s">
        <v>28</v>
      </c>
      <c r="J1742" s="1" t="b">
        <f t="shared" si="189"/>
        <v>1</v>
      </c>
      <c r="K1742" s="1" t="b">
        <f t="shared" si="190"/>
        <v>0</v>
      </c>
      <c r="L1742" s="1" t="b">
        <f t="shared" si="191"/>
        <v>0</v>
      </c>
      <c r="M1742" s="1" t="b">
        <f t="shared" si="192"/>
        <v>0</v>
      </c>
      <c r="N1742" s="1" t="b">
        <f t="shared" si="193"/>
        <v>0</v>
      </c>
      <c r="O1742" s="1" t="b">
        <f t="shared" si="194"/>
        <v>0</v>
      </c>
      <c r="P1742" s="1" t="b">
        <f t="shared" si="195"/>
        <v>1</v>
      </c>
    </row>
    <row r="1743" spans="1:16" x14ac:dyDescent="0.2">
      <c r="A1743">
        <v>5876441</v>
      </c>
      <c r="B1743" t="s">
        <v>3163</v>
      </c>
      <c r="C1743" t="s">
        <v>150</v>
      </c>
      <c r="D1743" t="s">
        <v>19</v>
      </c>
      <c r="E1743" s="1">
        <v>44787</v>
      </c>
      <c r="F1743" t="s">
        <v>3164</v>
      </c>
      <c r="G1743" s="1">
        <v>44809</v>
      </c>
      <c r="H1743" s="1">
        <v>44819</v>
      </c>
      <c r="I1743" t="s">
        <v>16</v>
      </c>
      <c r="J1743" s="1" t="b">
        <f t="shared" si="189"/>
        <v>1</v>
      </c>
      <c r="K1743" s="1" t="b">
        <f t="shared" si="190"/>
        <v>0</v>
      </c>
      <c r="L1743" s="1" t="b">
        <f t="shared" si="191"/>
        <v>0</v>
      </c>
      <c r="M1743" s="1" t="b">
        <f t="shared" si="192"/>
        <v>0</v>
      </c>
      <c r="N1743" s="1" t="b">
        <f t="shared" si="193"/>
        <v>1</v>
      </c>
      <c r="O1743" s="1" t="b">
        <f t="shared" si="194"/>
        <v>0</v>
      </c>
      <c r="P1743" s="1" t="b">
        <f t="shared" si="195"/>
        <v>0</v>
      </c>
    </row>
    <row r="1744" spans="1:16" x14ac:dyDescent="0.2">
      <c r="A1744">
        <v>6992727</v>
      </c>
      <c r="B1744" t="s">
        <v>3165</v>
      </c>
      <c r="C1744" t="s">
        <v>363</v>
      </c>
      <c r="D1744" t="s">
        <v>56</v>
      </c>
      <c r="E1744" s="1">
        <v>44653</v>
      </c>
      <c r="F1744" t="s">
        <v>3166</v>
      </c>
      <c r="G1744" s="1">
        <v>44660</v>
      </c>
      <c r="H1744" s="1">
        <v>44719</v>
      </c>
      <c r="J1744" s="1" t="b">
        <f t="shared" si="189"/>
        <v>1</v>
      </c>
      <c r="K1744" s="1" t="b">
        <f t="shared" si="190"/>
        <v>0</v>
      </c>
      <c r="L1744" s="1" t="b">
        <f t="shared" si="191"/>
        <v>0</v>
      </c>
      <c r="M1744" s="1" t="b">
        <f t="shared" si="192"/>
        <v>0</v>
      </c>
      <c r="N1744" s="1" t="b">
        <f t="shared" si="193"/>
        <v>0</v>
      </c>
      <c r="O1744" s="1" t="b">
        <f t="shared" si="194"/>
        <v>0</v>
      </c>
      <c r="P1744" s="1" t="b">
        <f t="shared" si="195"/>
        <v>0</v>
      </c>
    </row>
    <row r="1745" spans="1:16" x14ac:dyDescent="0.2">
      <c r="A1745">
        <v>6992727</v>
      </c>
      <c r="B1745" t="s">
        <v>3167</v>
      </c>
      <c r="C1745" t="s">
        <v>363</v>
      </c>
      <c r="D1745" t="s">
        <v>56</v>
      </c>
      <c r="E1745" s="1">
        <v>45022</v>
      </c>
      <c r="F1745" t="s">
        <v>261</v>
      </c>
      <c r="G1745" s="1">
        <v>45051</v>
      </c>
      <c r="H1745" s="1">
        <v>45085</v>
      </c>
      <c r="I1745" t="s">
        <v>16</v>
      </c>
      <c r="J1745" s="1" t="b">
        <f t="shared" si="189"/>
        <v>1</v>
      </c>
      <c r="K1745" s="1" t="b">
        <f t="shared" si="190"/>
        <v>0</v>
      </c>
      <c r="L1745" s="1" t="b">
        <f t="shared" si="191"/>
        <v>0</v>
      </c>
      <c r="M1745" s="1" t="b">
        <f t="shared" si="192"/>
        <v>0</v>
      </c>
      <c r="N1745" s="1" t="b">
        <f t="shared" si="193"/>
        <v>1</v>
      </c>
      <c r="O1745" s="1" t="b">
        <f t="shared" si="194"/>
        <v>0</v>
      </c>
      <c r="P1745" s="1" t="b">
        <f t="shared" si="195"/>
        <v>0</v>
      </c>
    </row>
    <row r="1746" spans="1:16" x14ac:dyDescent="0.2">
      <c r="A1746">
        <v>3935211</v>
      </c>
      <c r="B1746" t="s">
        <v>3168</v>
      </c>
      <c r="C1746" t="s">
        <v>282</v>
      </c>
      <c r="D1746" t="s">
        <v>39</v>
      </c>
      <c r="E1746" s="1">
        <v>44878</v>
      </c>
      <c r="F1746" t="s">
        <v>3169</v>
      </c>
      <c r="G1746" s="1">
        <v>44885</v>
      </c>
      <c r="I1746" t="s">
        <v>25</v>
      </c>
      <c r="J1746" s="1" t="b">
        <f t="shared" si="189"/>
        <v>0</v>
      </c>
      <c r="K1746" s="1" t="b">
        <f t="shared" si="190"/>
        <v>0</v>
      </c>
      <c r="L1746" s="1" t="b">
        <f t="shared" si="191"/>
        <v>1</v>
      </c>
      <c r="M1746" s="1" t="b">
        <f t="shared" si="192"/>
        <v>0</v>
      </c>
      <c r="N1746" s="1" t="b">
        <f t="shared" si="193"/>
        <v>0</v>
      </c>
      <c r="O1746" s="1" t="b">
        <f t="shared" si="194"/>
        <v>0</v>
      </c>
      <c r="P1746" s="1" t="b">
        <f t="shared" si="195"/>
        <v>0</v>
      </c>
    </row>
    <row r="1747" spans="1:16" x14ac:dyDescent="0.2">
      <c r="A1747">
        <v>3935211</v>
      </c>
      <c r="B1747" t="s">
        <v>3170</v>
      </c>
      <c r="C1747" t="s">
        <v>282</v>
      </c>
      <c r="D1747" t="s">
        <v>39</v>
      </c>
      <c r="E1747" s="1">
        <v>44917</v>
      </c>
      <c r="F1747" t="s">
        <v>3171</v>
      </c>
      <c r="G1747" s="1">
        <v>44927</v>
      </c>
      <c r="I1747" t="s">
        <v>13</v>
      </c>
      <c r="J1747" s="1" t="b">
        <f t="shared" si="189"/>
        <v>0</v>
      </c>
      <c r="K1747" s="1" t="b">
        <f t="shared" si="190"/>
        <v>1</v>
      </c>
      <c r="L1747" s="1" t="b">
        <f t="shared" si="191"/>
        <v>0</v>
      </c>
      <c r="M1747" s="1" t="b">
        <f t="shared" si="192"/>
        <v>0</v>
      </c>
      <c r="N1747" s="1" t="b">
        <f t="shared" si="193"/>
        <v>0</v>
      </c>
      <c r="O1747" s="1" t="b">
        <f t="shared" si="194"/>
        <v>0</v>
      </c>
      <c r="P1747" s="1" t="b">
        <f t="shared" si="195"/>
        <v>0</v>
      </c>
    </row>
    <row r="1748" spans="1:16" x14ac:dyDescent="0.2">
      <c r="A1748">
        <v>3935211</v>
      </c>
      <c r="B1748" t="s">
        <v>3172</v>
      </c>
      <c r="C1748" t="s">
        <v>282</v>
      </c>
      <c r="D1748" t="s">
        <v>39</v>
      </c>
      <c r="E1748" s="1">
        <v>44687</v>
      </c>
      <c r="F1748" t="s">
        <v>3173</v>
      </c>
      <c r="G1748" s="1">
        <v>44701</v>
      </c>
      <c r="H1748" s="1">
        <v>44752</v>
      </c>
      <c r="I1748" t="s">
        <v>28</v>
      </c>
      <c r="J1748" s="1" t="b">
        <f t="shared" si="189"/>
        <v>1</v>
      </c>
      <c r="K1748" s="1" t="b">
        <f t="shared" si="190"/>
        <v>0</v>
      </c>
      <c r="L1748" s="1" t="b">
        <f t="shared" si="191"/>
        <v>0</v>
      </c>
      <c r="M1748" s="1" t="b">
        <f t="shared" si="192"/>
        <v>0</v>
      </c>
      <c r="N1748" s="1" t="b">
        <f t="shared" si="193"/>
        <v>0</v>
      </c>
      <c r="O1748" s="1" t="b">
        <f t="shared" si="194"/>
        <v>0</v>
      </c>
      <c r="P1748" s="1" t="b">
        <f t="shared" si="195"/>
        <v>1</v>
      </c>
    </row>
    <row r="1749" spans="1:16" x14ac:dyDescent="0.2">
      <c r="A1749">
        <v>2848691</v>
      </c>
      <c r="B1749" t="s">
        <v>3174</v>
      </c>
      <c r="C1749" t="s">
        <v>10</v>
      </c>
      <c r="D1749" t="s">
        <v>77</v>
      </c>
      <c r="E1749" s="1">
        <v>44728</v>
      </c>
      <c r="F1749" t="s">
        <v>3175</v>
      </c>
      <c r="G1749" s="1">
        <v>44738</v>
      </c>
      <c r="H1749" s="1">
        <v>44770</v>
      </c>
      <c r="I1749" t="s">
        <v>43</v>
      </c>
      <c r="J1749" s="1" t="b">
        <f t="shared" si="189"/>
        <v>1</v>
      </c>
      <c r="K1749" s="1" t="b">
        <f t="shared" si="190"/>
        <v>0</v>
      </c>
      <c r="L1749" s="1" t="b">
        <f t="shared" si="191"/>
        <v>0</v>
      </c>
      <c r="M1749" s="1" t="b">
        <f t="shared" si="192"/>
        <v>0</v>
      </c>
      <c r="N1749" s="1" t="b">
        <f t="shared" si="193"/>
        <v>0</v>
      </c>
      <c r="O1749" s="1" t="b">
        <f t="shared" si="194"/>
        <v>1</v>
      </c>
      <c r="P1749" s="1" t="b">
        <f t="shared" si="195"/>
        <v>0</v>
      </c>
    </row>
    <row r="1750" spans="1:16" x14ac:dyDescent="0.2">
      <c r="A1750">
        <v>2848691</v>
      </c>
      <c r="B1750" t="s">
        <v>3176</v>
      </c>
      <c r="C1750" t="s">
        <v>10</v>
      </c>
      <c r="D1750" t="s">
        <v>77</v>
      </c>
      <c r="E1750" s="1">
        <v>44577</v>
      </c>
      <c r="F1750" t="s">
        <v>3177</v>
      </c>
      <c r="G1750" s="1">
        <v>44592</v>
      </c>
      <c r="I1750" t="s">
        <v>25</v>
      </c>
      <c r="J1750" s="1" t="b">
        <f t="shared" si="189"/>
        <v>0</v>
      </c>
      <c r="K1750" s="1" t="b">
        <f t="shared" si="190"/>
        <v>0</v>
      </c>
      <c r="L1750" s="1" t="b">
        <f t="shared" si="191"/>
        <v>1</v>
      </c>
      <c r="M1750" s="1" t="b">
        <f t="shared" si="192"/>
        <v>0</v>
      </c>
      <c r="N1750" s="1" t="b">
        <f t="shared" si="193"/>
        <v>0</v>
      </c>
      <c r="O1750" s="1" t="b">
        <f t="shared" si="194"/>
        <v>0</v>
      </c>
      <c r="P1750" s="1" t="b">
        <f t="shared" si="195"/>
        <v>0</v>
      </c>
    </row>
    <row r="1751" spans="1:16" x14ac:dyDescent="0.2">
      <c r="A1751">
        <v>1687078</v>
      </c>
      <c r="B1751" t="s">
        <v>3178</v>
      </c>
      <c r="C1751" t="s">
        <v>454</v>
      </c>
      <c r="D1751" t="s">
        <v>11</v>
      </c>
      <c r="E1751" s="1">
        <v>44567</v>
      </c>
      <c r="F1751" t="s">
        <v>3179</v>
      </c>
      <c r="G1751" s="1">
        <v>44581</v>
      </c>
      <c r="I1751" t="s">
        <v>13</v>
      </c>
      <c r="J1751" s="1" t="b">
        <f t="shared" si="189"/>
        <v>0</v>
      </c>
      <c r="K1751" s="1" t="b">
        <f t="shared" si="190"/>
        <v>1</v>
      </c>
      <c r="L1751" s="1" t="b">
        <f t="shared" si="191"/>
        <v>0</v>
      </c>
      <c r="M1751" s="1" t="b">
        <f t="shared" si="192"/>
        <v>0</v>
      </c>
      <c r="N1751" s="1" t="b">
        <f t="shared" si="193"/>
        <v>0</v>
      </c>
      <c r="O1751" s="1" t="b">
        <f t="shared" si="194"/>
        <v>0</v>
      </c>
      <c r="P1751" s="1" t="b">
        <f t="shared" si="195"/>
        <v>0</v>
      </c>
    </row>
    <row r="1752" spans="1:16" x14ac:dyDescent="0.2">
      <c r="A1752">
        <v>1687078</v>
      </c>
      <c r="B1752" t="s">
        <v>3180</v>
      </c>
      <c r="C1752" t="s">
        <v>454</v>
      </c>
      <c r="D1752" t="s">
        <v>11</v>
      </c>
      <c r="E1752" s="1">
        <v>44613</v>
      </c>
      <c r="F1752" t="s">
        <v>3181</v>
      </c>
      <c r="G1752" s="1">
        <v>44622</v>
      </c>
      <c r="I1752" t="s">
        <v>25</v>
      </c>
      <c r="J1752" s="1" t="b">
        <f t="shared" si="189"/>
        <v>0</v>
      </c>
      <c r="K1752" s="1" t="b">
        <f t="shared" si="190"/>
        <v>0</v>
      </c>
      <c r="L1752" s="1" t="b">
        <f t="shared" si="191"/>
        <v>1</v>
      </c>
      <c r="M1752" s="1" t="b">
        <f t="shared" si="192"/>
        <v>0</v>
      </c>
      <c r="N1752" s="1" t="b">
        <f t="shared" si="193"/>
        <v>0</v>
      </c>
      <c r="O1752" s="1" t="b">
        <f t="shared" si="194"/>
        <v>0</v>
      </c>
      <c r="P1752" s="1" t="b">
        <f t="shared" si="195"/>
        <v>0</v>
      </c>
    </row>
    <row r="1753" spans="1:16" x14ac:dyDescent="0.2">
      <c r="A1753">
        <v>1687078</v>
      </c>
      <c r="B1753" t="s">
        <v>3182</v>
      </c>
      <c r="C1753" t="s">
        <v>454</v>
      </c>
      <c r="D1753" t="s">
        <v>11</v>
      </c>
      <c r="E1753" s="1">
        <v>45076</v>
      </c>
      <c r="F1753" t="s">
        <v>3183</v>
      </c>
      <c r="G1753" s="1">
        <v>45098</v>
      </c>
      <c r="I1753" t="s">
        <v>13</v>
      </c>
      <c r="J1753" s="1" t="b">
        <f t="shared" si="189"/>
        <v>0</v>
      </c>
      <c r="K1753" s="1" t="b">
        <f t="shared" si="190"/>
        <v>1</v>
      </c>
      <c r="L1753" s="1" t="b">
        <f t="shared" si="191"/>
        <v>0</v>
      </c>
      <c r="M1753" s="1" t="b">
        <f t="shared" si="192"/>
        <v>0</v>
      </c>
      <c r="N1753" s="1" t="b">
        <f t="shared" si="193"/>
        <v>0</v>
      </c>
      <c r="O1753" s="1" t="b">
        <f t="shared" si="194"/>
        <v>0</v>
      </c>
      <c r="P1753" s="1" t="b">
        <f t="shared" si="195"/>
        <v>0</v>
      </c>
    </row>
    <row r="1754" spans="1:16" x14ac:dyDescent="0.2">
      <c r="A1754">
        <v>1687078</v>
      </c>
      <c r="B1754" t="s">
        <v>3184</v>
      </c>
      <c r="C1754" t="s">
        <v>454</v>
      </c>
      <c r="D1754" t="s">
        <v>11</v>
      </c>
      <c r="E1754" s="1">
        <v>44839</v>
      </c>
      <c r="F1754" t="s">
        <v>3185</v>
      </c>
      <c r="G1754" s="1">
        <v>44844</v>
      </c>
      <c r="H1754" s="1">
        <v>44891</v>
      </c>
      <c r="I1754" t="s">
        <v>43</v>
      </c>
      <c r="J1754" s="1" t="b">
        <f t="shared" si="189"/>
        <v>1</v>
      </c>
      <c r="K1754" s="1" t="b">
        <f t="shared" si="190"/>
        <v>0</v>
      </c>
      <c r="L1754" s="1" t="b">
        <f t="shared" si="191"/>
        <v>0</v>
      </c>
      <c r="M1754" s="1" t="b">
        <f t="shared" si="192"/>
        <v>0</v>
      </c>
      <c r="N1754" s="1" t="b">
        <f t="shared" si="193"/>
        <v>0</v>
      </c>
      <c r="O1754" s="1" t="b">
        <f t="shared" si="194"/>
        <v>1</v>
      </c>
      <c r="P1754" s="1" t="b">
        <f t="shared" si="195"/>
        <v>0</v>
      </c>
    </row>
    <row r="1755" spans="1:16" x14ac:dyDescent="0.2">
      <c r="A1755">
        <v>1687078</v>
      </c>
      <c r="B1755" t="s">
        <v>3186</v>
      </c>
      <c r="C1755" t="s">
        <v>454</v>
      </c>
      <c r="D1755" t="s">
        <v>11</v>
      </c>
      <c r="E1755" s="1">
        <v>44644</v>
      </c>
      <c r="F1755" t="s">
        <v>2336</v>
      </c>
      <c r="G1755" s="1">
        <v>44654</v>
      </c>
      <c r="I1755" t="s">
        <v>13</v>
      </c>
      <c r="J1755" s="1" t="b">
        <f t="shared" si="189"/>
        <v>0</v>
      </c>
      <c r="K1755" s="1" t="b">
        <f t="shared" si="190"/>
        <v>1</v>
      </c>
      <c r="L1755" s="1" t="b">
        <f t="shared" si="191"/>
        <v>0</v>
      </c>
      <c r="M1755" s="1" t="b">
        <f t="shared" si="192"/>
        <v>0</v>
      </c>
      <c r="N1755" s="1" t="b">
        <f t="shared" si="193"/>
        <v>0</v>
      </c>
      <c r="O1755" s="1" t="b">
        <f t="shared" si="194"/>
        <v>0</v>
      </c>
      <c r="P1755" s="1" t="b">
        <f t="shared" si="195"/>
        <v>0</v>
      </c>
    </row>
    <row r="1756" spans="1:16" x14ac:dyDescent="0.2">
      <c r="A1756">
        <v>4671824</v>
      </c>
      <c r="B1756" t="s">
        <v>3187</v>
      </c>
      <c r="C1756" t="s">
        <v>521</v>
      </c>
      <c r="D1756" t="s">
        <v>77</v>
      </c>
      <c r="E1756" s="1">
        <v>44957</v>
      </c>
      <c r="F1756" t="s">
        <v>3188</v>
      </c>
      <c r="G1756" s="1">
        <v>44971</v>
      </c>
      <c r="I1756" t="s">
        <v>13</v>
      </c>
      <c r="J1756" s="1" t="b">
        <f t="shared" si="189"/>
        <v>0</v>
      </c>
      <c r="K1756" s="1" t="b">
        <f t="shared" si="190"/>
        <v>1</v>
      </c>
      <c r="L1756" s="1" t="b">
        <f t="shared" si="191"/>
        <v>0</v>
      </c>
      <c r="M1756" s="1" t="b">
        <f t="shared" si="192"/>
        <v>0</v>
      </c>
      <c r="N1756" s="1" t="b">
        <f t="shared" si="193"/>
        <v>0</v>
      </c>
      <c r="O1756" s="1" t="b">
        <f t="shared" si="194"/>
        <v>0</v>
      </c>
      <c r="P1756" s="1" t="b">
        <f t="shared" si="195"/>
        <v>0</v>
      </c>
    </row>
    <row r="1757" spans="1:16" x14ac:dyDescent="0.2">
      <c r="A1757">
        <v>4671824</v>
      </c>
      <c r="B1757" t="s">
        <v>3189</v>
      </c>
      <c r="C1757" t="s">
        <v>521</v>
      </c>
      <c r="D1757" t="s">
        <v>77</v>
      </c>
      <c r="E1757" s="1">
        <v>44829</v>
      </c>
      <c r="F1757" t="s">
        <v>3190</v>
      </c>
      <c r="G1757" s="1">
        <v>44859</v>
      </c>
      <c r="I1757" t="s">
        <v>25</v>
      </c>
      <c r="J1757" s="1" t="b">
        <f t="shared" si="189"/>
        <v>0</v>
      </c>
      <c r="K1757" s="1" t="b">
        <f t="shared" si="190"/>
        <v>0</v>
      </c>
      <c r="L1757" s="1" t="b">
        <f t="shared" si="191"/>
        <v>1</v>
      </c>
      <c r="M1757" s="1" t="b">
        <f t="shared" si="192"/>
        <v>0</v>
      </c>
      <c r="N1757" s="1" t="b">
        <f t="shared" si="193"/>
        <v>0</v>
      </c>
      <c r="O1757" s="1" t="b">
        <f t="shared" si="194"/>
        <v>0</v>
      </c>
      <c r="P1757" s="1" t="b">
        <f t="shared" si="195"/>
        <v>0</v>
      </c>
    </row>
    <row r="1758" spans="1:16" x14ac:dyDescent="0.2">
      <c r="A1758">
        <v>4671824</v>
      </c>
      <c r="B1758" t="s">
        <v>3191</v>
      </c>
      <c r="C1758" t="s">
        <v>521</v>
      </c>
      <c r="D1758" t="s">
        <v>77</v>
      </c>
      <c r="E1758" s="1">
        <v>45008</v>
      </c>
      <c r="F1758" t="s">
        <v>3192</v>
      </c>
      <c r="G1758" s="1">
        <v>45030</v>
      </c>
      <c r="I1758" t="s">
        <v>25</v>
      </c>
      <c r="J1758" s="1" t="b">
        <f t="shared" si="189"/>
        <v>0</v>
      </c>
      <c r="K1758" s="1" t="b">
        <f t="shared" si="190"/>
        <v>0</v>
      </c>
      <c r="L1758" s="1" t="b">
        <f t="shared" si="191"/>
        <v>1</v>
      </c>
      <c r="M1758" s="1" t="b">
        <f t="shared" si="192"/>
        <v>0</v>
      </c>
      <c r="N1758" s="1" t="b">
        <f t="shared" si="193"/>
        <v>0</v>
      </c>
      <c r="O1758" s="1" t="b">
        <f t="shared" si="194"/>
        <v>0</v>
      </c>
      <c r="P1758" s="1" t="b">
        <f t="shared" si="195"/>
        <v>0</v>
      </c>
    </row>
    <row r="1759" spans="1:16" x14ac:dyDescent="0.2">
      <c r="A1759">
        <v>6410314</v>
      </c>
      <c r="B1759" t="s">
        <v>3193</v>
      </c>
      <c r="C1759" t="s">
        <v>47</v>
      </c>
      <c r="D1759" t="s">
        <v>81</v>
      </c>
      <c r="E1759" s="1">
        <v>44988</v>
      </c>
      <c r="F1759" t="s">
        <v>129</v>
      </c>
      <c r="G1759" s="1">
        <v>45006</v>
      </c>
      <c r="H1759" s="1">
        <v>45019</v>
      </c>
      <c r="I1759" t="s">
        <v>43</v>
      </c>
      <c r="J1759" s="1" t="b">
        <f t="shared" si="189"/>
        <v>1</v>
      </c>
      <c r="K1759" s="1" t="b">
        <f t="shared" si="190"/>
        <v>0</v>
      </c>
      <c r="L1759" s="1" t="b">
        <f t="shared" si="191"/>
        <v>0</v>
      </c>
      <c r="M1759" s="1" t="b">
        <f t="shared" si="192"/>
        <v>0</v>
      </c>
      <c r="N1759" s="1" t="b">
        <f t="shared" si="193"/>
        <v>0</v>
      </c>
      <c r="O1759" s="1" t="b">
        <f t="shared" si="194"/>
        <v>1</v>
      </c>
      <c r="P1759" s="1" t="b">
        <f t="shared" si="195"/>
        <v>0</v>
      </c>
    </row>
    <row r="1760" spans="1:16" x14ac:dyDescent="0.2">
      <c r="A1760">
        <v>6410314</v>
      </c>
      <c r="B1760" t="s">
        <v>3194</v>
      </c>
      <c r="C1760" t="s">
        <v>47</v>
      </c>
      <c r="D1760" t="s">
        <v>81</v>
      </c>
      <c r="E1760" s="1">
        <v>45034</v>
      </c>
      <c r="F1760" t="s">
        <v>288</v>
      </c>
      <c r="G1760" s="1">
        <v>45052</v>
      </c>
      <c r="H1760" s="1">
        <v>45064</v>
      </c>
      <c r="I1760" t="s">
        <v>16</v>
      </c>
      <c r="J1760" s="1" t="b">
        <f t="shared" si="189"/>
        <v>1</v>
      </c>
      <c r="K1760" s="1" t="b">
        <f t="shared" si="190"/>
        <v>0</v>
      </c>
      <c r="L1760" s="1" t="b">
        <f t="shared" si="191"/>
        <v>0</v>
      </c>
      <c r="M1760" s="1" t="b">
        <f t="shared" si="192"/>
        <v>0</v>
      </c>
      <c r="N1760" s="1" t="b">
        <f t="shared" si="193"/>
        <v>1</v>
      </c>
      <c r="O1760" s="1" t="b">
        <f t="shared" si="194"/>
        <v>0</v>
      </c>
      <c r="P1760" s="1" t="b">
        <f t="shared" si="195"/>
        <v>0</v>
      </c>
    </row>
    <row r="1761" spans="1:16" x14ac:dyDescent="0.2">
      <c r="A1761">
        <v>7307661</v>
      </c>
      <c r="B1761" t="s">
        <v>3195</v>
      </c>
      <c r="C1761" t="s">
        <v>47</v>
      </c>
      <c r="D1761" t="s">
        <v>60</v>
      </c>
      <c r="E1761" s="1">
        <v>44882</v>
      </c>
      <c r="F1761" t="s">
        <v>2621</v>
      </c>
      <c r="G1761" s="1">
        <v>44899</v>
      </c>
      <c r="I1761" t="s">
        <v>13</v>
      </c>
      <c r="J1761" s="1" t="b">
        <f t="shared" si="189"/>
        <v>0</v>
      </c>
      <c r="K1761" s="1" t="b">
        <f t="shared" si="190"/>
        <v>1</v>
      </c>
      <c r="L1761" s="1" t="b">
        <f t="shared" si="191"/>
        <v>0</v>
      </c>
      <c r="M1761" s="1" t="b">
        <f t="shared" si="192"/>
        <v>0</v>
      </c>
      <c r="N1761" s="1" t="b">
        <f t="shared" si="193"/>
        <v>0</v>
      </c>
      <c r="O1761" s="1" t="b">
        <f t="shared" si="194"/>
        <v>0</v>
      </c>
      <c r="P1761" s="1" t="b">
        <f t="shared" si="195"/>
        <v>0</v>
      </c>
    </row>
    <row r="1762" spans="1:16" x14ac:dyDescent="0.2">
      <c r="A1762">
        <v>6998844</v>
      </c>
      <c r="B1762" t="s">
        <v>3196</v>
      </c>
      <c r="C1762" t="s">
        <v>287</v>
      </c>
      <c r="D1762" t="s">
        <v>39</v>
      </c>
      <c r="E1762" s="1">
        <v>44589</v>
      </c>
      <c r="F1762" t="s">
        <v>3197</v>
      </c>
      <c r="G1762" s="1">
        <v>44614</v>
      </c>
      <c r="H1762" s="1">
        <v>44641</v>
      </c>
      <c r="J1762" s="1" t="b">
        <f t="shared" si="189"/>
        <v>1</v>
      </c>
      <c r="K1762" s="1" t="b">
        <f t="shared" si="190"/>
        <v>0</v>
      </c>
      <c r="L1762" s="1" t="b">
        <f t="shared" si="191"/>
        <v>0</v>
      </c>
      <c r="M1762" s="1" t="b">
        <f t="shared" si="192"/>
        <v>0</v>
      </c>
      <c r="N1762" s="1" t="b">
        <f t="shared" si="193"/>
        <v>0</v>
      </c>
      <c r="O1762" s="1" t="b">
        <f t="shared" si="194"/>
        <v>0</v>
      </c>
      <c r="P1762" s="1" t="b">
        <f t="shared" si="195"/>
        <v>0</v>
      </c>
    </row>
    <row r="1763" spans="1:16" x14ac:dyDescent="0.2">
      <c r="A1763">
        <v>6998844</v>
      </c>
      <c r="B1763" t="s">
        <v>3198</v>
      </c>
      <c r="C1763" t="s">
        <v>287</v>
      </c>
      <c r="D1763" t="s">
        <v>39</v>
      </c>
      <c r="E1763" s="1">
        <v>44871</v>
      </c>
      <c r="F1763" t="s">
        <v>3199</v>
      </c>
      <c r="G1763" s="1">
        <v>44897</v>
      </c>
      <c r="I1763" t="s">
        <v>13</v>
      </c>
      <c r="J1763" s="1" t="b">
        <f t="shared" si="189"/>
        <v>0</v>
      </c>
      <c r="K1763" s="1" t="b">
        <f t="shared" si="190"/>
        <v>1</v>
      </c>
      <c r="L1763" s="1" t="b">
        <f t="shared" si="191"/>
        <v>0</v>
      </c>
      <c r="M1763" s="1" t="b">
        <f t="shared" si="192"/>
        <v>0</v>
      </c>
      <c r="N1763" s="1" t="b">
        <f t="shared" si="193"/>
        <v>0</v>
      </c>
      <c r="O1763" s="1" t="b">
        <f t="shared" si="194"/>
        <v>0</v>
      </c>
      <c r="P1763" s="1" t="b">
        <f t="shared" si="195"/>
        <v>0</v>
      </c>
    </row>
    <row r="1764" spans="1:16" x14ac:dyDescent="0.2">
      <c r="A1764">
        <v>6998844</v>
      </c>
      <c r="B1764" t="s">
        <v>3200</v>
      </c>
      <c r="C1764" t="s">
        <v>287</v>
      </c>
      <c r="D1764" t="s">
        <v>39</v>
      </c>
      <c r="E1764" s="1">
        <v>44692</v>
      </c>
      <c r="F1764" t="s">
        <v>3201</v>
      </c>
      <c r="G1764" s="1">
        <v>44712</v>
      </c>
      <c r="I1764" t="s">
        <v>25</v>
      </c>
      <c r="J1764" s="1" t="b">
        <f t="shared" si="189"/>
        <v>0</v>
      </c>
      <c r="K1764" s="1" t="b">
        <f t="shared" si="190"/>
        <v>0</v>
      </c>
      <c r="L1764" s="1" t="b">
        <f t="shared" si="191"/>
        <v>1</v>
      </c>
      <c r="M1764" s="1" t="b">
        <f t="shared" si="192"/>
        <v>0</v>
      </c>
      <c r="N1764" s="1" t="b">
        <f t="shared" si="193"/>
        <v>0</v>
      </c>
      <c r="O1764" s="1" t="b">
        <f t="shared" si="194"/>
        <v>0</v>
      </c>
      <c r="P1764" s="1" t="b">
        <f t="shared" si="195"/>
        <v>0</v>
      </c>
    </row>
    <row r="1765" spans="1:16" x14ac:dyDescent="0.2">
      <c r="A1765">
        <v>6998844</v>
      </c>
      <c r="B1765" t="s">
        <v>3202</v>
      </c>
      <c r="C1765" t="s">
        <v>287</v>
      </c>
      <c r="D1765" t="s">
        <v>39</v>
      </c>
      <c r="E1765" s="1">
        <v>44964</v>
      </c>
      <c r="F1765" t="s">
        <v>3203</v>
      </c>
      <c r="G1765" s="1">
        <v>44969</v>
      </c>
      <c r="H1765" s="1">
        <v>44995</v>
      </c>
      <c r="I1765" t="s">
        <v>28</v>
      </c>
      <c r="J1765" s="1" t="b">
        <f t="shared" si="189"/>
        <v>1</v>
      </c>
      <c r="K1765" s="1" t="b">
        <f t="shared" si="190"/>
        <v>0</v>
      </c>
      <c r="L1765" s="1" t="b">
        <f t="shared" si="191"/>
        <v>0</v>
      </c>
      <c r="M1765" s="1" t="b">
        <f t="shared" si="192"/>
        <v>0</v>
      </c>
      <c r="N1765" s="1" t="b">
        <f t="shared" si="193"/>
        <v>0</v>
      </c>
      <c r="O1765" s="1" t="b">
        <f t="shared" si="194"/>
        <v>0</v>
      </c>
      <c r="P1765" s="1" t="b">
        <f t="shared" si="195"/>
        <v>1</v>
      </c>
    </row>
    <row r="1766" spans="1:16" x14ac:dyDescent="0.2">
      <c r="A1766">
        <v>1099872</v>
      </c>
      <c r="B1766" t="s">
        <v>3204</v>
      </c>
      <c r="C1766" t="s">
        <v>287</v>
      </c>
      <c r="D1766" t="s">
        <v>139</v>
      </c>
      <c r="E1766" s="1">
        <v>44671</v>
      </c>
      <c r="F1766" t="s">
        <v>774</v>
      </c>
      <c r="G1766" s="1">
        <v>44682</v>
      </c>
      <c r="H1766" s="1">
        <v>44721</v>
      </c>
      <c r="I1766" t="s">
        <v>16</v>
      </c>
      <c r="J1766" s="1" t="b">
        <f t="shared" si="189"/>
        <v>1</v>
      </c>
      <c r="K1766" s="1" t="b">
        <f t="shared" si="190"/>
        <v>0</v>
      </c>
      <c r="L1766" s="1" t="b">
        <f t="shared" si="191"/>
        <v>0</v>
      </c>
      <c r="M1766" s="1" t="b">
        <f t="shared" si="192"/>
        <v>0</v>
      </c>
      <c r="N1766" s="1" t="b">
        <f t="shared" si="193"/>
        <v>1</v>
      </c>
      <c r="O1766" s="1" t="b">
        <f t="shared" si="194"/>
        <v>0</v>
      </c>
      <c r="P1766" s="1" t="b">
        <f t="shared" si="195"/>
        <v>0</v>
      </c>
    </row>
    <row r="1767" spans="1:16" x14ac:dyDescent="0.2">
      <c r="A1767">
        <v>1099872</v>
      </c>
      <c r="B1767" t="s">
        <v>3205</v>
      </c>
      <c r="C1767" t="s">
        <v>287</v>
      </c>
      <c r="D1767" t="s">
        <v>139</v>
      </c>
      <c r="E1767" s="1">
        <v>45055</v>
      </c>
      <c r="F1767" t="s">
        <v>3206</v>
      </c>
      <c r="G1767" s="1">
        <v>45078</v>
      </c>
      <c r="I1767" t="s">
        <v>13</v>
      </c>
      <c r="J1767" s="1" t="b">
        <f t="shared" si="189"/>
        <v>0</v>
      </c>
      <c r="K1767" s="1" t="b">
        <f t="shared" si="190"/>
        <v>1</v>
      </c>
      <c r="L1767" s="1" t="b">
        <f t="shared" si="191"/>
        <v>0</v>
      </c>
      <c r="M1767" s="1" t="b">
        <f t="shared" si="192"/>
        <v>0</v>
      </c>
      <c r="N1767" s="1" t="b">
        <f t="shared" si="193"/>
        <v>0</v>
      </c>
      <c r="O1767" s="1" t="b">
        <f t="shared" si="194"/>
        <v>0</v>
      </c>
      <c r="P1767" s="1" t="b">
        <f t="shared" si="195"/>
        <v>0</v>
      </c>
    </row>
    <row r="1768" spans="1:16" x14ac:dyDescent="0.2">
      <c r="A1768">
        <v>1099872</v>
      </c>
      <c r="B1768" t="s">
        <v>3207</v>
      </c>
      <c r="C1768" t="s">
        <v>287</v>
      </c>
      <c r="D1768" t="s">
        <v>139</v>
      </c>
      <c r="E1768" s="1">
        <v>45085</v>
      </c>
      <c r="F1768" t="s">
        <v>3208</v>
      </c>
      <c r="G1768" s="1">
        <v>45109</v>
      </c>
      <c r="H1768" s="1">
        <v>45155</v>
      </c>
      <c r="I1768" t="s">
        <v>16</v>
      </c>
      <c r="J1768" s="1" t="b">
        <f t="shared" si="189"/>
        <v>1</v>
      </c>
      <c r="K1768" s="1" t="b">
        <f t="shared" si="190"/>
        <v>0</v>
      </c>
      <c r="L1768" s="1" t="b">
        <f t="shared" si="191"/>
        <v>0</v>
      </c>
      <c r="M1768" s="1" t="b">
        <f t="shared" si="192"/>
        <v>0</v>
      </c>
      <c r="N1768" s="1" t="b">
        <f t="shared" si="193"/>
        <v>1</v>
      </c>
      <c r="O1768" s="1" t="b">
        <f t="shared" si="194"/>
        <v>0</v>
      </c>
      <c r="P1768" s="1" t="b">
        <f t="shared" si="195"/>
        <v>0</v>
      </c>
    </row>
    <row r="1769" spans="1:16" x14ac:dyDescent="0.2">
      <c r="A1769">
        <v>1099872</v>
      </c>
      <c r="B1769" t="s">
        <v>3209</v>
      </c>
      <c r="C1769" t="s">
        <v>287</v>
      </c>
      <c r="D1769" t="s">
        <v>139</v>
      </c>
      <c r="E1769" s="1">
        <v>44709</v>
      </c>
      <c r="F1769" t="s">
        <v>967</v>
      </c>
      <c r="G1769" s="1">
        <v>44727</v>
      </c>
      <c r="I1769" t="s">
        <v>13</v>
      </c>
      <c r="J1769" s="1" t="b">
        <f t="shared" si="189"/>
        <v>0</v>
      </c>
      <c r="K1769" s="1" t="b">
        <f t="shared" si="190"/>
        <v>1</v>
      </c>
      <c r="L1769" s="1" t="b">
        <f t="shared" si="191"/>
        <v>0</v>
      </c>
      <c r="M1769" s="1" t="b">
        <f t="shared" si="192"/>
        <v>0</v>
      </c>
      <c r="N1769" s="1" t="b">
        <f t="shared" si="193"/>
        <v>0</v>
      </c>
      <c r="O1769" s="1" t="b">
        <f t="shared" si="194"/>
        <v>0</v>
      </c>
      <c r="P1769" s="1" t="b">
        <f t="shared" si="195"/>
        <v>0</v>
      </c>
    </row>
    <row r="1770" spans="1:16" x14ac:dyDescent="0.2">
      <c r="A1770">
        <v>9309833</v>
      </c>
      <c r="B1770" t="s">
        <v>3210</v>
      </c>
      <c r="C1770" t="s">
        <v>71</v>
      </c>
      <c r="D1770" t="s">
        <v>19</v>
      </c>
      <c r="E1770" s="1">
        <v>44568</v>
      </c>
      <c r="F1770" t="s">
        <v>3211</v>
      </c>
      <c r="G1770" s="1">
        <v>44594</v>
      </c>
      <c r="I1770" t="s">
        <v>25</v>
      </c>
      <c r="J1770" s="1" t="b">
        <f t="shared" si="189"/>
        <v>0</v>
      </c>
      <c r="K1770" s="1" t="b">
        <f t="shared" si="190"/>
        <v>0</v>
      </c>
      <c r="L1770" s="1" t="b">
        <f t="shared" si="191"/>
        <v>1</v>
      </c>
      <c r="M1770" s="1" t="b">
        <f t="shared" si="192"/>
        <v>0</v>
      </c>
      <c r="N1770" s="1" t="b">
        <f t="shared" si="193"/>
        <v>0</v>
      </c>
      <c r="O1770" s="1" t="b">
        <f t="shared" si="194"/>
        <v>0</v>
      </c>
      <c r="P1770" s="1" t="b">
        <f t="shared" si="195"/>
        <v>0</v>
      </c>
    </row>
    <row r="1771" spans="1:16" x14ac:dyDescent="0.2">
      <c r="A1771">
        <v>9309833</v>
      </c>
      <c r="B1771" t="s">
        <v>3212</v>
      </c>
      <c r="C1771" t="s">
        <v>71</v>
      </c>
      <c r="D1771" t="s">
        <v>19</v>
      </c>
      <c r="E1771" s="1">
        <v>44562</v>
      </c>
      <c r="F1771" t="s">
        <v>3213</v>
      </c>
      <c r="G1771" s="1">
        <v>44567</v>
      </c>
      <c r="H1771" s="1">
        <v>44606</v>
      </c>
      <c r="I1771" t="s">
        <v>43</v>
      </c>
      <c r="J1771" s="1" t="b">
        <f t="shared" si="189"/>
        <v>1</v>
      </c>
      <c r="K1771" s="1" t="b">
        <f t="shared" si="190"/>
        <v>0</v>
      </c>
      <c r="L1771" s="1" t="b">
        <f t="shared" si="191"/>
        <v>0</v>
      </c>
      <c r="M1771" s="1" t="b">
        <f t="shared" si="192"/>
        <v>0</v>
      </c>
      <c r="N1771" s="1" t="b">
        <f t="shared" si="193"/>
        <v>0</v>
      </c>
      <c r="O1771" s="1" t="b">
        <f t="shared" si="194"/>
        <v>1</v>
      </c>
      <c r="P1771" s="1" t="b">
        <f t="shared" si="195"/>
        <v>0</v>
      </c>
    </row>
    <row r="1772" spans="1:16" x14ac:dyDescent="0.2">
      <c r="A1772">
        <v>3030620</v>
      </c>
      <c r="B1772" t="s">
        <v>3214</v>
      </c>
      <c r="C1772" t="s">
        <v>80</v>
      </c>
      <c r="D1772" t="s">
        <v>122</v>
      </c>
      <c r="E1772" s="1">
        <v>45079</v>
      </c>
      <c r="F1772" t="s">
        <v>1664</v>
      </c>
      <c r="G1772" s="1">
        <v>45094</v>
      </c>
      <c r="I1772" t="s">
        <v>13</v>
      </c>
      <c r="J1772" s="1" t="b">
        <f t="shared" si="189"/>
        <v>0</v>
      </c>
      <c r="K1772" s="1" t="b">
        <f t="shared" si="190"/>
        <v>1</v>
      </c>
      <c r="L1772" s="1" t="b">
        <f t="shared" si="191"/>
        <v>0</v>
      </c>
      <c r="M1772" s="1" t="b">
        <f t="shared" si="192"/>
        <v>0</v>
      </c>
      <c r="N1772" s="1" t="b">
        <f t="shared" si="193"/>
        <v>0</v>
      </c>
      <c r="O1772" s="1" t="b">
        <f t="shared" si="194"/>
        <v>0</v>
      </c>
      <c r="P1772" s="1" t="b">
        <f t="shared" si="195"/>
        <v>0</v>
      </c>
    </row>
    <row r="1773" spans="1:16" x14ac:dyDescent="0.2">
      <c r="A1773">
        <v>3030620</v>
      </c>
      <c r="B1773" t="s">
        <v>3215</v>
      </c>
      <c r="C1773" t="s">
        <v>80</v>
      </c>
      <c r="D1773" t="s">
        <v>122</v>
      </c>
      <c r="E1773" s="1">
        <v>44869</v>
      </c>
      <c r="F1773" t="s">
        <v>3216</v>
      </c>
      <c r="G1773" s="1">
        <v>44882</v>
      </c>
      <c r="I1773" t="s">
        <v>25</v>
      </c>
      <c r="J1773" s="1" t="b">
        <f t="shared" si="189"/>
        <v>0</v>
      </c>
      <c r="K1773" s="1" t="b">
        <f t="shared" si="190"/>
        <v>0</v>
      </c>
      <c r="L1773" s="1" t="b">
        <f t="shared" si="191"/>
        <v>1</v>
      </c>
      <c r="M1773" s="1" t="b">
        <f t="shared" si="192"/>
        <v>0</v>
      </c>
      <c r="N1773" s="1" t="b">
        <f t="shared" si="193"/>
        <v>0</v>
      </c>
      <c r="O1773" s="1" t="b">
        <f t="shared" si="194"/>
        <v>0</v>
      </c>
      <c r="P1773" s="1" t="b">
        <f t="shared" si="195"/>
        <v>0</v>
      </c>
    </row>
    <row r="1774" spans="1:16" x14ac:dyDescent="0.2">
      <c r="A1774">
        <v>9115466</v>
      </c>
      <c r="B1774" t="s">
        <v>3217</v>
      </c>
      <c r="C1774" t="s">
        <v>38</v>
      </c>
      <c r="D1774" t="s">
        <v>19</v>
      </c>
      <c r="E1774" s="1">
        <v>45011</v>
      </c>
      <c r="F1774" t="s">
        <v>3218</v>
      </c>
      <c r="G1774" s="1">
        <v>45039</v>
      </c>
      <c r="I1774" t="s">
        <v>13</v>
      </c>
      <c r="J1774" s="1" t="b">
        <f t="shared" si="189"/>
        <v>0</v>
      </c>
      <c r="K1774" s="1" t="b">
        <f t="shared" si="190"/>
        <v>1</v>
      </c>
      <c r="L1774" s="1" t="b">
        <f t="shared" si="191"/>
        <v>0</v>
      </c>
      <c r="M1774" s="1" t="b">
        <f t="shared" si="192"/>
        <v>0</v>
      </c>
      <c r="N1774" s="1" t="b">
        <f t="shared" si="193"/>
        <v>0</v>
      </c>
      <c r="O1774" s="1" t="b">
        <f t="shared" si="194"/>
        <v>0</v>
      </c>
      <c r="P1774" s="1" t="b">
        <f t="shared" si="195"/>
        <v>0</v>
      </c>
    </row>
    <row r="1775" spans="1:16" x14ac:dyDescent="0.2">
      <c r="A1775">
        <v>9115466</v>
      </c>
      <c r="B1775" t="s">
        <v>3219</v>
      </c>
      <c r="C1775" t="s">
        <v>38</v>
      </c>
      <c r="D1775" t="s">
        <v>19</v>
      </c>
      <c r="E1775" s="1">
        <v>44584</v>
      </c>
      <c r="F1775" t="s">
        <v>3220</v>
      </c>
      <c r="G1775" s="1">
        <v>44590</v>
      </c>
      <c r="H1775" s="1">
        <v>44600</v>
      </c>
      <c r="I1775" t="s">
        <v>16</v>
      </c>
      <c r="J1775" s="1" t="b">
        <f t="shared" si="189"/>
        <v>1</v>
      </c>
      <c r="K1775" s="1" t="b">
        <f t="shared" si="190"/>
        <v>0</v>
      </c>
      <c r="L1775" s="1" t="b">
        <f t="shared" si="191"/>
        <v>0</v>
      </c>
      <c r="M1775" s="1" t="b">
        <f t="shared" si="192"/>
        <v>0</v>
      </c>
      <c r="N1775" s="1" t="b">
        <f t="shared" si="193"/>
        <v>1</v>
      </c>
      <c r="O1775" s="1" t="b">
        <f t="shared" si="194"/>
        <v>0</v>
      </c>
      <c r="P1775" s="1" t="b">
        <f t="shared" si="195"/>
        <v>0</v>
      </c>
    </row>
    <row r="1776" spans="1:16" x14ac:dyDescent="0.2">
      <c r="A1776">
        <v>9115466</v>
      </c>
      <c r="B1776" t="s">
        <v>3221</v>
      </c>
      <c r="C1776" t="s">
        <v>38</v>
      </c>
      <c r="D1776" t="s">
        <v>19</v>
      </c>
      <c r="E1776" s="1">
        <v>44767</v>
      </c>
      <c r="F1776" t="s">
        <v>3222</v>
      </c>
      <c r="G1776" s="1">
        <v>44783</v>
      </c>
      <c r="H1776" s="1">
        <v>44814</v>
      </c>
      <c r="I1776" t="s">
        <v>43</v>
      </c>
      <c r="J1776" s="1" t="b">
        <f t="shared" si="189"/>
        <v>1</v>
      </c>
      <c r="K1776" s="1" t="b">
        <f t="shared" si="190"/>
        <v>0</v>
      </c>
      <c r="L1776" s="1" t="b">
        <f t="shared" si="191"/>
        <v>0</v>
      </c>
      <c r="M1776" s="1" t="b">
        <f t="shared" si="192"/>
        <v>0</v>
      </c>
      <c r="N1776" s="1" t="b">
        <f t="shared" si="193"/>
        <v>0</v>
      </c>
      <c r="O1776" s="1" t="b">
        <f t="shared" si="194"/>
        <v>1</v>
      </c>
      <c r="P1776" s="1" t="b">
        <f t="shared" si="195"/>
        <v>0</v>
      </c>
    </row>
    <row r="1777" spans="1:16" x14ac:dyDescent="0.2">
      <c r="A1777">
        <v>9115466</v>
      </c>
      <c r="B1777" t="s">
        <v>3223</v>
      </c>
      <c r="C1777" t="s">
        <v>38</v>
      </c>
      <c r="D1777" t="s">
        <v>19</v>
      </c>
      <c r="E1777" s="1">
        <v>45066</v>
      </c>
      <c r="F1777" t="s">
        <v>3224</v>
      </c>
      <c r="G1777" s="1">
        <v>45078</v>
      </c>
      <c r="I1777" t="s">
        <v>25</v>
      </c>
      <c r="J1777" s="1" t="b">
        <f t="shared" si="189"/>
        <v>0</v>
      </c>
      <c r="K1777" s="1" t="b">
        <f t="shared" si="190"/>
        <v>0</v>
      </c>
      <c r="L1777" s="1" t="b">
        <f t="shared" si="191"/>
        <v>1</v>
      </c>
      <c r="M1777" s="1" t="b">
        <f t="shared" si="192"/>
        <v>0</v>
      </c>
      <c r="N1777" s="1" t="b">
        <f t="shared" si="193"/>
        <v>0</v>
      </c>
      <c r="O1777" s="1" t="b">
        <f t="shared" si="194"/>
        <v>0</v>
      </c>
      <c r="P1777" s="1" t="b">
        <f t="shared" si="195"/>
        <v>0</v>
      </c>
    </row>
    <row r="1778" spans="1:16" x14ac:dyDescent="0.2">
      <c r="A1778">
        <v>9115466</v>
      </c>
      <c r="B1778" t="s">
        <v>3225</v>
      </c>
      <c r="C1778" t="s">
        <v>38</v>
      </c>
      <c r="D1778" t="s">
        <v>19</v>
      </c>
      <c r="E1778" s="1">
        <v>44671</v>
      </c>
      <c r="F1778" t="s">
        <v>2623</v>
      </c>
      <c r="G1778" s="1">
        <v>44686</v>
      </c>
      <c r="H1778" s="1">
        <v>44713</v>
      </c>
      <c r="J1778" s="1" t="b">
        <f t="shared" si="189"/>
        <v>1</v>
      </c>
      <c r="K1778" s="1" t="b">
        <f t="shared" si="190"/>
        <v>0</v>
      </c>
      <c r="L1778" s="1" t="b">
        <f t="shared" si="191"/>
        <v>0</v>
      </c>
      <c r="M1778" s="1" t="b">
        <f t="shared" si="192"/>
        <v>0</v>
      </c>
      <c r="N1778" s="1" t="b">
        <f t="shared" si="193"/>
        <v>0</v>
      </c>
      <c r="O1778" s="1" t="b">
        <f t="shared" si="194"/>
        <v>0</v>
      </c>
      <c r="P1778" s="1" t="b">
        <f t="shared" si="195"/>
        <v>0</v>
      </c>
    </row>
    <row r="1779" spans="1:16" x14ac:dyDescent="0.2">
      <c r="A1779">
        <v>8127514</v>
      </c>
      <c r="B1779" t="s">
        <v>3226</v>
      </c>
      <c r="C1779" t="s">
        <v>71</v>
      </c>
      <c r="D1779" t="s">
        <v>56</v>
      </c>
      <c r="E1779" s="1">
        <v>44872</v>
      </c>
      <c r="F1779" t="s">
        <v>3227</v>
      </c>
      <c r="G1779" s="1">
        <v>44874</v>
      </c>
      <c r="H1779" s="1">
        <v>44916</v>
      </c>
      <c r="J1779" s="1" t="b">
        <f t="shared" si="189"/>
        <v>1</v>
      </c>
      <c r="K1779" s="1" t="b">
        <f t="shared" si="190"/>
        <v>0</v>
      </c>
      <c r="L1779" s="1" t="b">
        <f t="shared" si="191"/>
        <v>0</v>
      </c>
      <c r="M1779" s="1" t="b">
        <f t="shared" si="192"/>
        <v>0</v>
      </c>
      <c r="N1779" s="1" t="b">
        <f t="shared" si="193"/>
        <v>0</v>
      </c>
      <c r="O1779" s="1" t="b">
        <f t="shared" si="194"/>
        <v>0</v>
      </c>
      <c r="P1779" s="1" t="b">
        <f t="shared" si="195"/>
        <v>0</v>
      </c>
    </row>
    <row r="1780" spans="1:16" x14ac:dyDescent="0.2">
      <c r="A1780">
        <v>8127514</v>
      </c>
      <c r="B1780" t="s">
        <v>3228</v>
      </c>
      <c r="C1780" t="s">
        <v>71</v>
      </c>
      <c r="D1780" t="s">
        <v>56</v>
      </c>
      <c r="E1780" s="1">
        <v>44925</v>
      </c>
      <c r="F1780" t="s">
        <v>3229</v>
      </c>
      <c r="G1780" s="1">
        <v>44930</v>
      </c>
      <c r="H1780" s="1">
        <v>44960</v>
      </c>
      <c r="J1780" s="1" t="b">
        <f t="shared" si="189"/>
        <v>1</v>
      </c>
      <c r="K1780" s="1" t="b">
        <f t="shared" si="190"/>
        <v>0</v>
      </c>
      <c r="L1780" s="1" t="b">
        <f t="shared" si="191"/>
        <v>0</v>
      </c>
      <c r="M1780" s="1" t="b">
        <f t="shared" si="192"/>
        <v>0</v>
      </c>
      <c r="N1780" s="1" t="b">
        <f t="shared" si="193"/>
        <v>0</v>
      </c>
      <c r="O1780" s="1" t="b">
        <f t="shared" si="194"/>
        <v>0</v>
      </c>
      <c r="P1780" s="1" t="b">
        <f t="shared" si="195"/>
        <v>0</v>
      </c>
    </row>
    <row r="1781" spans="1:16" x14ac:dyDescent="0.2">
      <c r="A1781">
        <v>8127514</v>
      </c>
      <c r="B1781" t="s">
        <v>3230</v>
      </c>
      <c r="C1781" t="s">
        <v>71</v>
      </c>
      <c r="D1781" t="s">
        <v>56</v>
      </c>
      <c r="E1781" s="1">
        <v>44724</v>
      </c>
      <c r="F1781" t="s">
        <v>3231</v>
      </c>
      <c r="G1781" s="1">
        <v>44736</v>
      </c>
      <c r="H1781" s="1">
        <v>44769</v>
      </c>
      <c r="J1781" s="1" t="b">
        <f t="shared" si="189"/>
        <v>1</v>
      </c>
      <c r="K1781" s="1" t="b">
        <f t="shared" si="190"/>
        <v>0</v>
      </c>
      <c r="L1781" s="1" t="b">
        <f t="shared" si="191"/>
        <v>0</v>
      </c>
      <c r="M1781" s="1" t="b">
        <f t="shared" si="192"/>
        <v>0</v>
      </c>
      <c r="N1781" s="1" t="b">
        <f t="shared" si="193"/>
        <v>0</v>
      </c>
      <c r="O1781" s="1" t="b">
        <f t="shared" si="194"/>
        <v>0</v>
      </c>
      <c r="P1781" s="1" t="b">
        <f t="shared" si="195"/>
        <v>0</v>
      </c>
    </row>
    <row r="1782" spans="1:16" x14ac:dyDescent="0.2">
      <c r="A1782">
        <v>9442389</v>
      </c>
      <c r="B1782" t="s">
        <v>3232</v>
      </c>
      <c r="C1782" t="s">
        <v>454</v>
      </c>
      <c r="D1782" t="s">
        <v>39</v>
      </c>
      <c r="E1782" s="1">
        <v>44717</v>
      </c>
      <c r="F1782" t="s">
        <v>1557</v>
      </c>
      <c r="G1782" s="1">
        <v>44729</v>
      </c>
      <c r="I1782" t="s">
        <v>25</v>
      </c>
      <c r="J1782" s="1" t="b">
        <f t="shared" si="189"/>
        <v>0</v>
      </c>
      <c r="K1782" s="1" t="b">
        <f t="shared" si="190"/>
        <v>0</v>
      </c>
      <c r="L1782" s="1" t="b">
        <f t="shared" si="191"/>
        <v>1</v>
      </c>
      <c r="M1782" s="1" t="b">
        <f t="shared" si="192"/>
        <v>0</v>
      </c>
      <c r="N1782" s="1" t="b">
        <f t="shared" si="193"/>
        <v>0</v>
      </c>
      <c r="O1782" s="1" t="b">
        <f t="shared" si="194"/>
        <v>0</v>
      </c>
      <c r="P1782" s="1" t="b">
        <f t="shared" si="195"/>
        <v>0</v>
      </c>
    </row>
    <row r="1783" spans="1:16" x14ac:dyDescent="0.2">
      <c r="A1783">
        <v>9442389</v>
      </c>
      <c r="B1783" t="s">
        <v>3233</v>
      </c>
      <c r="C1783" t="s">
        <v>454</v>
      </c>
      <c r="D1783" t="s">
        <v>39</v>
      </c>
      <c r="E1783" s="1">
        <v>44705</v>
      </c>
      <c r="F1783" t="s">
        <v>2062</v>
      </c>
      <c r="G1783" s="1">
        <v>44714</v>
      </c>
      <c r="H1783" s="1">
        <v>44765</v>
      </c>
      <c r="I1783" t="s">
        <v>28</v>
      </c>
      <c r="J1783" s="1" t="b">
        <f t="shared" si="189"/>
        <v>1</v>
      </c>
      <c r="K1783" s="1" t="b">
        <f t="shared" si="190"/>
        <v>0</v>
      </c>
      <c r="L1783" s="1" t="b">
        <f t="shared" si="191"/>
        <v>0</v>
      </c>
      <c r="M1783" s="1" t="b">
        <f t="shared" si="192"/>
        <v>0</v>
      </c>
      <c r="N1783" s="1" t="b">
        <f t="shared" si="193"/>
        <v>0</v>
      </c>
      <c r="O1783" s="1" t="b">
        <f t="shared" si="194"/>
        <v>0</v>
      </c>
      <c r="P1783" s="1" t="b">
        <f t="shared" si="195"/>
        <v>1</v>
      </c>
    </row>
    <row r="1784" spans="1:16" x14ac:dyDescent="0.2">
      <c r="A1784">
        <v>9442389</v>
      </c>
      <c r="B1784" t="s">
        <v>3234</v>
      </c>
      <c r="C1784" t="s">
        <v>454</v>
      </c>
      <c r="D1784" t="s">
        <v>39</v>
      </c>
      <c r="E1784" s="1">
        <v>44631</v>
      </c>
      <c r="F1784" t="s">
        <v>1454</v>
      </c>
      <c r="G1784" s="1">
        <v>44661</v>
      </c>
      <c r="H1784" s="1">
        <v>44715</v>
      </c>
      <c r="I1784" t="s">
        <v>28</v>
      </c>
      <c r="J1784" s="1" t="b">
        <f t="shared" si="189"/>
        <v>1</v>
      </c>
      <c r="K1784" s="1" t="b">
        <f t="shared" si="190"/>
        <v>0</v>
      </c>
      <c r="L1784" s="1" t="b">
        <f t="shared" si="191"/>
        <v>0</v>
      </c>
      <c r="M1784" s="1" t="b">
        <f t="shared" si="192"/>
        <v>0</v>
      </c>
      <c r="N1784" s="1" t="b">
        <f t="shared" si="193"/>
        <v>0</v>
      </c>
      <c r="O1784" s="1" t="b">
        <f t="shared" si="194"/>
        <v>0</v>
      </c>
      <c r="P1784" s="1" t="b">
        <f t="shared" si="195"/>
        <v>1</v>
      </c>
    </row>
    <row r="1785" spans="1:16" x14ac:dyDescent="0.2">
      <c r="A1785">
        <v>9442389</v>
      </c>
      <c r="B1785" t="s">
        <v>3235</v>
      </c>
      <c r="C1785" t="s">
        <v>454</v>
      </c>
      <c r="D1785" t="s">
        <v>39</v>
      </c>
      <c r="E1785" s="1">
        <v>44746</v>
      </c>
      <c r="F1785" t="s">
        <v>1452</v>
      </c>
      <c r="G1785" s="1">
        <v>44765</v>
      </c>
      <c r="H1785" s="1">
        <v>44811</v>
      </c>
      <c r="J1785" s="1" t="b">
        <f t="shared" si="189"/>
        <v>1</v>
      </c>
      <c r="K1785" s="1" t="b">
        <f t="shared" si="190"/>
        <v>0</v>
      </c>
      <c r="L1785" s="1" t="b">
        <f t="shared" si="191"/>
        <v>0</v>
      </c>
      <c r="M1785" s="1" t="b">
        <f t="shared" si="192"/>
        <v>0</v>
      </c>
      <c r="N1785" s="1" t="b">
        <f t="shared" si="193"/>
        <v>0</v>
      </c>
      <c r="O1785" s="1" t="b">
        <f t="shared" si="194"/>
        <v>0</v>
      </c>
      <c r="P1785" s="1" t="b">
        <f t="shared" si="195"/>
        <v>0</v>
      </c>
    </row>
    <row r="1786" spans="1:16" x14ac:dyDescent="0.2">
      <c r="A1786">
        <v>9442389</v>
      </c>
      <c r="B1786" t="s">
        <v>3236</v>
      </c>
      <c r="C1786" t="s">
        <v>454</v>
      </c>
      <c r="D1786" t="s">
        <v>39</v>
      </c>
      <c r="E1786" s="1">
        <v>44893</v>
      </c>
      <c r="F1786" t="s">
        <v>3237</v>
      </c>
      <c r="G1786" s="1">
        <v>44912</v>
      </c>
      <c r="H1786" s="1">
        <v>44950</v>
      </c>
      <c r="I1786" t="s">
        <v>28</v>
      </c>
      <c r="J1786" s="1" t="b">
        <f t="shared" si="189"/>
        <v>1</v>
      </c>
      <c r="K1786" s="1" t="b">
        <f t="shared" si="190"/>
        <v>0</v>
      </c>
      <c r="L1786" s="1" t="b">
        <f t="shared" si="191"/>
        <v>0</v>
      </c>
      <c r="M1786" s="1" t="b">
        <f t="shared" si="192"/>
        <v>0</v>
      </c>
      <c r="N1786" s="1" t="b">
        <f t="shared" si="193"/>
        <v>0</v>
      </c>
      <c r="O1786" s="1" t="b">
        <f t="shared" si="194"/>
        <v>0</v>
      </c>
      <c r="P1786" s="1" t="b">
        <f t="shared" si="195"/>
        <v>1</v>
      </c>
    </row>
    <row r="1787" spans="1:16" x14ac:dyDescent="0.2">
      <c r="A1787">
        <v>6840068</v>
      </c>
      <c r="B1787" t="s">
        <v>3238</v>
      </c>
      <c r="C1787" t="s">
        <v>32</v>
      </c>
      <c r="D1787" t="s">
        <v>81</v>
      </c>
      <c r="E1787" s="1">
        <v>44955</v>
      </c>
      <c r="F1787" t="s">
        <v>3239</v>
      </c>
      <c r="G1787" s="1">
        <v>44980</v>
      </c>
      <c r="I1787" t="s">
        <v>13</v>
      </c>
      <c r="J1787" s="1" t="b">
        <f t="shared" si="189"/>
        <v>0</v>
      </c>
      <c r="K1787" s="1" t="b">
        <f t="shared" si="190"/>
        <v>1</v>
      </c>
      <c r="L1787" s="1" t="b">
        <f t="shared" si="191"/>
        <v>0</v>
      </c>
      <c r="M1787" s="1" t="b">
        <f t="shared" si="192"/>
        <v>0</v>
      </c>
      <c r="N1787" s="1" t="b">
        <f t="shared" si="193"/>
        <v>0</v>
      </c>
      <c r="O1787" s="1" t="b">
        <f t="shared" si="194"/>
        <v>0</v>
      </c>
      <c r="P1787" s="1" t="b">
        <f t="shared" si="195"/>
        <v>0</v>
      </c>
    </row>
    <row r="1788" spans="1:16" x14ac:dyDescent="0.2">
      <c r="A1788">
        <v>6840068</v>
      </c>
      <c r="B1788" t="s">
        <v>3240</v>
      </c>
      <c r="C1788" t="s">
        <v>32</v>
      </c>
      <c r="D1788" t="s">
        <v>81</v>
      </c>
      <c r="E1788" s="1">
        <v>44625</v>
      </c>
      <c r="F1788" t="s">
        <v>3241</v>
      </c>
      <c r="G1788" s="1">
        <v>44645</v>
      </c>
      <c r="I1788" t="s">
        <v>13</v>
      </c>
      <c r="J1788" s="1" t="b">
        <f t="shared" si="189"/>
        <v>0</v>
      </c>
      <c r="K1788" s="1" t="b">
        <f t="shared" si="190"/>
        <v>1</v>
      </c>
      <c r="L1788" s="1" t="b">
        <f t="shared" si="191"/>
        <v>0</v>
      </c>
      <c r="M1788" s="1" t="b">
        <f t="shared" si="192"/>
        <v>0</v>
      </c>
      <c r="N1788" s="1" t="b">
        <f t="shared" si="193"/>
        <v>0</v>
      </c>
      <c r="O1788" s="1" t="b">
        <f t="shared" si="194"/>
        <v>0</v>
      </c>
      <c r="P1788" s="1" t="b">
        <f t="shared" si="195"/>
        <v>0</v>
      </c>
    </row>
    <row r="1789" spans="1:16" x14ac:dyDescent="0.2">
      <c r="A1789">
        <v>6840068</v>
      </c>
      <c r="B1789" t="s">
        <v>3242</v>
      </c>
      <c r="C1789" t="s">
        <v>32</v>
      </c>
      <c r="D1789" t="s">
        <v>81</v>
      </c>
      <c r="E1789" s="1">
        <v>44670</v>
      </c>
      <c r="F1789" t="s">
        <v>94</v>
      </c>
      <c r="G1789" s="1">
        <v>44686</v>
      </c>
      <c r="H1789" s="1">
        <v>44746</v>
      </c>
      <c r="I1789" t="s">
        <v>43</v>
      </c>
      <c r="J1789" s="1" t="b">
        <f t="shared" si="189"/>
        <v>1</v>
      </c>
      <c r="K1789" s="1" t="b">
        <f t="shared" si="190"/>
        <v>0</v>
      </c>
      <c r="L1789" s="1" t="b">
        <f t="shared" si="191"/>
        <v>0</v>
      </c>
      <c r="M1789" s="1" t="b">
        <f t="shared" si="192"/>
        <v>0</v>
      </c>
      <c r="N1789" s="1" t="b">
        <f t="shared" si="193"/>
        <v>0</v>
      </c>
      <c r="O1789" s="1" t="b">
        <f t="shared" si="194"/>
        <v>1</v>
      </c>
      <c r="P1789" s="1" t="b">
        <f t="shared" si="195"/>
        <v>0</v>
      </c>
    </row>
    <row r="1790" spans="1:16" x14ac:dyDescent="0.2">
      <c r="A1790">
        <v>6840068</v>
      </c>
      <c r="B1790" t="s">
        <v>3243</v>
      </c>
      <c r="C1790" t="s">
        <v>32</v>
      </c>
      <c r="D1790" t="s">
        <v>81</v>
      </c>
      <c r="E1790" s="1">
        <v>44804</v>
      </c>
      <c r="F1790" t="s">
        <v>3244</v>
      </c>
      <c r="G1790" s="1">
        <v>44808</v>
      </c>
      <c r="H1790" s="1">
        <v>44866</v>
      </c>
      <c r="I1790" t="s">
        <v>28</v>
      </c>
      <c r="J1790" s="1" t="b">
        <f t="shared" si="189"/>
        <v>1</v>
      </c>
      <c r="K1790" s="1" t="b">
        <f t="shared" si="190"/>
        <v>0</v>
      </c>
      <c r="L1790" s="1" t="b">
        <f t="shared" si="191"/>
        <v>0</v>
      </c>
      <c r="M1790" s="1" t="b">
        <f t="shared" si="192"/>
        <v>0</v>
      </c>
      <c r="N1790" s="1" t="b">
        <f t="shared" si="193"/>
        <v>0</v>
      </c>
      <c r="O1790" s="1" t="b">
        <f t="shared" si="194"/>
        <v>0</v>
      </c>
      <c r="P1790" s="1" t="b">
        <f t="shared" si="195"/>
        <v>1</v>
      </c>
    </row>
    <row r="1791" spans="1:16" x14ac:dyDescent="0.2">
      <c r="A1791">
        <v>5202421</v>
      </c>
      <c r="B1791" t="s">
        <v>3245</v>
      </c>
      <c r="C1791" t="s">
        <v>176</v>
      </c>
      <c r="D1791" t="s">
        <v>56</v>
      </c>
      <c r="E1791" s="1">
        <v>44592</v>
      </c>
      <c r="F1791" t="s">
        <v>3246</v>
      </c>
      <c r="G1791" s="1">
        <v>44622</v>
      </c>
      <c r="H1791" s="1">
        <v>44634</v>
      </c>
      <c r="I1791" t="s">
        <v>28</v>
      </c>
      <c r="J1791" s="1" t="b">
        <f t="shared" si="189"/>
        <v>1</v>
      </c>
      <c r="K1791" s="1" t="b">
        <f t="shared" si="190"/>
        <v>0</v>
      </c>
      <c r="L1791" s="1" t="b">
        <f t="shared" si="191"/>
        <v>0</v>
      </c>
      <c r="M1791" s="1" t="b">
        <f t="shared" si="192"/>
        <v>0</v>
      </c>
      <c r="N1791" s="1" t="b">
        <f t="shared" si="193"/>
        <v>0</v>
      </c>
      <c r="O1791" s="1" t="b">
        <f t="shared" si="194"/>
        <v>0</v>
      </c>
      <c r="P1791" s="1" t="b">
        <f t="shared" si="195"/>
        <v>1</v>
      </c>
    </row>
    <row r="1792" spans="1:16" x14ac:dyDescent="0.2">
      <c r="A1792">
        <v>6388157</v>
      </c>
      <c r="B1792" t="s">
        <v>3247</v>
      </c>
      <c r="C1792" t="s">
        <v>176</v>
      </c>
      <c r="D1792" t="s">
        <v>77</v>
      </c>
      <c r="E1792" s="1">
        <v>44766</v>
      </c>
      <c r="F1792" t="s">
        <v>3248</v>
      </c>
      <c r="G1792" s="1">
        <v>44773</v>
      </c>
      <c r="I1792" t="s">
        <v>13</v>
      </c>
      <c r="J1792" s="1" t="b">
        <f t="shared" si="189"/>
        <v>0</v>
      </c>
      <c r="K1792" s="1" t="b">
        <f t="shared" si="190"/>
        <v>1</v>
      </c>
      <c r="L1792" s="1" t="b">
        <f t="shared" si="191"/>
        <v>0</v>
      </c>
      <c r="M1792" s="1" t="b">
        <f t="shared" si="192"/>
        <v>0</v>
      </c>
      <c r="N1792" s="1" t="b">
        <f t="shared" si="193"/>
        <v>0</v>
      </c>
      <c r="O1792" s="1" t="b">
        <f t="shared" si="194"/>
        <v>0</v>
      </c>
      <c r="P1792" s="1" t="b">
        <f t="shared" si="195"/>
        <v>0</v>
      </c>
    </row>
    <row r="1793" spans="1:16" x14ac:dyDescent="0.2">
      <c r="A1793">
        <v>6388157</v>
      </c>
      <c r="B1793" t="s">
        <v>3249</v>
      </c>
      <c r="C1793" t="s">
        <v>176</v>
      </c>
      <c r="D1793" t="s">
        <v>77</v>
      </c>
      <c r="E1793" s="1">
        <v>44854</v>
      </c>
      <c r="F1793" t="s">
        <v>3250</v>
      </c>
      <c r="G1793" s="1">
        <v>44862</v>
      </c>
      <c r="I1793" t="s">
        <v>13</v>
      </c>
      <c r="J1793" s="1" t="b">
        <f t="shared" si="189"/>
        <v>0</v>
      </c>
      <c r="K1793" s="1" t="b">
        <f t="shared" si="190"/>
        <v>1</v>
      </c>
      <c r="L1793" s="1" t="b">
        <f t="shared" si="191"/>
        <v>0</v>
      </c>
      <c r="M1793" s="1" t="b">
        <f t="shared" si="192"/>
        <v>0</v>
      </c>
      <c r="N1793" s="1" t="b">
        <f t="shared" si="193"/>
        <v>0</v>
      </c>
      <c r="O1793" s="1" t="b">
        <f t="shared" si="194"/>
        <v>0</v>
      </c>
      <c r="P1793" s="1" t="b">
        <f t="shared" si="195"/>
        <v>0</v>
      </c>
    </row>
    <row r="1794" spans="1:16" x14ac:dyDescent="0.2">
      <c r="A1794">
        <v>6388157</v>
      </c>
      <c r="B1794" t="s">
        <v>3251</v>
      </c>
      <c r="C1794" t="s">
        <v>176</v>
      </c>
      <c r="D1794" t="s">
        <v>77</v>
      </c>
      <c r="E1794" s="1">
        <v>45103</v>
      </c>
      <c r="F1794" t="s">
        <v>847</v>
      </c>
      <c r="G1794" s="1">
        <v>45129</v>
      </c>
      <c r="I1794" t="s">
        <v>13</v>
      </c>
      <c r="J1794" s="1" t="b">
        <f t="shared" si="189"/>
        <v>0</v>
      </c>
      <c r="K1794" s="1" t="b">
        <f t="shared" si="190"/>
        <v>1</v>
      </c>
      <c r="L1794" s="1" t="b">
        <f t="shared" si="191"/>
        <v>0</v>
      </c>
      <c r="M1794" s="1" t="b">
        <f t="shared" si="192"/>
        <v>0</v>
      </c>
      <c r="N1794" s="1" t="b">
        <f t="shared" si="193"/>
        <v>0</v>
      </c>
      <c r="O1794" s="1" t="b">
        <f t="shared" si="194"/>
        <v>0</v>
      </c>
      <c r="P1794" s="1" t="b">
        <f t="shared" si="195"/>
        <v>0</v>
      </c>
    </row>
    <row r="1795" spans="1:16" x14ac:dyDescent="0.2">
      <c r="A1795">
        <v>6388157</v>
      </c>
      <c r="B1795" t="s">
        <v>3252</v>
      </c>
      <c r="C1795" t="s">
        <v>176</v>
      </c>
      <c r="D1795" t="s">
        <v>77</v>
      </c>
      <c r="E1795" s="1">
        <v>44660</v>
      </c>
      <c r="F1795" t="s">
        <v>3253</v>
      </c>
      <c r="G1795" s="1">
        <v>44667</v>
      </c>
      <c r="H1795" s="1">
        <v>44670</v>
      </c>
      <c r="I1795" t="s">
        <v>16</v>
      </c>
      <c r="J1795" s="1" t="b">
        <f t="shared" ref="J1795:J1858" si="196">AND(NOT(ISBLANK(H1795)), NOT(OR(ISNUMBER(SEARCH("decline", I1795)), ISNUMBER(SEARCH("rescind", I1795)), ISNUMBER(SEARCH("cancel", I1795)))))</f>
        <v>1</v>
      </c>
      <c r="K1795" s="1" t="b">
        <f t="shared" ref="K1795:K1858" si="197">ISNUMBER(SEARCH("decline", I1795))</f>
        <v>0</v>
      </c>
      <c r="L1795" s="1" t="b">
        <f t="shared" ref="L1795:L1858" si="198">ISNUMBER(SEARCH("rescind", I1795))</f>
        <v>0</v>
      </c>
      <c r="M1795" s="1" t="b">
        <f t="shared" ref="M1795:M1858" si="199">ISNUMBER(SEARCH("cancel", I1795))</f>
        <v>0</v>
      </c>
      <c r="N1795" s="1" t="b">
        <f t="shared" ref="N1795:N1858" si="200">ISNUMBER(SEARCH("transfer", I1795))</f>
        <v>1</v>
      </c>
      <c r="O1795" s="1" t="b">
        <f t="shared" ref="O1795:O1858" si="201">ISNUMBER(SEARCH("promo", I1795))</f>
        <v>0</v>
      </c>
      <c r="P1795" s="1" t="b">
        <f t="shared" ref="P1795:P1858" si="202">ISNUMBER(SEARCH("new", I1795))</f>
        <v>0</v>
      </c>
    </row>
    <row r="1796" spans="1:16" x14ac:dyDescent="0.2">
      <c r="A1796">
        <v>3358248</v>
      </c>
      <c r="B1796" t="s">
        <v>3254</v>
      </c>
      <c r="C1796" t="s">
        <v>131</v>
      </c>
      <c r="D1796" t="s">
        <v>56</v>
      </c>
      <c r="E1796" s="1">
        <v>45102</v>
      </c>
      <c r="F1796" t="s">
        <v>2638</v>
      </c>
      <c r="G1796" s="1">
        <v>45118</v>
      </c>
      <c r="H1796" s="1">
        <v>45131</v>
      </c>
      <c r="I1796" t="s">
        <v>16</v>
      </c>
      <c r="J1796" s="1" t="b">
        <f t="shared" si="196"/>
        <v>1</v>
      </c>
      <c r="K1796" s="1" t="b">
        <f t="shared" si="197"/>
        <v>0</v>
      </c>
      <c r="L1796" s="1" t="b">
        <f t="shared" si="198"/>
        <v>0</v>
      </c>
      <c r="M1796" s="1" t="b">
        <f t="shared" si="199"/>
        <v>0</v>
      </c>
      <c r="N1796" s="1" t="b">
        <f t="shared" si="200"/>
        <v>1</v>
      </c>
      <c r="O1796" s="1" t="b">
        <f t="shared" si="201"/>
        <v>0</v>
      </c>
      <c r="P1796" s="1" t="b">
        <f t="shared" si="202"/>
        <v>0</v>
      </c>
    </row>
    <row r="1797" spans="1:16" x14ac:dyDescent="0.2">
      <c r="A1797">
        <v>3358248</v>
      </c>
      <c r="B1797" t="s">
        <v>3255</v>
      </c>
      <c r="C1797" t="s">
        <v>131</v>
      </c>
      <c r="D1797" t="s">
        <v>56</v>
      </c>
      <c r="E1797" s="1">
        <v>44927</v>
      </c>
      <c r="F1797" t="s">
        <v>2379</v>
      </c>
      <c r="G1797" s="1">
        <v>44947</v>
      </c>
      <c r="H1797" s="1">
        <v>45005</v>
      </c>
      <c r="J1797" s="1" t="b">
        <f t="shared" si="196"/>
        <v>1</v>
      </c>
      <c r="K1797" s="1" t="b">
        <f t="shared" si="197"/>
        <v>0</v>
      </c>
      <c r="L1797" s="1" t="b">
        <f t="shared" si="198"/>
        <v>0</v>
      </c>
      <c r="M1797" s="1" t="b">
        <f t="shared" si="199"/>
        <v>0</v>
      </c>
      <c r="N1797" s="1" t="b">
        <f t="shared" si="200"/>
        <v>0</v>
      </c>
      <c r="O1797" s="1" t="b">
        <f t="shared" si="201"/>
        <v>0</v>
      </c>
      <c r="P1797" s="1" t="b">
        <f t="shared" si="202"/>
        <v>0</v>
      </c>
    </row>
    <row r="1798" spans="1:16" x14ac:dyDescent="0.2">
      <c r="A1798">
        <v>3358248</v>
      </c>
      <c r="B1798" t="s">
        <v>3256</v>
      </c>
      <c r="C1798" t="s">
        <v>131</v>
      </c>
      <c r="D1798" t="s">
        <v>56</v>
      </c>
      <c r="E1798" s="1">
        <v>45011</v>
      </c>
      <c r="F1798" t="s">
        <v>3257</v>
      </c>
      <c r="G1798" s="1">
        <v>45025</v>
      </c>
      <c r="H1798" s="1">
        <v>45066</v>
      </c>
      <c r="I1798" t="s">
        <v>43</v>
      </c>
      <c r="J1798" s="1" t="b">
        <f t="shared" si="196"/>
        <v>1</v>
      </c>
      <c r="K1798" s="1" t="b">
        <f t="shared" si="197"/>
        <v>0</v>
      </c>
      <c r="L1798" s="1" t="b">
        <f t="shared" si="198"/>
        <v>0</v>
      </c>
      <c r="M1798" s="1" t="b">
        <f t="shared" si="199"/>
        <v>0</v>
      </c>
      <c r="N1798" s="1" t="b">
        <f t="shared" si="200"/>
        <v>0</v>
      </c>
      <c r="O1798" s="1" t="b">
        <f t="shared" si="201"/>
        <v>1</v>
      </c>
      <c r="P1798" s="1" t="b">
        <f t="shared" si="202"/>
        <v>0</v>
      </c>
    </row>
    <row r="1799" spans="1:16" x14ac:dyDescent="0.2">
      <c r="A1799">
        <v>7310216</v>
      </c>
      <c r="B1799" t="s">
        <v>3258</v>
      </c>
      <c r="C1799" t="s">
        <v>90</v>
      </c>
      <c r="D1799" t="s">
        <v>122</v>
      </c>
      <c r="E1799" s="1">
        <v>45074</v>
      </c>
      <c r="F1799" t="s">
        <v>3259</v>
      </c>
      <c r="G1799" s="1">
        <v>45084</v>
      </c>
      <c r="I1799" t="s">
        <v>13</v>
      </c>
      <c r="J1799" s="1" t="b">
        <f t="shared" si="196"/>
        <v>0</v>
      </c>
      <c r="K1799" s="1" t="b">
        <f t="shared" si="197"/>
        <v>1</v>
      </c>
      <c r="L1799" s="1" t="b">
        <f t="shared" si="198"/>
        <v>0</v>
      </c>
      <c r="M1799" s="1" t="b">
        <f t="shared" si="199"/>
        <v>0</v>
      </c>
      <c r="N1799" s="1" t="b">
        <f t="shared" si="200"/>
        <v>0</v>
      </c>
      <c r="O1799" s="1" t="b">
        <f t="shared" si="201"/>
        <v>0</v>
      </c>
      <c r="P1799" s="1" t="b">
        <f t="shared" si="202"/>
        <v>0</v>
      </c>
    </row>
    <row r="1800" spans="1:16" x14ac:dyDescent="0.2">
      <c r="A1800">
        <v>7310216</v>
      </c>
      <c r="B1800" t="s">
        <v>3260</v>
      </c>
      <c r="C1800" t="s">
        <v>90</v>
      </c>
      <c r="D1800" t="s">
        <v>122</v>
      </c>
      <c r="E1800" s="1">
        <v>45072</v>
      </c>
      <c r="F1800" t="s">
        <v>3261</v>
      </c>
      <c r="G1800" s="1">
        <v>45080</v>
      </c>
      <c r="H1800" s="1">
        <v>45084</v>
      </c>
      <c r="I1800" t="s">
        <v>28</v>
      </c>
      <c r="J1800" s="1" t="b">
        <f t="shared" si="196"/>
        <v>1</v>
      </c>
      <c r="K1800" s="1" t="b">
        <f t="shared" si="197"/>
        <v>0</v>
      </c>
      <c r="L1800" s="1" t="b">
        <f t="shared" si="198"/>
        <v>0</v>
      </c>
      <c r="M1800" s="1" t="b">
        <f t="shared" si="199"/>
        <v>0</v>
      </c>
      <c r="N1800" s="1" t="b">
        <f t="shared" si="200"/>
        <v>0</v>
      </c>
      <c r="O1800" s="1" t="b">
        <f t="shared" si="201"/>
        <v>0</v>
      </c>
      <c r="P1800" s="1" t="b">
        <f t="shared" si="202"/>
        <v>1</v>
      </c>
    </row>
    <row r="1801" spans="1:16" x14ac:dyDescent="0.2">
      <c r="A1801">
        <v>7310216</v>
      </c>
      <c r="B1801" t="s">
        <v>3262</v>
      </c>
      <c r="C1801" t="s">
        <v>90</v>
      </c>
      <c r="D1801" t="s">
        <v>122</v>
      </c>
      <c r="E1801" s="1">
        <v>44858</v>
      </c>
      <c r="F1801" t="s">
        <v>3106</v>
      </c>
      <c r="G1801" s="1">
        <v>44888</v>
      </c>
      <c r="H1801" s="1">
        <v>44942</v>
      </c>
      <c r="I1801" t="s">
        <v>28</v>
      </c>
      <c r="J1801" s="1" t="b">
        <f t="shared" si="196"/>
        <v>1</v>
      </c>
      <c r="K1801" s="1" t="b">
        <f t="shared" si="197"/>
        <v>0</v>
      </c>
      <c r="L1801" s="1" t="b">
        <f t="shared" si="198"/>
        <v>0</v>
      </c>
      <c r="M1801" s="1" t="b">
        <f t="shared" si="199"/>
        <v>0</v>
      </c>
      <c r="N1801" s="1" t="b">
        <f t="shared" si="200"/>
        <v>0</v>
      </c>
      <c r="O1801" s="1" t="b">
        <f t="shared" si="201"/>
        <v>0</v>
      </c>
      <c r="P1801" s="1" t="b">
        <f t="shared" si="202"/>
        <v>1</v>
      </c>
    </row>
    <row r="1802" spans="1:16" x14ac:dyDescent="0.2">
      <c r="A1802">
        <v>7310216</v>
      </c>
      <c r="B1802" t="s">
        <v>3263</v>
      </c>
      <c r="C1802" t="s">
        <v>90</v>
      </c>
      <c r="D1802" t="s">
        <v>122</v>
      </c>
      <c r="E1802" s="1">
        <v>44631</v>
      </c>
      <c r="F1802" t="s">
        <v>3264</v>
      </c>
      <c r="G1802" s="1">
        <v>44659</v>
      </c>
      <c r="I1802" t="s">
        <v>25</v>
      </c>
      <c r="J1802" s="1" t="b">
        <f t="shared" si="196"/>
        <v>0</v>
      </c>
      <c r="K1802" s="1" t="b">
        <f t="shared" si="197"/>
        <v>0</v>
      </c>
      <c r="L1802" s="1" t="b">
        <f t="shared" si="198"/>
        <v>1</v>
      </c>
      <c r="M1802" s="1" t="b">
        <f t="shared" si="199"/>
        <v>0</v>
      </c>
      <c r="N1802" s="1" t="b">
        <f t="shared" si="200"/>
        <v>0</v>
      </c>
      <c r="O1802" s="1" t="b">
        <f t="shared" si="201"/>
        <v>0</v>
      </c>
      <c r="P1802" s="1" t="b">
        <f t="shared" si="202"/>
        <v>0</v>
      </c>
    </row>
    <row r="1803" spans="1:16" x14ac:dyDescent="0.2">
      <c r="A1803">
        <v>7310216</v>
      </c>
      <c r="B1803" t="s">
        <v>3265</v>
      </c>
      <c r="C1803" t="s">
        <v>90</v>
      </c>
      <c r="D1803" t="s">
        <v>122</v>
      </c>
      <c r="E1803" s="1">
        <v>44809</v>
      </c>
      <c r="F1803" t="s">
        <v>3266</v>
      </c>
      <c r="G1803" s="1">
        <v>44837</v>
      </c>
      <c r="H1803" s="1">
        <v>44871</v>
      </c>
      <c r="I1803" t="s">
        <v>28</v>
      </c>
      <c r="J1803" s="1" t="b">
        <f t="shared" si="196"/>
        <v>1</v>
      </c>
      <c r="K1803" s="1" t="b">
        <f t="shared" si="197"/>
        <v>0</v>
      </c>
      <c r="L1803" s="1" t="b">
        <f t="shared" si="198"/>
        <v>0</v>
      </c>
      <c r="M1803" s="1" t="b">
        <f t="shared" si="199"/>
        <v>0</v>
      </c>
      <c r="N1803" s="1" t="b">
        <f t="shared" si="200"/>
        <v>0</v>
      </c>
      <c r="O1803" s="1" t="b">
        <f t="shared" si="201"/>
        <v>0</v>
      </c>
      <c r="P1803" s="1" t="b">
        <f t="shared" si="202"/>
        <v>1</v>
      </c>
    </row>
    <row r="1804" spans="1:16" x14ac:dyDescent="0.2">
      <c r="A1804">
        <v>7697794</v>
      </c>
      <c r="B1804" t="s">
        <v>3267</v>
      </c>
      <c r="C1804" t="s">
        <v>121</v>
      </c>
      <c r="D1804" t="s">
        <v>56</v>
      </c>
      <c r="E1804" s="1">
        <v>44831</v>
      </c>
      <c r="F1804" t="s">
        <v>3268</v>
      </c>
      <c r="G1804" s="1">
        <v>44852</v>
      </c>
      <c r="H1804" s="1">
        <v>44854</v>
      </c>
      <c r="I1804" t="s">
        <v>16</v>
      </c>
      <c r="J1804" s="1" t="b">
        <f t="shared" si="196"/>
        <v>1</v>
      </c>
      <c r="K1804" s="1" t="b">
        <f t="shared" si="197"/>
        <v>0</v>
      </c>
      <c r="L1804" s="1" t="b">
        <f t="shared" si="198"/>
        <v>0</v>
      </c>
      <c r="M1804" s="1" t="b">
        <f t="shared" si="199"/>
        <v>0</v>
      </c>
      <c r="N1804" s="1" t="b">
        <f t="shared" si="200"/>
        <v>1</v>
      </c>
      <c r="O1804" s="1" t="b">
        <f t="shared" si="201"/>
        <v>0</v>
      </c>
      <c r="P1804" s="1" t="b">
        <f t="shared" si="202"/>
        <v>0</v>
      </c>
    </row>
    <row r="1805" spans="1:16" x14ac:dyDescent="0.2">
      <c r="A1805">
        <v>7697794</v>
      </c>
      <c r="B1805" t="s">
        <v>3269</v>
      </c>
      <c r="C1805" t="s">
        <v>121</v>
      </c>
      <c r="D1805" t="s">
        <v>56</v>
      </c>
      <c r="E1805" s="1">
        <v>44767</v>
      </c>
      <c r="F1805" t="s">
        <v>3270</v>
      </c>
      <c r="G1805" s="1">
        <v>44778</v>
      </c>
      <c r="I1805" t="s">
        <v>13</v>
      </c>
      <c r="J1805" s="1" t="b">
        <f t="shared" si="196"/>
        <v>0</v>
      </c>
      <c r="K1805" s="1" t="b">
        <f t="shared" si="197"/>
        <v>1</v>
      </c>
      <c r="L1805" s="1" t="b">
        <f t="shared" si="198"/>
        <v>0</v>
      </c>
      <c r="M1805" s="1" t="b">
        <f t="shared" si="199"/>
        <v>0</v>
      </c>
      <c r="N1805" s="1" t="b">
        <f t="shared" si="200"/>
        <v>0</v>
      </c>
      <c r="O1805" s="1" t="b">
        <f t="shared" si="201"/>
        <v>0</v>
      </c>
      <c r="P1805" s="1" t="b">
        <f t="shared" si="202"/>
        <v>0</v>
      </c>
    </row>
    <row r="1806" spans="1:16" x14ac:dyDescent="0.2">
      <c r="A1806">
        <v>7697794</v>
      </c>
      <c r="B1806" t="s">
        <v>3271</v>
      </c>
      <c r="C1806" t="s">
        <v>121</v>
      </c>
      <c r="D1806" t="s">
        <v>56</v>
      </c>
      <c r="E1806" s="1">
        <v>44899</v>
      </c>
      <c r="F1806" t="s">
        <v>1217</v>
      </c>
      <c r="G1806" s="1">
        <v>44929</v>
      </c>
      <c r="H1806" s="1">
        <v>44978</v>
      </c>
      <c r="I1806" t="s">
        <v>16</v>
      </c>
      <c r="J1806" s="1" t="b">
        <f t="shared" si="196"/>
        <v>1</v>
      </c>
      <c r="K1806" s="1" t="b">
        <f t="shared" si="197"/>
        <v>0</v>
      </c>
      <c r="L1806" s="1" t="b">
        <f t="shared" si="198"/>
        <v>0</v>
      </c>
      <c r="M1806" s="1" t="b">
        <f t="shared" si="199"/>
        <v>0</v>
      </c>
      <c r="N1806" s="1" t="b">
        <f t="shared" si="200"/>
        <v>1</v>
      </c>
      <c r="O1806" s="1" t="b">
        <f t="shared" si="201"/>
        <v>0</v>
      </c>
      <c r="P1806" s="1" t="b">
        <f t="shared" si="202"/>
        <v>0</v>
      </c>
    </row>
    <row r="1807" spans="1:16" x14ac:dyDescent="0.2">
      <c r="A1807">
        <v>7697794</v>
      </c>
      <c r="B1807" t="s">
        <v>3272</v>
      </c>
      <c r="C1807" t="s">
        <v>121</v>
      </c>
      <c r="D1807" t="s">
        <v>56</v>
      </c>
      <c r="E1807" s="1">
        <v>44636</v>
      </c>
      <c r="F1807" t="s">
        <v>969</v>
      </c>
      <c r="G1807" s="1">
        <v>44662</v>
      </c>
      <c r="H1807" s="1">
        <v>44699</v>
      </c>
      <c r="I1807" t="s">
        <v>16</v>
      </c>
      <c r="J1807" s="1" t="b">
        <f t="shared" si="196"/>
        <v>1</v>
      </c>
      <c r="K1807" s="1" t="b">
        <f t="shared" si="197"/>
        <v>0</v>
      </c>
      <c r="L1807" s="1" t="b">
        <f t="shared" si="198"/>
        <v>0</v>
      </c>
      <c r="M1807" s="1" t="b">
        <f t="shared" si="199"/>
        <v>0</v>
      </c>
      <c r="N1807" s="1" t="b">
        <f t="shared" si="200"/>
        <v>1</v>
      </c>
      <c r="O1807" s="1" t="b">
        <f t="shared" si="201"/>
        <v>0</v>
      </c>
      <c r="P1807" s="1" t="b">
        <f t="shared" si="202"/>
        <v>0</v>
      </c>
    </row>
    <row r="1808" spans="1:16" x14ac:dyDescent="0.2">
      <c r="A1808">
        <v>7697794</v>
      </c>
      <c r="B1808" t="s">
        <v>3273</v>
      </c>
      <c r="C1808" t="s">
        <v>121</v>
      </c>
      <c r="D1808" t="s">
        <v>56</v>
      </c>
      <c r="E1808" s="1">
        <v>44988</v>
      </c>
      <c r="F1808" t="s">
        <v>3274</v>
      </c>
      <c r="G1808" s="1">
        <v>45008</v>
      </c>
      <c r="H1808" s="1">
        <v>45056</v>
      </c>
      <c r="I1808" t="s">
        <v>16</v>
      </c>
      <c r="J1808" s="1" t="b">
        <f t="shared" si="196"/>
        <v>1</v>
      </c>
      <c r="K1808" s="1" t="b">
        <f t="shared" si="197"/>
        <v>0</v>
      </c>
      <c r="L1808" s="1" t="b">
        <f t="shared" si="198"/>
        <v>0</v>
      </c>
      <c r="M1808" s="1" t="b">
        <f t="shared" si="199"/>
        <v>0</v>
      </c>
      <c r="N1808" s="1" t="b">
        <f t="shared" si="200"/>
        <v>1</v>
      </c>
      <c r="O1808" s="1" t="b">
        <f t="shared" si="201"/>
        <v>0</v>
      </c>
      <c r="P1808" s="1" t="b">
        <f t="shared" si="202"/>
        <v>0</v>
      </c>
    </row>
    <row r="1809" spans="1:16" x14ac:dyDescent="0.2">
      <c r="A1809">
        <v>2352134</v>
      </c>
      <c r="B1809" t="s">
        <v>3275</v>
      </c>
      <c r="C1809" t="s">
        <v>131</v>
      </c>
      <c r="D1809" t="s">
        <v>139</v>
      </c>
      <c r="E1809" s="1">
        <v>44668</v>
      </c>
      <c r="F1809" t="s">
        <v>2112</v>
      </c>
      <c r="G1809" s="1">
        <v>44670</v>
      </c>
      <c r="H1809" s="1">
        <v>44702</v>
      </c>
      <c r="I1809" t="s">
        <v>28</v>
      </c>
      <c r="J1809" s="1" t="b">
        <f t="shared" si="196"/>
        <v>1</v>
      </c>
      <c r="K1809" s="1" t="b">
        <f t="shared" si="197"/>
        <v>0</v>
      </c>
      <c r="L1809" s="1" t="b">
        <f t="shared" si="198"/>
        <v>0</v>
      </c>
      <c r="M1809" s="1" t="b">
        <f t="shared" si="199"/>
        <v>0</v>
      </c>
      <c r="N1809" s="1" t="b">
        <f t="shared" si="200"/>
        <v>0</v>
      </c>
      <c r="O1809" s="1" t="b">
        <f t="shared" si="201"/>
        <v>0</v>
      </c>
      <c r="P1809" s="1" t="b">
        <f t="shared" si="202"/>
        <v>1</v>
      </c>
    </row>
    <row r="1810" spans="1:16" x14ac:dyDescent="0.2">
      <c r="A1810">
        <v>2352134</v>
      </c>
      <c r="B1810" t="s">
        <v>3276</v>
      </c>
      <c r="C1810" t="s">
        <v>131</v>
      </c>
      <c r="D1810" t="s">
        <v>139</v>
      </c>
      <c r="E1810" s="1">
        <v>44872</v>
      </c>
      <c r="F1810" t="s">
        <v>3277</v>
      </c>
      <c r="G1810" s="1">
        <v>44898</v>
      </c>
      <c r="H1810" s="1">
        <v>44953</v>
      </c>
      <c r="I1810" t="s">
        <v>28</v>
      </c>
      <c r="J1810" s="1" t="b">
        <f t="shared" si="196"/>
        <v>1</v>
      </c>
      <c r="K1810" s="1" t="b">
        <f t="shared" si="197"/>
        <v>0</v>
      </c>
      <c r="L1810" s="1" t="b">
        <f t="shared" si="198"/>
        <v>0</v>
      </c>
      <c r="M1810" s="1" t="b">
        <f t="shared" si="199"/>
        <v>0</v>
      </c>
      <c r="N1810" s="1" t="b">
        <f t="shared" si="200"/>
        <v>0</v>
      </c>
      <c r="O1810" s="1" t="b">
        <f t="shared" si="201"/>
        <v>0</v>
      </c>
      <c r="P1810" s="1" t="b">
        <f t="shared" si="202"/>
        <v>1</v>
      </c>
    </row>
    <row r="1811" spans="1:16" x14ac:dyDescent="0.2">
      <c r="A1811">
        <v>2352134</v>
      </c>
      <c r="B1811" t="s">
        <v>3278</v>
      </c>
      <c r="C1811" t="s">
        <v>131</v>
      </c>
      <c r="D1811" t="s">
        <v>139</v>
      </c>
      <c r="E1811" s="1">
        <v>44588</v>
      </c>
      <c r="F1811" t="s">
        <v>3279</v>
      </c>
      <c r="G1811" s="1">
        <v>44613</v>
      </c>
      <c r="H1811" s="1">
        <v>44664</v>
      </c>
      <c r="I1811" t="s">
        <v>43</v>
      </c>
      <c r="J1811" s="1" t="b">
        <f t="shared" si="196"/>
        <v>1</v>
      </c>
      <c r="K1811" s="1" t="b">
        <f t="shared" si="197"/>
        <v>0</v>
      </c>
      <c r="L1811" s="1" t="b">
        <f t="shared" si="198"/>
        <v>0</v>
      </c>
      <c r="M1811" s="1" t="b">
        <f t="shared" si="199"/>
        <v>0</v>
      </c>
      <c r="N1811" s="1" t="b">
        <f t="shared" si="200"/>
        <v>0</v>
      </c>
      <c r="O1811" s="1" t="b">
        <f t="shared" si="201"/>
        <v>1</v>
      </c>
      <c r="P1811" s="1" t="b">
        <f t="shared" si="202"/>
        <v>0</v>
      </c>
    </row>
    <row r="1812" spans="1:16" x14ac:dyDescent="0.2">
      <c r="A1812">
        <v>2352134</v>
      </c>
      <c r="B1812" t="s">
        <v>3280</v>
      </c>
      <c r="C1812" t="s">
        <v>131</v>
      </c>
      <c r="D1812" t="s">
        <v>139</v>
      </c>
      <c r="E1812" s="1">
        <v>44580</v>
      </c>
      <c r="F1812" t="s">
        <v>3281</v>
      </c>
      <c r="G1812" s="1">
        <v>44598</v>
      </c>
      <c r="H1812" s="1">
        <v>44629</v>
      </c>
      <c r="J1812" s="1" t="b">
        <f t="shared" si="196"/>
        <v>1</v>
      </c>
      <c r="K1812" s="1" t="b">
        <f t="shared" si="197"/>
        <v>0</v>
      </c>
      <c r="L1812" s="1" t="b">
        <f t="shared" si="198"/>
        <v>0</v>
      </c>
      <c r="M1812" s="1" t="b">
        <f t="shared" si="199"/>
        <v>0</v>
      </c>
      <c r="N1812" s="1" t="b">
        <f t="shared" si="200"/>
        <v>0</v>
      </c>
      <c r="O1812" s="1" t="b">
        <f t="shared" si="201"/>
        <v>0</v>
      </c>
      <c r="P1812" s="1" t="b">
        <f t="shared" si="202"/>
        <v>0</v>
      </c>
    </row>
    <row r="1813" spans="1:16" x14ac:dyDescent="0.2">
      <c r="A1813">
        <v>1874771</v>
      </c>
      <c r="B1813" t="s">
        <v>3282</v>
      </c>
      <c r="C1813" t="s">
        <v>59</v>
      </c>
      <c r="D1813" t="s">
        <v>60</v>
      </c>
      <c r="E1813" s="1">
        <v>44680</v>
      </c>
      <c r="F1813" t="s">
        <v>3283</v>
      </c>
      <c r="G1813" s="1">
        <v>44695</v>
      </c>
      <c r="H1813" s="1">
        <v>44703</v>
      </c>
      <c r="J1813" s="1" t="b">
        <f t="shared" si="196"/>
        <v>1</v>
      </c>
      <c r="K1813" s="1" t="b">
        <f t="shared" si="197"/>
        <v>0</v>
      </c>
      <c r="L1813" s="1" t="b">
        <f t="shared" si="198"/>
        <v>0</v>
      </c>
      <c r="M1813" s="1" t="b">
        <f t="shared" si="199"/>
        <v>0</v>
      </c>
      <c r="N1813" s="1" t="b">
        <f t="shared" si="200"/>
        <v>0</v>
      </c>
      <c r="O1813" s="1" t="b">
        <f t="shared" si="201"/>
        <v>0</v>
      </c>
      <c r="P1813" s="1" t="b">
        <f t="shared" si="202"/>
        <v>0</v>
      </c>
    </row>
    <row r="1814" spans="1:16" x14ac:dyDescent="0.2">
      <c r="A1814">
        <v>1874771</v>
      </c>
      <c r="B1814" t="s">
        <v>3284</v>
      </c>
      <c r="C1814" t="s">
        <v>59</v>
      </c>
      <c r="D1814" t="s">
        <v>60</v>
      </c>
      <c r="E1814" s="1">
        <v>44913</v>
      </c>
      <c r="F1814" t="s">
        <v>3285</v>
      </c>
      <c r="G1814" s="1">
        <v>44927</v>
      </c>
      <c r="H1814" s="1">
        <v>44986</v>
      </c>
      <c r="I1814" t="s">
        <v>28</v>
      </c>
      <c r="J1814" s="1" t="b">
        <f t="shared" si="196"/>
        <v>1</v>
      </c>
      <c r="K1814" s="1" t="b">
        <f t="shared" si="197"/>
        <v>0</v>
      </c>
      <c r="L1814" s="1" t="b">
        <f t="shared" si="198"/>
        <v>0</v>
      </c>
      <c r="M1814" s="1" t="b">
        <f t="shared" si="199"/>
        <v>0</v>
      </c>
      <c r="N1814" s="1" t="b">
        <f t="shared" si="200"/>
        <v>0</v>
      </c>
      <c r="O1814" s="1" t="b">
        <f t="shared" si="201"/>
        <v>0</v>
      </c>
      <c r="P1814" s="1" t="b">
        <f t="shared" si="202"/>
        <v>1</v>
      </c>
    </row>
    <row r="1815" spans="1:16" x14ac:dyDescent="0.2">
      <c r="A1815">
        <v>1971778</v>
      </c>
      <c r="B1815" t="s">
        <v>3286</v>
      </c>
      <c r="C1815" t="s">
        <v>93</v>
      </c>
      <c r="D1815" t="s">
        <v>19</v>
      </c>
      <c r="E1815" s="1">
        <v>44608</v>
      </c>
      <c r="F1815" t="s">
        <v>3287</v>
      </c>
      <c r="G1815" s="1">
        <v>44634</v>
      </c>
      <c r="H1815" s="1">
        <v>44635</v>
      </c>
      <c r="I1815" t="s">
        <v>43</v>
      </c>
      <c r="J1815" s="1" t="b">
        <f t="shared" si="196"/>
        <v>1</v>
      </c>
      <c r="K1815" s="1" t="b">
        <f t="shared" si="197"/>
        <v>0</v>
      </c>
      <c r="L1815" s="1" t="b">
        <f t="shared" si="198"/>
        <v>0</v>
      </c>
      <c r="M1815" s="1" t="b">
        <f t="shared" si="199"/>
        <v>0</v>
      </c>
      <c r="N1815" s="1" t="b">
        <f t="shared" si="200"/>
        <v>0</v>
      </c>
      <c r="O1815" s="1" t="b">
        <f t="shared" si="201"/>
        <v>1</v>
      </c>
      <c r="P1815" s="1" t="b">
        <f t="shared" si="202"/>
        <v>0</v>
      </c>
    </row>
    <row r="1816" spans="1:16" x14ac:dyDescent="0.2">
      <c r="A1816">
        <v>5193002</v>
      </c>
      <c r="B1816" t="s">
        <v>3288</v>
      </c>
      <c r="C1816" t="s">
        <v>150</v>
      </c>
      <c r="D1816" t="s">
        <v>56</v>
      </c>
      <c r="I1816" t="s">
        <v>33</v>
      </c>
      <c r="J1816" s="1" t="b">
        <f t="shared" si="196"/>
        <v>0</v>
      </c>
      <c r="K1816" s="1" t="b">
        <f t="shared" si="197"/>
        <v>0</v>
      </c>
      <c r="L1816" s="1" t="b">
        <f t="shared" si="198"/>
        <v>0</v>
      </c>
      <c r="M1816" s="1" t="b">
        <f t="shared" si="199"/>
        <v>1</v>
      </c>
      <c r="N1816" s="1" t="b">
        <f t="shared" si="200"/>
        <v>0</v>
      </c>
      <c r="O1816" s="1" t="b">
        <f t="shared" si="201"/>
        <v>0</v>
      </c>
      <c r="P1816" s="1" t="b">
        <f t="shared" si="202"/>
        <v>0</v>
      </c>
    </row>
    <row r="1817" spans="1:16" x14ac:dyDescent="0.2">
      <c r="A1817">
        <v>8357746</v>
      </c>
      <c r="B1817" t="s">
        <v>3289</v>
      </c>
      <c r="C1817" t="s">
        <v>38</v>
      </c>
      <c r="D1817" t="s">
        <v>11</v>
      </c>
      <c r="E1817" s="1">
        <v>44812</v>
      </c>
      <c r="F1817" t="s">
        <v>3290</v>
      </c>
      <c r="G1817" s="1">
        <v>44822</v>
      </c>
      <c r="I1817" t="s">
        <v>25</v>
      </c>
      <c r="J1817" s="1" t="b">
        <f t="shared" si="196"/>
        <v>0</v>
      </c>
      <c r="K1817" s="1" t="b">
        <f t="shared" si="197"/>
        <v>0</v>
      </c>
      <c r="L1817" s="1" t="b">
        <f t="shared" si="198"/>
        <v>1</v>
      </c>
      <c r="M1817" s="1" t="b">
        <f t="shared" si="199"/>
        <v>0</v>
      </c>
      <c r="N1817" s="1" t="b">
        <f t="shared" si="200"/>
        <v>0</v>
      </c>
      <c r="O1817" s="1" t="b">
        <f t="shared" si="201"/>
        <v>0</v>
      </c>
      <c r="P1817" s="1" t="b">
        <f t="shared" si="202"/>
        <v>0</v>
      </c>
    </row>
    <row r="1818" spans="1:16" x14ac:dyDescent="0.2">
      <c r="A1818">
        <v>3176277</v>
      </c>
      <c r="B1818" t="s">
        <v>3291</v>
      </c>
      <c r="C1818" t="s">
        <v>121</v>
      </c>
      <c r="D1818" t="s">
        <v>60</v>
      </c>
      <c r="E1818" s="1">
        <v>44772</v>
      </c>
      <c r="F1818" t="s">
        <v>1377</v>
      </c>
      <c r="G1818" s="1">
        <v>44788</v>
      </c>
      <c r="H1818" s="1">
        <v>44834</v>
      </c>
      <c r="I1818" t="s">
        <v>16</v>
      </c>
      <c r="J1818" s="1" t="b">
        <f t="shared" si="196"/>
        <v>1</v>
      </c>
      <c r="K1818" s="1" t="b">
        <f t="shared" si="197"/>
        <v>0</v>
      </c>
      <c r="L1818" s="1" t="b">
        <f t="shared" si="198"/>
        <v>0</v>
      </c>
      <c r="M1818" s="1" t="b">
        <f t="shared" si="199"/>
        <v>0</v>
      </c>
      <c r="N1818" s="1" t="b">
        <f t="shared" si="200"/>
        <v>1</v>
      </c>
      <c r="O1818" s="1" t="b">
        <f t="shared" si="201"/>
        <v>0</v>
      </c>
      <c r="P1818" s="1" t="b">
        <f t="shared" si="202"/>
        <v>0</v>
      </c>
    </row>
    <row r="1819" spans="1:16" x14ac:dyDescent="0.2">
      <c r="A1819">
        <v>3176277</v>
      </c>
      <c r="B1819" t="s">
        <v>3292</v>
      </c>
      <c r="C1819" t="s">
        <v>121</v>
      </c>
      <c r="D1819" t="s">
        <v>60</v>
      </c>
      <c r="E1819" s="1">
        <v>44787</v>
      </c>
      <c r="F1819" t="s">
        <v>3293</v>
      </c>
      <c r="G1819" s="1">
        <v>44802</v>
      </c>
      <c r="H1819" s="1">
        <v>44848</v>
      </c>
      <c r="I1819" t="s">
        <v>28</v>
      </c>
      <c r="J1819" s="1" t="b">
        <f t="shared" si="196"/>
        <v>1</v>
      </c>
      <c r="K1819" s="1" t="b">
        <f t="shared" si="197"/>
        <v>0</v>
      </c>
      <c r="L1819" s="1" t="b">
        <f t="shared" si="198"/>
        <v>0</v>
      </c>
      <c r="M1819" s="1" t="b">
        <f t="shared" si="199"/>
        <v>0</v>
      </c>
      <c r="N1819" s="1" t="b">
        <f t="shared" si="200"/>
        <v>0</v>
      </c>
      <c r="O1819" s="1" t="b">
        <f t="shared" si="201"/>
        <v>0</v>
      </c>
      <c r="P1819" s="1" t="b">
        <f t="shared" si="202"/>
        <v>1</v>
      </c>
    </row>
    <row r="1820" spans="1:16" x14ac:dyDescent="0.2">
      <c r="A1820">
        <v>3176277</v>
      </c>
      <c r="B1820" t="s">
        <v>3294</v>
      </c>
      <c r="C1820" t="s">
        <v>121</v>
      </c>
      <c r="D1820" t="s">
        <v>60</v>
      </c>
      <c r="E1820" s="1">
        <v>44861</v>
      </c>
      <c r="F1820" t="s">
        <v>155</v>
      </c>
      <c r="G1820" s="1">
        <v>44889</v>
      </c>
      <c r="H1820" s="1">
        <v>44931</v>
      </c>
      <c r="I1820" t="s">
        <v>28</v>
      </c>
      <c r="J1820" s="1" t="b">
        <f t="shared" si="196"/>
        <v>1</v>
      </c>
      <c r="K1820" s="1" t="b">
        <f t="shared" si="197"/>
        <v>0</v>
      </c>
      <c r="L1820" s="1" t="b">
        <f t="shared" si="198"/>
        <v>0</v>
      </c>
      <c r="M1820" s="1" t="b">
        <f t="shared" si="199"/>
        <v>0</v>
      </c>
      <c r="N1820" s="1" t="b">
        <f t="shared" si="200"/>
        <v>0</v>
      </c>
      <c r="O1820" s="1" t="b">
        <f t="shared" si="201"/>
        <v>0</v>
      </c>
      <c r="P1820" s="1" t="b">
        <f t="shared" si="202"/>
        <v>1</v>
      </c>
    </row>
    <row r="1821" spans="1:16" x14ac:dyDescent="0.2">
      <c r="A1821">
        <v>3176277</v>
      </c>
      <c r="B1821" t="s">
        <v>3295</v>
      </c>
      <c r="C1821" t="s">
        <v>121</v>
      </c>
      <c r="D1821" t="s">
        <v>60</v>
      </c>
      <c r="E1821" s="1">
        <v>44888</v>
      </c>
      <c r="F1821" t="s">
        <v>3296</v>
      </c>
      <c r="G1821" s="1">
        <v>44911</v>
      </c>
      <c r="I1821" t="s">
        <v>25</v>
      </c>
      <c r="J1821" s="1" t="b">
        <f t="shared" si="196"/>
        <v>0</v>
      </c>
      <c r="K1821" s="1" t="b">
        <f t="shared" si="197"/>
        <v>0</v>
      </c>
      <c r="L1821" s="1" t="b">
        <f t="shared" si="198"/>
        <v>1</v>
      </c>
      <c r="M1821" s="1" t="b">
        <f t="shared" si="199"/>
        <v>0</v>
      </c>
      <c r="N1821" s="1" t="b">
        <f t="shared" si="200"/>
        <v>0</v>
      </c>
      <c r="O1821" s="1" t="b">
        <f t="shared" si="201"/>
        <v>0</v>
      </c>
      <c r="P1821" s="1" t="b">
        <f t="shared" si="202"/>
        <v>0</v>
      </c>
    </row>
    <row r="1822" spans="1:16" x14ac:dyDescent="0.2">
      <c r="A1822">
        <v>9446412</v>
      </c>
      <c r="B1822" t="s">
        <v>3297</v>
      </c>
      <c r="C1822" t="s">
        <v>176</v>
      </c>
      <c r="D1822" t="s">
        <v>56</v>
      </c>
      <c r="E1822" s="1">
        <v>44770</v>
      </c>
      <c r="F1822" t="s">
        <v>3298</v>
      </c>
      <c r="G1822" s="1">
        <v>44800</v>
      </c>
      <c r="H1822" s="1">
        <v>44809</v>
      </c>
      <c r="J1822" s="1" t="b">
        <f t="shared" si="196"/>
        <v>1</v>
      </c>
      <c r="K1822" s="1" t="b">
        <f t="shared" si="197"/>
        <v>0</v>
      </c>
      <c r="L1822" s="1" t="b">
        <f t="shared" si="198"/>
        <v>0</v>
      </c>
      <c r="M1822" s="1" t="b">
        <f t="shared" si="199"/>
        <v>0</v>
      </c>
      <c r="N1822" s="1" t="b">
        <f t="shared" si="200"/>
        <v>0</v>
      </c>
      <c r="O1822" s="1" t="b">
        <f t="shared" si="201"/>
        <v>0</v>
      </c>
      <c r="P1822" s="1" t="b">
        <f t="shared" si="202"/>
        <v>0</v>
      </c>
    </row>
    <row r="1823" spans="1:16" x14ac:dyDescent="0.2">
      <c r="A1823">
        <v>9446412</v>
      </c>
      <c r="B1823" t="s">
        <v>3299</v>
      </c>
      <c r="C1823" t="s">
        <v>176</v>
      </c>
      <c r="D1823" t="s">
        <v>56</v>
      </c>
      <c r="E1823" s="1">
        <v>44777</v>
      </c>
      <c r="F1823" t="s">
        <v>3300</v>
      </c>
      <c r="G1823" s="1">
        <v>44781</v>
      </c>
      <c r="H1823" s="1">
        <v>44805</v>
      </c>
      <c r="I1823" t="s">
        <v>43</v>
      </c>
      <c r="J1823" s="1" t="b">
        <f t="shared" si="196"/>
        <v>1</v>
      </c>
      <c r="K1823" s="1" t="b">
        <f t="shared" si="197"/>
        <v>0</v>
      </c>
      <c r="L1823" s="1" t="b">
        <f t="shared" si="198"/>
        <v>0</v>
      </c>
      <c r="M1823" s="1" t="b">
        <f t="shared" si="199"/>
        <v>0</v>
      </c>
      <c r="N1823" s="1" t="b">
        <f t="shared" si="200"/>
        <v>0</v>
      </c>
      <c r="O1823" s="1" t="b">
        <f t="shared" si="201"/>
        <v>1</v>
      </c>
      <c r="P1823" s="1" t="b">
        <f t="shared" si="202"/>
        <v>0</v>
      </c>
    </row>
    <row r="1824" spans="1:16" x14ac:dyDescent="0.2">
      <c r="A1824">
        <v>9446412</v>
      </c>
      <c r="B1824" t="s">
        <v>3301</v>
      </c>
      <c r="C1824" t="s">
        <v>176</v>
      </c>
      <c r="D1824" t="s">
        <v>56</v>
      </c>
      <c r="E1824" s="1">
        <v>45012</v>
      </c>
      <c r="F1824" t="s">
        <v>3302</v>
      </c>
      <c r="G1824" s="1">
        <v>45033</v>
      </c>
      <c r="H1824" s="1">
        <v>45082</v>
      </c>
      <c r="I1824" t="s">
        <v>43</v>
      </c>
      <c r="J1824" s="1" t="b">
        <f t="shared" si="196"/>
        <v>1</v>
      </c>
      <c r="K1824" s="1" t="b">
        <f t="shared" si="197"/>
        <v>0</v>
      </c>
      <c r="L1824" s="1" t="b">
        <f t="shared" si="198"/>
        <v>0</v>
      </c>
      <c r="M1824" s="1" t="b">
        <f t="shared" si="199"/>
        <v>0</v>
      </c>
      <c r="N1824" s="1" t="b">
        <f t="shared" si="200"/>
        <v>0</v>
      </c>
      <c r="O1824" s="1" t="b">
        <f t="shared" si="201"/>
        <v>1</v>
      </c>
      <c r="P1824" s="1" t="b">
        <f t="shared" si="202"/>
        <v>0</v>
      </c>
    </row>
    <row r="1825" spans="1:16" x14ac:dyDescent="0.2">
      <c r="A1825">
        <v>8612879</v>
      </c>
      <c r="B1825" t="s">
        <v>3303</v>
      </c>
      <c r="C1825" t="s">
        <v>176</v>
      </c>
      <c r="D1825" t="s">
        <v>56</v>
      </c>
      <c r="E1825" s="1">
        <v>44955</v>
      </c>
      <c r="F1825" t="s">
        <v>3304</v>
      </c>
      <c r="G1825" s="1">
        <v>44965</v>
      </c>
      <c r="H1825" s="1">
        <v>45018</v>
      </c>
      <c r="I1825" t="s">
        <v>28</v>
      </c>
      <c r="J1825" s="1" t="b">
        <f t="shared" si="196"/>
        <v>1</v>
      </c>
      <c r="K1825" s="1" t="b">
        <f t="shared" si="197"/>
        <v>0</v>
      </c>
      <c r="L1825" s="1" t="b">
        <f t="shared" si="198"/>
        <v>0</v>
      </c>
      <c r="M1825" s="1" t="b">
        <f t="shared" si="199"/>
        <v>0</v>
      </c>
      <c r="N1825" s="1" t="b">
        <f t="shared" si="200"/>
        <v>0</v>
      </c>
      <c r="O1825" s="1" t="b">
        <f t="shared" si="201"/>
        <v>0</v>
      </c>
      <c r="P1825" s="1" t="b">
        <f t="shared" si="202"/>
        <v>1</v>
      </c>
    </row>
    <row r="1826" spans="1:16" x14ac:dyDescent="0.2">
      <c r="A1826">
        <v>8612879</v>
      </c>
      <c r="B1826" t="s">
        <v>3305</v>
      </c>
      <c r="C1826" t="s">
        <v>176</v>
      </c>
      <c r="D1826" t="s">
        <v>56</v>
      </c>
      <c r="E1826" s="1">
        <v>44955</v>
      </c>
      <c r="F1826" t="s">
        <v>3306</v>
      </c>
      <c r="G1826" s="1">
        <v>44971</v>
      </c>
      <c r="H1826" s="1">
        <v>44973</v>
      </c>
      <c r="I1826" t="s">
        <v>16</v>
      </c>
      <c r="J1826" s="1" t="b">
        <f t="shared" si="196"/>
        <v>1</v>
      </c>
      <c r="K1826" s="1" t="b">
        <f t="shared" si="197"/>
        <v>0</v>
      </c>
      <c r="L1826" s="1" t="b">
        <f t="shared" si="198"/>
        <v>0</v>
      </c>
      <c r="M1826" s="1" t="b">
        <f t="shared" si="199"/>
        <v>0</v>
      </c>
      <c r="N1826" s="1" t="b">
        <f t="shared" si="200"/>
        <v>1</v>
      </c>
      <c r="O1826" s="1" t="b">
        <f t="shared" si="201"/>
        <v>0</v>
      </c>
      <c r="P1826" s="1" t="b">
        <f t="shared" si="202"/>
        <v>0</v>
      </c>
    </row>
    <row r="1827" spans="1:16" x14ac:dyDescent="0.2">
      <c r="A1827">
        <v>8612879</v>
      </c>
      <c r="B1827" t="s">
        <v>3307</v>
      </c>
      <c r="C1827" t="s">
        <v>176</v>
      </c>
      <c r="D1827" t="s">
        <v>56</v>
      </c>
      <c r="E1827" s="1">
        <v>44791</v>
      </c>
      <c r="F1827" t="s">
        <v>1256</v>
      </c>
      <c r="G1827" s="1">
        <v>44798</v>
      </c>
      <c r="H1827" s="1">
        <v>44823</v>
      </c>
      <c r="J1827" s="1" t="b">
        <f t="shared" si="196"/>
        <v>1</v>
      </c>
      <c r="K1827" s="1" t="b">
        <f t="shared" si="197"/>
        <v>0</v>
      </c>
      <c r="L1827" s="1" t="b">
        <f t="shared" si="198"/>
        <v>0</v>
      </c>
      <c r="M1827" s="1" t="b">
        <f t="shared" si="199"/>
        <v>0</v>
      </c>
      <c r="N1827" s="1" t="b">
        <f t="shared" si="200"/>
        <v>0</v>
      </c>
      <c r="O1827" s="1" t="b">
        <f t="shared" si="201"/>
        <v>0</v>
      </c>
      <c r="P1827" s="1" t="b">
        <f t="shared" si="202"/>
        <v>0</v>
      </c>
    </row>
    <row r="1828" spans="1:16" x14ac:dyDescent="0.2">
      <c r="A1828">
        <v>8612879</v>
      </c>
      <c r="B1828" t="s">
        <v>3308</v>
      </c>
      <c r="C1828" t="s">
        <v>176</v>
      </c>
      <c r="D1828" t="s">
        <v>56</v>
      </c>
      <c r="E1828" s="1">
        <v>44615</v>
      </c>
      <c r="F1828" t="s">
        <v>3309</v>
      </c>
      <c r="G1828" s="1">
        <v>44637</v>
      </c>
      <c r="I1828" t="s">
        <v>13</v>
      </c>
      <c r="J1828" s="1" t="b">
        <f t="shared" si="196"/>
        <v>0</v>
      </c>
      <c r="K1828" s="1" t="b">
        <f t="shared" si="197"/>
        <v>1</v>
      </c>
      <c r="L1828" s="1" t="b">
        <f t="shared" si="198"/>
        <v>0</v>
      </c>
      <c r="M1828" s="1" t="b">
        <f t="shared" si="199"/>
        <v>0</v>
      </c>
      <c r="N1828" s="1" t="b">
        <f t="shared" si="200"/>
        <v>0</v>
      </c>
      <c r="O1828" s="1" t="b">
        <f t="shared" si="201"/>
        <v>0</v>
      </c>
      <c r="P1828" s="1" t="b">
        <f t="shared" si="202"/>
        <v>0</v>
      </c>
    </row>
    <row r="1829" spans="1:16" x14ac:dyDescent="0.2">
      <c r="A1829">
        <v>6119535</v>
      </c>
      <c r="B1829" t="s">
        <v>3310</v>
      </c>
      <c r="C1829" t="s">
        <v>521</v>
      </c>
      <c r="D1829" t="s">
        <v>139</v>
      </c>
      <c r="E1829" s="1">
        <v>44830</v>
      </c>
      <c r="F1829" t="s">
        <v>3311</v>
      </c>
      <c r="G1829" s="1">
        <v>44856</v>
      </c>
      <c r="H1829" s="1">
        <v>44905</v>
      </c>
      <c r="I1829" t="s">
        <v>28</v>
      </c>
      <c r="J1829" s="1" t="b">
        <f t="shared" si="196"/>
        <v>1</v>
      </c>
      <c r="K1829" s="1" t="b">
        <f t="shared" si="197"/>
        <v>0</v>
      </c>
      <c r="L1829" s="1" t="b">
        <f t="shared" si="198"/>
        <v>0</v>
      </c>
      <c r="M1829" s="1" t="b">
        <f t="shared" si="199"/>
        <v>0</v>
      </c>
      <c r="N1829" s="1" t="b">
        <f t="shared" si="200"/>
        <v>0</v>
      </c>
      <c r="O1829" s="1" t="b">
        <f t="shared" si="201"/>
        <v>0</v>
      </c>
      <c r="P1829" s="1" t="b">
        <f t="shared" si="202"/>
        <v>1</v>
      </c>
    </row>
    <row r="1830" spans="1:16" x14ac:dyDescent="0.2">
      <c r="A1830">
        <v>6119535</v>
      </c>
      <c r="B1830" t="s">
        <v>3312</v>
      </c>
      <c r="C1830" t="s">
        <v>521</v>
      </c>
      <c r="D1830" t="s">
        <v>139</v>
      </c>
      <c r="E1830" s="1">
        <v>45006</v>
      </c>
      <c r="F1830" t="s">
        <v>3313</v>
      </c>
      <c r="G1830" s="1">
        <v>45034</v>
      </c>
      <c r="H1830" s="1">
        <v>45062</v>
      </c>
      <c r="I1830" t="s">
        <v>16</v>
      </c>
      <c r="J1830" s="1" t="b">
        <f t="shared" si="196"/>
        <v>1</v>
      </c>
      <c r="K1830" s="1" t="b">
        <f t="shared" si="197"/>
        <v>0</v>
      </c>
      <c r="L1830" s="1" t="b">
        <f t="shared" si="198"/>
        <v>0</v>
      </c>
      <c r="M1830" s="1" t="b">
        <f t="shared" si="199"/>
        <v>0</v>
      </c>
      <c r="N1830" s="1" t="b">
        <f t="shared" si="200"/>
        <v>1</v>
      </c>
      <c r="O1830" s="1" t="b">
        <f t="shared" si="201"/>
        <v>0</v>
      </c>
      <c r="P1830" s="1" t="b">
        <f t="shared" si="202"/>
        <v>0</v>
      </c>
    </row>
    <row r="1831" spans="1:16" x14ac:dyDescent="0.2">
      <c r="A1831">
        <v>6119535</v>
      </c>
      <c r="B1831" t="s">
        <v>3314</v>
      </c>
      <c r="C1831" t="s">
        <v>521</v>
      </c>
      <c r="D1831" t="s">
        <v>139</v>
      </c>
      <c r="E1831" s="1">
        <v>44959</v>
      </c>
      <c r="F1831" t="s">
        <v>3315</v>
      </c>
      <c r="G1831" s="1">
        <v>44983</v>
      </c>
      <c r="H1831" s="1">
        <v>45043</v>
      </c>
      <c r="I1831" t="s">
        <v>16</v>
      </c>
      <c r="J1831" s="1" t="b">
        <f t="shared" si="196"/>
        <v>1</v>
      </c>
      <c r="K1831" s="1" t="b">
        <f t="shared" si="197"/>
        <v>0</v>
      </c>
      <c r="L1831" s="1" t="b">
        <f t="shared" si="198"/>
        <v>0</v>
      </c>
      <c r="M1831" s="1" t="b">
        <f t="shared" si="199"/>
        <v>0</v>
      </c>
      <c r="N1831" s="1" t="b">
        <f t="shared" si="200"/>
        <v>1</v>
      </c>
      <c r="O1831" s="1" t="b">
        <f t="shared" si="201"/>
        <v>0</v>
      </c>
      <c r="P1831" s="1" t="b">
        <f t="shared" si="202"/>
        <v>0</v>
      </c>
    </row>
    <row r="1832" spans="1:16" x14ac:dyDescent="0.2">
      <c r="A1832">
        <v>5822081</v>
      </c>
      <c r="B1832" t="s">
        <v>3316</v>
      </c>
      <c r="C1832" t="s">
        <v>90</v>
      </c>
      <c r="D1832" t="s">
        <v>139</v>
      </c>
      <c r="E1832" s="1">
        <v>45040</v>
      </c>
      <c r="F1832" t="s">
        <v>108</v>
      </c>
      <c r="G1832" s="1">
        <v>45064</v>
      </c>
      <c r="H1832" s="1">
        <v>45124</v>
      </c>
      <c r="I1832" t="s">
        <v>28</v>
      </c>
      <c r="J1832" s="1" t="b">
        <f t="shared" si="196"/>
        <v>1</v>
      </c>
      <c r="K1832" s="1" t="b">
        <f t="shared" si="197"/>
        <v>0</v>
      </c>
      <c r="L1832" s="1" t="b">
        <f t="shared" si="198"/>
        <v>0</v>
      </c>
      <c r="M1832" s="1" t="b">
        <f t="shared" si="199"/>
        <v>0</v>
      </c>
      <c r="N1832" s="1" t="b">
        <f t="shared" si="200"/>
        <v>0</v>
      </c>
      <c r="O1832" s="1" t="b">
        <f t="shared" si="201"/>
        <v>0</v>
      </c>
      <c r="P1832" s="1" t="b">
        <f t="shared" si="202"/>
        <v>1</v>
      </c>
    </row>
    <row r="1833" spans="1:16" x14ac:dyDescent="0.2">
      <c r="A1833">
        <v>5822081</v>
      </c>
      <c r="B1833" t="s">
        <v>3317</v>
      </c>
      <c r="C1833" t="s">
        <v>90</v>
      </c>
      <c r="D1833" t="s">
        <v>139</v>
      </c>
      <c r="E1833" s="1">
        <v>44849</v>
      </c>
      <c r="F1833" t="s">
        <v>3318</v>
      </c>
      <c r="G1833" s="1">
        <v>44875</v>
      </c>
      <c r="I1833" t="s">
        <v>25</v>
      </c>
      <c r="J1833" s="1" t="b">
        <f t="shared" si="196"/>
        <v>0</v>
      </c>
      <c r="K1833" s="1" t="b">
        <f t="shared" si="197"/>
        <v>0</v>
      </c>
      <c r="L1833" s="1" t="b">
        <f t="shared" si="198"/>
        <v>1</v>
      </c>
      <c r="M1833" s="1" t="b">
        <f t="shared" si="199"/>
        <v>0</v>
      </c>
      <c r="N1833" s="1" t="b">
        <f t="shared" si="200"/>
        <v>0</v>
      </c>
      <c r="O1833" s="1" t="b">
        <f t="shared" si="201"/>
        <v>0</v>
      </c>
      <c r="P1833" s="1" t="b">
        <f t="shared" si="202"/>
        <v>0</v>
      </c>
    </row>
    <row r="1834" spans="1:16" x14ac:dyDescent="0.2">
      <c r="A1834">
        <v>5822081</v>
      </c>
      <c r="B1834" t="s">
        <v>3319</v>
      </c>
      <c r="C1834" t="s">
        <v>90</v>
      </c>
      <c r="D1834" t="s">
        <v>139</v>
      </c>
      <c r="E1834" s="1">
        <v>44864</v>
      </c>
      <c r="F1834" t="s">
        <v>2947</v>
      </c>
      <c r="G1834" s="1">
        <v>44875</v>
      </c>
      <c r="H1834" s="1">
        <v>44912</v>
      </c>
      <c r="I1834" t="s">
        <v>28</v>
      </c>
      <c r="J1834" s="1" t="b">
        <f t="shared" si="196"/>
        <v>1</v>
      </c>
      <c r="K1834" s="1" t="b">
        <f t="shared" si="197"/>
        <v>0</v>
      </c>
      <c r="L1834" s="1" t="b">
        <f t="shared" si="198"/>
        <v>0</v>
      </c>
      <c r="M1834" s="1" t="b">
        <f t="shared" si="199"/>
        <v>0</v>
      </c>
      <c r="N1834" s="1" t="b">
        <f t="shared" si="200"/>
        <v>0</v>
      </c>
      <c r="O1834" s="1" t="b">
        <f t="shared" si="201"/>
        <v>0</v>
      </c>
      <c r="P1834" s="1" t="b">
        <f t="shared" si="202"/>
        <v>1</v>
      </c>
    </row>
    <row r="1835" spans="1:16" x14ac:dyDescent="0.2">
      <c r="A1835">
        <v>5822081</v>
      </c>
      <c r="B1835" t="s">
        <v>3320</v>
      </c>
      <c r="C1835" t="s">
        <v>90</v>
      </c>
      <c r="D1835" t="s">
        <v>139</v>
      </c>
      <c r="E1835" s="1">
        <v>44818</v>
      </c>
      <c r="F1835" t="s">
        <v>2855</v>
      </c>
      <c r="G1835" s="1">
        <v>44844</v>
      </c>
      <c r="H1835" s="1">
        <v>44886</v>
      </c>
      <c r="I1835" t="s">
        <v>28</v>
      </c>
      <c r="J1835" s="1" t="b">
        <f t="shared" si="196"/>
        <v>1</v>
      </c>
      <c r="K1835" s="1" t="b">
        <f t="shared" si="197"/>
        <v>0</v>
      </c>
      <c r="L1835" s="1" t="b">
        <f t="shared" si="198"/>
        <v>0</v>
      </c>
      <c r="M1835" s="1" t="b">
        <f t="shared" si="199"/>
        <v>0</v>
      </c>
      <c r="N1835" s="1" t="b">
        <f t="shared" si="200"/>
        <v>0</v>
      </c>
      <c r="O1835" s="1" t="b">
        <f t="shared" si="201"/>
        <v>0</v>
      </c>
      <c r="P1835" s="1" t="b">
        <f t="shared" si="202"/>
        <v>1</v>
      </c>
    </row>
    <row r="1836" spans="1:16" x14ac:dyDescent="0.2">
      <c r="A1836">
        <v>1207016</v>
      </c>
      <c r="B1836" t="s">
        <v>3321</v>
      </c>
      <c r="C1836" t="s">
        <v>176</v>
      </c>
      <c r="D1836" t="s">
        <v>11</v>
      </c>
      <c r="E1836" s="1">
        <v>45016</v>
      </c>
      <c r="F1836" t="s">
        <v>3322</v>
      </c>
      <c r="G1836" s="1">
        <v>45031</v>
      </c>
      <c r="H1836" s="1">
        <v>45033</v>
      </c>
      <c r="I1836" t="s">
        <v>28</v>
      </c>
      <c r="J1836" s="1" t="b">
        <f t="shared" si="196"/>
        <v>1</v>
      </c>
      <c r="K1836" s="1" t="b">
        <f t="shared" si="197"/>
        <v>0</v>
      </c>
      <c r="L1836" s="1" t="b">
        <f t="shared" si="198"/>
        <v>0</v>
      </c>
      <c r="M1836" s="1" t="b">
        <f t="shared" si="199"/>
        <v>0</v>
      </c>
      <c r="N1836" s="1" t="b">
        <f t="shared" si="200"/>
        <v>0</v>
      </c>
      <c r="O1836" s="1" t="b">
        <f t="shared" si="201"/>
        <v>0</v>
      </c>
      <c r="P1836" s="1" t="b">
        <f t="shared" si="202"/>
        <v>1</v>
      </c>
    </row>
    <row r="1837" spans="1:16" x14ac:dyDescent="0.2">
      <c r="A1837">
        <v>1207016</v>
      </c>
      <c r="B1837" t="s">
        <v>3323</v>
      </c>
      <c r="C1837" t="s">
        <v>176</v>
      </c>
      <c r="D1837" t="s">
        <v>11</v>
      </c>
      <c r="E1837" s="1">
        <v>45053</v>
      </c>
      <c r="F1837" t="s">
        <v>3324</v>
      </c>
      <c r="G1837" s="1">
        <v>45074</v>
      </c>
      <c r="H1837" s="1">
        <v>45129</v>
      </c>
      <c r="J1837" s="1" t="b">
        <f t="shared" si="196"/>
        <v>1</v>
      </c>
      <c r="K1837" s="1" t="b">
        <f t="shared" si="197"/>
        <v>0</v>
      </c>
      <c r="L1837" s="1" t="b">
        <f t="shared" si="198"/>
        <v>0</v>
      </c>
      <c r="M1837" s="1" t="b">
        <f t="shared" si="199"/>
        <v>0</v>
      </c>
      <c r="N1837" s="1" t="b">
        <f t="shared" si="200"/>
        <v>0</v>
      </c>
      <c r="O1837" s="1" t="b">
        <f t="shared" si="201"/>
        <v>0</v>
      </c>
      <c r="P1837" s="1" t="b">
        <f t="shared" si="202"/>
        <v>0</v>
      </c>
    </row>
    <row r="1838" spans="1:16" x14ac:dyDescent="0.2">
      <c r="A1838">
        <v>1207016</v>
      </c>
      <c r="B1838" t="s">
        <v>3325</v>
      </c>
      <c r="C1838" t="s">
        <v>176</v>
      </c>
      <c r="D1838" t="s">
        <v>11</v>
      </c>
      <c r="E1838" s="1">
        <v>44643</v>
      </c>
      <c r="F1838" t="s">
        <v>672</v>
      </c>
      <c r="G1838" s="1">
        <v>44652</v>
      </c>
      <c r="H1838" s="1">
        <v>44710</v>
      </c>
      <c r="J1838" s="1" t="b">
        <f t="shared" si="196"/>
        <v>1</v>
      </c>
      <c r="K1838" s="1" t="b">
        <f t="shared" si="197"/>
        <v>0</v>
      </c>
      <c r="L1838" s="1" t="b">
        <f t="shared" si="198"/>
        <v>0</v>
      </c>
      <c r="M1838" s="1" t="b">
        <f t="shared" si="199"/>
        <v>0</v>
      </c>
      <c r="N1838" s="1" t="b">
        <f t="shared" si="200"/>
        <v>0</v>
      </c>
      <c r="O1838" s="1" t="b">
        <f t="shared" si="201"/>
        <v>0</v>
      </c>
      <c r="P1838" s="1" t="b">
        <f t="shared" si="202"/>
        <v>0</v>
      </c>
    </row>
    <row r="1839" spans="1:16" x14ac:dyDescent="0.2">
      <c r="A1839">
        <v>1207016</v>
      </c>
      <c r="B1839" t="s">
        <v>3326</v>
      </c>
      <c r="C1839" t="s">
        <v>176</v>
      </c>
      <c r="D1839" t="s">
        <v>11</v>
      </c>
      <c r="E1839" s="1">
        <v>44746</v>
      </c>
      <c r="F1839" t="s">
        <v>3327</v>
      </c>
      <c r="G1839" s="1">
        <v>44755</v>
      </c>
      <c r="H1839" s="1">
        <v>44805</v>
      </c>
      <c r="I1839" t="s">
        <v>28</v>
      </c>
      <c r="J1839" s="1" t="b">
        <f t="shared" si="196"/>
        <v>1</v>
      </c>
      <c r="K1839" s="1" t="b">
        <f t="shared" si="197"/>
        <v>0</v>
      </c>
      <c r="L1839" s="1" t="b">
        <f t="shared" si="198"/>
        <v>0</v>
      </c>
      <c r="M1839" s="1" t="b">
        <f t="shared" si="199"/>
        <v>0</v>
      </c>
      <c r="N1839" s="1" t="b">
        <f t="shared" si="200"/>
        <v>0</v>
      </c>
      <c r="O1839" s="1" t="b">
        <f t="shared" si="201"/>
        <v>0</v>
      </c>
      <c r="P1839" s="1" t="b">
        <f t="shared" si="202"/>
        <v>1</v>
      </c>
    </row>
    <row r="1840" spans="1:16" x14ac:dyDescent="0.2">
      <c r="A1840">
        <v>1207016</v>
      </c>
      <c r="B1840" t="s">
        <v>3328</v>
      </c>
      <c r="C1840" t="s">
        <v>176</v>
      </c>
      <c r="D1840" t="s">
        <v>11</v>
      </c>
      <c r="E1840" s="1">
        <v>44692</v>
      </c>
      <c r="F1840" t="s">
        <v>3329</v>
      </c>
      <c r="G1840" s="1">
        <v>44700</v>
      </c>
      <c r="H1840" s="1">
        <v>44741</v>
      </c>
      <c r="I1840" t="s">
        <v>28</v>
      </c>
      <c r="J1840" s="1" t="b">
        <f t="shared" si="196"/>
        <v>1</v>
      </c>
      <c r="K1840" s="1" t="b">
        <f t="shared" si="197"/>
        <v>0</v>
      </c>
      <c r="L1840" s="1" t="b">
        <f t="shared" si="198"/>
        <v>0</v>
      </c>
      <c r="M1840" s="1" t="b">
        <f t="shared" si="199"/>
        <v>0</v>
      </c>
      <c r="N1840" s="1" t="b">
        <f t="shared" si="200"/>
        <v>0</v>
      </c>
      <c r="O1840" s="1" t="b">
        <f t="shared" si="201"/>
        <v>0</v>
      </c>
      <c r="P1840" s="1" t="b">
        <f t="shared" si="202"/>
        <v>1</v>
      </c>
    </row>
    <row r="1841" spans="1:16" x14ac:dyDescent="0.2">
      <c r="A1841">
        <v>3927545</v>
      </c>
      <c r="B1841" t="s">
        <v>3330</v>
      </c>
      <c r="C1841" t="s">
        <v>71</v>
      </c>
      <c r="D1841" t="s">
        <v>81</v>
      </c>
      <c r="E1841" s="1">
        <v>44750</v>
      </c>
      <c r="F1841" t="s">
        <v>3331</v>
      </c>
      <c r="G1841" s="1">
        <v>44772</v>
      </c>
      <c r="I1841" t="s">
        <v>13</v>
      </c>
      <c r="J1841" s="1" t="b">
        <f t="shared" si="196"/>
        <v>0</v>
      </c>
      <c r="K1841" s="1" t="b">
        <f t="shared" si="197"/>
        <v>1</v>
      </c>
      <c r="L1841" s="1" t="b">
        <f t="shared" si="198"/>
        <v>0</v>
      </c>
      <c r="M1841" s="1" t="b">
        <f t="shared" si="199"/>
        <v>0</v>
      </c>
      <c r="N1841" s="1" t="b">
        <f t="shared" si="200"/>
        <v>0</v>
      </c>
      <c r="O1841" s="1" t="b">
        <f t="shared" si="201"/>
        <v>0</v>
      </c>
      <c r="P1841" s="1" t="b">
        <f t="shared" si="202"/>
        <v>0</v>
      </c>
    </row>
    <row r="1842" spans="1:16" x14ac:dyDescent="0.2">
      <c r="A1842">
        <v>9501337</v>
      </c>
      <c r="B1842" t="s">
        <v>3332</v>
      </c>
      <c r="C1842" t="s">
        <v>90</v>
      </c>
      <c r="D1842" t="s">
        <v>77</v>
      </c>
      <c r="E1842" s="1">
        <v>44795</v>
      </c>
      <c r="F1842" t="s">
        <v>2954</v>
      </c>
      <c r="G1842" s="1">
        <v>44797</v>
      </c>
      <c r="I1842" t="s">
        <v>25</v>
      </c>
      <c r="J1842" s="1" t="b">
        <f t="shared" si="196"/>
        <v>0</v>
      </c>
      <c r="K1842" s="1" t="b">
        <f t="shared" si="197"/>
        <v>0</v>
      </c>
      <c r="L1842" s="1" t="b">
        <f t="shared" si="198"/>
        <v>1</v>
      </c>
      <c r="M1842" s="1" t="b">
        <f t="shared" si="199"/>
        <v>0</v>
      </c>
      <c r="N1842" s="1" t="b">
        <f t="shared" si="200"/>
        <v>0</v>
      </c>
      <c r="O1842" s="1" t="b">
        <f t="shared" si="201"/>
        <v>0</v>
      </c>
      <c r="P1842" s="1" t="b">
        <f t="shared" si="202"/>
        <v>0</v>
      </c>
    </row>
    <row r="1843" spans="1:16" x14ac:dyDescent="0.2">
      <c r="A1843">
        <v>9501337</v>
      </c>
      <c r="B1843" t="s">
        <v>3333</v>
      </c>
      <c r="C1843" t="s">
        <v>90</v>
      </c>
      <c r="D1843" t="s">
        <v>77</v>
      </c>
      <c r="E1843" s="1">
        <v>44923</v>
      </c>
      <c r="F1843" t="s">
        <v>3334</v>
      </c>
      <c r="G1843" s="1">
        <v>44941</v>
      </c>
      <c r="H1843" s="1">
        <v>44987</v>
      </c>
      <c r="I1843" t="s">
        <v>28</v>
      </c>
      <c r="J1843" s="1" t="b">
        <f t="shared" si="196"/>
        <v>1</v>
      </c>
      <c r="K1843" s="1" t="b">
        <f t="shared" si="197"/>
        <v>0</v>
      </c>
      <c r="L1843" s="1" t="b">
        <f t="shared" si="198"/>
        <v>0</v>
      </c>
      <c r="M1843" s="1" t="b">
        <f t="shared" si="199"/>
        <v>0</v>
      </c>
      <c r="N1843" s="1" t="b">
        <f t="shared" si="200"/>
        <v>0</v>
      </c>
      <c r="O1843" s="1" t="b">
        <f t="shared" si="201"/>
        <v>0</v>
      </c>
      <c r="P1843" s="1" t="b">
        <f t="shared" si="202"/>
        <v>1</v>
      </c>
    </row>
    <row r="1844" spans="1:16" x14ac:dyDescent="0.2">
      <c r="A1844">
        <v>9501337</v>
      </c>
      <c r="B1844" t="s">
        <v>3335</v>
      </c>
      <c r="C1844" t="s">
        <v>90</v>
      </c>
      <c r="D1844" t="s">
        <v>77</v>
      </c>
      <c r="E1844" s="1">
        <v>44673</v>
      </c>
      <c r="F1844" t="s">
        <v>3336</v>
      </c>
      <c r="G1844" s="1">
        <v>44676</v>
      </c>
      <c r="I1844" t="s">
        <v>13</v>
      </c>
      <c r="J1844" s="1" t="b">
        <f t="shared" si="196"/>
        <v>0</v>
      </c>
      <c r="K1844" s="1" t="b">
        <f t="shared" si="197"/>
        <v>1</v>
      </c>
      <c r="L1844" s="1" t="b">
        <f t="shared" si="198"/>
        <v>0</v>
      </c>
      <c r="M1844" s="1" t="b">
        <f t="shared" si="199"/>
        <v>0</v>
      </c>
      <c r="N1844" s="1" t="b">
        <f t="shared" si="200"/>
        <v>0</v>
      </c>
      <c r="O1844" s="1" t="b">
        <f t="shared" si="201"/>
        <v>0</v>
      </c>
      <c r="P1844" s="1" t="b">
        <f t="shared" si="202"/>
        <v>0</v>
      </c>
    </row>
    <row r="1845" spans="1:16" x14ac:dyDescent="0.2">
      <c r="A1845">
        <v>9501337</v>
      </c>
      <c r="B1845" t="s">
        <v>3337</v>
      </c>
      <c r="C1845" t="s">
        <v>90</v>
      </c>
      <c r="D1845" t="s">
        <v>77</v>
      </c>
      <c r="E1845" s="1">
        <v>44804</v>
      </c>
      <c r="F1845" t="s">
        <v>3338</v>
      </c>
      <c r="G1845" s="1">
        <v>44811</v>
      </c>
      <c r="H1845" s="1">
        <v>44832</v>
      </c>
      <c r="I1845" t="s">
        <v>16</v>
      </c>
      <c r="J1845" s="1" t="b">
        <f t="shared" si="196"/>
        <v>1</v>
      </c>
      <c r="K1845" s="1" t="b">
        <f t="shared" si="197"/>
        <v>0</v>
      </c>
      <c r="L1845" s="1" t="b">
        <f t="shared" si="198"/>
        <v>0</v>
      </c>
      <c r="M1845" s="1" t="b">
        <f t="shared" si="199"/>
        <v>0</v>
      </c>
      <c r="N1845" s="1" t="b">
        <f t="shared" si="200"/>
        <v>1</v>
      </c>
      <c r="O1845" s="1" t="b">
        <f t="shared" si="201"/>
        <v>0</v>
      </c>
      <c r="P1845" s="1" t="b">
        <f t="shared" si="202"/>
        <v>0</v>
      </c>
    </row>
    <row r="1846" spans="1:16" x14ac:dyDescent="0.2">
      <c r="A1846">
        <v>9501337</v>
      </c>
      <c r="B1846" t="s">
        <v>3339</v>
      </c>
      <c r="C1846" t="s">
        <v>90</v>
      </c>
      <c r="D1846" t="s">
        <v>77</v>
      </c>
      <c r="E1846" s="1">
        <v>44998</v>
      </c>
      <c r="F1846" t="s">
        <v>3340</v>
      </c>
      <c r="G1846" s="1">
        <v>45027</v>
      </c>
      <c r="H1846" s="1">
        <v>45046</v>
      </c>
      <c r="J1846" s="1" t="b">
        <f t="shared" si="196"/>
        <v>1</v>
      </c>
      <c r="K1846" s="1" t="b">
        <f t="shared" si="197"/>
        <v>0</v>
      </c>
      <c r="L1846" s="1" t="b">
        <f t="shared" si="198"/>
        <v>0</v>
      </c>
      <c r="M1846" s="1" t="b">
        <f t="shared" si="199"/>
        <v>0</v>
      </c>
      <c r="N1846" s="1" t="b">
        <f t="shared" si="200"/>
        <v>0</v>
      </c>
      <c r="O1846" s="1" t="b">
        <f t="shared" si="201"/>
        <v>0</v>
      </c>
      <c r="P1846" s="1" t="b">
        <f t="shared" si="202"/>
        <v>0</v>
      </c>
    </row>
    <row r="1847" spans="1:16" x14ac:dyDescent="0.2">
      <c r="A1847">
        <v>3400475</v>
      </c>
      <c r="B1847" t="s">
        <v>3341</v>
      </c>
      <c r="C1847" t="s">
        <v>10</v>
      </c>
      <c r="D1847" t="s">
        <v>39</v>
      </c>
      <c r="E1847" s="1">
        <v>44945</v>
      </c>
      <c r="F1847" t="s">
        <v>2431</v>
      </c>
      <c r="G1847" s="1">
        <v>44961</v>
      </c>
      <c r="H1847" s="1">
        <v>44980</v>
      </c>
      <c r="I1847" t="s">
        <v>28</v>
      </c>
      <c r="J1847" s="1" t="b">
        <f t="shared" si="196"/>
        <v>1</v>
      </c>
      <c r="K1847" s="1" t="b">
        <f t="shared" si="197"/>
        <v>0</v>
      </c>
      <c r="L1847" s="1" t="b">
        <f t="shared" si="198"/>
        <v>0</v>
      </c>
      <c r="M1847" s="1" t="b">
        <f t="shared" si="199"/>
        <v>0</v>
      </c>
      <c r="N1847" s="1" t="b">
        <f t="shared" si="200"/>
        <v>0</v>
      </c>
      <c r="O1847" s="1" t="b">
        <f t="shared" si="201"/>
        <v>0</v>
      </c>
      <c r="P1847" s="1" t="b">
        <f t="shared" si="202"/>
        <v>1</v>
      </c>
    </row>
    <row r="1848" spans="1:16" x14ac:dyDescent="0.2">
      <c r="A1848">
        <v>3400475</v>
      </c>
      <c r="B1848" t="s">
        <v>3342</v>
      </c>
      <c r="C1848" t="s">
        <v>10</v>
      </c>
      <c r="D1848" t="s">
        <v>39</v>
      </c>
      <c r="E1848" s="1">
        <v>44859</v>
      </c>
      <c r="F1848" t="s">
        <v>3343</v>
      </c>
      <c r="G1848" s="1">
        <v>44889</v>
      </c>
      <c r="H1848" s="1">
        <v>44899</v>
      </c>
      <c r="I1848" t="s">
        <v>43</v>
      </c>
      <c r="J1848" s="1" t="b">
        <f t="shared" si="196"/>
        <v>1</v>
      </c>
      <c r="K1848" s="1" t="b">
        <f t="shared" si="197"/>
        <v>0</v>
      </c>
      <c r="L1848" s="1" t="b">
        <f t="shared" si="198"/>
        <v>0</v>
      </c>
      <c r="M1848" s="1" t="b">
        <f t="shared" si="199"/>
        <v>0</v>
      </c>
      <c r="N1848" s="1" t="b">
        <f t="shared" si="200"/>
        <v>0</v>
      </c>
      <c r="O1848" s="1" t="b">
        <f t="shared" si="201"/>
        <v>1</v>
      </c>
      <c r="P1848" s="1" t="b">
        <f t="shared" si="202"/>
        <v>0</v>
      </c>
    </row>
    <row r="1849" spans="1:16" x14ac:dyDescent="0.2">
      <c r="A1849">
        <v>3400475</v>
      </c>
      <c r="B1849" t="s">
        <v>3344</v>
      </c>
      <c r="C1849" t="s">
        <v>10</v>
      </c>
      <c r="D1849" t="s">
        <v>39</v>
      </c>
      <c r="E1849" s="1">
        <v>44778</v>
      </c>
      <c r="F1849" t="s">
        <v>2636</v>
      </c>
      <c r="G1849" s="1">
        <v>44804</v>
      </c>
      <c r="H1849" s="1">
        <v>44825</v>
      </c>
      <c r="I1849" t="s">
        <v>16</v>
      </c>
      <c r="J1849" s="1" t="b">
        <f t="shared" si="196"/>
        <v>1</v>
      </c>
      <c r="K1849" s="1" t="b">
        <f t="shared" si="197"/>
        <v>0</v>
      </c>
      <c r="L1849" s="1" t="b">
        <f t="shared" si="198"/>
        <v>0</v>
      </c>
      <c r="M1849" s="1" t="b">
        <f t="shared" si="199"/>
        <v>0</v>
      </c>
      <c r="N1849" s="1" t="b">
        <f t="shared" si="200"/>
        <v>1</v>
      </c>
      <c r="O1849" s="1" t="b">
        <f t="shared" si="201"/>
        <v>0</v>
      </c>
      <c r="P1849" s="1" t="b">
        <f t="shared" si="202"/>
        <v>0</v>
      </c>
    </row>
    <row r="1850" spans="1:16" x14ac:dyDescent="0.2">
      <c r="A1850">
        <v>3400475</v>
      </c>
      <c r="B1850" t="s">
        <v>3345</v>
      </c>
      <c r="C1850" t="s">
        <v>10</v>
      </c>
      <c r="D1850" t="s">
        <v>39</v>
      </c>
      <c r="E1850" s="1">
        <v>44949</v>
      </c>
      <c r="F1850" t="s">
        <v>2657</v>
      </c>
      <c r="G1850" s="1">
        <v>44976</v>
      </c>
      <c r="H1850" s="1">
        <v>45014</v>
      </c>
      <c r="I1850" t="s">
        <v>28</v>
      </c>
      <c r="J1850" s="1" t="b">
        <f t="shared" si="196"/>
        <v>1</v>
      </c>
      <c r="K1850" s="1" t="b">
        <f t="shared" si="197"/>
        <v>0</v>
      </c>
      <c r="L1850" s="1" t="b">
        <f t="shared" si="198"/>
        <v>0</v>
      </c>
      <c r="M1850" s="1" t="b">
        <f t="shared" si="199"/>
        <v>0</v>
      </c>
      <c r="N1850" s="1" t="b">
        <f t="shared" si="200"/>
        <v>0</v>
      </c>
      <c r="O1850" s="1" t="b">
        <f t="shared" si="201"/>
        <v>0</v>
      </c>
      <c r="P1850" s="1" t="b">
        <f t="shared" si="202"/>
        <v>1</v>
      </c>
    </row>
    <row r="1851" spans="1:16" x14ac:dyDescent="0.2">
      <c r="A1851">
        <v>3400475</v>
      </c>
      <c r="B1851" t="s">
        <v>3346</v>
      </c>
      <c r="C1851" t="s">
        <v>10</v>
      </c>
      <c r="D1851" t="s">
        <v>39</v>
      </c>
      <c r="E1851" s="1">
        <v>44952</v>
      </c>
      <c r="F1851" t="s">
        <v>3347</v>
      </c>
      <c r="G1851" s="1">
        <v>44977</v>
      </c>
      <c r="I1851" t="s">
        <v>13</v>
      </c>
      <c r="J1851" s="1" t="b">
        <f t="shared" si="196"/>
        <v>0</v>
      </c>
      <c r="K1851" s="1" t="b">
        <f t="shared" si="197"/>
        <v>1</v>
      </c>
      <c r="L1851" s="1" t="b">
        <f t="shared" si="198"/>
        <v>0</v>
      </c>
      <c r="M1851" s="1" t="b">
        <f t="shared" si="199"/>
        <v>0</v>
      </c>
      <c r="N1851" s="1" t="b">
        <f t="shared" si="200"/>
        <v>0</v>
      </c>
      <c r="O1851" s="1" t="b">
        <f t="shared" si="201"/>
        <v>0</v>
      </c>
      <c r="P1851" s="1" t="b">
        <f t="shared" si="202"/>
        <v>0</v>
      </c>
    </row>
    <row r="1852" spans="1:16" x14ac:dyDescent="0.2">
      <c r="A1852">
        <v>2316088</v>
      </c>
      <c r="B1852" t="s">
        <v>3348</v>
      </c>
      <c r="C1852" t="s">
        <v>76</v>
      </c>
      <c r="D1852" t="s">
        <v>19</v>
      </c>
      <c r="E1852" s="1">
        <v>44686</v>
      </c>
      <c r="F1852" t="s">
        <v>3349</v>
      </c>
      <c r="G1852" s="1">
        <v>44714</v>
      </c>
      <c r="H1852" s="1">
        <v>44771</v>
      </c>
      <c r="J1852" s="1" t="b">
        <f t="shared" si="196"/>
        <v>1</v>
      </c>
      <c r="K1852" s="1" t="b">
        <f t="shared" si="197"/>
        <v>0</v>
      </c>
      <c r="L1852" s="1" t="b">
        <f t="shared" si="198"/>
        <v>0</v>
      </c>
      <c r="M1852" s="1" t="b">
        <f t="shared" si="199"/>
        <v>0</v>
      </c>
      <c r="N1852" s="1" t="b">
        <f t="shared" si="200"/>
        <v>0</v>
      </c>
      <c r="O1852" s="1" t="b">
        <f t="shared" si="201"/>
        <v>0</v>
      </c>
      <c r="P1852" s="1" t="b">
        <f t="shared" si="202"/>
        <v>0</v>
      </c>
    </row>
    <row r="1853" spans="1:16" x14ac:dyDescent="0.2">
      <c r="A1853">
        <v>2316088</v>
      </c>
      <c r="B1853" t="s">
        <v>3350</v>
      </c>
      <c r="C1853" t="s">
        <v>76</v>
      </c>
      <c r="D1853" t="s">
        <v>19</v>
      </c>
      <c r="E1853" s="1">
        <v>45099</v>
      </c>
      <c r="F1853" t="s">
        <v>1423</v>
      </c>
      <c r="G1853" s="1">
        <v>45116</v>
      </c>
      <c r="H1853" s="1">
        <v>45145</v>
      </c>
      <c r="I1853" t="s">
        <v>16</v>
      </c>
      <c r="J1853" s="1" t="b">
        <f t="shared" si="196"/>
        <v>1</v>
      </c>
      <c r="K1853" s="1" t="b">
        <f t="shared" si="197"/>
        <v>0</v>
      </c>
      <c r="L1853" s="1" t="b">
        <f t="shared" si="198"/>
        <v>0</v>
      </c>
      <c r="M1853" s="1" t="b">
        <f t="shared" si="199"/>
        <v>0</v>
      </c>
      <c r="N1853" s="1" t="b">
        <f t="shared" si="200"/>
        <v>1</v>
      </c>
      <c r="O1853" s="1" t="b">
        <f t="shared" si="201"/>
        <v>0</v>
      </c>
      <c r="P1853" s="1" t="b">
        <f t="shared" si="202"/>
        <v>0</v>
      </c>
    </row>
    <row r="1854" spans="1:16" x14ac:dyDescent="0.2">
      <c r="A1854">
        <v>2316088</v>
      </c>
      <c r="B1854" t="s">
        <v>3351</v>
      </c>
      <c r="C1854" t="s">
        <v>76</v>
      </c>
      <c r="D1854" t="s">
        <v>19</v>
      </c>
      <c r="E1854" s="1">
        <v>44862</v>
      </c>
      <c r="F1854" t="s">
        <v>3352</v>
      </c>
      <c r="G1854" s="1">
        <v>44892</v>
      </c>
      <c r="H1854" s="1">
        <v>44908</v>
      </c>
      <c r="I1854" t="s">
        <v>43</v>
      </c>
      <c r="J1854" s="1" t="b">
        <f t="shared" si="196"/>
        <v>1</v>
      </c>
      <c r="K1854" s="1" t="b">
        <f t="shared" si="197"/>
        <v>0</v>
      </c>
      <c r="L1854" s="1" t="b">
        <f t="shared" si="198"/>
        <v>0</v>
      </c>
      <c r="M1854" s="1" t="b">
        <f t="shared" si="199"/>
        <v>0</v>
      </c>
      <c r="N1854" s="1" t="b">
        <f t="shared" si="200"/>
        <v>0</v>
      </c>
      <c r="O1854" s="1" t="b">
        <f t="shared" si="201"/>
        <v>1</v>
      </c>
      <c r="P1854" s="1" t="b">
        <f t="shared" si="202"/>
        <v>0</v>
      </c>
    </row>
    <row r="1855" spans="1:16" x14ac:dyDescent="0.2">
      <c r="A1855">
        <v>2316088</v>
      </c>
      <c r="B1855" t="s">
        <v>3353</v>
      </c>
      <c r="C1855" t="s">
        <v>76</v>
      </c>
      <c r="D1855" t="s">
        <v>19</v>
      </c>
      <c r="E1855" s="1">
        <v>44884</v>
      </c>
      <c r="F1855" t="s">
        <v>3354</v>
      </c>
      <c r="G1855" s="1">
        <v>44908</v>
      </c>
      <c r="H1855" s="1">
        <v>44916</v>
      </c>
      <c r="I1855" t="s">
        <v>28</v>
      </c>
      <c r="J1855" s="1" t="b">
        <f t="shared" si="196"/>
        <v>1</v>
      </c>
      <c r="K1855" s="1" t="b">
        <f t="shared" si="197"/>
        <v>0</v>
      </c>
      <c r="L1855" s="1" t="b">
        <f t="shared" si="198"/>
        <v>0</v>
      </c>
      <c r="M1855" s="1" t="b">
        <f t="shared" si="199"/>
        <v>0</v>
      </c>
      <c r="N1855" s="1" t="b">
        <f t="shared" si="200"/>
        <v>0</v>
      </c>
      <c r="O1855" s="1" t="b">
        <f t="shared" si="201"/>
        <v>0</v>
      </c>
      <c r="P1855" s="1" t="b">
        <f t="shared" si="202"/>
        <v>1</v>
      </c>
    </row>
    <row r="1856" spans="1:16" x14ac:dyDescent="0.2">
      <c r="A1856">
        <v>2316088</v>
      </c>
      <c r="B1856" t="s">
        <v>3355</v>
      </c>
      <c r="C1856" t="s">
        <v>76</v>
      </c>
      <c r="D1856" t="s">
        <v>19</v>
      </c>
      <c r="E1856" s="1">
        <v>44981</v>
      </c>
      <c r="F1856" t="s">
        <v>989</v>
      </c>
      <c r="G1856" s="1">
        <v>44993</v>
      </c>
      <c r="H1856" s="1">
        <v>44999</v>
      </c>
      <c r="J1856" s="1" t="b">
        <f t="shared" si="196"/>
        <v>1</v>
      </c>
      <c r="K1856" s="1" t="b">
        <f t="shared" si="197"/>
        <v>0</v>
      </c>
      <c r="L1856" s="1" t="b">
        <f t="shared" si="198"/>
        <v>0</v>
      </c>
      <c r="M1856" s="1" t="b">
        <f t="shared" si="199"/>
        <v>0</v>
      </c>
      <c r="N1856" s="1" t="b">
        <f t="shared" si="200"/>
        <v>0</v>
      </c>
      <c r="O1856" s="1" t="b">
        <f t="shared" si="201"/>
        <v>0</v>
      </c>
      <c r="P1856" s="1" t="b">
        <f t="shared" si="202"/>
        <v>0</v>
      </c>
    </row>
    <row r="1857" spans="1:16" x14ac:dyDescent="0.2">
      <c r="A1857">
        <v>6905321</v>
      </c>
      <c r="B1857" t="s">
        <v>3356</v>
      </c>
      <c r="C1857" t="s">
        <v>18</v>
      </c>
      <c r="D1857" t="s">
        <v>139</v>
      </c>
      <c r="E1857" s="1">
        <v>45021</v>
      </c>
      <c r="F1857" t="s">
        <v>1550</v>
      </c>
      <c r="G1857" s="1">
        <v>45047</v>
      </c>
      <c r="H1857" s="1">
        <v>45074</v>
      </c>
      <c r="J1857" s="1" t="b">
        <f t="shared" si="196"/>
        <v>1</v>
      </c>
      <c r="K1857" s="1" t="b">
        <f t="shared" si="197"/>
        <v>0</v>
      </c>
      <c r="L1857" s="1" t="b">
        <f t="shared" si="198"/>
        <v>0</v>
      </c>
      <c r="M1857" s="1" t="b">
        <f t="shared" si="199"/>
        <v>0</v>
      </c>
      <c r="N1857" s="1" t="b">
        <f t="shared" si="200"/>
        <v>0</v>
      </c>
      <c r="O1857" s="1" t="b">
        <f t="shared" si="201"/>
        <v>0</v>
      </c>
      <c r="P1857" s="1" t="b">
        <f t="shared" si="202"/>
        <v>0</v>
      </c>
    </row>
    <row r="1858" spans="1:16" x14ac:dyDescent="0.2">
      <c r="A1858">
        <v>4854788</v>
      </c>
      <c r="B1858" t="s">
        <v>3357</v>
      </c>
      <c r="C1858" t="s">
        <v>32</v>
      </c>
      <c r="D1858" t="s">
        <v>187</v>
      </c>
      <c r="E1858" s="1">
        <v>44703</v>
      </c>
      <c r="F1858" t="s">
        <v>959</v>
      </c>
      <c r="G1858" s="1">
        <v>44723</v>
      </c>
      <c r="I1858" t="s">
        <v>13</v>
      </c>
      <c r="J1858" s="1" t="b">
        <f t="shared" si="196"/>
        <v>0</v>
      </c>
      <c r="K1858" s="1" t="b">
        <f t="shared" si="197"/>
        <v>1</v>
      </c>
      <c r="L1858" s="1" t="b">
        <f t="shared" si="198"/>
        <v>0</v>
      </c>
      <c r="M1858" s="1" t="b">
        <f t="shared" si="199"/>
        <v>0</v>
      </c>
      <c r="N1858" s="1" t="b">
        <f t="shared" si="200"/>
        <v>0</v>
      </c>
      <c r="O1858" s="1" t="b">
        <f t="shared" si="201"/>
        <v>0</v>
      </c>
      <c r="P1858" s="1" t="b">
        <f t="shared" si="202"/>
        <v>0</v>
      </c>
    </row>
    <row r="1859" spans="1:16" x14ac:dyDescent="0.2">
      <c r="A1859">
        <v>4854788</v>
      </c>
      <c r="B1859" t="s">
        <v>3358</v>
      </c>
      <c r="C1859" t="s">
        <v>32</v>
      </c>
      <c r="D1859" t="s">
        <v>187</v>
      </c>
      <c r="E1859" s="1">
        <v>44883</v>
      </c>
      <c r="F1859" t="s">
        <v>3359</v>
      </c>
      <c r="G1859" s="1">
        <v>44887</v>
      </c>
      <c r="I1859" t="s">
        <v>13</v>
      </c>
      <c r="J1859" s="1" t="b">
        <f t="shared" ref="J1859:J1922" si="203">AND(NOT(ISBLANK(H1859)), NOT(OR(ISNUMBER(SEARCH("decline", I1859)), ISNUMBER(SEARCH("rescind", I1859)), ISNUMBER(SEARCH("cancel", I1859)))))</f>
        <v>0</v>
      </c>
      <c r="K1859" s="1" t="b">
        <f t="shared" ref="K1859:K1922" si="204">ISNUMBER(SEARCH("decline", I1859))</f>
        <v>1</v>
      </c>
      <c r="L1859" s="1" t="b">
        <f t="shared" ref="L1859:L1922" si="205">ISNUMBER(SEARCH("rescind", I1859))</f>
        <v>0</v>
      </c>
      <c r="M1859" s="1" t="b">
        <f t="shared" ref="M1859:M1922" si="206">ISNUMBER(SEARCH("cancel", I1859))</f>
        <v>0</v>
      </c>
      <c r="N1859" s="1" t="b">
        <f t="shared" ref="N1859:N1922" si="207">ISNUMBER(SEARCH("transfer", I1859))</f>
        <v>0</v>
      </c>
      <c r="O1859" s="1" t="b">
        <f t="shared" ref="O1859:O1922" si="208">ISNUMBER(SEARCH("promo", I1859))</f>
        <v>0</v>
      </c>
      <c r="P1859" s="1" t="b">
        <f t="shared" ref="P1859:P1922" si="209">ISNUMBER(SEARCH("new", I1859))</f>
        <v>0</v>
      </c>
    </row>
    <row r="1860" spans="1:16" x14ac:dyDescent="0.2">
      <c r="A1860">
        <v>4854788</v>
      </c>
      <c r="B1860" t="s">
        <v>3360</v>
      </c>
      <c r="C1860" t="s">
        <v>32</v>
      </c>
      <c r="D1860" t="s">
        <v>187</v>
      </c>
      <c r="E1860" s="1">
        <v>45043</v>
      </c>
      <c r="F1860" t="s">
        <v>2954</v>
      </c>
      <c r="G1860" s="1">
        <v>45067</v>
      </c>
      <c r="I1860" t="s">
        <v>13</v>
      </c>
      <c r="J1860" s="1" t="b">
        <f t="shared" si="203"/>
        <v>0</v>
      </c>
      <c r="K1860" s="1" t="b">
        <f t="shared" si="204"/>
        <v>1</v>
      </c>
      <c r="L1860" s="1" t="b">
        <f t="shared" si="205"/>
        <v>0</v>
      </c>
      <c r="M1860" s="1" t="b">
        <f t="shared" si="206"/>
        <v>0</v>
      </c>
      <c r="N1860" s="1" t="b">
        <f t="shared" si="207"/>
        <v>0</v>
      </c>
      <c r="O1860" s="1" t="b">
        <f t="shared" si="208"/>
        <v>0</v>
      </c>
      <c r="P1860" s="1" t="b">
        <f t="shared" si="209"/>
        <v>0</v>
      </c>
    </row>
    <row r="1861" spans="1:16" x14ac:dyDescent="0.2">
      <c r="A1861">
        <v>4854788</v>
      </c>
      <c r="B1861" t="s">
        <v>3361</v>
      </c>
      <c r="C1861" t="s">
        <v>32</v>
      </c>
      <c r="D1861" t="s">
        <v>187</v>
      </c>
      <c r="E1861" s="1">
        <v>44764</v>
      </c>
      <c r="F1861" t="s">
        <v>2772</v>
      </c>
      <c r="G1861" s="1">
        <v>44793</v>
      </c>
      <c r="H1861" s="1">
        <v>44805</v>
      </c>
      <c r="I1861" t="s">
        <v>43</v>
      </c>
      <c r="J1861" s="1" t="b">
        <f t="shared" si="203"/>
        <v>1</v>
      </c>
      <c r="K1861" s="1" t="b">
        <f t="shared" si="204"/>
        <v>0</v>
      </c>
      <c r="L1861" s="1" t="b">
        <f t="shared" si="205"/>
        <v>0</v>
      </c>
      <c r="M1861" s="1" t="b">
        <f t="shared" si="206"/>
        <v>0</v>
      </c>
      <c r="N1861" s="1" t="b">
        <f t="shared" si="207"/>
        <v>0</v>
      </c>
      <c r="O1861" s="1" t="b">
        <f t="shared" si="208"/>
        <v>1</v>
      </c>
      <c r="P1861" s="1" t="b">
        <f t="shared" si="209"/>
        <v>0</v>
      </c>
    </row>
    <row r="1862" spans="1:16" x14ac:dyDescent="0.2">
      <c r="A1862">
        <v>4854788</v>
      </c>
      <c r="B1862" t="s">
        <v>3362</v>
      </c>
      <c r="C1862" t="s">
        <v>32</v>
      </c>
      <c r="D1862" t="s">
        <v>187</v>
      </c>
      <c r="E1862" s="1">
        <v>44990</v>
      </c>
      <c r="F1862" t="s">
        <v>3363</v>
      </c>
      <c r="G1862" s="1">
        <v>44999</v>
      </c>
      <c r="H1862" s="1">
        <v>45048</v>
      </c>
      <c r="I1862" t="s">
        <v>16</v>
      </c>
      <c r="J1862" s="1" t="b">
        <f t="shared" si="203"/>
        <v>1</v>
      </c>
      <c r="K1862" s="1" t="b">
        <f t="shared" si="204"/>
        <v>0</v>
      </c>
      <c r="L1862" s="1" t="b">
        <f t="shared" si="205"/>
        <v>0</v>
      </c>
      <c r="M1862" s="1" t="b">
        <f t="shared" si="206"/>
        <v>0</v>
      </c>
      <c r="N1862" s="1" t="b">
        <f t="shared" si="207"/>
        <v>1</v>
      </c>
      <c r="O1862" s="1" t="b">
        <f t="shared" si="208"/>
        <v>0</v>
      </c>
      <c r="P1862" s="1" t="b">
        <f t="shared" si="209"/>
        <v>0</v>
      </c>
    </row>
    <row r="1863" spans="1:16" x14ac:dyDescent="0.2">
      <c r="A1863">
        <v>2694421</v>
      </c>
      <c r="B1863" t="s">
        <v>3364</v>
      </c>
      <c r="C1863" t="s">
        <v>71</v>
      </c>
      <c r="D1863" t="s">
        <v>56</v>
      </c>
      <c r="E1863" s="1">
        <v>44906</v>
      </c>
      <c r="F1863" t="s">
        <v>3365</v>
      </c>
      <c r="G1863" s="1">
        <v>44925</v>
      </c>
      <c r="I1863" t="s">
        <v>13</v>
      </c>
      <c r="J1863" s="1" t="b">
        <f t="shared" si="203"/>
        <v>0</v>
      </c>
      <c r="K1863" s="1" t="b">
        <f t="shared" si="204"/>
        <v>1</v>
      </c>
      <c r="L1863" s="1" t="b">
        <f t="shared" si="205"/>
        <v>0</v>
      </c>
      <c r="M1863" s="1" t="b">
        <f t="shared" si="206"/>
        <v>0</v>
      </c>
      <c r="N1863" s="1" t="b">
        <f t="shared" si="207"/>
        <v>0</v>
      </c>
      <c r="O1863" s="1" t="b">
        <f t="shared" si="208"/>
        <v>0</v>
      </c>
      <c r="P1863" s="1" t="b">
        <f t="shared" si="209"/>
        <v>0</v>
      </c>
    </row>
    <row r="1864" spans="1:16" x14ac:dyDescent="0.2">
      <c r="A1864">
        <v>2694421</v>
      </c>
      <c r="B1864" t="s">
        <v>3366</v>
      </c>
      <c r="C1864" t="s">
        <v>71</v>
      </c>
      <c r="D1864" t="s">
        <v>56</v>
      </c>
      <c r="E1864" s="1">
        <v>45089</v>
      </c>
      <c r="F1864" t="s">
        <v>3367</v>
      </c>
      <c r="G1864" s="1">
        <v>45117</v>
      </c>
      <c r="I1864" t="s">
        <v>13</v>
      </c>
      <c r="J1864" s="1" t="b">
        <f t="shared" si="203"/>
        <v>0</v>
      </c>
      <c r="K1864" s="1" t="b">
        <f t="shared" si="204"/>
        <v>1</v>
      </c>
      <c r="L1864" s="1" t="b">
        <f t="shared" si="205"/>
        <v>0</v>
      </c>
      <c r="M1864" s="1" t="b">
        <f t="shared" si="206"/>
        <v>0</v>
      </c>
      <c r="N1864" s="1" t="b">
        <f t="shared" si="207"/>
        <v>0</v>
      </c>
      <c r="O1864" s="1" t="b">
        <f t="shared" si="208"/>
        <v>0</v>
      </c>
      <c r="P1864" s="1" t="b">
        <f t="shared" si="209"/>
        <v>0</v>
      </c>
    </row>
    <row r="1865" spans="1:16" x14ac:dyDescent="0.2">
      <c r="A1865">
        <v>2694421</v>
      </c>
      <c r="B1865" t="s">
        <v>3368</v>
      </c>
      <c r="C1865" t="s">
        <v>71</v>
      </c>
      <c r="D1865" t="s">
        <v>56</v>
      </c>
      <c r="E1865" s="1">
        <v>44924</v>
      </c>
      <c r="F1865" t="s">
        <v>3006</v>
      </c>
      <c r="G1865" s="1">
        <v>44929</v>
      </c>
      <c r="H1865" s="1">
        <v>44955</v>
      </c>
      <c r="J1865" s="1" t="b">
        <f t="shared" si="203"/>
        <v>1</v>
      </c>
      <c r="K1865" s="1" t="b">
        <f t="shared" si="204"/>
        <v>0</v>
      </c>
      <c r="L1865" s="1" t="b">
        <f t="shared" si="205"/>
        <v>0</v>
      </c>
      <c r="M1865" s="1" t="b">
        <f t="shared" si="206"/>
        <v>0</v>
      </c>
      <c r="N1865" s="1" t="b">
        <f t="shared" si="207"/>
        <v>0</v>
      </c>
      <c r="O1865" s="1" t="b">
        <f t="shared" si="208"/>
        <v>0</v>
      </c>
      <c r="P1865" s="1" t="b">
        <f t="shared" si="209"/>
        <v>0</v>
      </c>
    </row>
    <row r="1866" spans="1:16" x14ac:dyDescent="0.2">
      <c r="A1866">
        <v>2694421</v>
      </c>
      <c r="B1866" t="s">
        <v>3369</v>
      </c>
      <c r="C1866" t="s">
        <v>71</v>
      </c>
      <c r="D1866" t="s">
        <v>56</v>
      </c>
      <c r="E1866" s="1">
        <v>44683</v>
      </c>
      <c r="F1866" t="s">
        <v>3370</v>
      </c>
      <c r="G1866" s="1">
        <v>44694</v>
      </c>
      <c r="H1866" s="1">
        <v>44752</v>
      </c>
      <c r="I1866" t="s">
        <v>43</v>
      </c>
      <c r="J1866" s="1" t="b">
        <f t="shared" si="203"/>
        <v>1</v>
      </c>
      <c r="K1866" s="1" t="b">
        <f t="shared" si="204"/>
        <v>0</v>
      </c>
      <c r="L1866" s="1" t="b">
        <f t="shared" si="205"/>
        <v>0</v>
      </c>
      <c r="M1866" s="1" t="b">
        <f t="shared" si="206"/>
        <v>0</v>
      </c>
      <c r="N1866" s="1" t="b">
        <f t="shared" si="207"/>
        <v>0</v>
      </c>
      <c r="O1866" s="1" t="b">
        <f t="shared" si="208"/>
        <v>1</v>
      </c>
      <c r="P1866" s="1" t="b">
        <f t="shared" si="209"/>
        <v>0</v>
      </c>
    </row>
    <row r="1867" spans="1:16" x14ac:dyDescent="0.2">
      <c r="A1867">
        <v>2808110</v>
      </c>
      <c r="B1867" t="s">
        <v>3371</v>
      </c>
      <c r="C1867" t="s">
        <v>138</v>
      </c>
      <c r="D1867" t="s">
        <v>56</v>
      </c>
      <c r="E1867" s="1">
        <v>44980</v>
      </c>
      <c r="F1867" t="s">
        <v>3372</v>
      </c>
      <c r="G1867" s="1">
        <v>45001</v>
      </c>
      <c r="H1867" s="1">
        <v>45030</v>
      </c>
      <c r="I1867" t="s">
        <v>28</v>
      </c>
      <c r="J1867" s="1" t="b">
        <f t="shared" si="203"/>
        <v>1</v>
      </c>
      <c r="K1867" s="1" t="b">
        <f t="shared" si="204"/>
        <v>0</v>
      </c>
      <c r="L1867" s="1" t="b">
        <f t="shared" si="205"/>
        <v>0</v>
      </c>
      <c r="M1867" s="1" t="b">
        <f t="shared" si="206"/>
        <v>0</v>
      </c>
      <c r="N1867" s="1" t="b">
        <f t="shared" si="207"/>
        <v>0</v>
      </c>
      <c r="O1867" s="1" t="b">
        <f t="shared" si="208"/>
        <v>0</v>
      </c>
      <c r="P1867" s="1" t="b">
        <f t="shared" si="209"/>
        <v>1</v>
      </c>
    </row>
    <row r="1868" spans="1:16" x14ac:dyDescent="0.2">
      <c r="A1868">
        <v>8309667</v>
      </c>
      <c r="B1868" t="s">
        <v>3373</v>
      </c>
      <c r="C1868" t="s">
        <v>110</v>
      </c>
      <c r="D1868" t="s">
        <v>77</v>
      </c>
      <c r="E1868" s="1">
        <v>44569</v>
      </c>
      <c r="F1868" t="s">
        <v>3374</v>
      </c>
      <c r="G1868" s="1">
        <v>44588</v>
      </c>
      <c r="H1868" s="1">
        <v>44626</v>
      </c>
      <c r="I1868" t="s">
        <v>16</v>
      </c>
      <c r="J1868" s="1" t="b">
        <f t="shared" si="203"/>
        <v>1</v>
      </c>
      <c r="K1868" s="1" t="b">
        <f t="shared" si="204"/>
        <v>0</v>
      </c>
      <c r="L1868" s="1" t="b">
        <f t="shared" si="205"/>
        <v>0</v>
      </c>
      <c r="M1868" s="1" t="b">
        <f t="shared" si="206"/>
        <v>0</v>
      </c>
      <c r="N1868" s="1" t="b">
        <f t="shared" si="207"/>
        <v>1</v>
      </c>
      <c r="O1868" s="1" t="b">
        <f t="shared" si="208"/>
        <v>0</v>
      </c>
      <c r="P1868" s="1" t="b">
        <f t="shared" si="209"/>
        <v>0</v>
      </c>
    </row>
    <row r="1869" spans="1:16" x14ac:dyDescent="0.2">
      <c r="A1869">
        <v>8309667</v>
      </c>
      <c r="B1869" t="s">
        <v>3375</v>
      </c>
      <c r="C1869" t="s">
        <v>110</v>
      </c>
      <c r="D1869" t="s">
        <v>77</v>
      </c>
      <c r="E1869" s="1">
        <v>45011</v>
      </c>
      <c r="F1869" t="s">
        <v>3376</v>
      </c>
      <c r="G1869" s="1">
        <v>45017</v>
      </c>
      <c r="H1869" s="1">
        <v>45050</v>
      </c>
      <c r="J1869" s="1" t="b">
        <f t="shared" si="203"/>
        <v>1</v>
      </c>
      <c r="K1869" s="1" t="b">
        <f t="shared" si="204"/>
        <v>0</v>
      </c>
      <c r="L1869" s="1" t="b">
        <f t="shared" si="205"/>
        <v>0</v>
      </c>
      <c r="M1869" s="1" t="b">
        <f t="shared" si="206"/>
        <v>0</v>
      </c>
      <c r="N1869" s="1" t="b">
        <f t="shared" si="207"/>
        <v>0</v>
      </c>
      <c r="O1869" s="1" t="b">
        <f t="shared" si="208"/>
        <v>0</v>
      </c>
      <c r="P1869" s="1" t="b">
        <f t="shared" si="209"/>
        <v>0</v>
      </c>
    </row>
    <row r="1870" spans="1:16" x14ac:dyDescent="0.2">
      <c r="A1870">
        <v>5685869</v>
      </c>
      <c r="B1870" t="s">
        <v>3377</v>
      </c>
      <c r="C1870" t="s">
        <v>35</v>
      </c>
      <c r="D1870" t="s">
        <v>122</v>
      </c>
      <c r="E1870" s="1">
        <v>45092</v>
      </c>
      <c r="F1870" t="s">
        <v>3378</v>
      </c>
      <c r="G1870" s="1">
        <v>45121</v>
      </c>
      <c r="I1870" t="s">
        <v>13</v>
      </c>
      <c r="J1870" s="1" t="b">
        <f t="shared" si="203"/>
        <v>0</v>
      </c>
      <c r="K1870" s="1" t="b">
        <f t="shared" si="204"/>
        <v>1</v>
      </c>
      <c r="L1870" s="1" t="b">
        <f t="shared" si="205"/>
        <v>0</v>
      </c>
      <c r="M1870" s="1" t="b">
        <f t="shared" si="206"/>
        <v>0</v>
      </c>
      <c r="N1870" s="1" t="b">
        <f t="shared" si="207"/>
        <v>0</v>
      </c>
      <c r="O1870" s="1" t="b">
        <f t="shared" si="208"/>
        <v>0</v>
      </c>
      <c r="P1870" s="1" t="b">
        <f t="shared" si="209"/>
        <v>0</v>
      </c>
    </row>
    <row r="1871" spans="1:16" x14ac:dyDescent="0.2">
      <c r="A1871">
        <v>5685869</v>
      </c>
      <c r="B1871" t="s">
        <v>3379</v>
      </c>
      <c r="C1871" t="s">
        <v>35</v>
      </c>
      <c r="D1871" t="s">
        <v>122</v>
      </c>
      <c r="E1871" s="1">
        <v>44955</v>
      </c>
      <c r="F1871" t="s">
        <v>1602</v>
      </c>
      <c r="G1871" s="1">
        <v>44966</v>
      </c>
      <c r="H1871" s="1">
        <v>45015</v>
      </c>
      <c r="J1871" s="1" t="b">
        <f t="shared" si="203"/>
        <v>1</v>
      </c>
      <c r="K1871" s="1" t="b">
        <f t="shared" si="204"/>
        <v>0</v>
      </c>
      <c r="L1871" s="1" t="b">
        <f t="shared" si="205"/>
        <v>0</v>
      </c>
      <c r="M1871" s="1" t="b">
        <f t="shared" si="206"/>
        <v>0</v>
      </c>
      <c r="N1871" s="1" t="b">
        <f t="shared" si="207"/>
        <v>0</v>
      </c>
      <c r="O1871" s="1" t="b">
        <f t="shared" si="208"/>
        <v>0</v>
      </c>
      <c r="P1871" s="1" t="b">
        <f t="shared" si="209"/>
        <v>0</v>
      </c>
    </row>
    <row r="1872" spans="1:16" x14ac:dyDescent="0.2">
      <c r="A1872">
        <v>3993320</v>
      </c>
      <c r="B1872" t="s">
        <v>3380</v>
      </c>
      <c r="C1872" t="s">
        <v>71</v>
      </c>
      <c r="D1872" t="s">
        <v>56</v>
      </c>
      <c r="E1872" s="1">
        <v>44883</v>
      </c>
      <c r="F1872" t="s">
        <v>3381</v>
      </c>
      <c r="G1872" s="1">
        <v>44887</v>
      </c>
      <c r="H1872" s="1">
        <v>44910</v>
      </c>
      <c r="I1872" t="s">
        <v>28</v>
      </c>
      <c r="J1872" s="1" t="b">
        <f t="shared" si="203"/>
        <v>1</v>
      </c>
      <c r="K1872" s="1" t="b">
        <f t="shared" si="204"/>
        <v>0</v>
      </c>
      <c r="L1872" s="1" t="b">
        <f t="shared" si="205"/>
        <v>0</v>
      </c>
      <c r="M1872" s="1" t="b">
        <f t="shared" si="206"/>
        <v>0</v>
      </c>
      <c r="N1872" s="1" t="b">
        <f t="shared" si="207"/>
        <v>0</v>
      </c>
      <c r="O1872" s="1" t="b">
        <f t="shared" si="208"/>
        <v>0</v>
      </c>
      <c r="P1872" s="1" t="b">
        <f t="shared" si="209"/>
        <v>1</v>
      </c>
    </row>
    <row r="1873" spans="1:16" x14ac:dyDescent="0.2">
      <c r="A1873">
        <v>3993320</v>
      </c>
      <c r="B1873" t="s">
        <v>3382</v>
      </c>
      <c r="C1873" t="s">
        <v>71</v>
      </c>
      <c r="D1873" t="s">
        <v>56</v>
      </c>
      <c r="E1873" s="1">
        <v>44842</v>
      </c>
      <c r="F1873" t="s">
        <v>3383</v>
      </c>
      <c r="G1873" s="1">
        <v>44858</v>
      </c>
      <c r="I1873" t="s">
        <v>25</v>
      </c>
      <c r="J1873" s="1" t="b">
        <f t="shared" si="203"/>
        <v>0</v>
      </c>
      <c r="K1873" s="1" t="b">
        <f t="shared" si="204"/>
        <v>0</v>
      </c>
      <c r="L1873" s="1" t="b">
        <f t="shared" si="205"/>
        <v>1</v>
      </c>
      <c r="M1873" s="1" t="b">
        <f t="shared" si="206"/>
        <v>0</v>
      </c>
      <c r="N1873" s="1" t="b">
        <f t="shared" si="207"/>
        <v>0</v>
      </c>
      <c r="O1873" s="1" t="b">
        <f t="shared" si="208"/>
        <v>0</v>
      </c>
      <c r="P1873" s="1" t="b">
        <f t="shared" si="209"/>
        <v>0</v>
      </c>
    </row>
    <row r="1874" spans="1:16" x14ac:dyDescent="0.2">
      <c r="A1874">
        <v>8363801</v>
      </c>
      <c r="B1874" t="s">
        <v>3384</v>
      </c>
      <c r="C1874" t="s">
        <v>93</v>
      </c>
      <c r="D1874" t="s">
        <v>187</v>
      </c>
      <c r="E1874" s="1">
        <v>44670</v>
      </c>
      <c r="F1874" t="s">
        <v>3385</v>
      </c>
      <c r="G1874" s="1">
        <v>44700</v>
      </c>
      <c r="H1874" s="1">
        <v>44715</v>
      </c>
      <c r="I1874" t="s">
        <v>28</v>
      </c>
      <c r="J1874" s="1" t="b">
        <f t="shared" si="203"/>
        <v>1</v>
      </c>
      <c r="K1874" s="1" t="b">
        <f t="shared" si="204"/>
        <v>0</v>
      </c>
      <c r="L1874" s="1" t="b">
        <f t="shared" si="205"/>
        <v>0</v>
      </c>
      <c r="M1874" s="1" t="b">
        <f t="shared" si="206"/>
        <v>0</v>
      </c>
      <c r="N1874" s="1" t="b">
        <f t="shared" si="207"/>
        <v>0</v>
      </c>
      <c r="O1874" s="1" t="b">
        <f t="shared" si="208"/>
        <v>0</v>
      </c>
      <c r="P1874" s="1" t="b">
        <f t="shared" si="209"/>
        <v>1</v>
      </c>
    </row>
    <row r="1875" spans="1:16" x14ac:dyDescent="0.2">
      <c r="A1875">
        <v>8363801</v>
      </c>
      <c r="B1875" t="s">
        <v>3386</v>
      </c>
      <c r="C1875" t="s">
        <v>93</v>
      </c>
      <c r="D1875" t="s">
        <v>187</v>
      </c>
      <c r="E1875" s="1">
        <v>45082</v>
      </c>
      <c r="F1875" t="s">
        <v>2699</v>
      </c>
      <c r="G1875" s="1">
        <v>45107</v>
      </c>
      <c r="H1875" s="1">
        <v>45118</v>
      </c>
      <c r="I1875" t="s">
        <v>43</v>
      </c>
      <c r="J1875" s="1" t="b">
        <f t="shared" si="203"/>
        <v>1</v>
      </c>
      <c r="K1875" s="1" t="b">
        <f t="shared" si="204"/>
        <v>0</v>
      </c>
      <c r="L1875" s="1" t="b">
        <f t="shared" si="205"/>
        <v>0</v>
      </c>
      <c r="M1875" s="1" t="b">
        <f t="shared" si="206"/>
        <v>0</v>
      </c>
      <c r="N1875" s="1" t="b">
        <f t="shared" si="207"/>
        <v>0</v>
      </c>
      <c r="O1875" s="1" t="b">
        <f t="shared" si="208"/>
        <v>1</v>
      </c>
      <c r="P1875" s="1" t="b">
        <f t="shared" si="209"/>
        <v>0</v>
      </c>
    </row>
    <row r="1876" spans="1:16" x14ac:dyDescent="0.2">
      <c r="A1876">
        <v>8363801</v>
      </c>
      <c r="B1876" t="s">
        <v>3387</v>
      </c>
      <c r="C1876" t="s">
        <v>93</v>
      </c>
      <c r="D1876" t="s">
        <v>187</v>
      </c>
      <c r="E1876" s="1">
        <v>44761</v>
      </c>
      <c r="F1876" t="s">
        <v>3388</v>
      </c>
      <c r="G1876" s="1">
        <v>44762</v>
      </c>
      <c r="I1876" t="s">
        <v>13</v>
      </c>
      <c r="J1876" s="1" t="b">
        <f t="shared" si="203"/>
        <v>0</v>
      </c>
      <c r="K1876" s="1" t="b">
        <f t="shared" si="204"/>
        <v>1</v>
      </c>
      <c r="L1876" s="1" t="b">
        <f t="shared" si="205"/>
        <v>0</v>
      </c>
      <c r="M1876" s="1" t="b">
        <f t="shared" si="206"/>
        <v>0</v>
      </c>
      <c r="N1876" s="1" t="b">
        <f t="shared" si="207"/>
        <v>0</v>
      </c>
      <c r="O1876" s="1" t="b">
        <f t="shared" si="208"/>
        <v>0</v>
      </c>
      <c r="P1876" s="1" t="b">
        <f t="shared" si="209"/>
        <v>0</v>
      </c>
    </row>
    <row r="1877" spans="1:16" x14ac:dyDescent="0.2">
      <c r="A1877">
        <v>9193420</v>
      </c>
      <c r="B1877" t="s">
        <v>3389</v>
      </c>
      <c r="C1877" t="s">
        <v>150</v>
      </c>
      <c r="D1877" t="s">
        <v>56</v>
      </c>
      <c r="E1877" s="1">
        <v>44998</v>
      </c>
      <c r="F1877" t="s">
        <v>1401</v>
      </c>
      <c r="G1877" s="1">
        <v>45022</v>
      </c>
      <c r="I1877" t="s">
        <v>13</v>
      </c>
      <c r="J1877" s="1" t="b">
        <f t="shared" si="203"/>
        <v>0</v>
      </c>
      <c r="K1877" s="1" t="b">
        <f t="shared" si="204"/>
        <v>1</v>
      </c>
      <c r="L1877" s="1" t="b">
        <f t="shared" si="205"/>
        <v>0</v>
      </c>
      <c r="M1877" s="1" t="b">
        <f t="shared" si="206"/>
        <v>0</v>
      </c>
      <c r="N1877" s="1" t="b">
        <f t="shared" si="207"/>
        <v>0</v>
      </c>
      <c r="O1877" s="1" t="b">
        <f t="shared" si="208"/>
        <v>0</v>
      </c>
      <c r="P1877" s="1" t="b">
        <f t="shared" si="209"/>
        <v>0</v>
      </c>
    </row>
    <row r="1878" spans="1:16" x14ac:dyDescent="0.2">
      <c r="A1878">
        <v>9193420</v>
      </c>
      <c r="B1878" t="s">
        <v>3390</v>
      </c>
      <c r="C1878" t="s">
        <v>150</v>
      </c>
      <c r="D1878" t="s">
        <v>56</v>
      </c>
      <c r="E1878" s="1">
        <v>44864</v>
      </c>
      <c r="F1878" t="s">
        <v>1987</v>
      </c>
      <c r="G1878" s="1">
        <v>44894</v>
      </c>
      <c r="H1878" s="1">
        <v>44902</v>
      </c>
      <c r="I1878" t="s">
        <v>43</v>
      </c>
      <c r="J1878" s="1" t="b">
        <f t="shared" si="203"/>
        <v>1</v>
      </c>
      <c r="K1878" s="1" t="b">
        <f t="shared" si="204"/>
        <v>0</v>
      </c>
      <c r="L1878" s="1" t="b">
        <f t="shared" si="205"/>
        <v>0</v>
      </c>
      <c r="M1878" s="1" t="b">
        <f t="shared" si="206"/>
        <v>0</v>
      </c>
      <c r="N1878" s="1" t="b">
        <f t="shared" si="207"/>
        <v>0</v>
      </c>
      <c r="O1878" s="1" t="b">
        <f t="shared" si="208"/>
        <v>1</v>
      </c>
      <c r="P1878" s="1" t="b">
        <f t="shared" si="209"/>
        <v>0</v>
      </c>
    </row>
    <row r="1879" spans="1:16" x14ac:dyDescent="0.2">
      <c r="A1879">
        <v>9193420</v>
      </c>
      <c r="B1879" t="s">
        <v>3391</v>
      </c>
      <c r="C1879" t="s">
        <v>150</v>
      </c>
      <c r="D1879" t="s">
        <v>56</v>
      </c>
      <c r="E1879" s="1">
        <v>45004</v>
      </c>
      <c r="F1879" t="s">
        <v>2289</v>
      </c>
      <c r="G1879" s="1">
        <v>45020</v>
      </c>
      <c r="H1879" s="1">
        <v>45037</v>
      </c>
      <c r="I1879" t="s">
        <v>16</v>
      </c>
      <c r="J1879" s="1" t="b">
        <f t="shared" si="203"/>
        <v>1</v>
      </c>
      <c r="K1879" s="1" t="b">
        <f t="shared" si="204"/>
        <v>0</v>
      </c>
      <c r="L1879" s="1" t="b">
        <f t="shared" si="205"/>
        <v>0</v>
      </c>
      <c r="M1879" s="1" t="b">
        <f t="shared" si="206"/>
        <v>0</v>
      </c>
      <c r="N1879" s="1" t="b">
        <f t="shared" si="207"/>
        <v>1</v>
      </c>
      <c r="O1879" s="1" t="b">
        <f t="shared" si="208"/>
        <v>0</v>
      </c>
      <c r="P1879" s="1" t="b">
        <f t="shared" si="209"/>
        <v>0</v>
      </c>
    </row>
    <row r="1880" spans="1:16" x14ac:dyDescent="0.2">
      <c r="A1880">
        <v>2457333</v>
      </c>
      <c r="B1880" t="s">
        <v>3392</v>
      </c>
      <c r="C1880" t="s">
        <v>90</v>
      </c>
      <c r="D1880" t="s">
        <v>187</v>
      </c>
      <c r="E1880" s="1">
        <v>44642</v>
      </c>
      <c r="F1880" t="s">
        <v>3393</v>
      </c>
      <c r="G1880" s="1">
        <v>44666</v>
      </c>
      <c r="H1880" s="1">
        <v>44717</v>
      </c>
      <c r="I1880" t="s">
        <v>16</v>
      </c>
      <c r="J1880" s="1" t="b">
        <f t="shared" si="203"/>
        <v>1</v>
      </c>
      <c r="K1880" s="1" t="b">
        <f t="shared" si="204"/>
        <v>0</v>
      </c>
      <c r="L1880" s="1" t="b">
        <f t="shared" si="205"/>
        <v>0</v>
      </c>
      <c r="M1880" s="1" t="b">
        <f t="shared" si="206"/>
        <v>0</v>
      </c>
      <c r="N1880" s="1" t="b">
        <f t="shared" si="207"/>
        <v>1</v>
      </c>
      <c r="O1880" s="1" t="b">
        <f t="shared" si="208"/>
        <v>0</v>
      </c>
      <c r="P1880" s="1" t="b">
        <f t="shared" si="209"/>
        <v>0</v>
      </c>
    </row>
    <row r="1881" spans="1:16" x14ac:dyDescent="0.2">
      <c r="A1881">
        <v>2457333</v>
      </c>
      <c r="B1881" t="s">
        <v>3394</v>
      </c>
      <c r="C1881" t="s">
        <v>90</v>
      </c>
      <c r="D1881" t="s">
        <v>187</v>
      </c>
      <c r="E1881" s="1">
        <v>44722</v>
      </c>
      <c r="F1881" t="s">
        <v>3395</v>
      </c>
      <c r="G1881" s="1">
        <v>44739</v>
      </c>
      <c r="I1881" t="s">
        <v>25</v>
      </c>
      <c r="J1881" s="1" t="b">
        <f t="shared" si="203"/>
        <v>0</v>
      </c>
      <c r="K1881" s="1" t="b">
        <f t="shared" si="204"/>
        <v>0</v>
      </c>
      <c r="L1881" s="1" t="b">
        <f t="shared" si="205"/>
        <v>1</v>
      </c>
      <c r="M1881" s="1" t="b">
        <f t="shared" si="206"/>
        <v>0</v>
      </c>
      <c r="N1881" s="1" t="b">
        <f t="shared" si="207"/>
        <v>0</v>
      </c>
      <c r="O1881" s="1" t="b">
        <f t="shared" si="208"/>
        <v>0</v>
      </c>
      <c r="P1881" s="1" t="b">
        <f t="shared" si="209"/>
        <v>0</v>
      </c>
    </row>
    <row r="1882" spans="1:16" x14ac:dyDescent="0.2">
      <c r="A1882">
        <v>2457333</v>
      </c>
      <c r="B1882" t="s">
        <v>3396</v>
      </c>
      <c r="C1882" t="s">
        <v>90</v>
      </c>
      <c r="D1882" t="s">
        <v>187</v>
      </c>
      <c r="E1882" s="1">
        <v>45087</v>
      </c>
      <c r="F1882" t="s">
        <v>3397</v>
      </c>
      <c r="G1882" s="1">
        <v>45109</v>
      </c>
      <c r="H1882" s="1">
        <v>45159</v>
      </c>
      <c r="J1882" s="1" t="b">
        <f t="shared" si="203"/>
        <v>1</v>
      </c>
      <c r="K1882" s="1" t="b">
        <f t="shared" si="204"/>
        <v>0</v>
      </c>
      <c r="L1882" s="1" t="b">
        <f t="shared" si="205"/>
        <v>0</v>
      </c>
      <c r="M1882" s="1" t="b">
        <f t="shared" si="206"/>
        <v>0</v>
      </c>
      <c r="N1882" s="1" t="b">
        <f t="shared" si="207"/>
        <v>0</v>
      </c>
      <c r="O1882" s="1" t="b">
        <f t="shared" si="208"/>
        <v>0</v>
      </c>
      <c r="P1882" s="1" t="b">
        <f t="shared" si="209"/>
        <v>0</v>
      </c>
    </row>
    <row r="1883" spans="1:16" x14ac:dyDescent="0.2">
      <c r="A1883">
        <v>2242998</v>
      </c>
      <c r="B1883" t="s">
        <v>3398</v>
      </c>
      <c r="C1883" t="s">
        <v>240</v>
      </c>
      <c r="D1883" t="s">
        <v>39</v>
      </c>
      <c r="E1883" s="1">
        <v>44598</v>
      </c>
      <c r="F1883" t="s">
        <v>3399</v>
      </c>
      <c r="G1883" s="1">
        <v>44619</v>
      </c>
      <c r="H1883" s="1">
        <v>44660</v>
      </c>
      <c r="I1883" t="s">
        <v>28</v>
      </c>
      <c r="J1883" s="1" t="b">
        <f t="shared" si="203"/>
        <v>1</v>
      </c>
      <c r="K1883" s="1" t="b">
        <f t="shared" si="204"/>
        <v>0</v>
      </c>
      <c r="L1883" s="1" t="b">
        <f t="shared" si="205"/>
        <v>0</v>
      </c>
      <c r="M1883" s="1" t="b">
        <f t="shared" si="206"/>
        <v>0</v>
      </c>
      <c r="N1883" s="1" t="b">
        <f t="shared" si="207"/>
        <v>0</v>
      </c>
      <c r="O1883" s="1" t="b">
        <f t="shared" si="208"/>
        <v>0</v>
      </c>
      <c r="P1883" s="1" t="b">
        <f t="shared" si="209"/>
        <v>1</v>
      </c>
    </row>
    <row r="1884" spans="1:16" x14ac:dyDescent="0.2">
      <c r="A1884">
        <v>1133724</v>
      </c>
      <c r="B1884" t="s">
        <v>3400</v>
      </c>
      <c r="C1884" t="s">
        <v>93</v>
      </c>
      <c r="D1884" t="s">
        <v>187</v>
      </c>
      <c r="E1884" s="1">
        <v>44762</v>
      </c>
      <c r="F1884" t="s">
        <v>3401</v>
      </c>
      <c r="G1884" s="1">
        <v>44771</v>
      </c>
      <c r="I1884" t="s">
        <v>25</v>
      </c>
      <c r="J1884" s="1" t="b">
        <f t="shared" si="203"/>
        <v>0</v>
      </c>
      <c r="K1884" s="1" t="b">
        <f t="shared" si="204"/>
        <v>0</v>
      </c>
      <c r="L1884" s="1" t="b">
        <f t="shared" si="205"/>
        <v>1</v>
      </c>
      <c r="M1884" s="1" t="b">
        <f t="shared" si="206"/>
        <v>0</v>
      </c>
      <c r="N1884" s="1" t="b">
        <f t="shared" si="207"/>
        <v>0</v>
      </c>
      <c r="O1884" s="1" t="b">
        <f t="shared" si="208"/>
        <v>0</v>
      </c>
      <c r="P1884" s="1" t="b">
        <f t="shared" si="209"/>
        <v>0</v>
      </c>
    </row>
    <row r="1885" spans="1:16" x14ac:dyDescent="0.2">
      <c r="A1885">
        <v>1133724</v>
      </c>
      <c r="B1885" t="s">
        <v>3402</v>
      </c>
      <c r="C1885" t="s">
        <v>93</v>
      </c>
      <c r="D1885" t="s">
        <v>187</v>
      </c>
      <c r="E1885" s="1">
        <v>45070</v>
      </c>
      <c r="F1885" t="s">
        <v>1039</v>
      </c>
      <c r="G1885" s="1">
        <v>45080</v>
      </c>
      <c r="H1885" s="1">
        <v>45089</v>
      </c>
      <c r="J1885" s="1" t="b">
        <f t="shared" si="203"/>
        <v>1</v>
      </c>
      <c r="K1885" s="1" t="b">
        <f t="shared" si="204"/>
        <v>0</v>
      </c>
      <c r="L1885" s="1" t="b">
        <f t="shared" si="205"/>
        <v>0</v>
      </c>
      <c r="M1885" s="1" t="b">
        <f t="shared" si="206"/>
        <v>0</v>
      </c>
      <c r="N1885" s="1" t="b">
        <f t="shared" si="207"/>
        <v>0</v>
      </c>
      <c r="O1885" s="1" t="b">
        <f t="shared" si="208"/>
        <v>0</v>
      </c>
      <c r="P1885" s="1" t="b">
        <f t="shared" si="209"/>
        <v>0</v>
      </c>
    </row>
    <row r="1886" spans="1:16" x14ac:dyDescent="0.2">
      <c r="A1886">
        <v>1133724</v>
      </c>
      <c r="B1886" t="s">
        <v>3403</v>
      </c>
      <c r="C1886" t="s">
        <v>93</v>
      </c>
      <c r="D1886" t="s">
        <v>187</v>
      </c>
      <c r="E1886" s="1">
        <v>45090</v>
      </c>
      <c r="F1886" t="s">
        <v>3404</v>
      </c>
      <c r="G1886" s="1">
        <v>45118</v>
      </c>
      <c r="I1886" t="s">
        <v>13</v>
      </c>
      <c r="J1886" s="1" t="b">
        <f t="shared" si="203"/>
        <v>0</v>
      </c>
      <c r="K1886" s="1" t="b">
        <f t="shared" si="204"/>
        <v>1</v>
      </c>
      <c r="L1886" s="1" t="b">
        <f t="shared" si="205"/>
        <v>0</v>
      </c>
      <c r="M1886" s="1" t="b">
        <f t="shared" si="206"/>
        <v>0</v>
      </c>
      <c r="N1886" s="1" t="b">
        <f t="shared" si="207"/>
        <v>0</v>
      </c>
      <c r="O1886" s="1" t="b">
        <f t="shared" si="208"/>
        <v>0</v>
      </c>
      <c r="P1886" s="1" t="b">
        <f t="shared" si="209"/>
        <v>0</v>
      </c>
    </row>
    <row r="1887" spans="1:16" x14ac:dyDescent="0.2">
      <c r="A1887">
        <v>1133724</v>
      </c>
      <c r="B1887" t="s">
        <v>3405</v>
      </c>
      <c r="C1887" t="s">
        <v>93</v>
      </c>
      <c r="D1887" t="s">
        <v>187</v>
      </c>
      <c r="E1887" s="1">
        <v>44630</v>
      </c>
      <c r="F1887" t="s">
        <v>3406</v>
      </c>
      <c r="G1887" s="1">
        <v>44646</v>
      </c>
      <c r="H1887" s="1">
        <v>44682</v>
      </c>
      <c r="I1887" t="s">
        <v>43</v>
      </c>
      <c r="J1887" s="1" t="b">
        <f t="shared" si="203"/>
        <v>1</v>
      </c>
      <c r="K1887" s="1" t="b">
        <f t="shared" si="204"/>
        <v>0</v>
      </c>
      <c r="L1887" s="1" t="b">
        <f t="shared" si="205"/>
        <v>0</v>
      </c>
      <c r="M1887" s="1" t="b">
        <f t="shared" si="206"/>
        <v>0</v>
      </c>
      <c r="N1887" s="1" t="b">
        <f t="shared" si="207"/>
        <v>0</v>
      </c>
      <c r="O1887" s="1" t="b">
        <f t="shared" si="208"/>
        <v>1</v>
      </c>
      <c r="P1887" s="1" t="b">
        <f t="shared" si="209"/>
        <v>0</v>
      </c>
    </row>
    <row r="1888" spans="1:16" x14ac:dyDescent="0.2">
      <c r="A1888">
        <v>1133724</v>
      </c>
      <c r="B1888" t="s">
        <v>3407</v>
      </c>
      <c r="C1888" t="s">
        <v>93</v>
      </c>
      <c r="D1888" t="s">
        <v>187</v>
      </c>
      <c r="E1888" s="1">
        <v>44831</v>
      </c>
      <c r="F1888" t="s">
        <v>3408</v>
      </c>
      <c r="G1888" s="1">
        <v>44851</v>
      </c>
      <c r="H1888" s="1">
        <v>44876</v>
      </c>
      <c r="I1888" t="s">
        <v>43</v>
      </c>
      <c r="J1888" s="1" t="b">
        <f t="shared" si="203"/>
        <v>1</v>
      </c>
      <c r="K1888" s="1" t="b">
        <f t="shared" si="204"/>
        <v>0</v>
      </c>
      <c r="L1888" s="1" t="b">
        <f t="shared" si="205"/>
        <v>0</v>
      </c>
      <c r="M1888" s="1" t="b">
        <f t="shared" si="206"/>
        <v>0</v>
      </c>
      <c r="N1888" s="1" t="b">
        <f t="shared" si="207"/>
        <v>0</v>
      </c>
      <c r="O1888" s="1" t="b">
        <f t="shared" si="208"/>
        <v>1</v>
      </c>
      <c r="P1888" s="1" t="b">
        <f t="shared" si="209"/>
        <v>0</v>
      </c>
    </row>
    <row r="1889" spans="1:16" x14ac:dyDescent="0.2">
      <c r="A1889">
        <v>4937877</v>
      </c>
      <c r="B1889" t="s">
        <v>3409</v>
      </c>
      <c r="C1889" t="s">
        <v>265</v>
      </c>
      <c r="D1889" t="s">
        <v>39</v>
      </c>
      <c r="E1889" s="1">
        <v>44799</v>
      </c>
      <c r="F1889" t="s">
        <v>3410</v>
      </c>
      <c r="G1889" s="1">
        <v>44828</v>
      </c>
      <c r="H1889" s="1">
        <v>44847</v>
      </c>
      <c r="I1889" t="s">
        <v>43</v>
      </c>
      <c r="J1889" s="1" t="b">
        <f t="shared" si="203"/>
        <v>1</v>
      </c>
      <c r="K1889" s="1" t="b">
        <f t="shared" si="204"/>
        <v>0</v>
      </c>
      <c r="L1889" s="1" t="b">
        <f t="shared" si="205"/>
        <v>0</v>
      </c>
      <c r="M1889" s="1" t="b">
        <f t="shared" si="206"/>
        <v>0</v>
      </c>
      <c r="N1889" s="1" t="b">
        <f t="shared" si="207"/>
        <v>0</v>
      </c>
      <c r="O1889" s="1" t="b">
        <f t="shared" si="208"/>
        <v>1</v>
      </c>
      <c r="P1889" s="1" t="b">
        <f t="shared" si="209"/>
        <v>0</v>
      </c>
    </row>
    <row r="1890" spans="1:16" x14ac:dyDescent="0.2">
      <c r="A1890">
        <v>4937877</v>
      </c>
      <c r="B1890" t="s">
        <v>3411</v>
      </c>
      <c r="C1890" t="s">
        <v>265</v>
      </c>
      <c r="D1890" t="s">
        <v>39</v>
      </c>
      <c r="E1890" s="1">
        <v>44963</v>
      </c>
      <c r="F1890" t="s">
        <v>3412</v>
      </c>
      <c r="G1890" s="1">
        <v>44983</v>
      </c>
      <c r="H1890" s="1">
        <v>45006</v>
      </c>
      <c r="J1890" s="1" t="b">
        <f t="shared" si="203"/>
        <v>1</v>
      </c>
      <c r="K1890" s="1" t="b">
        <f t="shared" si="204"/>
        <v>0</v>
      </c>
      <c r="L1890" s="1" t="b">
        <f t="shared" si="205"/>
        <v>0</v>
      </c>
      <c r="M1890" s="1" t="b">
        <f t="shared" si="206"/>
        <v>0</v>
      </c>
      <c r="N1890" s="1" t="b">
        <f t="shared" si="207"/>
        <v>0</v>
      </c>
      <c r="O1890" s="1" t="b">
        <f t="shared" si="208"/>
        <v>0</v>
      </c>
      <c r="P1890" s="1" t="b">
        <f t="shared" si="209"/>
        <v>0</v>
      </c>
    </row>
    <row r="1891" spans="1:16" x14ac:dyDescent="0.2">
      <c r="A1891">
        <v>4937877</v>
      </c>
      <c r="B1891" t="s">
        <v>3413</v>
      </c>
      <c r="C1891" t="s">
        <v>265</v>
      </c>
      <c r="D1891" t="s">
        <v>39</v>
      </c>
      <c r="E1891" s="1">
        <v>44677</v>
      </c>
      <c r="F1891" t="s">
        <v>3143</v>
      </c>
      <c r="G1891" s="1">
        <v>44706</v>
      </c>
      <c r="H1891" s="1">
        <v>44764</v>
      </c>
      <c r="I1891" t="s">
        <v>28</v>
      </c>
      <c r="J1891" s="1" t="b">
        <f t="shared" si="203"/>
        <v>1</v>
      </c>
      <c r="K1891" s="1" t="b">
        <f t="shared" si="204"/>
        <v>0</v>
      </c>
      <c r="L1891" s="1" t="b">
        <f t="shared" si="205"/>
        <v>0</v>
      </c>
      <c r="M1891" s="1" t="b">
        <f t="shared" si="206"/>
        <v>0</v>
      </c>
      <c r="N1891" s="1" t="b">
        <f t="shared" si="207"/>
        <v>0</v>
      </c>
      <c r="O1891" s="1" t="b">
        <f t="shared" si="208"/>
        <v>0</v>
      </c>
      <c r="P1891" s="1" t="b">
        <f t="shared" si="209"/>
        <v>1</v>
      </c>
    </row>
    <row r="1892" spans="1:16" x14ac:dyDescent="0.2">
      <c r="A1892">
        <v>4937877</v>
      </c>
      <c r="B1892" t="s">
        <v>3414</v>
      </c>
      <c r="C1892" t="s">
        <v>265</v>
      </c>
      <c r="D1892" t="s">
        <v>39</v>
      </c>
      <c r="E1892" s="1">
        <v>44895</v>
      </c>
      <c r="F1892" t="s">
        <v>3415</v>
      </c>
      <c r="G1892" s="1">
        <v>44903</v>
      </c>
      <c r="H1892" s="1">
        <v>44946</v>
      </c>
      <c r="I1892" t="s">
        <v>28</v>
      </c>
      <c r="J1892" s="1" t="b">
        <f t="shared" si="203"/>
        <v>1</v>
      </c>
      <c r="K1892" s="1" t="b">
        <f t="shared" si="204"/>
        <v>0</v>
      </c>
      <c r="L1892" s="1" t="b">
        <f t="shared" si="205"/>
        <v>0</v>
      </c>
      <c r="M1892" s="1" t="b">
        <f t="shared" si="206"/>
        <v>0</v>
      </c>
      <c r="N1892" s="1" t="b">
        <f t="shared" si="207"/>
        <v>0</v>
      </c>
      <c r="O1892" s="1" t="b">
        <f t="shared" si="208"/>
        <v>0</v>
      </c>
      <c r="P1892" s="1" t="b">
        <f t="shared" si="209"/>
        <v>1</v>
      </c>
    </row>
    <row r="1893" spans="1:16" x14ac:dyDescent="0.2">
      <c r="A1893">
        <v>8128056</v>
      </c>
      <c r="B1893" t="s">
        <v>3416</v>
      </c>
      <c r="C1893" t="s">
        <v>176</v>
      </c>
      <c r="D1893" t="s">
        <v>187</v>
      </c>
      <c r="E1893" s="1">
        <v>44969</v>
      </c>
      <c r="F1893" t="s">
        <v>270</v>
      </c>
      <c r="G1893" s="1">
        <v>44992</v>
      </c>
      <c r="H1893" s="1">
        <v>45001</v>
      </c>
      <c r="I1893" t="s">
        <v>16</v>
      </c>
      <c r="J1893" s="1" t="b">
        <f t="shared" si="203"/>
        <v>1</v>
      </c>
      <c r="K1893" s="1" t="b">
        <f t="shared" si="204"/>
        <v>0</v>
      </c>
      <c r="L1893" s="1" t="b">
        <f t="shared" si="205"/>
        <v>0</v>
      </c>
      <c r="M1893" s="1" t="b">
        <f t="shared" si="206"/>
        <v>0</v>
      </c>
      <c r="N1893" s="1" t="b">
        <f t="shared" si="207"/>
        <v>1</v>
      </c>
      <c r="O1893" s="1" t="b">
        <f t="shared" si="208"/>
        <v>0</v>
      </c>
      <c r="P1893" s="1" t="b">
        <f t="shared" si="209"/>
        <v>0</v>
      </c>
    </row>
    <row r="1894" spans="1:16" x14ac:dyDescent="0.2">
      <c r="A1894">
        <v>8128056</v>
      </c>
      <c r="B1894" t="s">
        <v>3417</v>
      </c>
      <c r="C1894" t="s">
        <v>176</v>
      </c>
      <c r="D1894" t="s">
        <v>187</v>
      </c>
      <c r="E1894" s="1">
        <v>45062</v>
      </c>
      <c r="F1894" t="s">
        <v>1070</v>
      </c>
      <c r="G1894" s="1">
        <v>45082</v>
      </c>
      <c r="H1894" s="1">
        <v>45109</v>
      </c>
      <c r="J1894" s="1" t="b">
        <f t="shared" si="203"/>
        <v>1</v>
      </c>
      <c r="K1894" s="1" t="b">
        <f t="shared" si="204"/>
        <v>0</v>
      </c>
      <c r="L1894" s="1" t="b">
        <f t="shared" si="205"/>
        <v>0</v>
      </c>
      <c r="M1894" s="1" t="b">
        <f t="shared" si="206"/>
        <v>0</v>
      </c>
      <c r="N1894" s="1" t="b">
        <f t="shared" si="207"/>
        <v>0</v>
      </c>
      <c r="O1894" s="1" t="b">
        <f t="shared" si="208"/>
        <v>0</v>
      </c>
      <c r="P1894" s="1" t="b">
        <f t="shared" si="209"/>
        <v>0</v>
      </c>
    </row>
    <row r="1895" spans="1:16" x14ac:dyDescent="0.2">
      <c r="A1895">
        <v>8128056</v>
      </c>
      <c r="B1895" t="s">
        <v>3418</v>
      </c>
      <c r="C1895" t="s">
        <v>176</v>
      </c>
      <c r="D1895" t="s">
        <v>187</v>
      </c>
      <c r="E1895" s="1">
        <v>45081</v>
      </c>
      <c r="F1895" t="s">
        <v>3419</v>
      </c>
      <c r="G1895" s="1">
        <v>45088</v>
      </c>
      <c r="H1895" s="1">
        <v>45145</v>
      </c>
      <c r="I1895" t="s">
        <v>16</v>
      </c>
      <c r="J1895" s="1" t="b">
        <f t="shared" si="203"/>
        <v>1</v>
      </c>
      <c r="K1895" s="1" t="b">
        <f t="shared" si="204"/>
        <v>0</v>
      </c>
      <c r="L1895" s="1" t="b">
        <f t="shared" si="205"/>
        <v>0</v>
      </c>
      <c r="M1895" s="1" t="b">
        <f t="shared" si="206"/>
        <v>0</v>
      </c>
      <c r="N1895" s="1" t="b">
        <f t="shared" si="207"/>
        <v>1</v>
      </c>
      <c r="O1895" s="1" t="b">
        <f t="shared" si="208"/>
        <v>0</v>
      </c>
      <c r="P1895" s="1" t="b">
        <f t="shared" si="209"/>
        <v>0</v>
      </c>
    </row>
    <row r="1896" spans="1:16" x14ac:dyDescent="0.2">
      <c r="A1896">
        <v>8128056</v>
      </c>
      <c r="B1896" t="s">
        <v>3420</v>
      </c>
      <c r="C1896" t="s">
        <v>176</v>
      </c>
      <c r="D1896" t="s">
        <v>187</v>
      </c>
      <c r="E1896" s="1">
        <v>44892</v>
      </c>
      <c r="F1896" t="s">
        <v>3421</v>
      </c>
      <c r="G1896" s="1">
        <v>44901</v>
      </c>
      <c r="H1896" s="1">
        <v>44945</v>
      </c>
      <c r="J1896" s="1" t="b">
        <f t="shared" si="203"/>
        <v>1</v>
      </c>
      <c r="K1896" s="1" t="b">
        <f t="shared" si="204"/>
        <v>0</v>
      </c>
      <c r="L1896" s="1" t="b">
        <f t="shared" si="205"/>
        <v>0</v>
      </c>
      <c r="M1896" s="1" t="b">
        <f t="shared" si="206"/>
        <v>0</v>
      </c>
      <c r="N1896" s="1" t="b">
        <f t="shared" si="207"/>
        <v>0</v>
      </c>
      <c r="O1896" s="1" t="b">
        <f t="shared" si="208"/>
        <v>0</v>
      </c>
      <c r="P1896" s="1" t="b">
        <f t="shared" si="209"/>
        <v>0</v>
      </c>
    </row>
    <row r="1897" spans="1:16" x14ac:dyDescent="0.2">
      <c r="A1897">
        <v>6328751</v>
      </c>
      <c r="B1897" t="s">
        <v>3422</v>
      </c>
      <c r="C1897" t="s">
        <v>315</v>
      </c>
      <c r="D1897" t="s">
        <v>60</v>
      </c>
      <c r="E1897" s="1">
        <v>44836</v>
      </c>
      <c r="F1897" t="s">
        <v>3423</v>
      </c>
      <c r="G1897" s="1">
        <v>44852</v>
      </c>
      <c r="H1897" s="1">
        <v>44899</v>
      </c>
      <c r="I1897" t="s">
        <v>28</v>
      </c>
      <c r="J1897" s="1" t="b">
        <f t="shared" si="203"/>
        <v>1</v>
      </c>
      <c r="K1897" s="1" t="b">
        <f t="shared" si="204"/>
        <v>0</v>
      </c>
      <c r="L1897" s="1" t="b">
        <f t="shared" si="205"/>
        <v>0</v>
      </c>
      <c r="M1897" s="1" t="b">
        <f t="shared" si="206"/>
        <v>0</v>
      </c>
      <c r="N1897" s="1" t="b">
        <f t="shared" si="207"/>
        <v>0</v>
      </c>
      <c r="O1897" s="1" t="b">
        <f t="shared" si="208"/>
        <v>0</v>
      </c>
      <c r="P1897" s="1" t="b">
        <f t="shared" si="209"/>
        <v>1</v>
      </c>
    </row>
    <row r="1898" spans="1:16" x14ac:dyDescent="0.2">
      <c r="A1898">
        <v>6328751</v>
      </c>
      <c r="B1898" t="s">
        <v>3424</v>
      </c>
      <c r="C1898" t="s">
        <v>315</v>
      </c>
      <c r="D1898" t="s">
        <v>60</v>
      </c>
      <c r="E1898" s="1">
        <v>44608</v>
      </c>
      <c r="F1898" t="s">
        <v>311</v>
      </c>
      <c r="G1898" s="1">
        <v>44618</v>
      </c>
      <c r="I1898" t="s">
        <v>25</v>
      </c>
      <c r="J1898" s="1" t="b">
        <f t="shared" si="203"/>
        <v>0</v>
      </c>
      <c r="K1898" s="1" t="b">
        <f t="shared" si="204"/>
        <v>0</v>
      </c>
      <c r="L1898" s="1" t="b">
        <f t="shared" si="205"/>
        <v>1</v>
      </c>
      <c r="M1898" s="1" t="b">
        <f t="shared" si="206"/>
        <v>0</v>
      </c>
      <c r="N1898" s="1" t="b">
        <f t="shared" si="207"/>
        <v>0</v>
      </c>
      <c r="O1898" s="1" t="b">
        <f t="shared" si="208"/>
        <v>0</v>
      </c>
      <c r="P1898" s="1" t="b">
        <f t="shared" si="209"/>
        <v>0</v>
      </c>
    </row>
    <row r="1899" spans="1:16" x14ac:dyDescent="0.2">
      <c r="A1899">
        <v>6328751</v>
      </c>
      <c r="B1899" t="s">
        <v>3425</v>
      </c>
      <c r="C1899" t="s">
        <v>315</v>
      </c>
      <c r="D1899" t="s">
        <v>60</v>
      </c>
      <c r="E1899" s="1">
        <v>44732</v>
      </c>
      <c r="F1899" t="s">
        <v>3381</v>
      </c>
      <c r="G1899" s="1">
        <v>44750</v>
      </c>
      <c r="H1899" s="1">
        <v>44764</v>
      </c>
      <c r="I1899" t="s">
        <v>43</v>
      </c>
      <c r="J1899" s="1" t="b">
        <f t="shared" si="203"/>
        <v>1</v>
      </c>
      <c r="K1899" s="1" t="b">
        <f t="shared" si="204"/>
        <v>0</v>
      </c>
      <c r="L1899" s="1" t="b">
        <f t="shared" si="205"/>
        <v>0</v>
      </c>
      <c r="M1899" s="1" t="b">
        <f t="shared" si="206"/>
        <v>0</v>
      </c>
      <c r="N1899" s="1" t="b">
        <f t="shared" si="207"/>
        <v>0</v>
      </c>
      <c r="O1899" s="1" t="b">
        <f t="shared" si="208"/>
        <v>1</v>
      </c>
      <c r="P1899" s="1" t="b">
        <f t="shared" si="209"/>
        <v>0</v>
      </c>
    </row>
    <row r="1900" spans="1:16" x14ac:dyDescent="0.2">
      <c r="A1900">
        <v>6328751</v>
      </c>
      <c r="B1900" t="s">
        <v>3426</v>
      </c>
      <c r="C1900" t="s">
        <v>315</v>
      </c>
      <c r="D1900" t="s">
        <v>60</v>
      </c>
      <c r="E1900" s="1">
        <v>44899</v>
      </c>
      <c r="F1900" t="s">
        <v>1662</v>
      </c>
      <c r="G1900" s="1">
        <v>44904</v>
      </c>
      <c r="H1900" s="1">
        <v>44943</v>
      </c>
      <c r="I1900" t="s">
        <v>16</v>
      </c>
      <c r="J1900" s="1" t="b">
        <f t="shared" si="203"/>
        <v>1</v>
      </c>
      <c r="K1900" s="1" t="b">
        <f t="shared" si="204"/>
        <v>0</v>
      </c>
      <c r="L1900" s="1" t="b">
        <f t="shared" si="205"/>
        <v>0</v>
      </c>
      <c r="M1900" s="1" t="b">
        <f t="shared" si="206"/>
        <v>0</v>
      </c>
      <c r="N1900" s="1" t="b">
        <f t="shared" si="207"/>
        <v>1</v>
      </c>
      <c r="O1900" s="1" t="b">
        <f t="shared" si="208"/>
        <v>0</v>
      </c>
      <c r="P1900" s="1" t="b">
        <f t="shared" si="209"/>
        <v>0</v>
      </c>
    </row>
    <row r="1901" spans="1:16" x14ac:dyDescent="0.2">
      <c r="A1901">
        <v>1334200</v>
      </c>
      <c r="B1901" t="s">
        <v>3427</v>
      </c>
      <c r="C1901" t="s">
        <v>138</v>
      </c>
      <c r="D1901" t="s">
        <v>56</v>
      </c>
      <c r="E1901" s="1">
        <v>44782</v>
      </c>
      <c r="F1901" t="s">
        <v>3428</v>
      </c>
      <c r="G1901" s="1">
        <v>44800</v>
      </c>
      <c r="I1901" t="s">
        <v>13</v>
      </c>
      <c r="J1901" s="1" t="b">
        <f t="shared" si="203"/>
        <v>0</v>
      </c>
      <c r="K1901" s="1" t="b">
        <f t="shared" si="204"/>
        <v>1</v>
      </c>
      <c r="L1901" s="1" t="b">
        <f t="shared" si="205"/>
        <v>0</v>
      </c>
      <c r="M1901" s="1" t="b">
        <f t="shared" si="206"/>
        <v>0</v>
      </c>
      <c r="N1901" s="1" t="b">
        <f t="shared" si="207"/>
        <v>0</v>
      </c>
      <c r="O1901" s="1" t="b">
        <f t="shared" si="208"/>
        <v>0</v>
      </c>
      <c r="P1901" s="1" t="b">
        <f t="shared" si="209"/>
        <v>0</v>
      </c>
    </row>
    <row r="1902" spans="1:16" x14ac:dyDescent="0.2">
      <c r="A1902">
        <v>1334200</v>
      </c>
      <c r="B1902" t="s">
        <v>3429</v>
      </c>
      <c r="C1902" t="s">
        <v>138</v>
      </c>
      <c r="D1902" t="s">
        <v>56</v>
      </c>
      <c r="E1902" s="1">
        <v>44626</v>
      </c>
      <c r="F1902" t="s">
        <v>3430</v>
      </c>
      <c r="G1902" s="1">
        <v>44647</v>
      </c>
      <c r="H1902" s="1">
        <v>44651</v>
      </c>
      <c r="I1902" t="s">
        <v>28</v>
      </c>
      <c r="J1902" s="1" t="b">
        <f t="shared" si="203"/>
        <v>1</v>
      </c>
      <c r="K1902" s="1" t="b">
        <f t="shared" si="204"/>
        <v>0</v>
      </c>
      <c r="L1902" s="1" t="b">
        <f t="shared" si="205"/>
        <v>0</v>
      </c>
      <c r="M1902" s="1" t="b">
        <f t="shared" si="206"/>
        <v>0</v>
      </c>
      <c r="N1902" s="1" t="b">
        <f t="shared" si="207"/>
        <v>0</v>
      </c>
      <c r="O1902" s="1" t="b">
        <f t="shared" si="208"/>
        <v>0</v>
      </c>
      <c r="P1902" s="1" t="b">
        <f t="shared" si="209"/>
        <v>1</v>
      </c>
    </row>
    <row r="1903" spans="1:16" x14ac:dyDescent="0.2">
      <c r="A1903">
        <v>1334200</v>
      </c>
      <c r="B1903" t="s">
        <v>3431</v>
      </c>
      <c r="C1903" t="s">
        <v>138</v>
      </c>
      <c r="D1903" t="s">
        <v>56</v>
      </c>
      <c r="E1903" s="1">
        <v>44722</v>
      </c>
      <c r="F1903" t="s">
        <v>3432</v>
      </c>
      <c r="G1903" s="1">
        <v>44749</v>
      </c>
      <c r="H1903" s="1">
        <v>44784</v>
      </c>
      <c r="I1903" t="s">
        <v>28</v>
      </c>
      <c r="J1903" s="1" t="b">
        <f t="shared" si="203"/>
        <v>1</v>
      </c>
      <c r="K1903" s="1" t="b">
        <f t="shared" si="204"/>
        <v>0</v>
      </c>
      <c r="L1903" s="1" t="b">
        <f t="shared" si="205"/>
        <v>0</v>
      </c>
      <c r="M1903" s="1" t="b">
        <f t="shared" si="206"/>
        <v>0</v>
      </c>
      <c r="N1903" s="1" t="b">
        <f t="shared" si="207"/>
        <v>0</v>
      </c>
      <c r="O1903" s="1" t="b">
        <f t="shared" si="208"/>
        <v>0</v>
      </c>
      <c r="P1903" s="1" t="b">
        <f t="shared" si="209"/>
        <v>1</v>
      </c>
    </row>
    <row r="1904" spans="1:16" x14ac:dyDescent="0.2">
      <c r="A1904">
        <v>1334200</v>
      </c>
      <c r="B1904" t="s">
        <v>3433</v>
      </c>
      <c r="C1904" t="s">
        <v>138</v>
      </c>
      <c r="D1904" t="s">
        <v>56</v>
      </c>
      <c r="E1904" s="1">
        <v>44727</v>
      </c>
      <c r="F1904" t="s">
        <v>3434</v>
      </c>
      <c r="G1904" s="1">
        <v>44757</v>
      </c>
      <c r="H1904" s="1">
        <v>44781</v>
      </c>
      <c r="I1904" t="s">
        <v>43</v>
      </c>
      <c r="J1904" s="1" t="b">
        <f t="shared" si="203"/>
        <v>1</v>
      </c>
      <c r="K1904" s="1" t="b">
        <f t="shared" si="204"/>
        <v>0</v>
      </c>
      <c r="L1904" s="1" t="b">
        <f t="shared" si="205"/>
        <v>0</v>
      </c>
      <c r="M1904" s="1" t="b">
        <f t="shared" si="206"/>
        <v>0</v>
      </c>
      <c r="N1904" s="1" t="b">
        <f t="shared" si="207"/>
        <v>0</v>
      </c>
      <c r="O1904" s="1" t="b">
        <f t="shared" si="208"/>
        <v>1</v>
      </c>
      <c r="P1904" s="1" t="b">
        <f t="shared" si="209"/>
        <v>0</v>
      </c>
    </row>
    <row r="1905" spans="1:16" x14ac:dyDescent="0.2">
      <c r="A1905">
        <v>5172556</v>
      </c>
      <c r="B1905" t="s">
        <v>3435</v>
      </c>
      <c r="C1905" t="s">
        <v>10</v>
      </c>
      <c r="D1905" t="s">
        <v>56</v>
      </c>
      <c r="E1905" s="1">
        <v>45058</v>
      </c>
      <c r="F1905" t="s">
        <v>3436</v>
      </c>
      <c r="G1905" s="1">
        <v>45060</v>
      </c>
      <c r="H1905" s="1">
        <v>45071</v>
      </c>
      <c r="I1905" t="s">
        <v>16</v>
      </c>
      <c r="J1905" s="1" t="b">
        <f t="shared" si="203"/>
        <v>1</v>
      </c>
      <c r="K1905" s="1" t="b">
        <f t="shared" si="204"/>
        <v>0</v>
      </c>
      <c r="L1905" s="1" t="b">
        <f t="shared" si="205"/>
        <v>0</v>
      </c>
      <c r="M1905" s="1" t="b">
        <f t="shared" si="206"/>
        <v>0</v>
      </c>
      <c r="N1905" s="1" t="b">
        <f t="shared" si="207"/>
        <v>1</v>
      </c>
      <c r="O1905" s="1" t="b">
        <f t="shared" si="208"/>
        <v>0</v>
      </c>
      <c r="P1905" s="1" t="b">
        <f t="shared" si="209"/>
        <v>0</v>
      </c>
    </row>
    <row r="1906" spans="1:16" x14ac:dyDescent="0.2">
      <c r="A1906">
        <v>5749457</v>
      </c>
      <c r="B1906" t="s">
        <v>3437</v>
      </c>
      <c r="C1906" t="s">
        <v>110</v>
      </c>
      <c r="D1906" t="s">
        <v>56</v>
      </c>
      <c r="E1906" s="1">
        <v>44688</v>
      </c>
      <c r="F1906" t="s">
        <v>3438</v>
      </c>
      <c r="G1906" s="1">
        <v>44715</v>
      </c>
      <c r="H1906" s="1">
        <v>44766</v>
      </c>
      <c r="I1906" t="s">
        <v>43</v>
      </c>
      <c r="J1906" s="1" t="b">
        <f t="shared" si="203"/>
        <v>1</v>
      </c>
      <c r="K1906" s="1" t="b">
        <f t="shared" si="204"/>
        <v>0</v>
      </c>
      <c r="L1906" s="1" t="b">
        <f t="shared" si="205"/>
        <v>0</v>
      </c>
      <c r="M1906" s="1" t="b">
        <f t="shared" si="206"/>
        <v>0</v>
      </c>
      <c r="N1906" s="1" t="b">
        <f t="shared" si="207"/>
        <v>0</v>
      </c>
      <c r="O1906" s="1" t="b">
        <f t="shared" si="208"/>
        <v>1</v>
      </c>
      <c r="P1906" s="1" t="b">
        <f t="shared" si="209"/>
        <v>0</v>
      </c>
    </row>
    <row r="1907" spans="1:16" x14ac:dyDescent="0.2">
      <c r="A1907">
        <v>5749457</v>
      </c>
      <c r="B1907" t="s">
        <v>3439</v>
      </c>
      <c r="C1907" t="s">
        <v>110</v>
      </c>
      <c r="D1907" t="s">
        <v>56</v>
      </c>
      <c r="E1907" s="1">
        <v>44838</v>
      </c>
      <c r="F1907" t="s">
        <v>3440</v>
      </c>
      <c r="G1907" s="1">
        <v>44866</v>
      </c>
      <c r="H1907" s="1">
        <v>44872</v>
      </c>
      <c r="J1907" s="1" t="b">
        <f t="shared" si="203"/>
        <v>1</v>
      </c>
      <c r="K1907" s="1" t="b">
        <f t="shared" si="204"/>
        <v>0</v>
      </c>
      <c r="L1907" s="1" t="b">
        <f t="shared" si="205"/>
        <v>0</v>
      </c>
      <c r="M1907" s="1" t="b">
        <f t="shared" si="206"/>
        <v>0</v>
      </c>
      <c r="N1907" s="1" t="b">
        <f t="shared" si="207"/>
        <v>0</v>
      </c>
      <c r="O1907" s="1" t="b">
        <f t="shared" si="208"/>
        <v>0</v>
      </c>
      <c r="P1907" s="1" t="b">
        <f t="shared" si="209"/>
        <v>0</v>
      </c>
    </row>
    <row r="1908" spans="1:16" x14ac:dyDescent="0.2">
      <c r="A1908">
        <v>2283911</v>
      </c>
      <c r="B1908" t="s">
        <v>3441</v>
      </c>
      <c r="C1908" t="s">
        <v>76</v>
      </c>
      <c r="D1908" t="s">
        <v>139</v>
      </c>
      <c r="E1908" s="1">
        <v>45044</v>
      </c>
      <c r="F1908" t="s">
        <v>3442</v>
      </c>
      <c r="G1908" s="1">
        <v>45057</v>
      </c>
      <c r="I1908" t="s">
        <v>13</v>
      </c>
      <c r="J1908" s="1" t="b">
        <f t="shared" si="203"/>
        <v>0</v>
      </c>
      <c r="K1908" s="1" t="b">
        <f t="shared" si="204"/>
        <v>1</v>
      </c>
      <c r="L1908" s="1" t="b">
        <f t="shared" si="205"/>
        <v>0</v>
      </c>
      <c r="M1908" s="1" t="b">
        <f t="shared" si="206"/>
        <v>0</v>
      </c>
      <c r="N1908" s="1" t="b">
        <f t="shared" si="207"/>
        <v>0</v>
      </c>
      <c r="O1908" s="1" t="b">
        <f t="shared" si="208"/>
        <v>0</v>
      </c>
      <c r="P1908" s="1" t="b">
        <f t="shared" si="209"/>
        <v>0</v>
      </c>
    </row>
    <row r="1909" spans="1:16" x14ac:dyDescent="0.2">
      <c r="A1909">
        <v>2283911</v>
      </c>
      <c r="B1909" t="s">
        <v>3443</v>
      </c>
      <c r="C1909" t="s">
        <v>76</v>
      </c>
      <c r="D1909" t="s">
        <v>139</v>
      </c>
      <c r="E1909" s="1">
        <v>44962</v>
      </c>
      <c r="F1909" t="s">
        <v>3444</v>
      </c>
      <c r="G1909" s="1">
        <v>44969</v>
      </c>
      <c r="H1909" s="1">
        <v>45023</v>
      </c>
      <c r="I1909" t="s">
        <v>43</v>
      </c>
      <c r="J1909" s="1" t="b">
        <f t="shared" si="203"/>
        <v>1</v>
      </c>
      <c r="K1909" s="1" t="b">
        <f t="shared" si="204"/>
        <v>0</v>
      </c>
      <c r="L1909" s="1" t="b">
        <f t="shared" si="205"/>
        <v>0</v>
      </c>
      <c r="M1909" s="1" t="b">
        <f t="shared" si="206"/>
        <v>0</v>
      </c>
      <c r="N1909" s="1" t="b">
        <f t="shared" si="207"/>
        <v>0</v>
      </c>
      <c r="O1909" s="1" t="b">
        <f t="shared" si="208"/>
        <v>1</v>
      </c>
      <c r="P1909" s="1" t="b">
        <f t="shared" si="209"/>
        <v>0</v>
      </c>
    </row>
    <row r="1910" spans="1:16" x14ac:dyDescent="0.2">
      <c r="A1910">
        <v>2283911</v>
      </c>
      <c r="B1910" t="s">
        <v>3445</v>
      </c>
      <c r="C1910" t="s">
        <v>76</v>
      </c>
      <c r="D1910" t="s">
        <v>139</v>
      </c>
      <c r="E1910" s="1">
        <v>44997</v>
      </c>
      <c r="F1910" t="s">
        <v>2227</v>
      </c>
      <c r="G1910" s="1">
        <v>45014</v>
      </c>
      <c r="H1910" s="1">
        <v>45062</v>
      </c>
      <c r="I1910" t="s">
        <v>28</v>
      </c>
      <c r="J1910" s="1" t="b">
        <f t="shared" si="203"/>
        <v>1</v>
      </c>
      <c r="K1910" s="1" t="b">
        <f t="shared" si="204"/>
        <v>0</v>
      </c>
      <c r="L1910" s="1" t="b">
        <f t="shared" si="205"/>
        <v>0</v>
      </c>
      <c r="M1910" s="1" t="b">
        <f t="shared" si="206"/>
        <v>0</v>
      </c>
      <c r="N1910" s="1" t="b">
        <f t="shared" si="207"/>
        <v>0</v>
      </c>
      <c r="O1910" s="1" t="b">
        <f t="shared" si="208"/>
        <v>0</v>
      </c>
      <c r="P1910" s="1" t="b">
        <f t="shared" si="209"/>
        <v>1</v>
      </c>
    </row>
    <row r="1911" spans="1:16" x14ac:dyDescent="0.2">
      <c r="A1911">
        <v>2283911</v>
      </c>
      <c r="B1911" t="s">
        <v>3446</v>
      </c>
      <c r="C1911" t="s">
        <v>76</v>
      </c>
      <c r="D1911" t="s">
        <v>139</v>
      </c>
      <c r="E1911" s="1">
        <v>44769</v>
      </c>
      <c r="F1911" t="s">
        <v>3447</v>
      </c>
      <c r="G1911" s="1">
        <v>44773</v>
      </c>
      <c r="I1911" t="s">
        <v>13</v>
      </c>
      <c r="J1911" s="1" t="b">
        <f t="shared" si="203"/>
        <v>0</v>
      </c>
      <c r="K1911" s="1" t="b">
        <f t="shared" si="204"/>
        <v>1</v>
      </c>
      <c r="L1911" s="1" t="b">
        <f t="shared" si="205"/>
        <v>0</v>
      </c>
      <c r="M1911" s="1" t="b">
        <f t="shared" si="206"/>
        <v>0</v>
      </c>
      <c r="N1911" s="1" t="b">
        <f t="shared" si="207"/>
        <v>0</v>
      </c>
      <c r="O1911" s="1" t="b">
        <f t="shared" si="208"/>
        <v>0</v>
      </c>
      <c r="P1911" s="1" t="b">
        <f t="shared" si="209"/>
        <v>0</v>
      </c>
    </row>
    <row r="1912" spans="1:16" x14ac:dyDescent="0.2">
      <c r="A1912">
        <v>5886173</v>
      </c>
      <c r="B1912" t="s">
        <v>3448</v>
      </c>
      <c r="C1912" t="s">
        <v>315</v>
      </c>
      <c r="D1912" t="s">
        <v>122</v>
      </c>
      <c r="E1912" s="1">
        <v>45080</v>
      </c>
      <c r="F1912" t="s">
        <v>3449</v>
      </c>
      <c r="G1912" s="1">
        <v>45088</v>
      </c>
      <c r="H1912" s="1">
        <v>45113</v>
      </c>
      <c r="I1912" t="s">
        <v>28</v>
      </c>
      <c r="J1912" s="1" t="b">
        <f t="shared" si="203"/>
        <v>1</v>
      </c>
      <c r="K1912" s="1" t="b">
        <f t="shared" si="204"/>
        <v>0</v>
      </c>
      <c r="L1912" s="1" t="b">
        <f t="shared" si="205"/>
        <v>0</v>
      </c>
      <c r="M1912" s="1" t="b">
        <f t="shared" si="206"/>
        <v>0</v>
      </c>
      <c r="N1912" s="1" t="b">
        <f t="shared" si="207"/>
        <v>0</v>
      </c>
      <c r="O1912" s="1" t="b">
        <f t="shared" si="208"/>
        <v>0</v>
      </c>
      <c r="P1912" s="1" t="b">
        <f t="shared" si="209"/>
        <v>1</v>
      </c>
    </row>
    <row r="1913" spans="1:16" x14ac:dyDescent="0.2">
      <c r="A1913">
        <v>5886173</v>
      </c>
      <c r="B1913" t="s">
        <v>3450</v>
      </c>
      <c r="C1913" t="s">
        <v>315</v>
      </c>
      <c r="D1913" t="s">
        <v>122</v>
      </c>
      <c r="E1913" s="1">
        <v>44965</v>
      </c>
      <c r="F1913" t="s">
        <v>3451</v>
      </c>
      <c r="G1913" s="1">
        <v>44977</v>
      </c>
      <c r="I1913" t="s">
        <v>13</v>
      </c>
      <c r="J1913" s="1" t="b">
        <f t="shared" si="203"/>
        <v>0</v>
      </c>
      <c r="K1913" s="1" t="b">
        <f t="shared" si="204"/>
        <v>1</v>
      </c>
      <c r="L1913" s="1" t="b">
        <f t="shared" si="205"/>
        <v>0</v>
      </c>
      <c r="M1913" s="1" t="b">
        <f t="shared" si="206"/>
        <v>0</v>
      </c>
      <c r="N1913" s="1" t="b">
        <f t="shared" si="207"/>
        <v>0</v>
      </c>
      <c r="O1913" s="1" t="b">
        <f t="shared" si="208"/>
        <v>0</v>
      </c>
      <c r="P1913" s="1" t="b">
        <f t="shared" si="209"/>
        <v>0</v>
      </c>
    </row>
    <row r="1914" spans="1:16" x14ac:dyDescent="0.2">
      <c r="A1914">
        <v>2817044</v>
      </c>
      <c r="B1914" t="s">
        <v>3452</v>
      </c>
      <c r="C1914" t="s">
        <v>287</v>
      </c>
      <c r="D1914" t="s">
        <v>19</v>
      </c>
      <c r="E1914" s="1">
        <v>45019</v>
      </c>
      <c r="F1914" t="s">
        <v>1439</v>
      </c>
      <c r="G1914" s="1">
        <v>45031</v>
      </c>
      <c r="H1914" s="1">
        <v>45062</v>
      </c>
      <c r="J1914" s="1" t="b">
        <f t="shared" si="203"/>
        <v>1</v>
      </c>
      <c r="K1914" s="1" t="b">
        <f t="shared" si="204"/>
        <v>0</v>
      </c>
      <c r="L1914" s="1" t="b">
        <f t="shared" si="205"/>
        <v>0</v>
      </c>
      <c r="M1914" s="1" t="b">
        <f t="shared" si="206"/>
        <v>0</v>
      </c>
      <c r="N1914" s="1" t="b">
        <f t="shared" si="207"/>
        <v>0</v>
      </c>
      <c r="O1914" s="1" t="b">
        <f t="shared" si="208"/>
        <v>0</v>
      </c>
      <c r="P1914" s="1" t="b">
        <f t="shared" si="209"/>
        <v>0</v>
      </c>
    </row>
    <row r="1915" spans="1:16" x14ac:dyDescent="0.2">
      <c r="A1915">
        <v>2817044</v>
      </c>
      <c r="B1915" t="s">
        <v>3453</v>
      </c>
      <c r="C1915" t="s">
        <v>287</v>
      </c>
      <c r="D1915" t="s">
        <v>19</v>
      </c>
      <c r="E1915" s="1">
        <v>44647</v>
      </c>
      <c r="F1915" t="s">
        <v>3454</v>
      </c>
      <c r="G1915" s="1">
        <v>44651</v>
      </c>
      <c r="H1915" s="1">
        <v>44687</v>
      </c>
      <c r="I1915" t="s">
        <v>28</v>
      </c>
      <c r="J1915" s="1" t="b">
        <f t="shared" si="203"/>
        <v>1</v>
      </c>
      <c r="K1915" s="1" t="b">
        <f t="shared" si="204"/>
        <v>0</v>
      </c>
      <c r="L1915" s="1" t="b">
        <f t="shared" si="205"/>
        <v>0</v>
      </c>
      <c r="M1915" s="1" t="b">
        <f t="shared" si="206"/>
        <v>0</v>
      </c>
      <c r="N1915" s="1" t="b">
        <f t="shared" si="207"/>
        <v>0</v>
      </c>
      <c r="O1915" s="1" t="b">
        <f t="shared" si="208"/>
        <v>0</v>
      </c>
      <c r="P1915" s="1" t="b">
        <f t="shared" si="209"/>
        <v>1</v>
      </c>
    </row>
    <row r="1916" spans="1:16" x14ac:dyDescent="0.2">
      <c r="A1916">
        <v>2817044</v>
      </c>
      <c r="B1916" t="s">
        <v>3455</v>
      </c>
      <c r="C1916" t="s">
        <v>287</v>
      </c>
      <c r="D1916" t="s">
        <v>19</v>
      </c>
      <c r="E1916" s="1">
        <v>44817</v>
      </c>
      <c r="F1916" t="s">
        <v>3329</v>
      </c>
      <c r="G1916" s="1">
        <v>44820</v>
      </c>
      <c r="I1916" t="s">
        <v>13</v>
      </c>
      <c r="J1916" s="1" t="b">
        <f t="shared" si="203"/>
        <v>0</v>
      </c>
      <c r="K1916" s="1" t="b">
        <f t="shared" si="204"/>
        <v>1</v>
      </c>
      <c r="L1916" s="1" t="b">
        <f t="shared" si="205"/>
        <v>0</v>
      </c>
      <c r="M1916" s="1" t="b">
        <f t="shared" si="206"/>
        <v>0</v>
      </c>
      <c r="N1916" s="1" t="b">
        <f t="shared" si="207"/>
        <v>0</v>
      </c>
      <c r="O1916" s="1" t="b">
        <f t="shared" si="208"/>
        <v>0</v>
      </c>
      <c r="P1916" s="1" t="b">
        <f t="shared" si="209"/>
        <v>0</v>
      </c>
    </row>
    <row r="1917" spans="1:16" x14ac:dyDescent="0.2">
      <c r="A1917">
        <v>2817044</v>
      </c>
      <c r="B1917" t="s">
        <v>3456</v>
      </c>
      <c r="C1917" t="s">
        <v>287</v>
      </c>
      <c r="D1917" t="s">
        <v>19</v>
      </c>
      <c r="E1917" s="1">
        <v>45046</v>
      </c>
      <c r="F1917" t="s">
        <v>3457</v>
      </c>
      <c r="G1917" s="1">
        <v>45063</v>
      </c>
      <c r="I1917" t="s">
        <v>13</v>
      </c>
      <c r="J1917" s="1" t="b">
        <f t="shared" si="203"/>
        <v>0</v>
      </c>
      <c r="K1917" s="1" t="b">
        <f t="shared" si="204"/>
        <v>1</v>
      </c>
      <c r="L1917" s="1" t="b">
        <f t="shared" si="205"/>
        <v>0</v>
      </c>
      <c r="M1917" s="1" t="b">
        <f t="shared" si="206"/>
        <v>0</v>
      </c>
      <c r="N1917" s="1" t="b">
        <f t="shared" si="207"/>
        <v>0</v>
      </c>
      <c r="O1917" s="1" t="b">
        <f t="shared" si="208"/>
        <v>0</v>
      </c>
      <c r="P1917" s="1" t="b">
        <f t="shared" si="209"/>
        <v>0</v>
      </c>
    </row>
    <row r="1918" spans="1:16" x14ac:dyDescent="0.2">
      <c r="A1918">
        <v>2817044</v>
      </c>
      <c r="B1918" t="s">
        <v>3458</v>
      </c>
      <c r="C1918" t="s">
        <v>287</v>
      </c>
      <c r="D1918" t="s">
        <v>19</v>
      </c>
      <c r="E1918" s="1">
        <v>45067</v>
      </c>
      <c r="F1918" t="s">
        <v>3459</v>
      </c>
      <c r="G1918" s="1">
        <v>45076</v>
      </c>
      <c r="H1918" s="1">
        <v>45103</v>
      </c>
      <c r="I1918" t="s">
        <v>43</v>
      </c>
      <c r="J1918" s="1" t="b">
        <f t="shared" si="203"/>
        <v>1</v>
      </c>
      <c r="K1918" s="1" t="b">
        <f t="shared" si="204"/>
        <v>0</v>
      </c>
      <c r="L1918" s="1" t="b">
        <f t="shared" si="205"/>
        <v>0</v>
      </c>
      <c r="M1918" s="1" t="b">
        <f t="shared" si="206"/>
        <v>0</v>
      </c>
      <c r="N1918" s="1" t="b">
        <f t="shared" si="207"/>
        <v>0</v>
      </c>
      <c r="O1918" s="1" t="b">
        <f t="shared" si="208"/>
        <v>1</v>
      </c>
      <c r="P1918" s="1" t="b">
        <f t="shared" si="209"/>
        <v>0</v>
      </c>
    </row>
    <row r="1919" spans="1:16" x14ac:dyDescent="0.2">
      <c r="A1919">
        <v>6225347</v>
      </c>
      <c r="B1919" t="s">
        <v>3460</v>
      </c>
      <c r="C1919" t="s">
        <v>138</v>
      </c>
      <c r="D1919" t="s">
        <v>39</v>
      </c>
      <c r="E1919" s="1">
        <v>45062</v>
      </c>
      <c r="F1919" t="s">
        <v>3461</v>
      </c>
      <c r="G1919" s="1">
        <v>45080</v>
      </c>
      <c r="I1919" t="s">
        <v>13</v>
      </c>
      <c r="J1919" s="1" t="b">
        <f t="shared" si="203"/>
        <v>0</v>
      </c>
      <c r="K1919" s="1" t="b">
        <f t="shared" si="204"/>
        <v>1</v>
      </c>
      <c r="L1919" s="1" t="b">
        <f t="shared" si="205"/>
        <v>0</v>
      </c>
      <c r="M1919" s="1" t="b">
        <f t="shared" si="206"/>
        <v>0</v>
      </c>
      <c r="N1919" s="1" t="b">
        <f t="shared" si="207"/>
        <v>0</v>
      </c>
      <c r="O1919" s="1" t="b">
        <f t="shared" si="208"/>
        <v>0</v>
      </c>
      <c r="P1919" s="1" t="b">
        <f t="shared" si="209"/>
        <v>0</v>
      </c>
    </row>
    <row r="1920" spans="1:16" x14ac:dyDescent="0.2">
      <c r="A1920">
        <v>6225347</v>
      </c>
      <c r="B1920" t="s">
        <v>3462</v>
      </c>
      <c r="C1920" t="s">
        <v>138</v>
      </c>
      <c r="D1920" t="s">
        <v>39</v>
      </c>
      <c r="E1920" s="1">
        <v>44836</v>
      </c>
      <c r="F1920" t="s">
        <v>3463</v>
      </c>
      <c r="G1920" s="1">
        <v>44859</v>
      </c>
      <c r="H1920" s="1">
        <v>44873</v>
      </c>
      <c r="J1920" s="1" t="b">
        <f t="shared" si="203"/>
        <v>1</v>
      </c>
      <c r="K1920" s="1" t="b">
        <f t="shared" si="204"/>
        <v>0</v>
      </c>
      <c r="L1920" s="1" t="b">
        <f t="shared" si="205"/>
        <v>0</v>
      </c>
      <c r="M1920" s="1" t="b">
        <f t="shared" si="206"/>
        <v>0</v>
      </c>
      <c r="N1920" s="1" t="b">
        <f t="shared" si="207"/>
        <v>0</v>
      </c>
      <c r="O1920" s="1" t="b">
        <f t="shared" si="208"/>
        <v>0</v>
      </c>
      <c r="P1920" s="1" t="b">
        <f t="shared" si="209"/>
        <v>0</v>
      </c>
    </row>
    <row r="1921" spans="1:16" x14ac:dyDescent="0.2">
      <c r="A1921">
        <v>9385512</v>
      </c>
      <c r="B1921" t="s">
        <v>3464</v>
      </c>
      <c r="C1921" t="s">
        <v>720</v>
      </c>
      <c r="D1921" t="s">
        <v>19</v>
      </c>
      <c r="E1921" s="1">
        <v>44645</v>
      </c>
      <c r="F1921" t="s">
        <v>3465</v>
      </c>
      <c r="G1921" s="1">
        <v>44675</v>
      </c>
      <c r="H1921" s="1">
        <v>44682</v>
      </c>
      <c r="J1921" s="1" t="b">
        <f t="shared" si="203"/>
        <v>1</v>
      </c>
      <c r="K1921" s="1" t="b">
        <f t="shared" si="204"/>
        <v>0</v>
      </c>
      <c r="L1921" s="1" t="b">
        <f t="shared" si="205"/>
        <v>0</v>
      </c>
      <c r="M1921" s="1" t="b">
        <f t="shared" si="206"/>
        <v>0</v>
      </c>
      <c r="N1921" s="1" t="b">
        <f t="shared" si="207"/>
        <v>0</v>
      </c>
      <c r="O1921" s="1" t="b">
        <f t="shared" si="208"/>
        <v>0</v>
      </c>
      <c r="P1921" s="1" t="b">
        <f t="shared" si="209"/>
        <v>0</v>
      </c>
    </row>
    <row r="1922" spans="1:16" x14ac:dyDescent="0.2">
      <c r="A1922">
        <v>9385512</v>
      </c>
      <c r="B1922" t="s">
        <v>3466</v>
      </c>
      <c r="C1922" t="s">
        <v>720</v>
      </c>
      <c r="D1922" t="s">
        <v>19</v>
      </c>
      <c r="E1922" s="1">
        <v>44575</v>
      </c>
      <c r="F1922" t="s">
        <v>3467</v>
      </c>
      <c r="G1922" s="1">
        <v>44581</v>
      </c>
      <c r="H1922" s="1">
        <v>44615</v>
      </c>
      <c r="I1922" t="s">
        <v>16</v>
      </c>
      <c r="J1922" s="1" t="b">
        <f t="shared" si="203"/>
        <v>1</v>
      </c>
      <c r="K1922" s="1" t="b">
        <f t="shared" si="204"/>
        <v>0</v>
      </c>
      <c r="L1922" s="1" t="b">
        <f t="shared" si="205"/>
        <v>0</v>
      </c>
      <c r="M1922" s="1" t="b">
        <f t="shared" si="206"/>
        <v>0</v>
      </c>
      <c r="N1922" s="1" t="b">
        <f t="shared" si="207"/>
        <v>1</v>
      </c>
      <c r="O1922" s="1" t="b">
        <f t="shared" si="208"/>
        <v>0</v>
      </c>
      <c r="P1922" s="1" t="b">
        <f t="shared" si="209"/>
        <v>0</v>
      </c>
    </row>
    <row r="1923" spans="1:16" x14ac:dyDescent="0.2">
      <c r="A1923">
        <v>9385512</v>
      </c>
      <c r="B1923" t="s">
        <v>3468</v>
      </c>
      <c r="C1923" t="s">
        <v>720</v>
      </c>
      <c r="D1923" t="s">
        <v>19</v>
      </c>
      <c r="E1923" s="1">
        <v>44678</v>
      </c>
      <c r="F1923" t="s">
        <v>1147</v>
      </c>
      <c r="G1923" s="1">
        <v>44680</v>
      </c>
      <c r="H1923" s="1">
        <v>44737</v>
      </c>
      <c r="I1923" t="s">
        <v>43</v>
      </c>
      <c r="J1923" s="1" t="b">
        <f t="shared" ref="J1923:J1986" si="210">AND(NOT(ISBLANK(H1923)), NOT(OR(ISNUMBER(SEARCH("decline", I1923)), ISNUMBER(SEARCH("rescind", I1923)), ISNUMBER(SEARCH("cancel", I1923)))))</f>
        <v>1</v>
      </c>
      <c r="K1923" s="1" t="b">
        <f t="shared" ref="K1923:K1986" si="211">ISNUMBER(SEARCH("decline", I1923))</f>
        <v>0</v>
      </c>
      <c r="L1923" s="1" t="b">
        <f t="shared" ref="L1923:L1986" si="212">ISNUMBER(SEARCH("rescind", I1923))</f>
        <v>0</v>
      </c>
      <c r="M1923" s="1" t="b">
        <f t="shared" ref="M1923:M1986" si="213">ISNUMBER(SEARCH("cancel", I1923))</f>
        <v>0</v>
      </c>
      <c r="N1923" s="1" t="b">
        <f t="shared" ref="N1923:N1986" si="214">ISNUMBER(SEARCH("transfer", I1923))</f>
        <v>0</v>
      </c>
      <c r="O1923" s="1" t="b">
        <f t="shared" ref="O1923:O1986" si="215">ISNUMBER(SEARCH("promo", I1923))</f>
        <v>1</v>
      </c>
      <c r="P1923" s="1" t="b">
        <f t="shared" ref="P1923:P1986" si="216">ISNUMBER(SEARCH("new", I1923))</f>
        <v>0</v>
      </c>
    </row>
    <row r="1924" spans="1:16" x14ac:dyDescent="0.2">
      <c r="A1924">
        <v>8116596</v>
      </c>
      <c r="B1924" t="s">
        <v>3469</v>
      </c>
      <c r="C1924" t="s">
        <v>363</v>
      </c>
      <c r="D1924" t="s">
        <v>187</v>
      </c>
      <c r="E1924" s="1">
        <v>44865</v>
      </c>
      <c r="F1924" t="s">
        <v>2813</v>
      </c>
      <c r="G1924" s="1">
        <v>44869</v>
      </c>
      <c r="H1924" s="1">
        <v>44897</v>
      </c>
      <c r="J1924" s="1" t="b">
        <f t="shared" si="210"/>
        <v>1</v>
      </c>
      <c r="K1924" s="1" t="b">
        <f t="shared" si="211"/>
        <v>0</v>
      </c>
      <c r="L1924" s="1" t="b">
        <f t="shared" si="212"/>
        <v>0</v>
      </c>
      <c r="M1924" s="1" t="b">
        <f t="shared" si="213"/>
        <v>0</v>
      </c>
      <c r="N1924" s="1" t="b">
        <f t="shared" si="214"/>
        <v>0</v>
      </c>
      <c r="O1924" s="1" t="b">
        <f t="shared" si="215"/>
        <v>0</v>
      </c>
      <c r="P1924" s="1" t="b">
        <f t="shared" si="216"/>
        <v>0</v>
      </c>
    </row>
    <row r="1925" spans="1:16" x14ac:dyDescent="0.2">
      <c r="A1925">
        <v>8116596</v>
      </c>
      <c r="B1925" t="s">
        <v>3470</v>
      </c>
      <c r="C1925" t="s">
        <v>363</v>
      </c>
      <c r="D1925" t="s">
        <v>187</v>
      </c>
      <c r="E1925" s="1">
        <v>44942</v>
      </c>
      <c r="F1925" t="s">
        <v>2261</v>
      </c>
      <c r="G1925" s="1">
        <v>44961</v>
      </c>
      <c r="H1925" s="1">
        <v>45003</v>
      </c>
      <c r="I1925" t="s">
        <v>28</v>
      </c>
      <c r="J1925" s="1" t="b">
        <f t="shared" si="210"/>
        <v>1</v>
      </c>
      <c r="K1925" s="1" t="b">
        <f t="shared" si="211"/>
        <v>0</v>
      </c>
      <c r="L1925" s="1" t="b">
        <f t="shared" si="212"/>
        <v>0</v>
      </c>
      <c r="M1925" s="1" t="b">
        <f t="shared" si="213"/>
        <v>0</v>
      </c>
      <c r="N1925" s="1" t="b">
        <f t="shared" si="214"/>
        <v>0</v>
      </c>
      <c r="O1925" s="1" t="b">
        <f t="shared" si="215"/>
        <v>0</v>
      </c>
      <c r="P1925" s="1" t="b">
        <f t="shared" si="216"/>
        <v>1</v>
      </c>
    </row>
    <row r="1926" spans="1:16" x14ac:dyDescent="0.2">
      <c r="A1926">
        <v>8116596</v>
      </c>
      <c r="B1926" t="s">
        <v>3471</v>
      </c>
      <c r="C1926" t="s">
        <v>363</v>
      </c>
      <c r="D1926" t="s">
        <v>187</v>
      </c>
      <c r="E1926" s="1">
        <v>44771</v>
      </c>
      <c r="F1926" t="s">
        <v>3472</v>
      </c>
      <c r="G1926" s="1">
        <v>44797</v>
      </c>
      <c r="I1926" t="s">
        <v>13</v>
      </c>
      <c r="J1926" s="1" t="b">
        <f t="shared" si="210"/>
        <v>0</v>
      </c>
      <c r="K1926" s="1" t="b">
        <f t="shared" si="211"/>
        <v>1</v>
      </c>
      <c r="L1926" s="1" t="b">
        <f t="shared" si="212"/>
        <v>0</v>
      </c>
      <c r="M1926" s="1" t="b">
        <f t="shared" si="213"/>
        <v>0</v>
      </c>
      <c r="N1926" s="1" t="b">
        <f t="shared" si="214"/>
        <v>0</v>
      </c>
      <c r="O1926" s="1" t="b">
        <f t="shared" si="215"/>
        <v>0</v>
      </c>
      <c r="P1926" s="1" t="b">
        <f t="shared" si="216"/>
        <v>0</v>
      </c>
    </row>
    <row r="1927" spans="1:16" x14ac:dyDescent="0.2">
      <c r="A1927">
        <v>8116596</v>
      </c>
      <c r="B1927" t="s">
        <v>3473</v>
      </c>
      <c r="C1927" t="s">
        <v>363</v>
      </c>
      <c r="D1927" t="s">
        <v>187</v>
      </c>
      <c r="E1927" s="1">
        <v>44819</v>
      </c>
      <c r="F1927" t="s">
        <v>3474</v>
      </c>
      <c r="G1927" s="1">
        <v>44835</v>
      </c>
      <c r="H1927" s="1">
        <v>44865</v>
      </c>
      <c r="I1927" t="s">
        <v>28</v>
      </c>
      <c r="J1927" s="1" t="b">
        <f t="shared" si="210"/>
        <v>1</v>
      </c>
      <c r="K1927" s="1" t="b">
        <f t="shared" si="211"/>
        <v>0</v>
      </c>
      <c r="L1927" s="1" t="b">
        <f t="shared" si="212"/>
        <v>0</v>
      </c>
      <c r="M1927" s="1" t="b">
        <f t="shared" si="213"/>
        <v>0</v>
      </c>
      <c r="N1927" s="1" t="b">
        <f t="shared" si="214"/>
        <v>0</v>
      </c>
      <c r="O1927" s="1" t="b">
        <f t="shared" si="215"/>
        <v>0</v>
      </c>
      <c r="P1927" s="1" t="b">
        <f t="shared" si="216"/>
        <v>1</v>
      </c>
    </row>
    <row r="1928" spans="1:16" x14ac:dyDescent="0.2">
      <c r="A1928">
        <v>8116596</v>
      </c>
      <c r="B1928" t="s">
        <v>3475</v>
      </c>
      <c r="C1928" t="s">
        <v>363</v>
      </c>
      <c r="D1928" t="s">
        <v>187</v>
      </c>
      <c r="E1928" s="1">
        <v>44700</v>
      </c>
      <c r="F1928" t="s">
        <v>3476</v>
      </c>
      <c r="G1928" s="1">
        <v>44706</v>
      </c>
      <c r="I1928" t="s">
        <v>25</v>
      </c>
      <c r="J1928" s="1" t="b">
        <f t="shared" si="210"/>
        <v>0</v>
      </c>
      <c r="K1928" s="1" t="b">
        <f t="shared" si="211"/>
        <v>0</v>
      </c>
      <c r="L1928" s="1" t="b">
        <f t="shared" si="212"/>
        <v>1</v>
      </c>
      <c r="M1928" s="1" t="b">
        <f t="shared" si="213"/>
        <v>0</v>
      </c>
      <c r="N1928" s="1" t="b">
        <f t="shared" si="214"/>
        <v>0</v>
      </c>
      <c r="O1928" s="1" t="b">
        <f t="shared" si="215"/>
        <v>0</v>
      </c>
      <c r="P1928" s="1" t="b">
        <f t="shared" si="216"/>
        <v>0</v>
      </c>
    </row>
    <row r="1929" spans="1:16" x14ac:dyDescent="0.2">
      <c r="A1929">
        <v>9797610</v>
      </c>
      <c r="B1929" t="s">
        <v>3477</v>
      </c>
      <c r="C1929" t="s">
        <v>240</v>
      </c>
      <c r="D1929" t="s">
        <v>77</v>
      </c>
      <c r="E1929" s="1">
        <v>45043</v>
      </c>
      <c r="F1929" t="s">
        <v>3478</v>
      </c>
      <c r="G1929" s="1">
        <v>45046</v>
      </c>
      <c r="I1929" t="s">
        <v>25</v>
      </c>
      <c r="J1929" s="1" t="b">
        <f t="shared" si="210"/>
        <v>0</v>
      </c>
      <c r="K1929" s="1" t="b">
        <f t="shared" si="211"/>
        <v>0</v>
      </c>
      <c r="L1929" s="1" t="b">
        <f t="shared" si="212"/>
        <v>1</v>
      </c>
      <c r="M1929" s="1" t="b">
        <f t="shared" si="213"/>
        <v>0</v>
      </c>
      <c r="N1929" s="1" t="b">
        <f t="shared" si="214"/>
        <v>0</v>
      </c>
      <c r="O1929" s="1" t="b">
        <f t="shared" si="215"/>
        <v>0</v>
      </c>
      <c r="P1929" s="1" t="b">
        <f t="shared" si="216"/>
        <v>0</v>
      </c>
    </row>
    <row r="1930" spans="1:16" x14ac:dyDescent="0.2">
      <c r="A1930">
        <v>1093993</v>
      </c>
      <c r="B1930" t="s">
        <v>3479</v>
      </c>
      <c r="C1930" t="s">
        <v>110</v>
      </c>
      <c r="D1930" t="s">
        <v>19</v>
      </c>
      <c r="E1930" s="1">
        <v>44624</v>
      </c>
      <c r="F1930" t="s">
        <v>3480</v>
      </c>
      <c r="G1930" s="1">
        <v>44644</v>
      </c>
      <c r="H1930" s="1">
        <v>44674</v>
      </c>
      <c r="J1930" s="1" t="b">
        <f t="shared" si="210"/>
        <v>1</v>
      </c>
      <c r="K1930" s="1" t="b">
        <f t="shared" si="211"/>
        <v>0</v>
      </c>
      <c r="L1930" s="1" t="b">
        <f t="shared" si="212"/>
        <v>0</v>
      </c>
      <c r="M1930" s="1" t="b">
        <f t="shared" si="213"/>
        <v>0</v>
      </c>
      <c r="N1930" s="1" t="b">
        <f t="shared" si="214"/>
        <v>0</v>
      </c>
      <c r="O1930" s="1" t="b">
        <f t="shared" si="215"/>
        <v>0</v>
      </c>
      <c r="P1930" s="1" t="b">
        <f t="shared" si="216"/>
        <v>0</v>
      </c>
    </row>
    <row r="1931" spans="1:16" x14ac:dyDescent="0.2">
      <c r="A1931">
        <v>1093993</v>
      </c>
      <c r="B1931" t="s">
        <v>3481</v>
      </c>
      <c r="C1931" t="s">
        <v>110</v>
      </c>
      <c r="D1931" t="s">
        <v>19</v>
      </c>
      <c r="E1931" s="1">
        <v>44793</v>
      </c>
      <c r="F1931" t="s">
        <v>1014</v>
      </c>
      <c r="G1931" s="1">
        <v>44805</v>
      </c>
      <c r="H1931" s="1">
        <v>44846</v>
      </c>
      <c r="I1931" t="s">
        <v>16</v>
      </c>
      <c r="J1931" s="1" t="b">
        <f t="shared" si="210"/>
        <v>1</v>
      </c>
      <c r="K1931" s="1" t="b">
        <f t="shared" si="211"/>
        <v>0</v>
      </c>
      <c r="L1931" s="1" t="b">
        <f t="shared" si="212"/>
        <v>0</v>
      </c>
      <c r="M1931" s="1" t="b">
        <f t="shared" si="213"/>
        <v>0</v>
      </c>
      <c r="N1931" s="1" t="b">
        <f t="shared" si="214"/>
        <v>1</v>
      </c>
      <c r="O1931" s="1" t="b">
        <f t="shared" si="215"/>
        <v>0</v>
      </c>
      <c r="P1931" s="1" t="b">
        <f t="shared" si="216"/>
        <v>0</v>
      </c>
    </row>
    <row r="1932" spans="1:16" x14ac:dyDescent="0.2">
      <c r="A1932">
        <v>1237053</v>
      </c>
      <c r="B1932" t="s">
        <v>3482</v>
      </c>
      <c r="C1932" t="s">
        <v>310</v>
      </c>
      <c r="D1932" t="s">
        <v>19</v>
      </c>
      <c r="E1932" s="1">
        <v>44998</v>
      </c>
      <c r="F1932" t="s">
        <v>2306</v>
      </c>
      <c r="G1932" s="1">
        <v>45017</v>
      </c>
      <c r="I1932" t="s">
        <v>13</v>
      </c>
      <c r="J1932" s="1" t="b">
        <f t="shared" si="210"/>
        <v>0</v>
      </c>
      <c r="K1932" s="1" t="b">
        <f t="shared" si="211"/>
        <v>1</v>
      </c>
      <c r="L1932" s="1" t="b">
        <f t="shared" si="212"/>
        <v>0</v>
      </c>
      <c r="M1932" s="1" t="b">
        <f t="shared" si="213"/>
        <v>0</v>
      </c>
      <c r="N1932" s="1" t="b">
        <f t="shared" si="214"/>
        <v>0</v>
      </c>
      <c r="O1932" s="1" t="b">
        <f t="shared" si="215"/>
        <v>0</v>
      </c>
      <c r="P1932" s="1" t="b">
        <f t="shared" si="216"/>
        <v>0</v>
      </c>
    </row>
    <row r="1933" spans="1:16" x14ac:dyDescent="0.2">
      <c r="A1933">
        <v>1237053</v>
      </c>
      <c r="B1933" t="s">
        <v>3483</v>
      </c>
      <c r="C1933" t="s">
        <v>310</v>
      </c>
      <c r="D1933" t="s">
        <v>19</v>
      </c>
      <c r="E1933" s="1">
        <v>44974</v>
      </c>
      <c r="F1933" t="s">
        <v>754</v>
      </c>
      <c r="G1933" s="1">
        <v>45004</v>
      </c>
      <c r="H1933" s="1">
        <v>45021</v>
      </c>
      <c r="I1933" t="s">
        <v>28</v>
      </c>
      <c r="J1933" s="1" t="b">
        <f t="shared" si="210"/>
        <v>1</v>
      </c>
      <c r="K1933" s="1" t="b">
        <f t="shared" si="211"/>
        <v>0</v>
      </c>
      <c r="L1933" s="1" t="b">
        <f t="shared" si="212"/>
        <v>0</v>
      </c>
      <c r="M1933" s="1" t="b">
        <f t="shared" si="213"/>
        <v>0</v>
      </c>
      <c r="N1933" s="1" t="b">
        <f t="shared" si="214"/>
        <v>0</v>
      </c>
      <c r="O1933" s="1" t="b">
        <f t="shared" si="215"/>
        <v>0</v>
      </c>
      <c r="P1933" s="1" t="b">
        <f t="shared" si="216"/>
        <v>1</v>
      </c>
    </row>
    <row r="1934" spans="1:16" x14ac:dyDescent="0.2">
      <c r="A1934">
        <v>1237053</v>
      </c>
      <c r="B1934" t="s">
        <v>3484</v>
      </c>
      <c r="C1934" t="s">
        <v>310</v>
      </c>
      <c r="D1934" t="s">
        <v>19</v>
      </c>
      <c r="E1934" s="1">
        <v>44718</v>
      </c>
      <c r="F1934" t="s">
        <v>2060</v>
      </c>
      <c r="G1934" s="1">
        <v>44722</v>
      </c>
      <c r="H1934" s="1">
        <v>44769</v>
      </c>
      <c r="I1934" t="s">
        <v>43</v>
      </c>
      <c r="J1934" s="1" t="b">
        <f t="shared" si="210"/>
        <v>1</v>
      </c>
      <c r="K1934" s="1" t="b">
        <f t="shared" si="211"/>
        <v>0</v>
      </c>
      <c r="L1934" s="1" t="b">
        <f t="shared" si="212"/>
        <v>0</v>
      </c>
      <c r="M1934" s="1" t="b">
        <f t="shared" si="213"/>
        <v>0</v>
      </c>
      <c r="N1934" s="1" t="b">
        <f t="shared" si="214"/>
        <v>0</v>
      </c>
      <c r="O1934" s="1" t="b">
        <f t="shared" si="215"/>
        <v>1</v>
      </c>
      <c r="P1934" s="1" t="b">
        <f t="shared" si="216"/>
        <v>0</v>
      </c>
    </row>
    <row r="1935" spans="1:16" x14ac:dyDescent="0.2">
      <c r="A1935">
        <v>4631285</v>
      </c>
      <c r="B1935" t="s">
        <v>3485</v>
      </c>
      <c r="C1935" t="s">
        <v>282</v>
      </c>
      <c r="D1935" t="s">
        <v>187</v>
      </c>
      <c r="E1935" s="1">
        <v>44954</v>
      </c>
      <c r="F1935" t="s">
        <v>3486</v>
      </c>
      <c r="G1935" s="1">
        <v>44965</v>
      </c>
      <c r="H1935" s="1">
        <v>45002</v>
      </c>
      <c r="I1935" t="s">
        <v>43</v>
      </c>
      <c r="J1935" s="1" t="b">
        <f t="shared" si="210"/>
        <v>1</v>
      </c>
      <c r="K1935" s="1" t="b">
        <f t="shared" si="211"/>
        <v>0</v>
      </c>
      <c r="L1935" s="1" t="b">
        <f t="shared" si="212"/>
        <v>0</v>
      </c>
      <c r="M1935" s="1" t="b">
        <f t="shared" si="213"/>
        <v>0</v>
      </c>
      <c r="N1935" s="1" t="b">
        <f t="shared" si="214"/>
        <v>0</v>
      </c>
      <c r="O1935" s="1" t="b">
        <f t="shared" si="215"/>
        <v>1</v>
      </c>
      <c r="P1935" s="1" t="b">
        <f t="shared" si="216"/>
        <v>0</v>
      </c>
    </row>
    <row r="1936" spans="1:16" x14ac:dyDescent="0.2">
      <c r="A1936">
        <v>4631285</v>
      </c>
      <c r="B1936" t="s">
        <v>3487</v>
      </c>
      <c r="C1936" t="s">
        <v>282</v>
      </c>
      <c r="D1936" t="s">
        <v>187</v>
      </c>
      <c r="E1936" s="1">
        <v>45046</v>
      </c>
      <c r="F1936" t="s">
        <v>2201</v>
      </c>
      <c r="G1936" s="1">
        <v>45053</v>
      </c>
      <c r="H1936" s="1">
        <v>45064</v>
      </c>
      <c r="I1936" t="s">
        <v>28</v>
      </c>
      <c r="J1936" s="1" t="b">
        <f t="shared" si="210"/>
        <v>1</v>
      </c>
      <c r="K1936" s="1" t="b">
        <f t="shared" si="211"/>
        <v>0</v>
      </c>
      <c r="L1936" s="1" t="b">
        <f t="shared" si="212"/>
        <v>0</v>
      </c>
      <c r="M1936" s="1" t="b">
        <f t="shared" si="213"/>
        <v>0</v>
      </c>
      <c r="N1936" s="1" t="b">
        <f t="shared" si="214"/>
        <v>0</v>
      </c>
      <c r="O1936" s="1" t="b">
        <f t="shared" si="215"/>
        <v>0</v>
      </c>
      <c r="P1936" s="1" t="b">
        <f t="shared" si="216"/>
        <v>1</v>
      </c>
    </row>
    <row r="1937" spans="1:16" x14ac:dyDescent="0.2">
      <c r="A1937">
        <v>4631285</v>
      </c>
      <c r="B1937" t="s">
        <v>3488</v>
      </c>
      <c r="C1937" t="s">
        <v>282</v>
      </c>
      <c r="D1937" t="s">
        <v>187</v>
      </c>
      <c r="E1937" s="1">
        <v>44655</v>
      </c>
      <c r="F1937" t="s">
        <v>3489</v>
      </c>
      <c r="G1937" s="1">
        <v>44685</v>
      </c>
      <c r="I1937" t="s">
        <v>13</v>
      </c>
      <c r="J1937" s="1" t="b">
        <f t="shared" si="210"/>
        <v>0</v>
      </c>
      <c r="K1937" s="1" t="b">
        <f t="shared" si="211"/>
        <v>1</v>
      </c>
      <c r="L1937" s="1" t="b">
        <f t="shared" si="212"/>
        <v>0</v>
      </c>
      <c r="M1937" s="1" t="b">
        <f t="shared" si="213"/>
        <v>0</v>
      </c>
      <c r="N1937" s="1" t="b">
        <f t="shared" si="214"/>
        <v>0</v>
      </c>
      <c r="O1937" s="1" t="b">
        <f t="shared" si="215"/>
        <v>0</v>
      </c>
      <c r="P1937" s="1" t="b">
        <f t="shared" si="216"/>
        <v>0</v>
      </c>
    </row>
    <row r="1938" spans="1:16" x14ac:dyDescent="0.2">
      <c r="A1938">
        <v>3457722</v>
      </c>
      <c r="B1938" t="s">
        <v>3490</v>
      </c>
      <c r="C1938" t="s">
        <v>71</v>
      </c>
      <c r="D1938" t="s">
        <v>187</v>
      </c>
      <c r="E1938" s="1">
        <v>44615</v>
      </c>
      <c r="F1938" t="s">
        <v>3491</v>
      </c>
      <c r="G1938" s="1">
        <v>44620</v>
      </c>
      <c r="H1938" s="1">
        <v>44653</v>
      </c>
      <c r="I1938" t="s">
        <v>28</v>
      </c>
      <c r="J1938" s="1" t="b">
        <f t="shared" si="210"/>
        <v>1</v>
      </c>
      <c r="K1938" s="1" t="b">
        <f t="shared" si="211"/>
        <v>0</v>
      </c>
      <c r="L1938" s="1" t="b">
        <f t="shared" si="212"/>
        <v>0</v>
      </c>
      <c r="M1938" s="1" t="b">
        <f t="shared" si="213"/>
        <v>0</v>
      </c>
      <c r="N1938" s="1" t="b">
        <f t="shared" si="214"/>
        <v>0</v>
      </c>
      <c r="O1938" s="1" t="b">
        <f t="shared" si="215"/>
        <v>0</v>
      </c>
      <c r="P1938" s="1" t="b">
        <f t="shared" si="216"/>
        <v>1</v>
      </c>
    </row>
    <row r="1939" spans="1:16" x14ac:dyDescent="0.2">
      <c r="A1939">
        <v>3457722</v>
      </c>
      <c r="B1939" t="s">
        <v>3492</v>
      </c>
      <c r="C1939" t="s">
        <v>71</v>
      </c>
      <c r="D1939" t="s">
        <v>187</v>
      </c>
      <c r="E1939" s="1">
        <v>44896</v>
      </c>
      <c r="F1939" t="s">
        <v>3493</v>
      </c>
      <c r="G1939" s="1">
        <v>44906</v>
      </c>
      <c r="H1939" s="1">
        <v>44939</v>
      </c>
      <c r="J1939" s="1" t="b">
        <f t="shared" si="210"/>
        <v>1</v>
      </c>
      <c r="K1939" s="1" t="b">
        <f t="shared" si="211"/>
        <v>0</v>
      </c>
      <c r="L1939" s="1" t="b">
        <f t="shared" si="212"/>
        <v>0</v>
      </c>
      <c r="M1939" s="1" t="b">
        <f t="shared" si="213"/>
        <v>0</v>
      </c>
      <c r="N1939" s="1" t="b">
        <f t="shared" si="214"/>
        <v>0</v>
      </c>
      <c r="O1939" s="1" t="b">
        <f t="shared" si="215"/>
        <v>0</v>
      </c>
      <c r="P1939" s="1" t="b">
        <f t="shared" si="216"/>
        <v>0</v>
      </c>
    </row>
    <row r="1940" spans="1:16" x14ac:dyDescent="0.2">
      <c r="A1940">
        <v>3457722</v>
      </c>
      <c r="B1940" t="s">
        <v>3494</v>
      </c>
      <c r="C1940" t="s">
        <v>71</v>
      </c>
      <c r="D1940" t="s">
        <v>187</v>
      </c>
      <c r="E1940" s="1">
        <v>44948</v>
      </c>
      <c r="F1940" t="s">
        <v>1651</v>
      </c>
      <c r="G1940" s="1">
        <v>44973</v>
      </c>
      <c r="H1940" s="1">
        <v>44998</v>
      </c>
      <c r="I1940" t="s">
        <v>43</v>
      </c>
      <c r="J1940" s="1" t="b">
        <f t="shared" si="210"/>
        <v>1</v>
      </c>
      <c r="K1940" s="1" t="b">
        <f t="shared" si="211"/>
        <v>0</v>
      </c>
      <c r="L1940" s="1" t="b">
        <f t="shared" si="212"/>
        <v>0</v>
      </c>
      <c r="M1940" s="1" t="b">
        <f t="shared" si="213"/>
        <v>0</v>
      </c>
      <c r="N1940" s="1" t="b">
        <f t="shared" si="214"/>
        <v>0</v>
      </c>
      <c r="O1940" s="1" t="b">
        <f t="shared" si="215"/>
        <v>1</v>
      </c>
      <c r="P1940" s="1" t="b">
        <f t="shared" si="216"/>
        <v>0</v>
      </c>
    </row>
    <row r="1941" spans="1:16" x14ac:dyDescent="0.2">
      <c r="A1941">
        <v>3457722</v>
      </c>
      <c r="B1941" t="s">
        <v>3495</v>
      </c>
      <c r="C1941" t="s">
        <v>71</v>
      </c>
      <c r="D1941" t="s">
        <v>187</v>
      </c>
      <c r="E1941" s="1">
        <v>45096</v>
      </c>
      <c r="F1941" t="s">
        <v>3041</v>
      </c>
      <c r="G1941" s="1">
        <v>45107</v>
      </c>
      <c r="H1941" s="1">
        <v>45141</v>
      </c>
      <c r="I1941" t="s">
        <v>28</v>
      </c>
      <c r="J1941" s="1" t="b">
        <f t="shared" si="210"/>
        <v>1</v>
      </c>
      <c r="K1941" s="1" t="b">
        <f t="shared" si="211"/>
        <v>0</v>
      </c>
      <c r="L1941" s="1" t="b">
        <f t="shared" si="212"/>
        <v>0</v>
      </c>
      <c r="M1941" s="1" t="b">
        <f t="shared" si="213"/>
        <v>0</v>
      </c>
      <c r="N1941" s="1" t="b">
        <f t="shared" si="214"/>
        <v>0</v>
      </c>
      <c r="O1941" s="1" t="b">
        <f t="shared" si="215"/>
        <v>0</v>
      </c>
      <c r="P1941" s="1" t="b">
        <f t="shared" si="216"/>
        <v>1</v>
      </c>
    </row>
    <row r="1942" spans="1:16" x14ac:dyDescent="0.2">
      <c r="A1942">
        <v>2311972</v>
      </c>
      <c r="B1942" t="s">
        <v>3496</v>
      </c>
      <c r="C1942" t="s">
        <v>131</v>
      </c>
      <c r="D1942" t="s">
        <v>81</v>
      </c>
      <c r="E1942" s="1">
        <v>45009</v>
      </c>
      <c r="F1942" t="s">
        <v>3497</v>
      </c>
      <c r="G1942" s="1">
        <v>45027</v>
      </c>
      <c r="H1942" s="1">
        <v>45056</v>
      </c>
      <c r="I1942" t="s">
        <v>28</v>
      </c>
      <c r="J1942" s="1" t="b">
        <f t="shared" si="210"/>
        <v>1</v>
      </c>
      <c r="K1942" s="1" t="b">
        <f t="shared" si="211"/>
        <v>0</v>
      </c>
      <c r="L1942" s="1" t="b">
        <f t="shared" si="212"/>
        <v>0</v>
      </c>
      <c r="M1942" s="1" t="b">
        <f t="shared" si="213"/>
        <v>0</v>
      </c>
      <c r="N1942" s="1" t="b">
        <f t="shared" si="214"/>
        <v>0</v>
      </c>
      <c r="O1942" s="1" t="b">
        <f t="shared" si="215"/>
        <v>0</v>
      </c>
      <c r="P1942" s="1" t="b">
        <f t="shared" si="216"/>
        <v>1</v>
      </c>
    </row>
    <row r="1943" spans="1:16" x14ac:dyDescent="0.2">
      <c r="A1943">
        <v>2311972</v>
      </c>
      <c r="B1943" t="s">
        <v>3498</v>
      </c>
      <c r="C1943" t="s">
        <v>131</v>
      </c>
      <c r="D1943" t="s">
        <v>81</v>
      </c>
      <c r="E1943" s="1">
        <v>45007</v>
      </c>
      <c r="F1943" t="s">
        <v>3499</v>
      </c>
      <c r="G1943" s="1">
        <v>45028</v>
      </c>
      <c r="H1943" s="1">
        <v>45051</v>
      </c>
      <c r="I1943" t="s">
        <v>28</v>
      </c>
      <c r="J1943" s="1" t="b">
        <f t="shared" si="210"/>
        <v>1</v>
      </c>
      <c r="K1943" s="1" t="b">
        <f t="shared" si="211"/>
        <v>0</v>
      </c>
      <c r="L1943" s="1" t="b">
        <f t="shared" si="212"/>
        <v>0</v>
      </c>
      <c r="M1943" s="1" t="b">
        <f t="shared" si="213"/>
        <v>0</v>
      </c>
      <c r="N1943" s="1" t="b">
        <f t="shared" si="214"/>
        <v>0</v>
      </c>
      <c r="O1943" s="1" t="b">
        <f t="shared" si="215"/>
        <v>0</v>
      </c>
      <c r="P1943" s="1" t="b">
        <f t="shared" si="216"/>
        <v>1</v>
      </c>
    </row>
    <row r="1944" spans="1:16" x14ac:dyDescent="0.2">
      <c r="A1944">
        <v>3986552</v>
      </c>
      <c r="B1944" t="s">
        <v>3500</v>
      </c>
      <c r="C1944" t="s">
        <v>10</v>
      </c>
      <c r="D1944" t="s">
        <v>39</v>
      </c>
      <c r="E1944" s="1">
        <v>44780</v>
      </c>
      <c r="F1944" t="s">
        <v>580</v>
      </c>
      <c r="G1944" s="1">
        <v>44800</v>
      </c>
      <c r="H1944" s="1">
        <v>44836</v>
      </c>
      <c r="I1944" t="s">
        <v>28</v>
      </c>
      <c r="J1944" s="1" t="b">
        <f t="shared" si="210"/>
        <v>1</v>
      </c>
      <c r="K1944" s="1" t="b">
        <f t="shared" si="211"/>
        <v>0</v>
      </c>
      <c r="L1944" s="1" t="b">
        <f t="shared" si="212"/>
        <v>0</v>
      </c>
      <c r="M1944" s="1" t="b">
        <f t="shared" si="213"/>
        <v>0</v>
      </c>
      <c r="N1944" s="1" t="b">
        <f t="shared" si="214"/>
        <v>0</v>
      </c>
      <c r="O1944" s="1" t="b">
        <f t="shared" si="215"/>
        <v>0</v>
      </c>
      <c r="P1944" s="1" t="b">
        <f t="shared" si="216"/>
        <v>1</v>
      </c>
    </row>
    <row r="1945" spans="1:16" x14ac:dyDescent="0.2">
      <c r="A1945">
        <v>3986552</v>
      </c>
      <c r="B1945" t="s">
        <v>3501</v>
      </c>
      <c r="C1945" t="s">
        <v>10</v>
      </c>
      <c r="D1945" t="s">
        <v>39</v>
      </c>
      <c r="E1945" s="1">
        <v>44745</v>
      </c>
      <c r="F1945" t="s">
        <v>3502</v>
      </c>
      <c r="G1945" s="1">
        <v>44775</v>
      </c>
      <c r="H1945" s="1">
        <v>44823</v>
      </c>
      <c r="I1945" t="s">
        <v>43</v>
      </c>
      <c r="J1945" s="1" t="b">
        <f t="shared" si="210"/>
        <v>1</v>
      </c>
      <c r="K1945" s="1" t="b">
        <f t="shared" si="211"/>
        <v>0</v>
      </c>
      <c r="L1945" s="1" t="b">
        <f t="shared" si="212"/>
        <v>0</v>
      </c>
      <c r="M1945" s="1" t="b">
        <f t="shared" si="213"/>
        <v>0</v>
      </c>
      <c r="N1945" s="1" t="b">
        <f t="shared" si="214"/>
        <v>0</v>
      </c>
      <c r="O1945" s="1" t="b">
        <f t="shared" si="215"/>
        <v>1</v>
      </c>
      <c r="P1945" s="1" t="b">
        <f t="shared" si="216"/>
        <v>0</v>
      </c>
    </row>
    <row r="1946" spans="1:16" x14ac:dyDescent="0.2">
      <c r="A1946">
        <v>3986552</v>
      </c>
      <c r="B1946" t="s">
        <v>3503</v>
      </c>
      <c r="C1946" t="s">
        <v>10</v>
      </c>
      <c r="D1946" t="s">
        <v>39</v>
      </c>
      <c r="E1946" s="1">
        <v>45100</v>
      </c>
      <c r="F1946" t="s">
        <v>594</v>
      </c>
      <c r="G1946" s="1">
        <v>45107</v>
      </c>
      <c r="H1946" s="1">
        <v>45108</v>
      </c>
      <c r="I1946" t="s">
        <v>43</v>
      </c>
      <c r="J1946" s="1" t="b">
        <f t="shared" si="210"/>
        <v>1</v>
      </c>
      <c r="K1946" s="1" t="b">
        <f t="shared" si="211"/>
        <v>0</v>
      </c>
      <c r="L1946" s="1" t="b">
        <f t="shared" si="212"/>
        <v>0</v>
      </c>
      <c r="M1946" s="1" t="b">
        <f t="shared" si="213"/>
        <v>0</v>
      </c>
      <c r="N1946" s="1" t="b">
        <f t="shared" si="214"/>
        <v>0</v>
      </c>
      <c r="O1946" s="1" t="b">
        <f t="shared" si="215"/>
        <v>1</v>
      </c>
      <c r="P1946" s="1" t="b">
        <f t="shared" si="216"/>
        <v>0</v>
      </c>
    </row>
    <row r="1947" spans="1:16" x14ac:dyDescent="0.2">
      <c r="A1947">
        <v>3986552</v>
      </c>
      <c r="B1947" t="s">
        <v>3504</v>
      </c>
      <c r="C1947" t="s">
        <v>10</v>
      </c>
      <c r="D1947" t="s">
        <v>39</v>
      </c>
      <c r="E1947" s="1">
        <v>44939</v>
      </c>
      <c r="F1947" t="s">
        <v>3505</v>
      </c>
      <c r="G1947" s="1">
        <v>44969</v>
      </c>
      <c r="H1947" s="1">
        <v>44986</v>
      </c>
      <c r="I1947" t="s">
        <v>28</v>
      </c>
      <c r="J1947" s="1" t="b">
        <f t="shared" si="210"/>
        <v>1</v>
      </c>
      <c r="K1947" s="1" t="b">
        <f t="shared" si="211"/>
        <v>0</v>
      </c>
      <c r="L1947" s="1" t="b">
        <f t="shared" si="212"/>
        <v>0</v>
      </c>
      <c r="M1947" s="1" t="b">
        <f t="shared" si="213"/>
        <v>0</v>
      </c>
      <c r="N1947" s="1" t="b">
        <f t="shared" si="214"/>
        <v>0</v>
      </c>
      <c r="O1947" s="1" t="b">
        <f t="shared" si="215"/>
        <v>0</v>
      </c>
      <c r="P1947" s="1" t="b">
        <f t="shared" si="216"/>
        <v>1</v>
      </c>
    </row>
    <row r="1948" spans="1:16" x14ac:dyDescent="0.2">
      <c r="A1948">
        <v>9435472</v>
      </c>
      <c r="B1948" t="s">
        <v>3506</v>
      </c>
      <c r="C1948" t="s">
        <v>310</v>
      </c>
      <c r="D1948" t="s">
        <v>56</v>
      </c>
      <c r="E1948" s="1">
        <v>45052</v>
      </c>
      <c r="F1948" t="s">
        <v>3507</v>
      </c>
      <c r="G1948" s="1">
        <v>45065</v>
      </c>
      <c r="I1948" t="s">
        <v>13</v>
      </c>
      <c r="J1948" s="1" t="b">
        <f t="shared" si="210"/>
        <v>0</v>
      </c>
      <c r="K1948" s="1" t="b">
        <f t="shared" si="211"/>
        <v>1</v>
      </c>
      <c r="L1948" s="1" t="b">
        <f t="shared" si="212"/>
        <v>0</v>
      </c>
      <c r="M1948" s="1" t="b">
        <f t="shared" si="213"/>
        <v>0</v>
      </c>
      <c r="N1948" s="1" t="b">
        <f t="shared" si="214"/>
        <v>0</v>
      </c>
      <c r="O1948" s="1" t="b">
        <f t="shared" si="215"/>
        <v>0</v>
      </c>
      <c r="P1948" s="1" t="b">
        <f t="shared" si="216"/>
        <v>0</v>
      </c>
    </row>
    <row r="1949" spans="1:16" x14ac:dyDescent="0.2">
      <c r="A1949">
        <v>9435472</v>
      </c>
      <c r="B1949" t="s">
        <v>3508</v>
      </c>
      <c r="C1949" t="s">
        <v>310</v>
      </c>
      <c r="D1949" t="s">
        <v>56</v>
      </c>
      <c r="E1949" s="1">
        <v>44718</v>
      </c>
      <c r="F1949" t="s">
        <v>3022</v>
      </c>
      <c r="G1949" s="1">
        <v>44741</v>
      </c>
      <c r="I1949" t="s">
        <v>13</v>
      </c>
      <c r="J1949" s="1" t="b">
        <f t="shared" si="210"/>
        <v>0</v>
      </c>
      <c r="K1949" s="1" t="b">
        <f t="shared" si="211"/>
        <v>1</v>
      </c>
      <c r="L1949" s="1" t="b">
        <f t="shared" si="212"/>
        <v>0</v>
      </c>
      <c r="M1949" s="1" t="b">
        <f t="shared" si="213"/>
        <v>0</v>
      </c>
      <c r="N1949" s="1" t="b">
        <f t="shared" si="214"/>
        <v>0</v>
      </c>
      <c r="O1949" s="1" t="b">
        <f t="shared" si="215"/>
        <v>0</v>
      </c>
      <c r="P1949" s="1" t="b">
        <f t="shared" si="216"/>
        <v>0</v>
      </c>
    </row>
    <row r="1950" spans="1:16" x14ac:dyDescent="0.2">
      <c r="A1950">
        <v>9435472</v>
      </c>
      <c r="B1950" t="s">
        <v>3509</v>
      </c>
      <c r="C1950" t="s">
        <v>310</v>
      </c>
      <c r="D1950" t="s">
        <v>56</v>
      </c>
      <c r="E1950" s="1">
        <v>44620</v>
      </c>
      <c r="F1950" t="s">
        <v>2757</v>
      </c>
      <c r="G1950" s="1">
        <v>44639</v>
      </c>
      <c r="H1950" s="1">
        <v>44692</v>
      </c>
      <c r="I1950" t="s">
        <v>28</v>
      </c>
      <c r="J1950" s="1" t="b">
        <f t="shared" si="210"/>
        <v>1</v>
      </c>
      <c r="K1950" s="1" t="b">
        <f t="shared" si="211"/>
        <v>0</v>
      </c>
      <c r="L1950" s="1" t="b">
        <f t="shared" si="212"/>
        <v>0</v>
      </c>
      <c r="M1950" s="1" t="b">
        <f t="shared" si="213"/>
        <v>0</v>
      </c>
      <c r="N1950" s="1" t="b">
        <f t="shared" si="214"/>
        <v>0</v>
      </c>
      <c r="O1950" s="1" t="b">
        <f t="shared" si="215"/>
        <v>0</v>
      </c>
      <c r="P1950" s="1" t="b">
        <f t="shared" si="216"/>
        <v>1</v>
      </c>
    </row>
    <row r="1951" spans="1:16" x14ac:dyDescent="0.2">
      <c r="A1951">
        <v>9435472</v>
      </c>
      <c r="B1951" t="s">
        <v>3510</v>
      </c>
      <c r="C1951" t="s">
        <v>310</v>
      </c>
      <c r="D1951" t="s">
        <v>56</v>
      </c>
      <c r="E1951" s="1">
        <v>45027</v>
      </c>
      <c r="F1951" t="s">
        <v>3511</v>
      </c>
      <c r="G1951" s="1">
        <v>45043</v>
      </c>
      <c r="I1951" t="s">
        <v>13</v>
      </c>
      <c r="J1951" s="1" t="b">
        <f t="shared" si="210"/>
        <v>0</v>
      </c>
      <c r="K1951" s="1" t="b">
        <f t="shared" si="211"/>
        <v>1</v>
      </c>
      <c r="L1951" s="1" t="b">
        <f t="shared" si="212"/>
        <v>0</v>
      </c>
      <c r="M1951" s="1" t="b">
        <f t="shared" si="213"/>
        <v>0</v>
      </c>
      <c r="N1951" s="1" t="b">
        <f t="shared" si="214"/>
        <v>0</v>
      </c>
      <c r="O1951" s="1" t="b">
        <f t="shared" si="215"/>
        <v>0</v>
      </c>
      <c r="P1951" s="1" t="b">
        <f t="shared" si="216"/>
        <v>0</v>
      </c>
    </row>
    <row r="1952" spans="1:16" x14ac:dyDescent="0.2">
      <c r="A1952">
        <v>9435472</v>
      </c>
      <c r="B1952" t="s">
        <v>3512</v>
      </c>
      <c r="C1952" t="s">
        <v>310</v>
      </c>
      <c r="D1952" t="s">
        <v>56</v>
      </c>
      <c r="E1952" s="1">
        <v>44668</v>
      </c>
      <c r="F1952" t="s">
        <v>1189</v>
      </c>
      <c r="G1952" s="1">
        <v>44670</v>
      </c>
      <c r="I1952" t="s">
        <v>13</v>
      </c>
      <c r="J1952" s="1" t="b">
        <f t="shared" si="210"/>
        <v>0</v>
      </c>
      <c r="K1952" s="1" t="b">
        <f t="shared" si="211"/>
        <v>1</v>
      </c>
      <c r="L1952" s="1" t="b">
        <f t="shared" si="212"/>
        <v>0</v>
      </c>
      <c r="M1952" s="1" t="b">
        <f t="shared" si="213"/>
        <v>0</v>
      </c>
      <c r="N1952" s="1" t="b">
        <f t="shared" si="214"/>
        <v>0</v>
      </c>
      <c r="O1952" s="1" t="b">
        <f t="shared" si="215"/>
        <v>0</v>
      </c>
      <c r="P1952" s="1" t="b">
        <f t="shared" si="216"/>
        <v>0</v>
      </c>
    </row>
    <row r="1953" spans="1:16" x14ac:dyDescent="0.2">
      <c r="A1953">
        <v>3968018</v>
      </c>
      <c r="B1953" t="s">
        <v>3513</v>
      </c>
      <c r="C1953" t="s">
        <v>90</v>
      </c>
      <c r="D1953" t="s">
        <v>187</v>
      </c>
      <c r="E1953" s="1">
        <v>44625</v>
      </c>
      <c r="F1953" t="s">
        <v>499</v>
      </c>
      <c r="G1953" s="1">
        <v>44636</v>
      </c>
      <c r="H1953" s="1">
        <v>44643</v>
      </c>
      <c r="I1953" t="s">
        <v>16</v>
      </c>
      <c r="J1953" s="1" t="b">
        <f t="shared" si="210"/>
        <v>1</v>
      </c>
      <c r="K1953" s="1" t="b">
        <f t="shared" si="211"/>
        <v>0</v>
      </c>
      <c r="L1953" s="1" t="b">
        <f t="shared" si="212"/>
        <v>0</v>
      </c>
      <c r="M1953" s="1" t="b">
        <f t="shared" si="213"/>
        <v>0</v>
      </c>
      <c r="N1953" s="1" t="b">
        <f t="shared" si="214"/>
        <v>1</v>
      </c>
      <c r="O1953" s="1" t="b">
        <f t="shared" si="215"/>
        <v>0</v>
      </c>
      <c r="P1953" s="1" t="b">
        <f t="shared" si="216"/>
        <v>0</v>
      </c>
    </row>
    <row r="1954" spans="1:16" x14ac:dyDescent="0.2">
      <c r="A1954">
        <v>5655311</v>
      </c>
      <c r="B1954" t="s">
        <v>3514</v>
      </c>
      <c r="C1954" t="s">
        <v>90</v>
      </c>
      <c r="D1954" t="s">
        <v>19</v>
      </c>
      <c r="E1954" s="1">
        <v>44886</v>
      </c>
      <c r="F1954" t="s">
        <v>2532</v>
      </c>
      <c r="G1954" s="1">
        <v>44915</v>
      </c>
      <c r="H1954" s="1">
        <v>44961</v>
      </c>
      <c r="I1954" t="s">
        <v>28</v>
      </c>
      <c r="J1954" s="1" t="b">
        <f t="shared" si="210"/>
        <v>1</v>
      </c>
      <c r="K1954" s="1" t="b">
        <f t="shared" si="211"/>
        <v>0</v>
      </c>
      <c r="L1954" s="1" t="b">
        <f t="shared" si="212"/>
        <v>0</v>
      </c>
      <c r="M1954" s="1" t="b">
        <f t="shared" si="213"/>
        <v>0</v>
      </c>
      <c r="N1954" s="1" t="b">
        <f t="shared" si="214"/>
        <v>0</v>
      </c>
      <c r="O1954" s="1" t="b">
        <f t="shared" si="215"/>
        <v>0</v>
      </c>
      <c r="P1954" s="1" t="b">
        <f t="shared" si="216"/>
        <v>1</v>
      </c>
    </row>
    <row r="1955" spans="1:16" x14ac:dyDescent="0.2">
      <c r="A1955">
        <v>5655311</v>
      </c>
      <c r="B1955" t="s">
        <v>3515</v>
      </c>
      <c r="C1955" t="s">
        <v>90</v>
      </c>
      <c r="D1955" t="s">
        <v>19</v>
      </c>
      <c r="E1955" s="1">
        <v>44937</v>
      </c>
      <c r="F1955" t="s">
        <v>3516</v>
      </c>
      <c r="G1955" s="1">
        <v>44954</v>
      </c>
      <c r="I1955" t="s">
        <v>13</v>
      </c>
      <c r="J1955" s="1" t="b">
        <f t="shared" si="210"/>
        <v>0</v>
      </c>
      <c r="K1955" s="1" t="b">
        <f t="shared" si="211"/>
        <v>1</v>
      </c>
      <c r="L1955" s="1" t="b">
        <f t="shared" si="212"/>
        <v>0</v>
      </c>
      <c r="M1955" s="1" t="b">
        <f t="shared" si="213"/>
        <v>0</v>
      </c>
      <c r="N1955" s="1" t="b">
        <f t="shared" si="214"/>
        <v>0</v>
      </c>
      <c r="O1955" s="1" t="b">
        <f t="shared" si="215"/>
        <v>0</v>
      </c>
      <c r="P1955" s="1" t="b">
        <f t="shared" si="216"/>
        <v>0</v>
      </c>
    </row>
    <row r="1956" spans="1:16" x14ac:dyDescent="0.2">
      <c r="A1956">
        <v>5655311</v>
      </c>
      <c r="B1956" t="s">
        <v>3517</v>
      </c>
      <c r="C1956" t="s">
        <v>90</v>
      </c>
      <c r="D1956" t="s">
        <v>19</v>
      </c>
      <c r="E1956" s="1">
        <v>44988</v>
      </c>
      <c r="F1956" t="s">
        <v>3518</v>
      </c>
      <c r="G1956" s="1">
        <v>45015</v>
      </c>
      <c r="I1956" t="s">
        <v>13</v>
      </c>
      <c r="J1956" s="1" t="b">
        <f t="shared" si="210"/>
        <v>0</v>
      </c>
      <c r="K1956" s="1" t="b">
        <f t="shared" si="211"/>
        <v>1</v>
      </c>
      <c r="L1956" s="1" t="b">
        <f t="shared" si="212"/>
        <v>0</v>
      </c>
      <c r="M1956" s="1" t="b">
        <f t="shared" si="213"/>
        <v>0</v>
      </c>
      <c r="N1956" s="1" t="b">
        <f t="shared" si="214"/>
        <v>0</v>
      </c>
      <c r="O1956" s="1" t="b">
        <f t="shared" si="215"/>
        <v>0</v>
      </c>
      <c r="P1956" s="1" t="b">
        <f t="shared" si="216"/>
        <v>0</v>
      </c>
    </row>
    <row r="1957" spans="1:16" x14ac:dyDescent="0.2">
      <c r="A1957">
        <v>5655311</v>
      </c>
      <c r="B1957" t="s">
        <v>3519</v>
      </c>
      <c r="C1957" t="s">
        <v>90</v>
      </c>
      <c r="D1957" t="s">
        <v>19</v>
      </c>
      <c r="E1957" s="1">
        <v>45075</v>
      </c>
      <c r="F1957" t="s">
        <v>1029</v>
      </c>
      <c r="G1957" s="1">
        <v>45080</v>
      </c>
      <c r="H1957" s="1">
        <v>45127</v>
      </c>
      <c r="I1957" t="s">
        <v>16</v>
      </c>
      <c r="J1957" s="1" t="b">
        <f t="shared" si="210"/>
        <v>1</v>
      </c>
      <c r="K1957" s="1" t="b">
        <f t="shared" si="211"/>
        <v>0</v>
      </c>
      <c r="L1957" s="1" t="b">
        <f t="shared" si="212"/>
        <v>0</v>
      </c>
      <c r="M1957" s="1" t="b">
        <f t="shared" si="213"/>
        <v>0</v>
      </c>
      <c r="N1957" s="1" t="b">
        <f t="shared" si="214"/>
        <v>1</v>
      </c>
      <c r="O1957" s="1" t="b">
        <f t="shared" si="215"/>
        <v>0</v>
      </c>
      <c r="P1957" s="1" t="b">
        <f t="shared" si="216"/>
        <v>0</v>
      </c>
    </row>
    <row r="1958" spans="1:16" x14ac:dyDescent="0.2">
      <c r="A1958">
        <v>5655311</v>
      </c>
      <c r="B1958" t="s">
        <v>3520</v>
      </c>
      <c r="C1958" t="s">
        <v>90</v>
      </c>
      <c r="D1958" t="s">
        <v>19</v>
      </c>
      <c r="E1958" s="1">
        <v>44607</v>
      </c>
      <c r="F1958" t="s">
        <v>1906</v>
      </c>
      <c r="G1958" s="1">
        <v>44616</v>
      </c>
      <c r="I1958" t="s">
        <v>25</v>
      </c>
      <c r="J1958" s="1" t="b">
        <f t="shared" si="210"/>
        <v>0</v>
      </c>
      <c r="K1958" s="1" t="b">
        <f t="shared" si="211"/>
        <v>0</v>
      </c>
      <c r="L1958" s="1" t="b">
        <f t="shared" si="212"/>
        <v>1</v>
      </c>
      <c r="M1958" s="1" t="b">
        <f t="shared" si="213"/>
        <v>0</v>
      </c>
      <c r="N1958" s="1" t="b">
        <f t="shared" si="214"/>
        <v>0</v>
      </c>
      <c r="O1958" s="1" t="b">
        <f t="shared" si="215"/>
        <v>0</v>
      </c>
      <c r="P1958" s="1" t="b">
        <f t="shared" si="216"/>
        <v>0</v>
      </c>
    </row>
    <row r="1959" spans="1:16" x14ac:dyDescent="0.2">
      <c r="A1959">
        <v>4333354</v>
      </c>
      <c r="B1959" t="s">
        <v>3521</v>
      </c>
      <c r="C1959" t="s">
        <v>240</v>
      </c>
      <c r="D1959" t="s">
        <v>139</v>
      </c>
      <c r="E1959" s="1">
        <v>44565</v>
      </c>
      <c r="F1959" t="s">
        <v>918</v>
      </c>
      <c r="G1959" s="1">
        <v>44575</v>
      </c>
      <c r="I1959" t="s">
        <v>13</v>
      </c>
      <c r="J1959" s="1" t="b">
        <f t="shared" si="210"/>
        <v>0</v>
      </c>
      <c r="K1959" s="1" t="b">
        <f t="shared" si="211"/>
        <v>1</v>
      </c>
      <c r="L1959" s="1" t="b">
        <f t="shared" si="212"/>
        <v>0</v>
      </c>
      <c r="M1959" s="1" t="b">
        <f t="shared" si="213"/>
        <v>0</v>
      </c>
      <c r="N1959" s="1" t="b">
        <f t="shared" si="214"/>
        <v>0</v>
      </c>
      <c r="O1959" s="1" t="b">
        <f t="shared" si="215"/>
        <v>0</v>
      </c>
      <c r="P1959" s="1" t="b">
        <f t="shared" si="216"/>
        <v>0</v>
      </c>
    </row>
    <row r="1960" spans="1:16" x14ac:dyDescent="0.2">
      <c r="A1960">
        <v>4333354</v>
      </c>
      <c r="B1960" t="s">
        <v>3522</v>
      </c>
      <c r="C1960" t="s">
        <v>240</v>
      </c>
      <c r="D1960" t="s">
        <v>139</v>
      </c>
      <c r="E1960" s="1">
        <v>44911</v>
      </c>
      <c r="F1960" t="s">
        <v>3523</v>
      </c>
      <c r="G1960" s="1">
        <v>44926</v>
      </c>
      <c r="I1960" t="s">
        <v>13</v>
      </c>
      <c r="J1960" s="1" t="b">
        <f t="shared" si="210"/>
        <v>0</v>
      </c>
      <c r="K1960" s="1" t="b">
        <f t="shared" si="211"/>
        <v>1</v>
      </c>
      <c r="L1960" s="1" t="b">
        <f t="shared" si="212"/>
        <v>0</v>
      </c>
      <c r="M1960" s="1" t="b">
        <f t="shared" si="213"/>
        <v>0</v>
      </c>
      <c r="N1960" s="1" t="b">
        <f t="shared" si="214"/>
        <v>0</v>
      </c>
      <c r="O1960" s="1" t="b">
        <f t="shared" si="215"/>
        <v>0</v>
      </c>
      <c r="P1960" s="1" t="b">
        <f t="shared" si="216"/>
        <v>0</v>
      </c>
    </row>
    <row r="1961" spans="1:16" x14ac:dyDescent="0.2">
      <c r="A1961">
        <v>4333354</v>
      </c>
      <c r="B1961" t="s">
        <v>3524</v>
      </c>
      <c r="C1961" t="s">
        <v>240</v>
      </c>
      <c r="D1961" t="s">
        <v>139</v>
      </c>
      <c r="E1961" s="1">
        <v>44652</v>
      </c>
      <c r="F1961" t="s">
        <v>3525</v>
      </c>
      <c r="G1961" s="1">
        <v>44656</v>
      </c>
      <c r="H1961" s="1">
        <v>44715</v>
      </c>
      <c r="I1961" t="s">
        <v>16</v>
      </c>
      <c r="J1961" s="1" t="b">
        <f t="shared" si="210"/>
        <v>1</v>
      </c>
      <c r="K1961" s="1" t="b">
        <f t="shared" si="211"/>
        <v>0</v>
      </c>
      <c r="L1961" s="1" t="b">
        <f t="shared" si="212"/>
        <v>0</v>
      </c>
      <c r="M1961" s="1" t="b">
        <f t="shared" si="213"/>
        <v>0</v>
      </c>
      <c r="N1961" s="1" t="b">
        <f t="shared" si="214"/>
        <v>1</v>
      </c>
      <c r="O1961" s="1" t="b">
        <f t="shared" si="215"/>
        <v>0</v>
      </c>
      <c r="P1961" s="1" t="b">
        <f t="shared" si="216"/>
        <v>0</v>
      </c>
    </row>
    <row r="1962" spans="1:16" x14ac:dyDescent="0.2">
      <c r="A1962">
        <v>4333354</v>
      </c>
      <c r="B1962" t="s">
        <v>3526</v>
      </c>
      <c r="C1962" t="s">
        <v>240</v>
      </c>
      <c r="D1962" t="s">
        <v>139</v>
      </c>
      <c r="E1962" s="1">
        <v>44752</v>
      </c>
      <c r="F1962" t="s">
        <v>3527</v>
      </c>
      <c r="G1962" s="1">
        <v>44763</v>
      </c>
      <c r="I1962" t="s">
        <v>13</v>
      </c>
      <c r="J1962" s="1" t="b">
        <f t="shared" si="210"/>
        <v>0</v>
      </c>
      <c r="K1962" s="1" t="b">
        <f t="shared" si="211"/>
        <v>1</v>
      </c>
      <c r="L1962" s="1" t="b">
        <f t="shared" si="212"/>
        <v>0</v>
      </c>
      <c r="M1962" s="1" t="b">
        <f t="shared" si="213"/>
        <v>0</v>
      </c>
      <c r="N1962" s="1" t="b">
        <f t="shared" si="214"/>
        <v>0</v>
      </c>
      <c r="O1962" s="1" t="b">
        <f t="shared" si="215"/>
        <v>0</v>
      </c>
      <c r="P1962" s="1" t="b">
        <f t="shared" si="216"/>
        <v>0</v>
      </c>
    </row>
    <row r="1963" spans="1:16" x14ac:dyDescent="0.2">
      <c r="A1963">
        <v>1337345</v>
      </c>
      <c r="B1963" t="s">
        <v>3528</v>
      </c>
      <c r="C1963" t="s">
        <v>35</v>
      </c>
      <c r="D1963" t="s">
        <v>187</v>
      </c>
      <c r="E1963" s="1">
        <v>44645</v>
      </c>
      <c r="F1963" t="s">
        <v>1567</v>
      </c>
      <c r="G1963" s="1">
        <v>44674</v>
      </c>
      <c r="I1963" t="s">
        <v>13</v>
      </c>
      <c r="J1963" s="1" t="b">
        <f t="shared" si="210"/>
        <v>0</v>
      </c>
      <c r="K1963" s="1" t="b">
        <f t="shared" si="211"/>
        <v>1</v>
      </c>
      <c r="L1963" s="1" t="b">
        <f t="shared" si="212"/>
        <v>0</v>
      </c>
      <c r="M1963" s="1" t="b">
        <f t="shared" si="213"/>
        <v>0</v>
      </c>
      <c r="N1963" s="1" t="b">
        <f t="shared" si="214"/>
        <v>0</v>
      </c>
      <c r="O1963" s="1" t="b">
        <f t="shared" si="215"/>
        <v>0</v>
      </c>
      <c r="P1963" s="1" t="b">
        <f t="shared" si="216"/>
        <v>0</v>
      </c>
    </row>
    <row r="1964" spans="1:16" x14ac:dyDescent="0.2">
      <c r="A1964">
        <v>5139478</v>
      </c>
      <c r="B1964" t="s">
        <v>3529</v>
      </c>
      <c r="C1964" t="s">
        <v>110</v>
      </c>
      <c r="D1964" t="s">
        <v>19</v>
      </c>
      <c r="E1964" s="1">
        <v>44855</v>
      </c>
      <c r="F1964" t="s">
        <v>3530</v>
      </c>
      <c r="G1964" s="1">
        <v>44861</v>
      </c>
      <c r="I1964" t="s">
        <v>25</v>
      </c>
      <c r="J1964" s="1" t="b">
        <f t="shared" si="210"/>
        <v>0</v>
      </c>
      <c r="K1964" s="1" t="b">
        <f t="shared" si="211"/>
        <v>0</v>
      </c>
      <c r="L1964" s="1" t="b">
        <f t="shared" si="212"/>
        <v>1</v>
      </c>
      <c r="M1964" s="1" t="b">
        <f t="shared" si="213"/>
        <v>0</v>
      </c>
      <c r="N1964" s="1" t="b">
        <f t="shared" si="214"/>
        <v>0</v>
      </c>
      <c r="O1964" s="1" t="b">
        <f t="shared" si="215"/>
        <v>0</v>
      </c>
      <c r="P1964" s="1" t="b">
        <f t="shared" si="216"/>
        <v>0</v>
      </c>
    </row>
    <row r="1965" spans="1:16" x14ac:dyDescent="0.2">
      <c r="A1965">
        <v>5139478</v>
      </c>
      <c r="B1965" t="s">
        <v>3531</v>
      </c>
      <c r="C1965" t="s">
        <v>110</v>
      </c>
      <c r="D1965" t="s">
        <v>19</v>
      </c>
      <c r="E1965" s="1">
        <v>44985</v>
      </c>
      <c r="F1965" t="s">
        <v>3532</v>
      </c>
      <c r="G1965" s="1">
        <v>44993</v>
      </c>
      <c r="I1965" t="s">
        <v>13</v>
      </c>
      <c r="J1965" s="1" t="b">
        <f t="shared" si="210"/>
        <v>0</v>
      </c>
      <c r="K1965" s="1" t="b">
        <f t="shared" si="211"/>
        <v>1</v>
      </c>
      <c r="L1965" s="1" t="b">
        <f t="shared" si="212"/>
        <v>0</v>
      </c>
      <c r="M1965" s="1" t="b">
        <f t="shared" si="213"/>
        <v>0</v>
      </c>
      <c r="N1965" s="1" t="b">
        <f t="shared" si="214"/>
        <v>0</v>
      </c>
      <c r="O1965" s="1" t="b">
        <f t="shared" si="215"/>
        <v>0</v>
      </c>
      <c r="P1965" s="1" t="b">
        <f t="shared" si="216"/>
        <v>0</v>
      </c>
    </row>
    <row r="1966" spans="1:16" x14ac:dyDescent="0.2">
      <c r="A1966">
        <v>4158231</v>
      </c>
      <c r="B1966" t="s">
        <v>3533</v>
      </c>
      <c r="C1966" t="s">
        <v>282</v>
      </c>
      <c r="D1966" t="s">
        <v>19</v>
      </c>
      <c r="E1966" s="1">
        <v>44832</v>
      </c>
      <c r="F1966" t="s">
        <v>1471</v>
      </c>
      <c r="G1966" s="1">
        <v>44835</v>
      </c>
      <c r="H1966" s="1">
        <v>44867</v>
      </c>
      <c r="I1966" t="s">
        <v>28</v>
      </c>
      <c r="J1966" s="1" t="b">
        <f t="shared" si="210"/>
        <v>1</v>
      </c>
      <c r="K1966" s="1" t="b">
        <f t="shared" si="211"/>
        <v>0</v>
      </c>
      <c r="L1966" s="1" t="b">
        <f t="shared" si="212"/>
        <v>0</v>
      </c>
      <c r="M1966" s="1" t="b">
        <f t="shared" si="213"/>
        <v>0</v>
      </c>
      <c r="N1966" s="1" t="b">
        <f t="shared" si="214"/>
        <v>0</v>
      </c>
      <c r="O1966" s="1" t="b">
        <f t="shared" si="215"/>
        <v>0</v>
      </c>
      <c r="P1966" s="1" t="b">
        <f t="shared" si="216"/>
        <v>1</v>
      </c>
    </row>
    <row r="1967" spans="1:16" x14ac:dyDescent="0.2">
      <c r="A1967">
        <v>4158231</v>
      </c>
      <c r="B1967" t="s">
        <v>3534</v>
      </c>
      <c r="C1967" t="s">
        <v>282</v>
      </c>
      <c r="D1967" t="s">
        <v>19</v>
      </c>
      <c r="E1967" s="1">
        <v>45097</v>
      </c>
      <c r="F1967" t="s">
        <v>3535</v>
      </c>
      <c r="G1967" s="1">
        <v>45112</v>
      </c>
      <c r="H1967" s="1">
        <v>45166</v>
      </c>
      <c r="I1967" t="s">
        <v>28</v>
      </c>
      <c r="J1967" s="1" t="b">
        <f t="shared" si="210"/>
        <v>1</v>
      </c>
      <c r="K1967" s="1" t="b">
        <f t="shared" si="211"/>
        <v>0</v>
      </c>
      <c r="L1967" s="1" t="b">
        <f t="shared" si="212"/>
        <v>0</v>
      </c>
      <c r="M1967" s="1" t="b">
        <f t="shared" si="213"/>
        <v>0</v>
      </c>
      <c r="N1967" s="1" t="b">
        <f t="shared" si="214"/>
        <v>0</v>
      </c>
      <c r="O1967" s="1" t="b">
        <f t="shared" si="215"/>
        <v>0</v>
      </c>
      <c r="P1967" s="1" t="b">
        <f t="shared" si="216"/>
        <v>1</v>
      </c>
    </row>
    <row r="1968" spans="1:16" x14ac:dyDescent="0.2">
      <c r="A1968">
        <v>3860089</v>
      </c>
      <c r="B1968" t="s">
        <v>3536</v>
      </c>
      <c r="C1968" t="s">
        <v>521</v>
      </c>
      <c r="D1968" t="s">
        <v>81</v>
      </c>
      <c r="E1968" s="1">
        <v>45006</v>
      </c>
      <c r="F1968" t="s">
        <v>3537</v>
      </c>
      <c r="G1968" s="1">
        <v>45018</v>
      </c>
      <c r="I1968" t="s">
        <v>13</v>
      </c>
      <c r="J1968" s="1" t="b">
        <f t="shared" si="210"/>
        <v>0</v>
      </c>
      <c r="K1968" s="1" t="b">
        <f t="shared" si="211"/>
        <v>1</v>
      </c>
      <c r="L1968" s="1" t="b">
        <f t="shared" si="212"/>
        <v>0</v>
      </c>
      <c r="M1968" s="1" t="b">
        <f t="shared" si="213"/>
        <v>0</v>
      </c>
      <c r="N1968" s="1" t="b">
        <f t="shared" si="214"/>
        <v>0</v>
      </c>
      <c r="O1968" s="1" t="b">
        <f t="shared" si="215"/>
        <v>0</v>
      </c>
      <c r="P1968" s="1" t="b">
        <f t="shared" si="216"/>
        <v>0</v>
      </c>
    </row>
    <row r="1969" spans="1:16" x14ac:dyDescent="0.2">
      <c r="A1969">
        <v>3860089</v>
      </c>
      <c r="B1969" t="s">
        <v>3538</v>
      </c>
      <c r="C1969" t="s">
        <v>521</v>
      </c>
      <c r="D1969" t="s">
        <v>81</v>
      </c>
      <c r="E1969" s="1">
        <v>45077</v>
      </c>
      <c r="F1969" t="s">
        <v>772</v>
      </c>
      <c r="G1969" s="1">
        <v>45095</v>
      </c>
      <c r="H1969" s="1">
        <v>45149</v>
      </c>
      <c r="I1969" t="s">
        <v>28</v>
      </c>
      <c r="J1969" s="1" t="b">
        <f t="shared" si="210"/>
        <v>1</v>
      </c>
      <c r="K1969" s="1" t="b">
        <f t="shared" si="211"/>
        <v>0</v>
      </c>
      <c r="L1969" s="1" t="b">
        <f t="shared" si="212"/>
        <v>0</v>
      </c>
      <c r="M1969" s="1" t="b">
        <f t="shared" si="213"/>
        <v>0</v>
      </c>
      <c r="N1969" s="1" t="b">
        <f t="shared" si="214"/>
        <v>0</v>
      </c>
      <c r="O1969" s="1" t="b">
        <f t="shared" si="215"/>
        <v>0</v>
      </c>
      <c r="P1969" s="1" t="b">
        <f t="shared" si="216"/>
        <v>1</v>
      </c>
    </row>
    <row r="1970" spans="1:16" x14ac:dyDescent="0.2">
      <c r="A1970">
        <v>3860089</v>
      </c>
      <c r="B1970" t="s">
        <v>3539</v>
      </c>
      <c r="C1970" t="s">
        <v>521</v>
      </c>
      <c r="D1970" t="s">
        <v>81</v>
      </c>
      <c r="E1970" s="1">
        <v>44777</v>
      </c>
      <c r="F1970" t="s">
        <v>3540</v>
      </c>
      <c r="G1970" s="1">
        <v>44786</v>
      </c>
      <c r="H1970" s="1">
        <v>44800</v>
      </c>
      <c r="I1970" t="s">
        <v>28</v>
      </c>
      <c r="J1970" s="1" t="b">
        <f t="shared" si="210"/>
        <v>1</v>
      </c>
      <c r="K1970" s="1" t="b">
        <f t="shared" si="211"/>
        <v>0</v>
      </c>
      <c r="L1970" s="1" t="b">
        <f t="shared" si="212"/>
        <v>0</v>
      </c>
      <c r="M1970" s="1" t="b">
        <f t="shared" si="213"/>
        <v>0</v>
      </c>
      <c r="N1970" s="1" t="b">
        <f t="shared" si="214"/>
        <v>0</v>
      </c>
      <c r="O1970" s="1" t="b">
        <f t="shared" si="215"/>
        <v>0</v>
      </c>
      <c r="P1970" s="1" t="b">
        <f t="shared" si="216"/>
        <v>1</v>
      </c>
    </row>
    <row r="1971" spans="1:16" x14ac:dyDescent="0.2">
      <c r="A1971">
        <v>3860089</v>
      </c>
      <c r="B1971" t="s">
        <v>3541</v>
      </c>
      <c r="C1971" t="s">
        <v>521</v>
      </c>
      <c r="D1971" t="s">
        <v>81</v>
      </c>
      <c r="E1971" s="1">
        <v>45091</v>
      </c>
      <c r="F1971" t="s">
        <v>3216</v>
      </c>
      <c r="G1971" s="1">
        <v>45113</v>
      </c>
      <c r="H1971" s="1">
        <v>45154</v>
      </c>
      <c r="I1971" t="s">
        <v>16</v>
      </c>
      <c r="J1971" s="1" t="b">
        <f t="shared" si="210"/>
        <v>1</v>
      </c>
      <c r="K1971" s="1" t="b">
        <f t="shared" si="211"/>
        <v>0</v>
      </c>
      <c r="L1971" s="1" t="b">
        <f t="shared" si="212"/>
        <v>0</v>
      </c>
      <c r="M1971" s="1" t="b">
        <f t="shared" si="213"/>
        <v>0</v>
      </c>
      <c r="N1971" s="1" t="b">
        <f t="shared" si="214"/>
        <v>1</v>
      </c>
      <c r="O1971" s="1" t="b">
        <f t="shared" si="215"/>
        <v>0</v>
      </c>
      <c r="P1971" s="1" t="b">
        <f t="shared" si="216"/>
        <v>0</v>
      </c>
    </row>
    <row r="1972" spans="1:16" x14ac:dyDescent="0.2">
      <c r="A1972">
        <v>4127701</v>
      </c>
      <c r="B1972" t="s">
        <v>3542</v>
      </c>
      <c r="C1972" t="s">
        <v>363</v>
      </c>
      <c r="D1972" t="s">
        <v>187</v>
      </c>
      <c r="E1972" s="1">
        <v>44596</v>
      </c>
      <c r="F1972" t="s">
        <v>2162</v>
      </c>
      <c r="G1972" s="1">
        <v>44607</v>
      </c>
      <c r="H1972" s="1">
        <v>44652</v>
      </c>
      <c r="I1972" t="s">
        <v>28</v>
      </c>
      <c r="J1972" s="1" t="b">
        <f t="shared" si="210"/>
        <v>1</v>
      </c>
      <c r="K1972" s="1" t="b">
        <f t="shared" si="211"/>
        <v>0</v>
      </c>
      <c r="L1972" s="1" t="b">
        <f t="shared" si="212"/>
        <v>0</v>
      </c>
      <c r="M1972" s="1" t="b">
        <f t="shared" si="213"/>
        <v>0</v>
      </c>
      <c r="N1972" s="1" t="b">
        <f t="shared" si="214"/>
        <v>0</v>
      </c>
      <c r="O1972" s="1" t="b">
        <f t="shared" si="215"/>
        <v>0</v>
      </c>
      <c r="P1972" s="1" t="b">
        <f t="shared" si="216"/>
        <v>1</v>
      </c>
    </row>
    <row r="1973" spans="1:16" x14ac:dyDescent="0.2">
      <c r="A1973">
        <v>4127701</v>
      </c>
      <c r="B1973" t="s">
        <v>3543</v>
      </c>
      <c r="C1973" t="s">
        <v>363</v>
      </c>
      <c r="D1973" t="s">
        <v>187</v>
      </c>
      <c r="E1973" s="1">
        <v>44570</v>
      </c>
      <c r="F1973" t="s">
        <v>3544</v>
      </c>
      <c r="G1973" s="1">
        <v>44576</v>
      </c>
      <c r="I1973" t="s">
        <v>13</v>
      </c>
      <c r="J1973" s="1" t="b">
        <f t="shared" si="210"/>
        <v>0</v>
      </c>
      <c r="K1973" s="1" t="b">
        <f t="shared" si="211"/>
        <v>1</v>
      </c>
      <c r="L1973" s="1" t="b">
        <f t="shared" si="212"/>
        <v>0</v>
      </c>
      <c r="M1973" s="1" t="b">
        <f t="shared" si="213"/>
        <v>0</v>
      </c>
      <c r="N1973" s="1" t="b">
        <f t="shared" si="214"/>
        <v>0</v>
      </c>
      <c r="O1973" s="1" t="b">
        <f t="shared" si="215"/>
        <v>0</v>
      </c>
      <c r="P1973" s="1" t="b">
        <f t="shared" si="216"/>
        <v>0</v>
      </c>
    </row>
    <row r="1974" spans="1:16" x14ac:dyDescent="0.2">
      <c r="A1974">
        <v>4127701</v>
      </c>
      <c r="B1974" t="s">
        <v>3545</v>
      </c>
      <c r="C1974" t="s">
        <v>363</v>
      </c>
      <c r="D1974" t="s">
        <v>187</v>
      </c>
      <c r="E1974" s="1">
        <v>44664</v>
      </c>
      <c r="F1974" t="s">
        <v>2500</v>
      </c>
      <c r="G1974" s="1">
        <v>44670</v>
      </c>
      <c r="H1974" s="1">
        <v>44729</v>
      </c>
      <c r="I1974" t="s">
        <v>28</v>
      </c>
      <c r="J1974" s="1" t="b">
        <f t="shared" si="210"/>
        <v>1</v>
      </c>
      <c r="K1974" s="1" t="b">
        <f t="shared" si="211"/>
        <v>0</v>
      </c>
      <c r="L1974" s="1" t="b">
        <f t="shared" si="212"/>
        <v>0</v>
      </c>
      <c r="M1974" s="1" t="b">
        <f t="shared" si="213"/>
        <v>0</v>
      </c>
      <c r="N1974" s="1" t="b">
        <f t="shared" si="214"/>
        <v>0</v>
      </c>
      <c r="O1974" s="1" t="b">
        <f t="shared" si="215"/>
        <v>0</v>
      </c>
      <c r="P1974" s="1" t="b">
        <f t="shared" si="216"/>
        <v>1</v>
      </c>
    </row>
    <row r="1975" spans="1:16" x14ac:dyDescent="0.2">
      <c r="A1975">
        <v>4127701</v>
      </c>
      <c r="B1975" t="s">
        <v>3546</v>
      </c>
      <c r="C1975" t="s">
        <v>363</v>
      </c>
      <c r="D1975" t="s">
        <v>187</v>
      </c>
      <c r="E1975" s="1">
        <v>44752</v>
      </c>
      <c r="F1975" t="s">
        <v>3547</v>
      </c>
      <c r="G1975" s="1">
        <v>44777</v>
      </c>
      <c r="H1975" s="1">
        <v>44779</v>
      </c>
      <c r="I1975" t="s">
        <v>43</v>
      </c>
      <c r="J1975" s="1" t="b">
        <f t="shared" si="210"/>
        <v>1</v>
      </c>
      <c r="K1975" s="1" t="b">
        <f t="shared" si="211"/>
        <v>0</v>
      </c>
      <c r="L1975" s="1" t="b">
        <f t="shared" si="212"/>
        <v>0</v>
      </c>
      <c r="M1975" s="1" t="b">
        <f t="shared" si="213"/>
        <v>0</v>
      </c>
      <c r="N1975" s="1" t="b">
        <f t="shared" si="214"/>
        <v>0</v>
      </c>
      <c r="O1975" s="1" t="b">
        <f t="shared" si="215"/>
        <v>1</v>
      </c>
      <c r="P1975" s="1" t="b">
        <f t="shared" si="216"/>
        <v>0</v>
      </c>
    </row>
    <row r="1976" spans="1:16" x14ac:dyDescent="0.2">
      <c r="A1976">
        <v>8365343</v>
      </c>
      <c r="B1976" t="s">
        <v>3548</v>
      </c>
      <c r="C1976" t="s">
        <v>47</v>
      </c>
      <c r="D1976" t="s">
        <v>81</v>
      </c>
      <c r="E1976" s="1">
        <v>45046</v>
      </c>
      <c r="F1976" t="s">
        <v>3549</v>
      </c>
      <c r="G1976" s="1">
        <v>45073</v>
      </c>
      <c r="H1976" s="1">
        <v>45089</v>
      </c>
      <c r="J1976" s="1" t="b">
        <f t="shared" si="210"/>
        <v>1</v>
      </c>
      <c r="K1976" s="1" t="b">
        <f t="shared" si="211"/>
        <v>0</v>
      </c>
      <c r="L1976" s="1" t="b">
        <f t="shared" si="212"/>
        <v>0</v>
      </c>
      <c r="M1976" s="1" t="b">
        <f t="shared" si="213"/>
        <v>0</v>
      </c>
      <c r="N1976" s="1" t="b">
        <f t="shared" si="214"/>
        <v>0</v>
      </c>
      <c r="O1976" s="1" t="b">
        <f t="shared" si="215"/>
        <v>0</v>
      </c>
      <c r="P1976" s="1" t="b">
        <f t="shared" si="216"/>
        <v>0</v>
      </c>
    </row>
    <row r="1977" spans="1:16" x14ac:dyDescent="0.2">
      <c r="A1977">
        <v>8365343</v>
      </c>
      <c r="B1977" t="s">
        <v>3550</v>
      </c>
      <c r="C1977" t="s">
        <v>47</v>
      </c>
      <c r="D1977" t="s">
        <v>81</v>
      </c>
      <c r="E1977" s="1">
        <v>44907</v>
      </c>
      <c r="F1977" t="s">
        <v>3551</v>
      </c>
      <c r="G1977" s="1">
        <v>44923</v>
      </c>
      <c r="I1977" t="s">
        <v>25</v>
      </c>
      <c r="J1977" s="1" t="b">
        <f t="shared" si="210"/>
        <v>0</v>
      </c>
      <c r="K1977" s="1" t="b">
        <f t="shared" si="211"/>
        <v>0</v>
      </c>
      <c r="L1977" s="1" t="b">
        <f t="shared" si="212"/>
        <v>1</v>
      </c>
      <c r="M1977" s="1" t="b">
        <f t="shared" si="213"/>
        <v>0</v>
      </c>
      <c r="N1977" s="1" t="b">
        <f t="shared" si="214"/>
        <v>0</v>
      </c>
      <c r="O1977" s="1" t="b">
        <f t="shared" si="215"/>
        <v>0</v>
      </c>
      <c r="P1977" s="1" t="b">
        <f t="shared" si="216"/>
        <v>0</v>
      </c>
    </row>
    <row r="1978" spans="1:16" x14ac:dyDescent="0.2">
      <c r="A1978">
        <v>8365343</v>
      </c>
      <c r="B1978" t="s">
        <v>3552</v>
      </c>
      <c r="C1978" t="s">
        <v>47</v>
      </c>
      <c r="D1978" t="s">
        <v>81</v>
      </c>
      <c r="E1978" s="1">
        <v>44801</v>
      </c>
      <c r="F1978" t="s">
        <v>3553</v>
      </c>
      <c r="G1978" s="1">
        <v>44826</v>
      </c>
      <c r="H1978" s="1">
        <v>44886</v>
      </c>
      <c r="I1978" t="s">
        <v>28</v>
      </c>
      <c r="J1978" s="1" t="b">
        <f t="shared" si="210"/>
        <v>1</v>
      </c>
      <c r="K1978" s="1" t="b">
        <f t="shared" si="211"/>
        <v>0</v>
      </c>
      <c r="L1978" s="1" t="b">
        <f t="shared" si="212"/>
        <v>0</v>
      </c>
      <c r="M1978" s="1" t="b">
        <f t="shared" si="213"/>
        <v>0</v>
      </c>
      <c r="N1978" s="1" t="b">
        <f t="shared" si="214"/>
        <v>0</v>
      </c>
      <c r="O1978" s="1" t="b">
        <f t="shared" si="215"/>
        <v>0</v>
      </c>
      <c r="P1978" s="1" t="b">
        <f t="shared" si="216"/>
        <v>1</v>
      </c>
    </row>
    <row r="1979" spans="1:16" x14ac:dyDescent="0.2">
      <c r="A1979">
        <v>8365343</v>
      </c>
      <c r="B1979" t="s">
        <v>3554</v>
      </c>
      <c r="C1979" t="s">
        <v>47</v>
      </c>
      <c r="D1979" t="s">
        <v>81</v>
      </c>
      <c r="E1979" s="1">
        <v>44837</v>
      </c>
      <c r="F1979" t="s">
        <v>3555</v>
      </c>
      <c r="G1979" s="1">
        <v>44856</v>
      </c>
      <c r="H1979" s="1">
        <v>44882</v>
      </c>
      <c r="I1979" t="s">
        <v>16</v>
      </c>
      <c r="J1979" s="1" t="b">
        <f t="shared" si="210"/>
        <v>1</v>
      </c>
      <c r="K1979" s="1" t="b">
        <f t="shared" si="211"/>
        <v>0</v>
      </c>
      <c r="L1979" s="1" t="b">
        <f t="shared" si="212"/>
        <v>0</v>
      </c>
      <c r="M1979" s="1" t="b">
        <f t="shared" si="213"/>
        <v>0</v>
      </c>
      <c r="N1979" s="1" t="b">
        <f t="shared" si="214"/>
        <v>1</v>
      </c>
      <c r="O1979" s="1" t="b">
        <f t="shared" si="215"/>
        <v>0</v>
      </c>
      <c r="P1979" s="1" t="b">
        <f t="shared" si="216"/>
        <v>0</v>
      </c>
    </row>
    <row r="1980" spans="1:16" x14ac:dyDescent="0.2">
      <c r="A1980">
        <v>1479076</v>
      </c>
      <c r="B1980" t="s">
        <v>3556</v>
      </c>
      <c r="C1980" t="s">
        <v>38</v>
      </c>
      <c r="D1980" t="s">
        <v>139</v>
      </c>
      <c r="E1980" s="1">
        <v>44704</v>
      </c>
      <c r="F1980" t="s">
        <v>1401</v>
      </c>
      <c r="G1980" s="1">
        <v>44709</v>
      </c>
      <c r="H1980" s="1">
        <v>44752</v>
      </c>
      <c r="I1980" t="s">
        <v>43</v>
      </c>
      <c r="J1980" s="1" t="b">
        <f t="shared" si="210"/>
        <v>1</v>
      </c>
      <c r="K1980" s="1" t="b">
        <f t="shared" si="211"/>
        <v>0</v>
      </c>
      <c r="L1980" s="1" t="b">
        <f t="shared" si="212"/>
        <v>0</v>
      </c>
      <c r="M1980" s="1" t="b">
        <f t="shared" si="213"/>
        <v>0</v>
      </c>
      <c r="N1980" s="1" t="b">
        <f t="shared" si="214"/>
        <v>0</v>
      </c>
      <c r="O1980" s="1" t="b">
        <f t="shared" si="215"/>
        <v>1</v>
      </c>
      <c r="P1980" s="1" t="b">
        <f t="shared" si="216"/>
        <v>0</v>
      </c>
    </row>
    <row r="1981" spans="1:16" x14ac:dyDescent="0.2">
      <c r="A1981">
        <v>1479076</v>
      </c>
      <c r="B1981" t="s">
        <v>3557</v>
      </c>
      <c r="C1981" t="s">
        <v>38</v>
      </c>
      <c r="D1981" t="s">
        <v>139</v>
      </c>
      <c r="E1981" s="1">
        <v>44706</v>
      </c>
      <c r="F1981" t="s">
        <v>3558</v>
      </c>
      <c r="G1981" s="1">
        <v>44732</v>
      </c>
      <c r="H1981" s="1">
        <v>44755</v>
      </c>
      <c r="I1981" t="s">
        <v>16</v>
      </c>
      <c r="J1981" s="1" t="b">
        <f t="shared" si="210"/>
        <v>1</v>
      </c>
      <c r="K1981" s="1" t="b">
        <f t="shared" si="211"/>
        <v>0</v>
      </c>
      <c r="L1981" s="1" t="b">
        <f t="shared" si="212"/>
        <v>0</v>
      </c>
      <c r="M1981" s="1" t="b">
        <f t="shared" si="213"/>
        <v>0</v>
      </c>
      <c r="N1981" s="1" t="b">
        <f t="shared" si="214"/>
        <v>1</v>
      </c>
      <c r="O1981" s="1" t="b">
        <f t="shared" si="215"/>
        <v>0</v>
      </c>
      <c r="P1981" s="1" t="b">
        <f t="shared" si="216"/>
        <v>0</v>
      </c>
    </row>
    <row r="1982" spans="1:16" x14ac:dyDescent="0.2">
      <c r="A1982">
        <v>8695935</v>
      </c>
      <c r="B1982" t="s">
        <v>3559</v>
      </c>
      <c r="C1982" t="s">
        <v>59</v>
      </c>
      <c r="D1982" t="s">
        <v>187</v>
      </c>
      <c r="I1982" t="s">
        <v>33</v>
      </c>
      <c r="J1982" s="1" t="b">
        <f t="shared" si="210"/>
        <v>0</v>
      </c>
      <c r="K1982" s="1" t="b">
        <f t="shared" si="211"/>
        <v>0</v>
      </c>
      <c r="L1982" s="1" t="b">
        <f t="shared" si="212"/>
        <v>0</v>
      </c>
      <c r="M1982" s="1" t="b">
        <f t="shared" si="213"/>
        <v>1</v>
      </c>
      <c r="N1982" s="1" t="b">
        <f t="shared" si="214"/>
        <v>0</v>
      </c>
      <c r="O1982" s="1" t="b">
        <f t="shared" si="215"/>
        <v>0</v>
      </c>
      <c r="P1982" s="1" t="b">
        <f t="shared" si="216"/>
        <v>0</v>
      </c>
    </row>
    <row r="1983" spans="1:16" x14ac:dyDescent="0.2">
      <c r="A1983">
        <v>8695935</v>
      </c>
      <c r="B1983" t="s">
        <v>3560</v>
      </c>
      <c r="C1983" t="s">
        <v>59</v>
      </c>
      <c r="D1983" t="s">
        <v>187</v>
      </c>
      <c r="E1983" s="1">
        <v>44870</v>
      </c>
      <c r="F1983" t="s">
        <v>3239</v>
      </c>
      <c r="G1983" s="1">
        <v>44880</v>
      </c>
      <c r="I1983" t="s">
        <v>13</v>
      </c>
      <c r="J1983" s="1" t="b">
        <f t="shared" si="210"/>
        <v>0</v>
      </c>
      <c r="K1983" s="1" t="b">
        <f t="shared" si="211"/>
        <v>1</v>
      </c>
      <c r="L1983" s="1" t="b">
        <f t="shared" si="212"/>
        <v>0</v>
      </c>
      <c r="M1983" s="1" t="b">
        <f t="shared" si="213"/>
        <v>0</v>
      </c>
      <c r="N1983" s="1" t="b">
        <f t="shared" si="214"/>
        <v>0</v>
      </c>
      <c r="O1983" s="1" t="b">
        <f t="shared" si="215"/>
        <v>0</v>
      </c>
      <c r="P1983" s="1" t="b">
        <f t="shared" si="216"/>
        <v>0</v>
      </c>
    </row>
    <row r="1984" spans="1:16" x14ac:dyDescent="0.2">
      <c r="A1984">
        <v>8695935</v>
      </c>
      <c r="B1984" t="s">
        <v>3561</v>
      </c>
      <c r="C1984" t="s">
        <v>59</v>
      </c>
      <c r="D1984" t="s">
        <v>187</v>
      </c>
      <c r="I1984" t="s">
        <v>33</v>
      </c>
      <c r="J1984" s="1" t="b">
        <f t="shared" si="210"/>
        <v>0</v>
      </c>
      <c r="K1984" s="1" t="b">
        <f t="shared" si="211"/>
        <v>0</v>
      </c>
      <c r="L1984" s="1" t="b">
        <f t="shared" si="212"/>
        <v>0</v>
      </c>
      <c r="M1984" s="1" t="b">
        <f t="shared" si="213"/>
        <v>1</v>
      </c>
      <c r="N1984" s="1" t="b">
        <f t="shared" si="214"/>
        <v>0</v>
      </c>
      <c r="O1984" s="1" t="b">
        <f t="shared" si="215"/>
        <v>0</v>
      </c>
      <c r="P1984" s="1" t="b">
        <f t="shared" si="216"/>
        <v>0</v>
      </c>
    </row>
    <row r="1985" spans="1:16" x14ac:dyDescent="0.2">
      <c r="A1985">
        <v>8695935</v>
      </c>
      <c r="B1985" t="s">
        <v>3562</v>
      </c>
      <c r="C1985" t="s">
        <v>59</v>
      </c>
      <c r="D1985" t="s">
        <v>187</v>
      </c>
      <c r="E1985" s="1">
        <v>44654</v>
      </c>
      <c r="F1985" t="s">
        <v>941</v>
      </c>
      <c r="G1985" s="1">
        <v>44678</v>
      </c>
      <c r="I1985" t="s">
        <v>13</v>
      </c>
      <c r="J1985" s="1" t="b">
        <f t="shared" si="210"/>
        <v>0</v>
      </c>
      <c r="K1985" s="1" t="b">
        <f t="shared" si="211"/>
        <v>1</v>
      </c>
      <c r="L1985" s="1" t="b">
        <f t="shared" si="212"/>
        <v>0</v>
      </c>
      <c r="M1985" s="1" t="b">
        <f t="shared" si="213"/>
        <v>0</v>
      </c>
      <c r="N1985" s="1" t="b">
        <f t="shared" si="214"/>
        <v>0</v>
      </c>
      <c r="O1985" s="1" t="b">
        <f t="shared" si="215"/>
        <v>0</v>
      </c>
      <c r="P1985" s="1" t="b">
        <f t="shared" si="216"/>
        <v>0</v>
      </c>
    </row>
    <row r="1986" spans="1:16" x14ac:dyDescent="0.2">
      <c r="A1986">
        <v>5105930</v>
      </c>
      <c r="B1986" t="s">
        <v>3563</v>
      </c>
      <c r="C1986" t="s">
        <v>71</v>
      </c>
      <c r="D1986" t="s">
        <v>139</v>
      </c>
      <c r="I1986" t="s">
        <v>33</v>
      </c>
      <c r="J1986" s="1" t="b">
        <f t="shared" si="210"/>
        <v>0</v>
      </c>
      <c r="K1986" s="1" t="b">
        <f t="shared" si="211"/>
        <v>0</v>
      </c>
      <c r="L1986" s="1" t="b">
        <f t="shared" si="212"/>
        <v>0</v>
      </c>
      <c r="M1986" s="1" t="b">
        <f t="shared" si="213"/>
        <v>1</v>
      </c>
      <c r="N1986" s="1" t="b">
        <f t="shared" si="214"/>
        <v>0</v>
      </c>
      <c r="O1986" s="1" t="b">
        <f t="shared" si="215"/>
        <v>0</v>
      </c>
      <c r="P1986" s="1" t="b">
        <f t="shared" si="216"/>
        <v>0</v>
      </c>
    </row>
    <row r="1987" spans="1:16" x14ac:dyDescent="0.2">
      <c r="A1987">
        <v>5105930</v>
      </c>
      <c r="B1987" t="s">
        <v>3564</v>
      </c>
      <c r="C1987" t="s">
        <v>71</v>
      </c>
      <c r="D1987" t="s">
        <v>139</v>
      </c>
      <c r="E1987" s="1">
        <v>44965</v>
      </c>
      <c r="F1987" t="s">
        <v>3565</v>
      </c>
      <c r="G1987" s="1">
        <v>44988</v>
      </c>
      <c r="I1987" t="s">
        <v>13</v>
      </c>
      <c r="J1987" s="1" t="b">
        <f t="shared" ref="J1987:J2050" si="217">AND(NOT(ISBLANK(H1987)), NOT(OR(ISNUMBER(SEARCH("decline", I1987)), ISNUMBER(SEARCH("rescind", I1987)), ISNUMBER(SEARCH("cancel", I1987)))))</f>
        <v>0</v>
      </c>
      <c r="K1987" s="1" t="b">
        <f t="shared" ref="K1987:K2050" si="218">ISNUMBER(SEARCH("decline", I1987))</f>
        <v>1</v>
      </c>
      <c r="L1987" s="1" t="b">
        <f t="shared" ref="L1987:L2050" si="219">ISNUMBER(SEARCH("rescind", I1987))</f>
        <v>0</v>
      </c>
      <c r="M1987" s="1" t="b">
        <f t="shared" ref="M1987:M2050" si="220">ISNUMBER(SEARCH("cancel", I1987))</f>
        <v>0</v>
      </c>
      <c r="N1987" s="1" t="b">
        <f t="shared" ref="N1987:N2050" si="221">ISNUMBER(SEARCH("transfer", I1987))</f>
        <v>0</v>
      </c>
      <c r="O1987" s="1" t="b">
        <f t="shared" ref="O1987:O2050" si="222">ISNUMBER(SEARCH("promo", I1987))</f>
        <v>0</v>
      </c>
      <c r="P1987" s="1" t="b">
        <f t="shared" ref="P1987:P2050" si="223">ISNUMBER(SEARCH("new", I1987))</f>
        <v>0</v>
      </c>
    </row>
    <row r="1988" spans="1:16" x14ac:dyDescent="0.2">
      <c r="A1988">
        <v>5105930</v>
      </c>
      <c r="B1988" t="s">
        <v>3566</v>
      </c>
      <c r="C1988" t="s">
        <v>71</v>
      </c>
      <c r="D1988" t="s">
        <v>139</v>
      </c>
      <c r="E1988" s="1">
        <v>44947</v>
      </c>
      <c r="F1988" t="s">
        <v>1433</v>
      </c>
      <c r="G1988" s="1">
        <v>44974</v>
      </c>
      <c r="I1988" t="s">
        <v>13</v>
      </c>
      <c r="J1988" s="1" t="b">
        <f t="shared" si="217"/>
        <v>0</v>
      </c>
      <c r="K1988" s="1" t="b">
        <f t="shared" si="218"/>
        <v>1</v>
      </c>
      <c r="L1988" s="1" t="b">
        <f t="shared" si="219"/>
        <v>0</v>
      </c>
      <c r="M1988" s="1" t="b">
        <f t="shared" si="220"/>
        <v>0</v>
      </c>
      <c r="N1988" s="1" t="b">
        <f t="shared" si="221"/>
        <v>0</v>
      </c>
      <c r="O1988" s="1" t="b">
        <f t="shared" si="222"/>
        <v>0</v>
      </c>
      <c r="P1988" s="1" t="b">
        <f t="shared" si="223"/>
        <v>0</v>
      </c>
    </row>
    <row r="1989" spans="1:16" x14ac:dyDescent="0.2">
      <c r="A1989">
        <v>8775970</v>
      </c>
      <c r="B1989" t="s">
        <v>3567</v>
      </c>
      <c r="C1989" t="s">
        <v>240</v>
      </c>
      <c r="D1989" t="s">
        <v>19</v>
      </c>
      <c r="E1989" s="1">
        <v>44698</v>
      </c>
      <c r="F1989" t="s">
        <v>3568</v>
      </c>
      <c r="G1989" s="1">
        <v>44711</v>
      </c>
      <c r="I1989" t="s">
        <v>25</v>
      </c>
      <c r="J1989" s="1" t="b">
        <f t="shared" si="217"/>
        <v>0</v>
      </c>
      <c r="K1989" s="1" t="b">
        <f t="shared" si="218"/>
        <v>0</v>
      </c>
      <c r="L1989" s="1" t="b">
        <f t="shared" si="219"/>
        <v>1</v>
      </c>
      <c r="M1989" s="1" t="b">
        <f t="shared" si="220"/>
        <v>0</v>
      </c>
      <c r="N1989" s="1" t="b">
        <f t="shared" si="221"/>
        <v>0</v>
      </c>
      <c r="O1989" s="1" t="b">
        <f t="shared" si="222"/>
        <v>0</v>
      </c>
      <c r="P1989" s="1" t="b">
        <f t="shared" si="223"/>
        <v>0</v>
      </c>
    </row>
    <row r="1990" spans="1:16" x14ac:dyDescent="0.2">
      <c r="A1990">
        <v>6488025</v>
      </c>
      <c r="B1990" t="s">
        <v>3569</v>
      </c>
      <c r="C1990" t="s">
        <v>131</v>
      </c>
      <c r="D1990" t="s">
        <v>11</v>
      </c>
      <c r="E1990" s="1">
        <v>44589</v>
      </c>
      <c r="F1990" t="s">
        <v>3570</v>
      </c>
      <c r="G1990" s="1">
        <v>44597</v>
      </c>
      <c r="H1990" s="1">
        <v>44654</v>
      </c>
      <c r="I1990" t="s">
        <v>16</v>
      </c>
      <c r="J1990" s="1" t="b">
        <f t="shared" si="217"/>
        <v>1</v>
      </c>
      <c r="K1990" s="1" t="b">
        <f t="shared" si="218"/>
        <v>0</v>
      </c>
      <c r="L1990" s="1" t="b">
        <f t="shared" si="219"/>
        <v>0</v>
      </c>
      <c r="M1990" s="1" t="b">
        <f t="shared" si="220"/>
        <v>0</v>
      </c>
      <c r="N1990" s="1" t="b">
        <f t="shared" si="221"/>
        <v>1</v>
      </c>
      <c r="O1990" s="1" t="b">
        <f t="shared" si="222"/>
        <v>0</v>
      </c>
      <c r="P1990" s="1" t="b">
        <f t="shared" si="223"/>
        <v>0</v>
      </c>
    </row>
    <row r="1991" spans="1:16" x14ac:dyDescent="0.2">
      <c r="A1991">
        <v>6488025</v>
      </c>
      <c r="B1991" t="s">
        <v>3571</v>
      </c>
      <c r="C1991" t="s">
        <v>131</v>
      </c>
      <c r="D1991" t="s">
        <v>11</v>
      </c>
      <c r="E1991" s="1">
        <v>44910</v>
      </c>
      <c r="F1991" t="s">
        <v>3086</v>
      </c>
      <c r="G1991" s="1">
        <v>44927</v>
      </c>
      <c r="H1991" s="1">
        <v>44980</v>
      </c>
      <c r="I1991" t="s">
        <v>43</v>
      </c>
      <c r="J1991" s="1" t="b">
        <f t="shared" si="217"/>
        <v>1</v>
      </c>
      <c r="K1991" s="1" t="b">
        <f t="shared" si="218"/>
        <v>0</v>
      </c>
      <c r="L1991" s="1" t="b">
        <f t="shared" si="219"/>
        <v>0</v>
      </c>
      <c r="M1991" s="1" t="b">
        <f t="shared" si="220"/>
        <v>0</v>
      </c>
      <c r="N1991" s="1" t="b">
        <f t="shared" si="221"/>
        <v>0</v>
      </c>
      <c r="O1991" s="1" t="b">
        <f t="shared" si="222"/>
        <v>1</v>
      </c>
      <c r="P1991" s="1" t="b">
        <f t="shared" si="223"/>
        <v>0</v>
      </c>
    </row>
    <row r="1992" spans="1:16" x14ac:dyDescent="0.2">
      <c r="A1992">
        <v>6488025</v>
      </c>
      <c r="B1992" t="s">
        <v>3572</v>
      </c>
      <c r="C1992" t="s">
        <v>131</v>
      </c>
      <c r="D1992" t="s">
        <v>11</v>
      </c>
      <c r="E1992" s="1">
        <v>44969</v>
      </c>
      <c r="F1992" t="s">
        <v>3385</v>
      </c>
      <c r="G1992" s="1">
        <v>44999</v>
      </c>
      <c r="I1992" t="s">
        <v>13</v>
      </c>
      <c r="J1992" s="1" t="b">
        <f t="shared" si="217"/>
        <v>0</v>
      </c>
      <c r="K1992" s="1" t="b">
        <f t="shared" si="218"/>
        <v>1</v>
      </c>
      <c r="L1992" s="1" t="b">
        <f t="shared" si="219"/>
        <v>0</v>
      </c>
      <c r="M1992" s="1" t="b">
        <f t="shared" si="220"/>
        <v>0</v>
      </c>
      <c r="N1992" s="1" t="b">
        <f t="shared" si="221"/>
        <v>0</v>
      </c>
      <c r="O1992" s="1" t="b">
        <f t="shared" si="222"/>
        <v>0</v>
      </c>
      <c r="P1992" s="1" t="b">
        <f t="shared" si="223"/>
        <v>0</v>
      </c>
    </row>
    <row r="1993" spans="1:16" x14ac:dyDescent="0.2">
      <c r="A1993">
        <v>6488025</v>
      </c>
      <c r="B1993" t="s">
        <v>3573</v>
      </c>
      <c r="C1993" t="s">
        <v>131</v>
      </c>
      <c r="D1993" t="s">
        <v>11</v>
      </c>
      <c r="E1993" s="1">
        <v>45073</v>
      </c>
      <c r="F1993" t="s">
        <v>3574</v>
      </c>
      <c r="G1993" s="1">
        <v>45080</v>
      </c>
      <c r="I1993" t="s">
        <v>13</v>
      </c>
      <c r="J1993" s="1" t="b">
        <f t="shared" si="217"/>
        <v>0</v>
      </c>
      <c r="K1993" s="1" t="b">
        <f t="shared" si="218"/>
        <v>1</v>
      </c>
      <c r="L1993" s="1" t="b">
        <f t="shared" si="219"/>
        <v>0</v>
      </c>
      <c r="M1993" s="1" t="b">
        <f t="shared" si="220"/>
        <v>0</v>
      </c>
      <c r="N1993" s="1" t="b">
        <f t="shared" si="221"/>
        <v>0</v>
      </c>
      <c r="O1993" s="1" t="b">
        <f t="shared" si="222"/>
        <v>0</v>
      </c>
      <c r="P1993" s="1" t="b">
        <f t="shared" si="223"/>
        <v>0</v>
      </c>
    </row>
    <row r="1994" spans="1:16" x14ac:dyDescent="0.2">
      <c r="A1994">
        <v>1742356</v>
      </c>
      <c r="B1994" t="s">
        <v>3575</v>
      </c>
      <c r="C1994" t="s">
        <v>454</v>
      </c>
      <c r="D1994" t="s">
        <v>11</v>
      </c>
      <c r="I1994" t="s">
        <v>33</v>
      </c>
      <c r="J1994" s="1" t="b">
        <f t="shared" si="217"/>
        <v>0</v>
      </c>
      <c r="K1994" s="1" t="b">
        <f t="shared" si="218"/>
        <v>0</v>
      </c>
      <c r="L1994" s="1" t="b">
        <f t="shared" si="219"/>
        <v>0</v>
      </c>
      <c r="M1994" s="1" t="b">
        <f t="shared" si="220"/>
        <v>1</v>
      </c>
      <c r="N1994" s="1" t="b">
        <f t="shared" si="221"/>
        <v>0</v>
      </c>
      <c r="O1994" s="1" t="b">
        <f t="shared" si="222"/>
        <v>0</v>
      </c>
      <c r="P1994" s="1" t="b">
        <f t="shared" si="223"/>
        <v>0</v>
      </c>
    </row>
    <row r="1995" spans="1:16" x14ac:dyDescent="0.2">
      <c r="A1995">
        <v>1742356</v>
      </c>
      <c r="B1995" t="s">
        <v>3576</v>
      </c>
      <c r="C1995" t="s">
        <v>454</v>
      </c>
      <c r="D1995" t="s">
        <v>11</v>
      </c>
      <c r="E1995" s="1">
        <v>44716</v>
      </c>
      <c r="F1995" t="s">
        <v>2922</v>
      </c>
      <c r="G1995" s="1">
        <v>44726</v>
      </c>
      <c r="I1995" t="s">
        <v>25</v>
      </c>
      <c r="J1995" s="1" t="b">
        <f t="shared" si="217"/>
        <v>0</v>
      </c>
      <c r="K1995" s="1" t="b">
        <f t="shared" si="218"/>
        <v>0</v>
      </c>
      <c r="L1995" s="1" t="b">
        <f t="shared" si="219"/>
        <v>1</v>
      </c>
      <c r="M1995" s="1" t="b">
        <f t="shared" si="220"/>
        <v>0</v>
      </c>
      <c r="N1995" s="1" t="b">
        <f t="shared" si="221"/>
        <v>0</v>
      </c>
      <c r="O1995" s="1" t="b">
        <f t="shared" si="222"/>
        <v>0</v>
      </c>
      <c r="P1995" s="1" t="b">
        <f t="shared" si="223"/>
        <v>0</v>
      </c>
    </row>
    <row r="1996" spans="1:16" x14ac:dyDescent="0.2">
      <c r="A1996">
        <v>1742356</v>
      </c>
      <c r="B1996" t="s">
        <v>3577</v>
      </c>
      <c r="C1996" t="s">
        <v>454</v>
      </c>
      <c r="D1996" t="s">
        <v>11</v>
      </c>
      <c r="E1996" s="1">
        <v>45054</v>
      </c>
      <c r="F1996" t="s">
        <v>3578</v>
      </c>
      <c r="G1996" s="1">
        <v>45056</v>
      </c>
      <c r="I1996" t="s">
        <v>25</v>
      </c>
      <c r="J1996" s="1" t="b">
        <f t="shared" si="217"/>
        <v>0</v>
      </c>
      <c r="K1996" s="1" t="b">
        <f t="shared" si="218"/>
        <v>0</v>
      </c>
      <c r="L1996" s="1" t="b">
        <f t="shared" si="219"/>
        <v>1</v>
      </c>
      <c r="M1996" s="1" t="b">
        <f t="shared" si="220"/>
        <v>0</v>
      </c>
      <c r="N1996" s="1" t="b">
        <f t="shared" si="221"/>
        <v>0</v>
      </c>
      <c r="O1996" s="1" t="b">
        <f t="shared" si="222"/>
        <v>0</v>
      </c>
      <c r="P1996" s="1" t="b">
        <f t="shared" si="223"/>
        <v>0</v>
      </c>
    </row>
    <row r="1997" spans="1:16" x14ac:dyDescent="0.2">
      <c r="A1997">
        <v>1742356</v>
      </c>
      <c r="B1997" t="s">
        <v>3579</v>
      </c>
      <c r="C1997" t="s">
        <v>454</v>
      </c>
      <c r="D1997" t="s">
        <v>11</v>
      </c>
      <c r="E1997" s="1">
        <v>44729</v>
      </c>
      <c r="F1997" t="s">
        <v>2069</v>
      </c>
      <c r="G1997" s="1">
        <v>44742</v>
      </c>
      <c r="I1997" t="s">
        <v>13</v>
      </c>
      <c r="J1997" s="1" t="b">
        <f t="shared" si="217"/>
        <v>0</v>
      </c>
      <c r="K1997" s="1" t="b">
        <f t="shared" si="218"/>
        <v>1</v>
      </c>
      <c r="L1997" s="1" t="b">
        <f t="shared" si="219"/>
        <v>0</v>
      </c>
      <c r="M1997" s="1" t="b">
        <f t="shared" si="220"/>
        <v>0</v>
      </c>
      <c r="N1997" s="1" t="b">
        <f t="shared" si="221"/>
        <v>0</v>
      </c>
      <c r="O1997" s="1" t="b">
        <f t="shared" si="222"/>
        <v>0</v>
      </c>
      <c r="P1997" s="1" t="b">
        <f t="shared" si="223"/>
        <v>0</v>
      </c>
    </row>
    <row r="1998" spans="1:16" x14ac:dyDescent="0.2">
      <c r="A1998">
        <v>9679668</v>
      </c>
      <c r="B1998" t="s">
        <v>3580</v>
      </c>
      <c r="C1998" t="s">
        <v>150</v>
      </c>
      <c r="D1998" t="s">
        <v>122</v>
      </c>
      <c r="E1998" s="1">
        <v>44665</v>
      </c>
      <c r="F1998" t="s">
        <v>1386</v>
      </c>
      <c r="G1998" s="1">
        <v>44686</v>
      </c>
      <c r="H1998" s="1">
        <v>44742</v>
      </c>
      <c r="I1998" t="s">
        <v>28</v>
      </c>
      <c r="J1998" s="1" t="b">
        <f t="shared" si="217"/>
        <v>1</v>
      </c>
      <c r="K1998" s="1" t="b">
        <f t="shared" si="218"/>
        <v>0</v>
      </c>
      <c r="L1998" s="1" t="b">
        <f t="shared" si="219"/>
        <v>0</v>
      </c>
      <c r="M1998" s="1" t="b">
        <f t="shared" si="220"/>
        <v>0</v>
      </c>
      <c r="N1998" s="1" t="b">
        <f t="shared" si="221"/>
        <v>0</v>
      </c>
      <c r="O1998" s="1" t="b">
        <f t="shared" si="222"/>
        <v>0</v>
      </c>
      <c r="P1998" s="1" t="b">
        <f t="shared" si="223"/>
        <v>1</v>
      </c>
    </row>
    <row r="1999" spans="1:16" x14ac:dyDescent="0.2">
      <c r="A1999">
        <v>9679668</v>
      </c>
      <c r="B1999" t="s">
        <v>3581</v>
      </c>
      <c r="C1999" t="s">
        <v>150</v>
      </c>
      <c r="D1999" t="s">
        <v>122</v>
      </c>
      <c r="E1999" s="1">
        <v>44693</v>
      </c>
      <c r="F1999" t="s">
        <v>3582</v>
      </c>
      <c r="G1999" s="1">
        <v>44712</v>
      </c>
      <c r="H1999" s="1">
        <v>44745</v>
      </c>
      <c r="I1999" t="s">
        <v>16</v>
      </c>
      <c r="J1999" s="1" t="b">
        <f t="shared" si="217"/>
        <v>1</v>
      </c>
      <c r="K1999" s="1" t="b">
        <f t="shared" si="218"/>
        <v>0</v>
      </c>
      <c r="L1999" s="1" t="b">
        <f t="shared" si="219"/>
        <v>0</v>
      </c>
      <c r="M1999" s="1" t="b">
        <f t="shared" si="220"/>
        <v>0</v>
      </c>
      <c r="N1999" s="1" t="b">
        <f t="shared" si="221"/>
        <v>1</v>
      </c>
      <c r="O1999" s="1" t="b">
        <f t="shared" si="222"/>
        <v>0</v>
      </c>
      <c r="P1999" s="1" t="b">
        <f t="shared" si="223"/>
        <v>0</v>
      </c>
    </row>
    <row r="2000" spans="1:16" x14ac:dyDescent="0.2">
      <c r="A2000">
        <v>9679668</v>
      </c>
      <c r="B2000" t="s">
        <v>3583</v>
      </c>
      <c r="C2000" t="s">
        <v>150</v>
      </c>
      <c r="D2000" t="s">
        <v>122</v>
      </c>
      <c r="E2000" s="1">
        <v>44973</v>
      </c>
      <c r="F2000" t="s">
        <v>906</v>
      </c>
      <c r="G2000" s="1">
        <v>44987</v>
      </c>
      <c r="H2000" s="1">
        <v>45037</v>
      </c>
      <c r="J2000" s="1" t="b">
        <f t="shared" si="217"/>
        <v>1</v>
      </c>
      <c r="K2000" s="1" t="b">
        <f t="shared" si="218"/>
        <v>0</v>
      </c>
      <c r="L2000" s="1" t="b">
        <f t="shared" si="219"/>
        <v>0</v>
      </c>
      <c r="M2000" s="1" t="b">
        <f t="shared" si="220"/>
        <v>0</v>
      </c>
      <c r="N2000" s="1" t="b">
        <f t="shared" si="221"/>
        <v>0</v>
      </c>
      <c r="O2000" s="1" t="b">
        <f t="shared" si="222"/>
        <v>0</v>
      </c>
      <c r="P2000" s="1" t="b">
        <f t="shared" si="223"/>
        <v>0</v>
      </c>
    </row>
    <row r="2001" spans="1:16" x14ac:dyDescent="0.2">
      <c r="A2001">
        <v>9679668</v>
      </c>
      <c r="B2001" t="s">
        <v>3584</v>
      </c>
      <c r="C2001" t="s">
        <v>150</v>
      </c>
      <c r="D2001" t="s">
        <v>122</v>
      </c>
      <c r="E2001" s="1">
        <v>44680</v>
      </c>
      <c r="F2001" t="s">
        <v>1966</v>
      </c>
      <c r="G2001" s="1">
        <v>44700</v>
      </c>
      <c r="I2001" t="s">
        <v>13</v>
      </c>
      <c r="J2001" s="1" t="b">
        <f t="shared" si="217"/>
        <v>0</v>
      </c>
      <c r="K2001" s="1" t="b">
        <f t="shared" si="218"/>
        <v>1</v>
      </c>
      <c r="L2001" s="1" t="b">
        <f t="shared" si="219"/>
        <v>0</v>
      </c>
      <c r="M2001" s="1" t="b">
        <f t="shared" si="220"/>
        <v>0</v>
      </c>
      <c r="N2001" s="1" t="b">
        <f t="shared" si="221"/>
        <v>0</v>
      </c>
      <c r="O2001" s="1" t="b">
        <f t="shared" si="222"/>
        <v>0</v>
      </c>
      <c r="P2001" s="1" t="b">
        <f t="shared" si="223"/>
        <v>0</v>
      </c>
    </row>
    <row r="2002" spans="1:16" x14ac:dyDescent="0.2">
      <c r="A2002">
        <v>8554276</v>
      </c>
      <c r="B2002" t="s">
        <v>3585</v>
      </c>
      <c r="C2002" t="s">
        <v>80</v>
      </c>
      <c r="D2002" t="s">
        <v>39</v>
      </c>
      <c r="E2002" s="1">
        <v>44745</v>
      </c>
      <c r="F2002" t="s">
        <v>3586</v>
      </c>
      <c r="G2002" s="1">
        <v>44759</v>
      </c>
      <c r="H2002" s="1">
        <v>44794</v>
      </c>
      <c r="I2002" t="s">
        <v>28</v>
      </c>
      <c r="J2002" s="1" t="b">
        <f t="shared" si="217"/>
        <v>1</v>
      </c>
      <c r="K2002" s="1" t="b">
        <f t="shared" si="218"/>
        <v>0</v>
      </c>
      <c r="L2002" s="1" t="b">
        <f t="shared" si="219"/>
        <v>0</v>
      </c>
      <c r="M2002" s="1" t="b">
        <f t="shared" si="220"/>
        <v>0</v>
      </c>
      <c r="N2002" s="1" t="b">
        <f t="shared" si="221"/>
        <v>0</v>
      </c>
      <c r="O2002" s="1" t="b">
        <f t="shared" si="222"/>
        <v>0</v>
      </c>
      <c r="P2002" s="1" t="b">
        <f t="shared" si="223"/>
        <v>1</v>
      </c>
    </row>
    <row r="2003" spans="1:16" x14ac:dyDescent="0.2">
      <c r="A2003">
        <v>8554276</v>
      </c>
      <c r="B2003" t="s">
        <v>3587</v>
      </c>
      <c r="C2003" t="s">
        <v>80</v>
      </c>
      <c r="D2003" t="s">
        <v>39</v>
      </c>
      <c r="E2003" s="1">
        <v>44907</v>
      </c>
      <c r="F2003" t="s">
        <v>3588</v>
      </c>
      <c r="G2003" s="1">
        <v>44937</v>
      </c>
      <c r="H2003" s="1">
        <v>44983</v>
      </c>
      <c r="I2003" t="s">
        <v>16</v>
      </c>
      <c r="J2003" s="1" t="b">
        <f t="shared" si="217"/>
        <v>1</v>
      </c>
      <c r="K2003" s="1" t="b">
        <f t="shared" si="218"/>
        <v>0</v>
      </c>
      <c r="L2003" s="1" t="b">
        <f t="shared" si="219"/>
        <v>0</v>
      </c>
      <c r="M2003" s="1" t="b">
        <f t="shared" si="220"/>
        <v>0</v>
      </c>
      <c r="N2003" s="1" t="b">
        <f t="shared" si="221"/>
        <v>1</v>
      </c>
      <c r="O2003" s="1" t="b">
        <f t="shared" si="222"/>
        <v>0</v>
      </c>
      <c r="P2003" s="1" t="b">
        <f t="shared" si="223"/>
        <v>0</v>
      </c>
    </row>
    <row r="2004" spans="1:16" x14ac:dyDescent="0.2">
      <c r="A2004">
        <v>8554276</v>
      </c>
      <c r="B2004" t="s">
        <v>3589</v>
      </c>
      <c r="C2004" t="s">
        <v>80</v>
      </c>
      <c r="D2004" t="s">
        <v>39</v>
      </c>
      <c r="E2004" s="1">
        <v>45027</v>
      </c>
      <c r="F2004" t="s">
        <v>3590</v>
      </c>
      <c r="G2004" s="1">
        <v>45041</v>
      </c>
      <c r="H2004" s="1">
        <v>45045</v>
      </c>
      <c r="I2004" t="s">
        <v>43</v>
      </c>
      <c r="J2004" s="1" t="b">
        <f t="shared" si="217"/>
        <v>1</v>
      </c>
      <c r="K2004" s="1" t="b">
        <f t="shared" si="218"/>
        <v>0</v>
      </c>
      <c r="L2004" s="1" t="b">
        <f t="shared" si="219"/>
        <v>0</v>
      </c>
      <c r="M2004" s="1" t="b">
        <f t="shared" si="220"/>
        <v>0</v>
      </c>
      <c r="N2004" s="1" t="b">
        <f t="shared" si="221"/>
        <v>0</v>
      </c>
      <c r="O2004" s="1" t="b">
        <f t="shared" si="222"/>
        <v>1</v>
      </c>
      <c r="P2004" s="1" t="b">
        <f t="shared" si="223"/>
        <v>0</v>
      </c>
    </row>
    <row r="2005" spans="1:16" x14ac:dyDescent="0.2">
      <c r="A2005">
        <v>8554276</v>
      </c>
      <c r="B2005" t="s">
        <v>3591</v>
      </c>
      <c r="C2005" t="s">
        <v>80</v>
      </c>
      <c r="D2005" t="s">
        <v>39</v>
      </c>
      <c r="E2005" s="1">
        <v>45063</v>
      </c>
      <c r="F2005" t="s">
        <v>1840</v>
      </c>
      <c r="G2005" s="1">
        <v>45078</v>
      </c>
      <c r="H2005" s="1">
        <v>45102</v>
      </c>
      <c r="I2005" t="s">
        <v>16</v>
      </c>
      <c r="J2005" s="1" t="b">
        <f t="shared" si="217"/>
        <v>1</v>
      </c>
      <c r="K2005" s="1" t="b">
        <f t="shared" si="218"/>
        <v>0</v>
      </c>
      <c r="L2005" s="1" t="b">
        <f t="shared" si="219"/>
        <v>0</v>
      </c>
      <c r="M2005" s="1" t="b">
        <f t="shared" si="220"/>
        <v>0</v>
      </c>
      <c r="N2005" s="1" t="b">
        <f t="shared" si="221"/>
        <v>1</v>
      </c>
      <c r="O2005" s="1" t="b">
        <f t="shared" si="222"/>
        <v>0</v>
      </c>
      <c r="P2005" s="1" t="b">
        <f t="shared" si="223"/>
        <v>0</v>
      </c>
    </row>
    <row r="2006" spans="1:16" x14ac:dyDescent="0.2">
      <c r="A2006">
        <v>1840094</v>
      </c>
      <c r="B2006" t="s">
        <v>3592</v>
      </c>
      <c r="C2006" t="s">
        <v>131</v>
      </c>
      <c r="D2006" t="s">
        <v>81</v>
      </c>
      <c r="E2006" s="1">
        <v>44865</v>
      </c>
      <c r="F2006" t="s">
        <v>3593</v>
      </c>
      <c r="G2006" s="1">
        <v>44890</v>
      </c>
      <c r="I2006" t="s">
        <v>13</v>
      </c>
      <c r="J2006" s="1" t="b">
        <f t="shared" si="217"/>
        <v>0</v>
      </c>
      <c r="K2006" s="1" t="b">
        <f t="shared" si="218"/>
        <v>1</v>
      </c>
      <c r="L2006" s="1" t="b">
        <f t="shared" si="219"/>
        <v>0</v>
      </c>
      <c r="M2006" s="1" t="b">
        <f t="shared" si="220"/>
        <v>0</v>
      </c>
      <c r="N2006" s="1" t="b">
        <f t="shared" si="221"/>
        <v>0</v>
      </c>
      <c r="O2006" s="1" t="b">
        <f t="shared" si="222"/>
        <v>0</v>
      </c>
      <c r="P2006" s="1" t="b">
        <f t="shared" si="223"/>
        <v>0</v>
      </c>
    </row>
    <row r="2007" spans="1:16" x14ac:dyDescent="0.2">
      <c r="A2007">
        <v>1840094</v>
      </c>
      <c r="B2007" t="s">
        <v>3594</v>
      </c>
      <c r="C2007" t="s">
        <v>131</v>
      </c>
      <c r="D2007" t="s">
        <v>81</v>
      </c>
      <c r="E2007" s="1">
        <v>44927</v>
      </c>
      <c r="F2007" t="s">
        <v>3595</v>
      </c>
      <c r="G2007" s="1">
        <v>44941</v>
      </c>
      <c r="H2007" s="1">
        <v>44943</v>
      </c>
      <c r="I2007" t="s">
        <v>28</v>
      </c>
      <c r="J2007" s="1" t="b">
        <f t="shared" si="217"/>
        <v>1</v>
      </c>
      <c r="K2007" s="1" t="b">
        <f t="shared" si="218"/>
        <v>0</v>
      </c>
      <c r="L2007" s="1" t="b">
        <f t="shared" si="219"/>
        <v>0</v>
      </c>
      <c r="M2007" s="1" t="b">
        <f t="shared" si="220"/>
        <v>0</v>
      </c>
      <c r="N2007" s="1" t="b">
        <f t="shared" si="221"/>
        <v>0</v>
      </c>
      <c r="O2007" s="1" t="b">
        <f t="shared" si="222"/>
        <v>0</v>
      </c>
      <c r="P2007" s="1" t="b">
        <f t="shared" si="223"/>
        <v>1</v>
      </c>
    </row>
    <row r="2008" spans="1:16" x14ac:dyDescent="0.2">
      <c r="A2008">
        <v>1840094</v>
      </c>
      <c r="B2008" t="s">
        <v>3596</v>
      </c>
      <c r="C2008" t="s">
        <v>131</v>
      </c>
      <c r="D2008" t="s">
        <v>81</v>
      </c>
      <c r="E2008" s="1">
        <v>44676</v>
      </c>
      <c r="F2008" t="s">
        <v>3597</v>
      </c>
      <c r="G2008" s="1">
        <v>44688</v>
      </c>
      <c r="H2008" s="1">
        <v>44735</v>
      </c>
      <c r="I2008" t="s">
        <v>28</v>
      </c>
      <c r="J2008" s="1" t="b">
        <f t="shared" si="217"/>
        <v>1</v>
      </c>
      <c r="K2008" s="1" t="b">
        <f t="shared" si="218"/>
        <v>0</v>
      </c>
      <c r="L2008" s="1" t="b">
        <f t="shared" si="219"/>
        <v>0</v>
      </c>
      <c r="M2008" s="1" t="b">
        <f t="shared" si="220"/>
        <v>0</v>
      </c>
      <c r="N2008" s="1" t="b">
        <f t="shared" si="221"/>
        <v>0</v>
      </c>
      <c r="O2008" s="1" t="b">
        <f t="shared" si="222"/>
        <v>0</v>
      </c>
      <c r="P2008" s="1" t="b">
        <f t="shared" si="223"/>
        <v>1</v>
      </c>
    </row>
    <row r="2009" spans="1:16" x14ac:dyDescent="0.2">
      <c r="A2009">
        <v>1614253</v>
      </c>
      <c r="B2009" t="s">
        <v>3598</v>
      </c>
      <c r="C2009" t="s">
        <v>18</v>
      </c>
      <c r="D2009" t="s">
        <v>60</v>
      </c>
      <c r="E2009" s="1">
        <v>44691</v>
      </c>
      <c r="F2009" t="s">
        <v>3599</v>
      </c>
      <c r="G2009" s="1">
        <v>44715</v>
      </c>
      <c r="I2009" t="s">
        <v>13</v>
      </c>
      <c r="J2009" s="1" t="b">
        <f t="shared" si="217"/>
        <v>0</v>
      </c>
      <c r="K2009" s="1" t="b">
        <f t="shared" si="218"/>
        <v>1</v>
      </c>
      <c r="L2009" s="1" t="b">
        <f t="shared" si="219"/>
        <v>0</v>
      </c>
      <c r="M2009" s="1" t="b">
        <f t="shared" si="220"/>
        <v>0</v>
      </c>
      <c r="N2009" s="1" t="b">
        <f t="shared" si="221"/>
        <v>0</v>
      </c>
      <c r="O2009" s="1" t="b">
        <f t="shared" si="222"/>
        <v>0</v>
      </c>
      <c r="P2009" s="1" t="b">
        <f t="shared" si="223"/>
        <v>0</v>
      </c>
    </row>
    <row r="2010" spans="1:16" x14ac:dyDescent="0.2">
      <c r="A2010">
        <v>1614253</v>
      </c>
      <c r="B2010" t="s">
        <v>3600</v>
      </c>
      <c r="C2010" t="s">
        <v>18</v>
      </c>
      <c r="D2010" t="s">
        <v>60</v>
      </c>
      <c r="E2010" s="1">
        <v>44843</v>
      </c>
      <c r="F2010" t="s">
        <v>3601</v>
      </c>
      <c r="G2010" s="1">
        <v>44855</v>
      </c>
      <c r="I2010" t="s">
        <v>13</v>
      </c>
      <c r="J2010" s="1" t="b">
        <f t="shared" si="217"/>
        <v>0</v>
      </c>
      <c r="K2010" s="1" t="b">
        <f t="shared" si="218"/>
        <v>1</v>
      </c>
      <c r="L2010" s="1" t="b">
        <f t="shared" si="219"/>
        <v>0</v>
      </c>
      <c r="M2010" s="1" t="b">
        <f t="shared" si="220"/>
        <v>0</v>
      </c>
      <c r="N2010" s="1" t="b">
        <f t="shared" si="221"/>
        <v>0</v>
      </c>
      <c r="O2010" s="1" t="b">
        <f t="shared" si="222"/>
        <v>0</v>
      </c>
      <c r="P2010" s="1" t="b">
        <f t="shared" si="223"/>
        <v>0</v>
      </c>
    </row>
    <row r="2011" spans="1:16" x14ac:dyDescent="0.2">
      <c r="A2011">
        <v>8684482</v>
      </c>
      <c r="B2011" t="s">
        <v>3602</v>
      </c>
      <c r="C2011" t="s">
        <v>240</v>
      </c>
      <c r="D2011" t="s">
        <v>81</v>
      </c>
      <c r="E2011" s="1">
        <v>44896</v>
      </c>
      <c r="F2011" t="s">
        <v>2634</v>
      </c>
      <c r="G2011" s="1">
        <v>44908</v>
      </c>
      <c r="H2011" s="1">
        <v>44911</v>
      </c>
      <c r="J2011" s="1" t="b">
        <f t="shared" si="217"/>
        <v>1</v>
      </c>
      <c r="K2011" s="1" t="b">
        <f t="shared" si="218"/>
        <v>0</v>
      </c>
      <c r="L2011" s="1" t="b">
        <f t="shared" si="219"/>
        <v>0</v>
      </c>
      <c r="M2011" s="1" t="b">
        <f t="shared" si="220"/>
        <v>0</v>
      </c>
      <c r="N2011" s="1" t="b">
        <f t="shared" si="221"/>
        <v>0</v>
      </c>
      <c r="O2011" s="1" t="b">
        <f t="shared" si="222"/>
        <v>0</v>
      </c>
      <c r="P2011" s="1" t="b">
        <f t="shared" si="223"/>
        <v>0</v>
      </c>
    </row>
    <row r="2012" spans="1:16" x14ac:dyDescent="0.2">
      <c r="A2012">
        <v>8684482</v>
      </c>
      <c r="B2012" t="s">
        <v>3603</v>
      </c>
      <c r="C2012" t="s">
        <v>240</v>
      </c>
      <c r="D2012" t="s">
        <v>81</v>
      </c>
      <c r="E2012" s="1">
        <v>44665</v>
      </c>
      <c r="F2012" t="s">
        <v>3604</v>
      </c>
      <c r="G2012" s="1">
        <v>44678</v>
      </c>
      <c r="I2012" t="s">
        <v>13</v>
      </c>
      <c r="J2012" s="1" t="b">
        <f t="shared" si="217"/>
        <v>0</v>
      </c>
      <c r="K2012" s="1" t="b">
        <f t="shared" si="218"/>
        <v>1</v>
      </c>
      <c r="L2012" s="1" t="b">
        <f t="shared" si="219"/>
        <v>0</v>
      </c>
      <c r="M2012" s="1" t="b">
        <f t="shared" si="220"/>
        <v>0</v>
      </c>
      <c r="N2012" s="1" t="b">
        <f t="shared" si="221"/>
        <v>0</v>
      </c>
      <c r="O2012" s="1" t="b">
        <f t="shared" si="222"/>
        <v>0</v>
      </c>
      <c r="P2012" s="1" t="b">
        <f t="shared" si="223"/>
        <v>0</v>
      </c>
    </row>
    <row r="2013" spans="1:16" x14ac:dyDescent="0.2">
      <c r="A2013">
        <v>9600542</v>
      </c>
      <c r="B2013" t="s">
        <v>3605</v>
      </c>
      <c r="C2013" t="s">
        <v>138</v>
      </c>
      <c r="D2013" t="s">
        <v>122</v>
      </c>
      <c r="E2013" s="1">
        <v>44584</v>
      </c>
      <c r="F2013" t="s">
        <v>3606</v>
      </c>
      <c r="G2013" s="1">
        <v>44590</v>
      </c>
      <c r="H2013" s="1">
        <v>44638</v>
      </c>
      <c r="I2013" t="s">
        <v>28</v>
      </c>
      <c r="J2013" s="1" t="b">
        <f t="shared" si="217"/>
        <v>1</v>
      </c>
      <c r="K2013" s="1" t="b">
        <f t="shared" si="218"/>
        <v>0</v>
      </c>
      <c r="L2013" s="1" t="b">
        <f t="shared" si="219"/>
        <v>0</v>
      </c>
      <c r="M2013" s="1" t="b">
        <f t="shared" si="220"/>
        <v>0</v>
      </c>
      <c r="N2013" s="1" t="b">
        <f t="shared" si="221"/>
        <v>0</v>
      </c>
      <c r="O2013" s="1" t="b">
        <f t="shared" si="222"/>
        <v>0</v>
      </c>
      <c r="P2013" s="1" t="b">
        <f t="shared" si="223"/>
        <v>1</v>
      </c>
    </row>
    <row r="2014" spans="1:16" x14ac:dyDescent="0.2">
      <c r="A2014">
        <v>9600542</v>
      </c>
      <c r="B2014" t="s">
        <v>3607</v>
      </c>
      <c r="C2014" t="s">
        <v>138</v>
      </c>
      <c r="D2014" t="s">
        <v>122</v>
      </c>
      <c r="E2014" s="1">
        <v>44643</v>
      </c>
      <c r="F2014" t="s">
        <v>3608</v>
      </c>
      <c r="G2014" s="1">
        <v>44670</v>
      </c>
      <c r="I2014" t="s">
        <v>25</v>
      </c>
      <c r="J2014" s="1" t="b">
        <f t="shared" si="217"/>
        <v>0</v>
      </c>
      <c r="K2014" s="1" t="b">
        <f t="shared" si="218"/>
        <v>0</v>
      </c>
      <c r="L2014" s="1" t="b">
        <f t="shared" si="219"/>
        <v>1</v>
      </c>
      <c r="M2014" s="1" t="b">
        <f t="shared" si="220"/>
        <v>0</v>
      </c>
      <c r="N2014" s="1" t="b">
        <f t="shared" si="221"/>
        <v>0</v>
      </c>
      <c r="O2014" s="1" t="b">
        <f t="shared" si="222"/>
        <v>0</v>
      </c>
      <c r="P2014" s="1" t="b">
        <f t="shared" si="223"/>
        <v>0</v>
      </c>
    </row>
    <row r="2015" spans="1:16" x14ac:dyDescent="0.2">
      <c r="A2015">
        <v>9600542</v>
      </c>
      <c r="B2015" t="s">
        <v>3609</v>
      </c>
      <c r="C2015" t="s">
        <v>138</v>
      </c>
      <c r="D2015" t="s">
        <v>122</v>
      </c>
      <c r="E2015" s="1">
        <v>44829</v>
      </c>
      <c r="F2015" t="s">
        <v>2536</v>
      </c>
      <c r="G2015" s="1">
        <v>44839</v>
      </c>
      <c r="H2015" s="1">
        <v>44879</v>
      </c>
      <c r="I2015" t="s">
        <v>16</v>
      </c>
      <c r="J2015" s="1" t="b">
        <f t="shared" si="217"/>
        <v>1</v>
      </c>
      <c r="K2015" s="1" t="b">
        <f t="shared" si="218"/>
        <v>0</v>
      </c>
      <c r="L2015" s="1" t="b">
        <f t="shared" si="219"/>
        <v>0</v>
      </c>
      <c r="M2015" s="1" t="b">
        <f t="shared" si="220"/>
        <v>0</v>
      </c>
      <c r="N2015" s="1" t="b">
        <f t="shared" si="221"/>
        <v>1</v>
      </c>
      <c r="O2015" s="1" t="b">
        <f t="shared" si="222"/>
        <v>0</v>
      </c>
      <c r="P2015" s="1" t="b">
        <f t="shared" si="223"/>
        <v>0</v>
      </c>
    </row>
    <row r="2016" spans="1:16" x14ac:dyDescent="0.2">
      <c r="A2016">
        <v>9624152</v>
      </c>
      <c r="B2016" t="s">
        <v>3610</v>
      </c>
      <c r="C2016" t="s">
        <v>18</v>
      </c>
      <c r="D2016" t="s">
        <v>19</v>
      </c>
      <c r="E2016" s="1">
        <v>45009</v>
      </c>
      <c r="F2016" t="s">
        <v>776</v>
      </c>
      <c r="G2016" s="1">
        <v>45018</v>
      </c>
      <c r="I2016" t="s">
        <v>25</v>
      </c>
      <c r="J2016" s="1" t="b">
        <f t="shared" si="217"/>
        <v>0</v>
      </c>
      <c r="K2016" s="1" t="b">
        <f t="shared" si="218"/>
        <v>0</v>
      </c>
      <c r="L2016" s="1" t="b">
        <f t="shared" si="219"/>
        <v>1</v>
      </c>
      <c r="M2016" s="1" t="b">
        <f t="shared" si="220"/>
        <v>0</v>
      </c>
      <c r="N2016" s="1" t="b">
        <f t="shared" si="221"/>
        <v>0</v>
      </c>
      <c r="O2016" s="1" t="b">
        <f t="shared" si="222"/>
        <v>0</v>
      </c>
      <c r="P2016" s="1" t="b">
        <f t="shared" si="223"/>
        <v>0</v>
      </c>
    </row>
    <row r="2017" spans="1:16" x14ac:dyDescent="0.2">
      <c r="A2017">
        <v>4115755</v>
      </c>
      <c r="B2017" t="s">
        <v>3611</v>
      </c>
      <c r="C2017" t="s">
        <v>282</v>
      </c>
      <c r="D2017" t="s">
        <v>139</v>
      </c>
      <c r="E2017" s="1">
        <v>44841</v>
      </c>
      <c r="F2017" t="s">
        <v>3612</v>
      </c>
      <c r="G2017" s="1">
        <v>44842</v>
      </c>
      <c r="H2017" s="1">
        <v>44869</v>
      </c>
      <c r="I2017" t="s">
        <v>43</v>
      </c>
      <c r="J2017" s="1" t="b">
        <f t="shared" si="217"/>
        <v>1</v>
      </c>
      <c r="K2017" s="1" t="b">
        <f t="shared" si="218"/>
        <v>0</v>
      </c>
      <c r="L2017" s="1" t="b">
        <f t="shared" si="219"/>
        <v>0</v>
      </c>
      <c r="M2017" s="1" t="b">
        <f t="shared" si="220"/>
        <v>0</v>
      </c>
      <c r="N2017" s="1" t="b">
        <f t="shared" si="221"/>
        <v>0</v>
      </c>
      <c r="O2017" s="1" t="b">
        <f t="shared" si="222"/>
        <v>1</v>
      </c>
      <c r="P2017" s="1" t="b">
        <f t="shared" si="223"/>
        <v>0</v>
      </c>
    </row>
    <row r="2018" spans="1:16" x14ac:dyDescent="0.2">
      <c r="A2018">
        <v>4475171</v>
      </c>
      <c r="B2018" t="s">
        <v>3613</v>
      </c>
      <c r="C2018" t="s">
        <v>10</v>
      </c>
      <c r="D2018" t="s">
        <v>60</v>
      </c>
      <c r="E2018" s="1">
        <v>44887</v>
      </c>
      <c r="F2018" t="s">
        <v>3614</v>
      </c>
      <c r="G2018" s="1">
        <v>44891</v>
      </c>
      <c r="I2018" t="s">
        <v>13</v>
      </c>
      <c r="J2018" s="1" t="b">
        <f t="shared" si="217"/>
        <v>0</v>
      </c>
      <c r="K2018" s="1" t="b">
        <f t="shared" si="218"/>
        <v>1</v>
      </c>
      <c r="L2018" s="1" t="b">
        <f t="shared" si="219"/>
        <v>0</v>
      </c>
      <c r="M2018" s="1" t="b">
        <f t="shared" si="220"/>
        <v>0</v>
      </c>
      <c r="N2018" s="1" t="b">
        <f t="shared" si="221"/>
        <v>0</v>
      </c>
      <c r="O2018" s="1" t="b">
        <f t="shared" si="222"/>
        <v>0</v>
      </c>
      <c r="P2018" s="1" t="b">
        <f t="shared" si="223"/>
        <v>0</v>
      </c>
    </row>
    <row r="2019" spans="1:16" x14ac:dyDescent="0.2">
      <c r="A2019">
        <v>4475171</v>
      </c>
      <c r="B2019" t="s">
        <v>3615</v>
      </c>
      <c r="C2019" t="s">
        <v>10</v>
      </c>
      <c r="D2019" t="s">
        <v>60</v>
      </c>
      <c r="E2019" s="1">
        <v>44894</v>
      </c>
      <c r="F2019" t="s">
        <v>3616</v>
      </c>
      <c r="G2019" s="1">
        <v>44902</v>
      </c>
      <c r="I2019" t="s">
        <v>13</v>
      </c>
      <c r="J2019" s="1" t="b">
        <f t="shared" si="217"/>
        <v>0</v>
      </c>
      <c r="K2019" s="1" t="b">
        <f t="shared" si="218"/>
        <v>1</v>
      </c>
      <c r="L2019" s="1" t="b">
        <f t="shared" si="219"/>
        <v>0</v>
      </c>
      <c r="M2019" s="1" t="b">
        <f t="shared" si="220"/>
        <v>0</v>
      </c>
      <c r="N2019" s="1" t="b">
        <f t="shared" si="221"/>
        <v>0</v>
      </c>
      <c r="O2019" s="1" t="b">
        <f t="shared" si="222"/>
        <v>0</v>
      </c>
      <c r="P2019" s="1" t="b">
        <f t="shared" si="223"/>
        <v>0</v>
      </c>
    </row>
    <row r="2020" spans="1:16" x14ac:dyDescent="0.2">
      <c r="A2020">
        <v>2069085</v>
      </c>
      <c r="B2020" t="s">
        <v>3617</v>
      </c>
      <c r="C2020" t="s">
        <v>121</v>
      </c>
      <c r="D2020" t="s">
        <v>11</v>
      </c>
      <c r="E2020" s="1">
        <v>44898</v>
      </c>
      <c r="F2020" t="s">
        <v>326</v>
      </c>
      <c r="G2020" s="1">
        <v>44916</v>
      </c>
      <c r="H2020" s="1">
        <v>44941</v>
      </c>
      <c r="J2020" s="1" t="b">
        <f t="shared" si="217"/>
        <v>1</v>
      </c>
      <c r="K2020" s="1" t="b">
        <f t="shared" si="218"/>
        <v>0</v>
      </c>
      <c r="L2020" s="1" t="b">
        <f t="shared" si="219"/>
        <v>0</v>
      </c>
      <c r="M2020" s="1" t="b">
        <f t="shared" si="220"/>
        <v>0</v>
      </c>
      <c r="N2020" s="1" t="b">
        <f t="shared" si="221"/>
        <v>0</v>
      </c>
      <c r="O2020" s="1" t="b">
        <f t="shared" si="222"/>
        <v>0</v>
      </c>
      <c r="P2020" s="1" t="b">
        <f t="shared" si="223"/>
        <v>0</v>
      </c>
    </row>
    <row r="2021" spans="1:16" x14ac:dyDescent="0.2">
      <c r="A2021">
        <v>2069085</v>
      </c>
      <c r="B2021" t="s">
        <v>3618</v>
      </c>
      <c r="C2021" t="s">
        <v>121</v>
      </c>
      <c r="D2021" t="s">
        <v>11</v>
      </c>
      <c r="E2021" s="1">
        <v>44889</v>
      </c>
      <c r="F2021" t="s">
        <v>3619</v>
      </c>
      <c r="G2021" s="1">
        <v>44901</v>
      </c>
      <c r="H2021" s="1">
        <v>44954</v>
      </c>
      <c r="I2021" t="s">
        <v>16</v>
      </c>
      <c r="J2021" s="1" t="b">
        <f t="shared" si="217"/>
        <v>1</v>
      </c>
      <c r="K2021" s="1" t="b">
        <f t="shared" si="218"/>
        <v>0</v>
      </c>
      <c r="L2021" s="1" t="b">
        <f t="shared" si="219"/>
        <v>0</v>
      </c>
      <c r="M2021" s="1" t="b">
        <f t="shared" si="220"/>
        <v>0</v>
      </c>
      <c r="N2021" s="1" t="b">
        <f t="shared" si="221"/>
        <v>1</v>
      </c>
      <c r="O2021" s="1" t="b">
        <f t="shared" si="222"/>
        <v>0</v>
      </c>
      <c r="P2021" s="1" t="b">
        <f t="shared" si="223"/>
        <v>0</v>
      </c>
    </row>
    <row r="2022" spans="1:16" x14ac:dyDescent="0.2">
      <c r="A2022">
        <v>2069085</v>
      </c>
      <c r="B2022" t="s">
        <v>3620</v>
      </c>
      <c r="C2022" t="s">
        <v>121</v>
      </c>
      <c r="D2022" t="s">
        <v>11</v>
      </c>
      <c r="E2022" s="1">
        <v>45072</v>
      </c>
      <c r="F2022" t="s">
        <v>3621</v>
      </c>
      <c r="G2022" s="1">
        <v>45079</v>
      </c>
      <c r="H2022" s="1">
        <v>45114</v>
      </c>
      <c r="J2022" s="1" t="b">
        <f t="shared" si="217"/>
        <v>1</v>
      </c>
      <c r="K2022" s="1" t="b">
        <f t="shared" si="218"/>
        <v>0</v>
      </c>
      <c r="L2022" s="1" t="b">
        <f t="shared" si="219"/>
        <v>0</v>
      </c>
      <c r="M2022" s="1" t="b">
        <f t="shared" si="220"/>
        <v>0</v>
      </c>
      <c r="N2022" s="1" t="b">
        <f t="shared" si="221"/>
        <v>0</v>
      </c>
      <c r="O2022" s="1" t="b">
        <f t="shared" si="222"/>
        <v>0</v>
      </c>
      <c r="P2022" s="1" t="b">
        <f t="shared" si="223"/>
        <v>0</v>
      </c>
    </row>
    <row r="2023" spans="1:16" x14ac:dyDescent="0.2">
      <c r="A2023">
        <v>2069085</v>
      </c>
      <c r="B2023" t="s">
        <v>3622</v>
      </c>
      <c r="C2023" t="s">
        <v>121</v>
      </c>
      <c r="D2023" t="s">
        <v>11</v>
      </c>
      <c r="E2023" s="1">
        <v>44595</v>
      </c>
      <c r="F2023" t="s">
        <v>3623</v>
      </c>
      <c r="G2023" s="1">
        <v>44617</v>
      </c>
      <c r="H2023" s="1">
        <v>44672</v>
      </c>
      <c r="J2023" s="1" t="b">
        <f t="shared" si="217"/>
        <v>1</v>
      </c>
      <c r="K2023" s="1" t="b">
        <f t="shared" si="218"/>
        <v>0</v>
      </c>
      <c r="L2023" s="1" t="b">
        <f t="shared" si="219"/>
        <v>0</v>
      </c>
      <c r="M2023" s="1" t="b">
        <f t="shared" si="220"/>
        <v>0</v>
      </c>
      <c r="N2023" s="1" t="b">
        <f t="shared" si="221"/>
        <v>0</v>
      </c>
      <c r="O2023" s="1" t="b">
        <f t="shared" si="222"/>
        <v>0</v>
      </c>
      <c r="P2023" s="1" t="b">
        <f t="shared" si="223"/>
        <v>0</v>
      </c>
    </row>
    <row r="2024" spans="1:16" x14ac:dyDescent="0.2">
      <c r="A2024">
        <v>2069085</v>
      </c>
      <c r="B2024" t="s">
        <v>3624</v>
      </c>
      <c r="C2024" t="s">
        <v>121</v>
      </c>
      <c r="D2024" t="s">
        <v>11</v>
      </c>
      <c r="E2024" s="1">
        <v>44915</v>
      </c>
      <c r="F2024" t="s">
        <v>3625</v>
      </c>
      <c r="G2024" s="1">
        <v>44918</v>
      </c>
      <c r="H2024" s="1">
        <v>44932</v>
      </c>
      <c r="I2024" t="s">
        <v>16</v>
      </c>
      <c r="J2024" s="1" t="b">
        <f t="shared" si="217"/>
        <v>1</v>
      </c>
      <c r="K2024" s="1" t="b">
        <f t="shared" si="218"/>
        <v>0</v>
      </c>
      <c r="L2024" s="1" t="b">
        <f t="shared" si="219"/>
        <v>0</v>
      </c>
      <c r="M2024" s="1" t="b">
        <f t="shared" si="220"/>
        <v>0</v>
      </c>
      <c r="N2024" s="1" t="b">
        <f t="shared" si="221"/>
        <v>1</v>
      </c>
      <c r="O2024" s="1" t="b">
        <f t="shared" si="222"/>
        <v>0</v>
      </c>
      <c r="P2024" s="1" t="b">
        <f t="shared" si="223"/>
        <v>0</v>
      </c>
    </row>
    <row r="2025" spans="1:16" x14ac:dyDescent="0.2">
      <c r="A2025">
        <v>9885075</v>
      </c>
      <c r="B2025" t="s">
        <v>3626</v>
      </c>
      <c r="C2025" t="s">
        <v>542</v>
      </c>
      <c r="D2025" t="s">
        <v>11</v>
      </c>
      <c r="E2025" s="1">
        <v>44592</v>
      </c>
      <c r="F2025" t="s">
        <v>3627</v>
      </c>
      <c r="G2025" s="1">
        <v>44597</v>
      </c>
      <c r="H2025" s="1">
        <v>44637</v>
      </c>
      <c r="J2025" s="1" t="b">
        <f t="shared" si="217"/>
        <v>1</v>
      </c>
      <c r="K2025" s="1" t="b">
        <f t="shared" si="218"/>
        <v>0</v>
      </c>
      <c r="L2025" s="1" t="b">
        <f t="shared" si="219"/>
        <v>0</v>
      </c>
      <c r="M2025" s="1" t="b">
        <f t="shared" si="220"/>
        <v>0</v>
      </c>
      <c r="N2025" s="1" t="b">
        <f t="shared" si="221"/>
        <v>0</v>
      </c>
      <c r="O2025" s="1" t="b">
        <f t="shared" si="222"/>
        <v>0</v>
      </c>
      <c r="P2025" s="1" t="b">
        <f t="shared" si="223"/>
        <v>0</v>
      </c>
    </row>
    <row r="2026" spans="1:16" x14ac:dyDescent="0.2">
      <c r="A2026">
        <v>9885075</v>
      </c>
      <c r="B2026" t="s">
        <v>3628</v>
      </c>
      <c r="C2026" t="s">
        <v>542</v>
      </c>
      <c r="D2026" t="s">
        <v>11</v>
      </c>
      <c r="E2026" s="1">
        <v>44987</v>
      </c>
      <c r="F2026" t="s">
        <v>3629</v>
      </c>
      <c r="G2026" s="1">
        <v>45012</v>
      </c>
      <c r="H2026" s="1">
        <v>45014</v>
      </c>
      <c r="I2026" t="s">
        <v>28</v>
      </c>
      <c r="J2026" s="1" t="b">
        <f t="shared" si="217"/>
        <v>1</v>
      </c>
      <c r="K2026" s="1" t="b">
        <f t="shared" si="218"/>
        <v>0</v>
      </c>
      <c r="L2026" s="1" t="b">
        <f t="shared" si="219"/>
        <v>0</v>
      </c>
      <c r="M2026" s="1" t="b">
        <f t="shared" si="220"/>
        <v>0</v>
      </c>
      <c r="N2026" s="1" t="b">
        <f t="shared" si="221"/>
        <v>0</v>
      </c>
      <c r="O2026" s="1" t="b">
        <f t="shared" si="222"/>
        <v>0</v>
      </c>
      <c r="P2026" s="1" t="b">
        <f t="shared" si="223"/>
        <v>1</v>
      </c>
    </row>
    <row r="2027" spans="1:16" x14ac:dyDescent="0.2">
      <c r="A2027">
        <v>9885075</v>
      </c>
      <c r="B2027" t="s">
        <v>3630</v>
      </c>
      <c r="C2027" t="s">
        <v>542</v>
      </c>
      <c r="D2027" t="s">
        <v>11</v>
      </c>
      <c r="E2027" s="1">
        <v>45064</v>
      </c>
      <c r="F2027" t="s">
        <v>1611</v>
      </c>
      <c r="G2027" s="1">
        <v>45072</v>
      </c>
      <c r="H2027" s="1">
        <v>45097</v>
      </c>
      <c r="I2027" t="s">
        <v>28</v>
      </c>
      <c r="J2027" s="1" t="b">
        <f t="shared" si="217"/>
        <v>1</v>
      </c>
      <c r="K2027" s="1" t="b">
        <f t="shared" si="218"/>
        <v>0</v>
      </c>
      <c r="L2027" s="1" t="b">
        <f t="shared" si="219"/>
        <v>0</v>
      </c>
      <c r="M2027" s="1" t="b">
        <f t="shared" si="220"/>
        <v>0</v>
      </c>
      <c r="N2027" s="1" t="b">
        <f t="shared" si="221"/>
        <v>0</v>
      </c>
      <c r="O2027" s="1" t="b">
        <f t="shared" si="222"/>
        <v>0</v>
      </c>
      <c r="P2027" s="1" t="b">
        <f t="shared" si="223"/>
        <v>1</v>
      </c>
    </row>
    <row r="2028" spans="1:16" x14ac:dyDescent="0.2">
      <c r="A2028">
        <v>3209515</v>
      </c>
      <c r="B2028" t="s">
        <v>3631</v>
      </c>
      <c r="C2028" t="s">
        <v>59</v>
      </c>
      <c r="D2028" t="s">
        <v>81</v>
      </c>
      <c r="I2028" t="s">
        <v>33</v>
      </c>
      <c r="J2028" s="1" t="b">
        <f t="shared" si="217"/>
        <v>0</v>
      </c>
      <c r="K2028" s="1" t="b">
        <f t="shared" si="218"/>
        <v>0</v>
      </c>
      <c r="L2028" s="1" t="b">
        <f t="shared" si="219"/>
        <v>0</v>
      </c>
      <c r="M2028" s="1" t="b">
        <f t="shared" si="220"/>
        <v>1</v>
      </c>
      <c r="N2028" s="1" t="b">
        <f t="shared" si="221"/>
        <v>0</v>
      </c>
      <c r="O2028" s="1" t="b">
        <f t="shared" si="222"/>
        <v>0</v>
      </c>
      <c r="P2028" s="1" t="b">
        <f t="shared" si="223"/>
        <v>0</v>
      </c>
    </row>
    <row r="2029" spans="1:16" x14ac:dyDescent="0.2">
      <c r="A2029">
        <v>4662556</v>
      </c>
      <c r="B2029" t="s">
        <v>3632</v>
      </c>
      <c r="C2029" t="s">
        <v>454</v>
      </c>
      <c r="D2029" t="s">
        <v>122</v>
      </c>
      <c r="E2029" s="1">
        <v>44972</v>
      </c>
      <c r="F2029" t="s">
        <v>1519</v>
      </c>
      <c r="G2029" s="1">
        <v>44990</v>
      </c>
      <c r="I2029" t="s">
        <v>13</v>
      </c>
      <c r="J2029" s="1" t="b">
        <f t="shared" si="217"/>
        <v>0</v>
      </c>
      <c r="K2029" s="1" t="b">
        <f t="shared" si="218"/>
        <v>1</v>
      </c>
      <c r="L2029" s="1" t="b">
        <f t="shared" si="219"/>
        <v>0</v>
      </c>
      <c r="M2029" s="1" t="b">
        <f t="shared" si="220"/>
        <v>0</v>
      </c>
      <c r="N2029" s="1" t="b">
        <f t="shared" si="221"/>
        <v>0</v>
      </c>
      <c r="O2029" s="1" t="b">
        <f t="shared" si="222"/>
        <v>0</v>
      </c>
      <c r="P2029" s="1" t="b">
        <f t="shared" si="223"/>
        <v>0</v>
      </c>
    </row>
    <row r="2030" spans="1:16" x14ac:dyDescent="0.2">
      <c r="A2030">
        <v>4662556</v>
      </c>
      <c r="B2030" t="s">
        <v>3633</v>
      </c>
      <c r="C2030" t="s">
        <v>454</v>
      </c>
      <c r="D2030" t="s">
        <v>122</v>
      </c>
      <c r="E2030" s="1">
        <v>44847</v>
      </c>
      <c r="F2030" t="s">
        <v>2431</v>
      </c>
      <c r="G2030" s="1">
        <v>44858</v>
      </c>
      <c r="H2030" s="1">
        <v>44908</v>
      </c>
      <c r="I2030" t="s">
        <v>43</v>
      </c>
      <c r="J2030" s="1" t="b">
        <f t="shared" si="217"/>
        <v>1</v>
      </c>
      <c r="K2030" s="1" t="b">
        <f t="shared" si="218"/>
        <v>0</v>
      </c>
      <c r="L2030" s="1" t="b">
        <f t="shared" si="219"/>
        <v>0</v>
      </c>
      <c r="M2030" s="1" t="b">
        <f t="shared" si="220"/>
        <v>0</v>
      </c>
      <c r="N2030" s="1" t="b">
        <f t="shared" si="221"/>
        <v>0</v>
      </c>
      <c r="O2030" s="1" t="b">
        <f t="shared" si="222"/>
        <v>1</v>
      </c>
      <c r="P2030" s="1" t="b">
        <f t="shared" si="223"/>
        <v>0</v>
      </c>
    </row>
    <row r="2031" spans="1:16" x14ac:dyDescent="0.2">
      <c r="A2031">
        <v>4662556</v>
      </c>
      <c r="B2031" t="s">
        <v>3634</v>
      </c>
      <c r="C2031" t="s">
        <v>454</v>
      </c>
      <c r="D2031" t="s">
        <v>122</v>
      </c>
      <c r="E2031" s="1">
        <v>44887</v>
      </c>
      <c r="F2031" t="s">
        <v>2413</v>
      </c>
      <c r="G2031" s="1">
        <v>44904</v>
      </c>
      <c r="H2031" s="1">
        <v>44939</v>
      </c>
      <c r="I2031" t="s">
        <v>16</v>
      </c>
      <c r="J2031" s="1" t="b">
        <f t="shared" si="217"/>
        <v>1</v>
      </c>
      <c r="K2031" s="1" t="b">
        <f t="shared" si="218"/>
        <v>0</v>
      </c>
      <c r="L2031" s="1" t="b">
        <f t="shared" si="219"/>
        <v>0</v>
      </c>
      <c r="M2031" s="1" t="b">
        <f t="shared" si="220"/>
        <v>0</v>
      </c>
      <c r="N2031" s="1" t="b">
        <f t="shared" si="221"/>
        <v>1</v>
      </c>
      <c r="O2031" s="1" t="b">
        <f t="shared" si="222"/>
        <v>0</v>
      </c>
      <c r="P2031" s="1" t="b">
        <f t="shared" si="223"/>
        <v>0</v>
      </c>
    </row>
    <row r="2032" spans="1:16" x14ac:dyDescent="0.2">
      <c r="A2032">
        <v>4662556</v>
      </c>
      <c r="B2032" t="s">
        <v>3635</v>
      </c>
      <c r="C2032" t="s">
        <v>454</v>
      </c>
      <c r="D2032" t="s">
        <v>122</v>
      </c>
      <c r="E2032" s="1">
        <v>45068</v>
      </c>
      <c r="F2032" t="s">
        <v>3636</v>
      </c>
      <c r="G2032" s="1">
        <v>45093</v>
      </c>
      <c r="H2032" s="1">
        <v>45123</v>
      </c>
      <c r="I2032" t="s">
        <v>43</v>
      </c>
      <c r="J2032" s="1" t="b">
        <f t="shared" si="217"/>
        <v>1</v>
      </c>
      <c r="K2032" s="1" t="b">
        <f t="shared" si="218"/>
        <v>0</v>
      </c>
      <c r="L2032" s="1" t="b">
        <f t="shared" si="219"/>
        <v>0</v>
      </c>
      <c r="M2032" s="1" t="b">
        <f t="shared" si="220"/>
        <v>0</v>
      </c>
      <c r="N2032" s="1" t="b">
        <f t="shared" si="221"/>
        <v>0</v>
      </c>
      <c r="O2032" s="1" t="b">
        <f t="shared" si="222"/>
        <v>1</v>
      </c>
      <c r="P2032" s="1" t="b">
        <f t="shared" si="223"/>
        <v>0</v>
      </c>
    </row>
    <row r="2033" spans="1:16" x14ac:dyDescent="0.2">
      <c r="A2033">
        <v>4662556</v>
      </c>
      <c r="B2033" t="s">
        <v>3637</v>
      </c>
      <c r="C2033" t="s">
        <v>454</v>
      </c>
      <c r="D2033" t="s">
        <v>122</v>
      </c>
      <c r="E2033" s="1">
        <v>44722</v>
      </c>
      <c r="F2033" t="s">
        <v>3638</v>
      </c>
      <c r="G2033" s="1">
        <v>44752</v>
      </c>
      <c r="I2033" t="s">
        <v>25</v>
      </c>
      <c r="J2033" s="1" t="b">
        <f t="shared" si="217"/>
        <v>0</v>
      </c>
      <c r="K2033" s="1" t="b">
        <f t="shared" si="218"/>
        <v>0</v>
      </c>
      <c r="L2033" s="1" t="b">
        <f t="shared" si="219"/>
        <v>1</v>
      </c>
      <c r="M2033" s="1" t="b">
        <f t="shared" si="220"/>
        <v>0</v>
      </c>
      <c r="N2033" s="1" t="b">
        <f t="shared" si="221"/>
        <v>0</v>
      </c>
      <c r="O2033" s="1" t="b">
        <f t="shared" si="222"/>
        <v>0</v>
      </c>
      <c r="P2033" s="1" t="b">
        <f t="shared" si="223"/>
        <v>0</v>
      </c>
    </row>
    <row r="2034" spans="1:16" x14ac:dyDescent="0.2">
      <c r="A2034">
        <v>3980080</v>
      </c>
      <c r="B2034" t="s">
        <v>3639</v>
      </c>
      <c r="C2034" t="s">
        <v>59</v>
      </c>
      <c r="D2034" t="s">
        <v>11</v>
      </c>
      <c r="E2034" s="1">
        <v>44738</v>
      </c>
      <c r="F2034" t="s">
        <v>257</v>
      </c>
      <c r="G2034" s="1">
        <v>44760</v>
      </c>
      <c r="H2034" s="1">
        <v>44819</v>
      </c>
      <c r="I2034" t="s">
        <v>28</v>
      </c>
      <c r="J2034" s="1" t="b">
        <f t="shared" si="217"/>
        <v>1</v>
      </c>
      <c r="K2034" s="1" t="b">
        <f t="shared" si="218"/>
        <v>0</v>
      </c>
      <c r="L2034" s="1" t="b">
        <f t="shared" si="219"/>
        <v>0</v>
      </c>
      <c r="M2034" s="1" t="b">
        <f t="shared" si="220"/>
        <v>0</v>
      </c>
      <c r="N2034" s="1" t="b">
        <f t="shared" si="221"/>
        <v>0</v>
      </c>
      <c r="O2034" s="1" t="b">
        <f t="shared" si="222"/>
        <v>0</v>
      </c>
      <c r="P2034" s="1" t="b">
        <f t="shared" si="223"/>
        <v>1</v>
      </c>
    </row>
    <row r="2035" spans="1:16" x14ac:dyDescent="0.2">
      <c r="A2035">
        <v>2649587</v>
      </c>
      <c r="B2035" t="s">
        <v>3640</v>
      </c>
      <c r="C2035" t="s">
        <v>59</v>
      </c>
      <c r="D2035" t="s">
        <v>81</v>
      </c>
      <c r="E2035" s="1">
        <v>44591</v>
      </c>
      <c r="F2035" t="s">
        <v>3641</v>
      </c>
      <c r="G2035" s="1">
        <v>44611</v>
      </c>
      <c r="H2035" s="1">
        <v>44626</v>
      </c>
      <c r="J2035" s="1" t="b">
        <f t="shared" si="217"/>
        <v>1</v>
      </c>
      <c r="K2035" s="1" t="b">
        <f t="shared" si="218"/>
        <v>0</v>
      </c>
      <c r="L2035" s="1" t="b">
        <f t="shared" si="219"/>
        <v>0</v>
      </c>
      <c r="M2035" s="1" t="b">
        <f t="shared" si="220"/>
        <v>0</v>
      </c>
      <c r="N2035" s="1" t="b">
        <f t="shared" si="221"/>
        <v>0</v>
      </c>
      <c r="O2035" s="1" t="b">
        <f t="shared" si="222"/>
        <v>0</v>
      </c>
      <c r="P2035" s="1" t="b">
        <f t="shared" si="223"/>
        <v>0</v>
      </c>
    </row>
    <row r="2036" spans="1:16" x14ac:dyDescent="0.2">
      <c r="A2036">
        <v>2649587</v>
      </c>
      <c r="B2036" t="s">
        <v>3642</v>
      </c>
      <c r="C2036" t="s">
        <v>59</v>
      </c>
      <c r="D2036" t="s">
        <v>81</v>
      </c>
      <c r="E2036" s="1">
        <v>44644</v>
      </c>
      <c r="F2036" t="s">
        <v>3643</v>
      </c>
      <c r="G2036" s="1">
        <v>44664</v>
      </c>
      <c r="I2036" t="s">
        <v>13</v>
      </c>
      <c r="J2036" s="1" t="b">
        <f t="shared" si="217"/>
        <v>0</v>
      </c>
      <c r="K2036" s="1" t="b">
        <f t="shared" si="218"/>
        <v>1</v>
      </c>
      <c r="L2036" s="1" t="b">
        <f t="shared" si="219"/>
        <v>0</v>
      </c>
      <c r="M2036" s="1" t="b">
        <f t="shared" si="220"/>
        <v>0</v>
      </c>
      <c r="N2036" s="1" t="b">
        <f t="shared" si="221"/>
        <v>0</v>
      </c>
      <c r="O2036" s="1" t="b">
        <f t="shared" si="222"/>
        <v>0</v>
      </c>
      <c r="P2036" s="1" t="b">
        <f t="shared" si="223"/>
        <v>0</v>
      </c>
    </row>
    <row r="2037" spans="1:16" x14ac:dyDescent="0.2">
      <c r="A2037">
        <v>2649587</v>
      </c>
      <c r="B2037" t="s">
        <v>3644</v>
      </c>
      <c r="C2037" t="s">
        <v>59</v>
      </c>
      <c r="D2037" t="s">
        <v>81</v>
      </c>
      <c r="E2037" s="1">
        <v>44894</v>
      </c>
      <c r="F2037" t="s">
        <v>3645</v>
      </c>
      <c r="G2037" s="1">
        <v>44914</v>
      </c>
      <c r="H2037" s="1">
        <v>44930</v>
      </c>
      <c r="J2037" s="1" t="b">
        <f t="shared" si="217"/>
        <v>1</v>
      </c>
      <c r="K2037" s="1" t="b">
        <f t="shared" si="218"/>
        <v>0</v>
      </c>
      <c r="L2037" s="1" t="b">
        <f t="shared" si="219"/>
        <v>0</v>
      </c>
      <c r="M2037" s="1" t="b">
        <f t="shared" si="220"/>
        <v>0</v>
      </c>
      <c r="N2037" s="1" t="b">
        <f t="shared" si="221"/>
        <v>0</v>
      </c>
      <c r="O2037" s="1" t="b">
        <f t="shared" si="222"/>
        <v>0</v>
      </c>
      <c r="P2037" s="1" t="b">
        <f t="shared" si="223"/>
        <v>0</v>
      </c>
    </row>
    <row r="2038" spans="1:16" x14ac:dyDescent="0.2">
      <c r="A2038">
        <v>2649587</v>
      </c>
      <c r="B2038" t="s">
        <v>3646</v>
      </c>
      <c r="C2038" t="s">
        <v>59</v>
      </c>
      <c r="D2038" t="s">
        <v>81</v>
      </c>
      <c r="E2038" s="1">
        <v>44655</v>
      </c>
      <c r="F2038" t="s">
        <v>3647</v>
      </c>
      <c r="G2038" s="1">
        <v>44667</v>
      </c>
      <c r="I2038" t="s">
        <v>13</v>
      </c>
      <c r="J2038" s="1" t="b">
        <f t="shared" si="217"/>
        <v>0</v>
      </c>
      <c r="K2038" s="1" t="b">
        <f t="shared" si="218"/>
        <v>1</v>
      </c>
      <c r="L2038" s="1" t="b">
        <f t="shared" si="219"/>
        <v>0</v>
      </c>
      <c r="M2038" s="1" t="b">
        <f t="shared" si="220"/>
        <v>0</v>
      </c>
      <c r="N2038" s="1" t="b">
        <f t="shared" si="221"/>
        <v>0</v>
      </c>
      <c r="O2038" s="1" t="b">
        <f t="shared" si="222"/>
        <v>0</v>
      </c>
      <c r="P2038" s="1" t="b">
        <f t="shared" si="223"/>
        <v>0</v>
      </c>
    </row>
    <row r="2039" spans="1:16" x14ac:dyDescent="0.2">
      <c r="A2039">
        <v>1381170</v>
      </c>
      <c r="B2039" t="s">
        <v>3648</v>
      </c>
      <c r="C2039" t="s">
        <v>138</v>
      </c>
      <c r="D2039" t="s">
        <v>81</v>
      </c>
      <c r="E2039" s="1">
        <v>44727</v>
      </c>
      <c r="F2039" t="s">
        <v>1521</v>
      </c>
      <c r="G2039" s="1">
        <v>44742</v>
      </c>
      <c r="H2039" s="1">
        <v>44766</v>
      </c>
      <c r="I2039" t="s">
        <v>43</v>
      </c>
      <c r="J2039" s="1" t="b">
        <f t="shared" si="217"/>
        <v>1</v>
      </c>
      <c r="K2039" s="1" t="b">
        <f t="shared" si="218"/>
        <v>0</v>
      </c>
      <c r="L2039" s="1" t="b">
        <f t="shared" si="219"/>
        <v>0</v>
      </c>
      <c r="M2039" s="1" t="b">
        <f t="shared" si="220"/>
        <v>0</v>
      </c>
      <c r="N2039" s="1" t="b">
        <f t="shared" si="221"/>
        <v>0</v>
      </c>
      <c r="O2039" s="1" t="b">
        <f t="shared" si="222"/>
        <v>1</v>
      </c>
      <c r="P2039" s="1" t="b">
        <f t="shared" si="223"/>
        <v>0</v>
      </c>
    </row>
    <row r="2040" spans="1:16" x14ac:dyDescent="0.2">
      <c r="A2040">
        <v>1381170</v>
      </c>
      <c r="B2040" t="s">
        <v>3649</v>
      </c>
      <c r="C2040" t="s">
        <v>138</v>
      </c>
      <c r="D2040" t="s">
        <v>81</v>
      </c>
      <c r="E2040" s="1">
        <v>44766</v>
      </c>
      <c r="F2040" t="s">
        <v>3650</v>
      </c>
      <c r="G2040" s="1">
        <v>44777</v>
      </c>
      <c r="H2040" s="1">
        <v>44786</v>
      </c>
      <c r="I2040" t="s">
        <v>43</v>
      </c>
      <c r="J2040" s="1" t="b">
        <f t="shared" si="217"/>
        <v>1</v>
      </c>
      <c r="K2040" s="1" t="b">
        <f t="shared" si="218"/>
        <v>0</v>
      </c>
      <c r="L2040" s="1" t="b">
        <f t="shared" si="219"/>
        <v>0</v>
      </c>
      <c r="M2040" s="1" t="b">
        <f t="shared" si="220"/>
        <v>0</v>
      </c>
      <c r="N2040" s="1" t="b">
        <f t="shared" si="221"/>
        <v>0</v>
      </c>
      <c r="O2040" s="1" t="b">
        <f t="shared" si="222"/>
        <v>1</v>
      </c>
      <c r="P2040" s="1" t="b">
        <f t="shared" si="223"/>
        <v>0</v>
      </c>
    </row>
    <row r="2041" spans="1:16" x14ac:dyDescent="0.2">
      <c r="A2041">
        <v>1381170</v>
      </c>
      <c r="B2041" t="s">
        <v>3651</v>
      </c>
      <c r="C2041" t="s">
        <v>138</v>
      </c>
      <c r="D2041" t="s">
        <v>81</v>
      </c>
      <c r="E2041" s="1">
        <v>44773</v>
      </c>
      <c r="F2041" t="s">
        <v>3652</v>
      </c>
      <c r="G2041" s="1">
        <v>44792</v>
      </c>
      <c r="I2041" t="s">
        <v>25</v>
      </c>
      <c r="J2041" s="1" t="b">
        <f t="shared" si="217"/>
        <v>0</v>
      </c>
      <c r="K2041" s="1" t="b">
        <f t="shared" si="218"/>
        <v>0</v>
      </c>
      <c r="L2041" s="1" t="b">
        <f t="shared" si="219"/>
        <v>1</v>
      </c>
      <c r="M2041" s="1" t="b">
        <f t="shared" si="220"/>
        <v>0</v>
      </c>
      <c r="N2041" s="1" t="b">
        <f t="shared" si="221"/>
        <v>0</v>
      </c>
      <c r="O2041" s="1" t="b">
        <f t="shared" si="222"/>
        <v>0</v>
      </c>
      <c r="P2041" s="1" t="b">
        <f t="shared" si="223"/>
        <v>0</v>
      </c>
    </row>
    <row r="2042" spans="1:16" x14ac:dyDescent="0.2">
      <c r="A2042">
        <v>1381170</v>
      </c>
      <c r="B2042" t="s">
        <v>3653</v>
      </c>
      <c r="C2042" t="s">
        <v>138</v>
      </c>
      <c r="D2042" t="s">
        <v>81</v>
      </c>
      <c r="E2042" s="1">
        <v>45016</v>
      </c>
      <c r="F2042" t="s">
        <v>3654</v>
      </c>
      <c r="G2042" s="1">
        <v>45024</v>
      </c>
      <c r="H2042" s="1">
        <v>45075</v>
      </c>
      <c r="I2042" t="s">
        <v>43</v>
      </c>
      <c r="J2042" s="1" t="b">
        <f t="shared" si="217"/>
        <v>1</v>
      </c>
      <c r="K2042" s="1" t="b">
        <f t="shared" si="218"/>
        <v>0</v>
      </c>
      <c r="L2042" s="1" t="b">
        <f t="shared" si="219"/>
        <v>0</v>
      </c>
      <c r="M2042" s="1" t="b">
        <f t="shared" si="220"/>
        <v>0</v>
      </c>
      <c r="N2042" s="1" t="b">
        <f t="shared" si="221"/>
        <v>0</v>
      </c>
      <c r="O2042" s="1" t="b">
        <f t="shared" si="222"/>
        <v>1</v>
      </c>
      <c r="P2042" s="1" t="b">
        <f t="shared" si="223"/>
        <v>0</v>
      </c>
    </row>
    <row r="2043" spans="1:16" x14ac:dyDescent="0.2">
      <c r="A2043">
        <v>3967518</v>
      </c>
      <c r="B2043" t="s">
        <v>3655</v>
      </c>
      <c r="C2043" t="s">
        <v>287</v>
      </c>
      <c r="D2043" t="s">
        <v>139</v>
      </c>
      <c r="E2043" s="1">
        <v>44725</v>
      </c>
      <c r="F2043" t="s">
        <v>586</v>
      </c>
      <c r="G2043" s="1">
        <v>44733</v>
      </c>
      <c r="H2043" s="1">
        <v>44763</v>
      </c>
      <c r="I2043" t="s">
        <v>28</v>
      </c>
      <c r="J2043" s="1" t="b">
        <f t="shared" si="217"/>
        <v>1</v>
      </c>
      <c r="K2043" s="1" t="b">
        <f t="shared" si="218"/>
        <v>0</v>
      </c>
      <c r="L2043" s="1" t="b">
        <f t="shared" si="219"/>
        <v>0</v>
      </c>
      <c r="M2043" s="1" t="b">
        <f t="shared" si="220"/>
        <v>0</v>
      </c>
      <c r="N2043" s="1" t="b">
        <f t="shared" si="221"/>
        <v>0</v>
      </c>
      <c r="O2043" s="1" t="b">
        <f t="shared" si="222"/>
        <v>0</v>
      </c>
      <c r="P2043" s="1" t="b">
        <f t="shared" si="223"/>
        <v>1</v>
      </c>
    </row>
    <row r="2044" spans="1:16" x14ac:dyDescent="0.2">
      <c r="A2044">
        <v>2171758</v>
      </c>
      <c r="B2044" t="s">
        <v>3656</v>
      </c>
      <c r="C2044" t="s">
        <v>10</v>
      </c>
      <c r="D2044" t="s">
        <v>56</v>
      </c>
      <c r="E2044" s="1">
        <v>44634</v>
      </c>
      <c r="F2044" t="s">
        <v>3657</v>
      </c>
      <c r="G2044" s="1">
        <v>44660</v>
      </c>
      <c r="H2044" s="1">
        <v>44687</v>
      </c>
      <c r="J2044" s="1" t="b">
        <f t="shared" si="217"/>
        <v>1</v>
      </c>
      <c r="K2044" s="1" t="b">
        <f t="shared" si="218"/>
        <v>0</v>
      </c>
      <c r="L2044" s="1" t="b">
        <f t="shared" si="219"/>
        <v>0</v>
      </c>
      <c r="M2044" s="1" t="b">
        <f t="shared" si="220"/>
        <v>0</v>
      </c>
      <c r="N2044" s="1" t="b">
        <f t="shared" si="221"/>
        <v>0</v>
      </c>
      <c r="O2044" s="1" t="b">
        <f t="shared" si="222"/>
        <v>0</v>
      </c>
      <c r="P2044" s="1" t="b">
        <f t="shared" si="223"/>
        <v>0</v>
      </c>
    </row>
    <row r="2045" spans="1:16" x14ac:dyDescent="0.2">
      <c r="A2045">
        <v>2171758</v>
      </c>
      <c r="B2045" t="s">
        <v>3658</v>
      </c>
      <c r="C2045" t="s">
        <v>10</v>
      </c>
      <c r="D2045" t="s">
        <v>56</v>
      </c>
      <c r="E2045" s="1">
        <v>44586</v>
      </c>
      <c r="F2045" t="s">
        <v>2127</v>
      </c>
      <c r="G2045" s="1">
        <v>44601</v>
      </c>
      <c r="H2045" s="1">
        <v>44632</v>
      </c>
      <c r="I2045" t="s">
        <v>16</v>
      </c>
      <c r="J2045" s="1" t="b">
        <f t="shared" si="217"/>
        <v>1</v>
      </c>
      <c r="K2045" s="1" t="b">
        <f t="shared" si="218"/>
        <v>0</v>
      </c>
      <c r="L2045" s="1" t="b">
        <f t="shared" si="219"/>
        <v>0</v>
      </c>
      <c r="M2045" s="1" t="b">
        <f t="shared" si="220"/>
        <v>0</v>
      </c>
      <c r="N2045" s="1" t="b">
        <f t="shared" si="221"/>
        <v>1</v>
      </c>
      <c r="O2045" s="1" t="b">
        <f t="shared" si="222"/>
        <v>0</v>
      </c>
      <c r="P2045" s="1" t="b">
        <f t="shared" si="223"/>
        <v>0</v>
      </c>
    </row>
    <row r="2046" spans="1:16" x14ac:dyDescent="0.2">
      <c r="A2046">
        <v>2171758</v>
      </c>
      <c r="B2046" t="s">
        <v>3659</v>
      </c>
      <c r="C2046" t="s">
        <v>10</v>
      </c>
      <c r="D2046" t="s">
        <v>56</v>
      </c>
      <c r="E2046" s="1">
        <v>44969</v>
      </c>
      <c r="F2046" t="s">
        <v>3434</v>
      </c>
      <c r="G2046" s="1">
        <v>44996</v>
      </c>
      <c r="H2046" s="1">
        <v>45049</v>
      </c>
      <c r="I2046" t="s">
        <v>16</v>
      </c>
      <c r="J2046" s="1" t="b">
        <f t="shared" si="217"/>
        <v>1</v>
      </c>
      <c r="K2046" s="1" t="b">
        <f t="shared" si="218"/>
        <v>0</v>
      </c>
      <c r="L2046" s="1" t="b">
        <f t="shared" si="219"/>
        <v>0</v>
      </c>
      <c r="M2046" s="1" t="b">
        <f t="shared" si="220"/>
        <v>0</v>
      </c>
      <c r="N2046" s="1" t="b">
        <f t="shared" si="221"/>
        <v>1</v>
      </c>
      <c r="O2046" s="1" t="b">
        <f t="shared" si="222"/>
        <v>0</v>
      </c>
      <c r="P2046" s="1" t="b">
        <f t="shared" si="223"/>
        <v>0</v>
      </c>
    </row>
    <row r="2047" spans="1:16" x14ac:dyDescent="0.2">
      <c r="A2047">
        <v>2171758</v>
      </c>
      <c r="B2047" t="s">
        <v>3660</v>
      </c>
      <c r="C2047" t="s">
        <v>10</v>
      </c>
      <c r="D2047" t="s">
        <v>56</v>
      </c>
      <c r="E2047" s="1">
        <v>45085</v>
      </c>
      <c r="F2047" t="s">
        <v>3661</v>
      </c>
      <c r="G2047" s="1">
        <v>45106</v>
      </c>
      <c r="H2047" s="1">
        <v>45148</v>
      </c>
      <c r="I2047" t="s">
        <v>16</v>
      </c>
      <c r="J2047" s="1" t="b">
        <f t="shared" si="217"/>
        <v>1</v>
      </c>
      <c r="K2047" s="1" t="b">
        <f t="shared" si="218"/>
        <v>0</v>
      </c>
      <c r="L2047" s="1" t="b">
        <f t="shared" si="219"/>
        <v>0</v>
      </c>
      <c r="M2047" s="1" t="b">
        <f t="shared" si="220"/>
        <v>0</v>
      </c>
      <c r="N2047" s="1" t="b">
        <f t="shared" si="221"/>
        <v>1</v>
      </c>
      <c r="O2047" s="1" t="b">
        <f t="shared" si="222"/>
        <v>0</v>
      </c>
      <c r="P2047" s="1" t="b">
        <f t="shared" si="223"/>
        <v>0</v>
      </c>
    </row>
    <row r="2048" spans="1:16" x14ac:dyDescent="0.2">
      <c r="A2048">
        <v>8382743</v>
      </c>
      <c r="B2048" t="s">
        <v>3662</v>
      </c>
      <c r="C2048" t="s">
        <v>315</v>
      </c>
      <c r="D2048" t="s">
        <v>122</v>
      </c>
      <c r="E2048" s="1">
        <v>44676</v>
      </c>
      <c r="F2048" t="s">
        <v>3663</v>
      </c>
      <c r="G2048" s="1">
        <v>44700</v>
      </c>
      <c r="I2048" t="s">
        <v>13</v>
      </c>
      <c r="J2048" s="1" t="b">
        <f t="shared" si="217"/>
        <v>0</v>
      </c>
      <c r="K2048" s="1" t="b">
        <f t="shared" si="218"/>
        <v>1</v>
      </c>
      <c r="L2048" s="1" t="b">
        <f t="shared" si="219"/>
        <v>0</v>
      </c>
      <c r="M2048" s="1" t="b">
        <f t="shared" si="220"/>
        <v>0</v>
      </c>
      <c r="N2048" s="1" t="b">
        <f t="shared" si="221"/>
        <v>0</v>
      </c>
      <c r="O2048" s="1" t="b">
        <f t="shared" si="222"/>
        <v>0</v>
      </c>
      <c r="P2048" s="1" t="b">
        <f t="shared" si="223"/>
        <v>0</v>
      </c>
    </row>
    <row r="2049" spans="1:16" x14ac:dyDescent="0.2">
      <c r="A2049">
        <v>3834568</v>
      </c>
      <c r="B2049" t="s">
        <v>3664</v>
      </c>
      <c r="C2049" t="s">
        <v>542</v>
      </c>
      <c r="D2049" t="s">
        <v>60</v>
      </c>
      <c r="E2049" s="1">
        <v>45056</v>
      </c>
      <c r="F2049" t="s">
        <v>3665</v>
      </c>
      <c r="G2049" s="1">
        <v>45063</v>
      </c>
      <c r="I2049" t="s">
        <v>13</v>
      </c>
      <c r="J2049" s="1" t="b">
        <f t="shared" si="217"/>
        <v>0</v>
      </c>
      <c r="K2049" s="1" t="b">
        <f t="shared" si="218"/>
        <v>1</v>
      </c>
      <c r="L2049" s="1" t="b">
        <f t="shared" si="219"/>
        <v>0</v>
      </c>
      <c r="M2049" s="1" t="b">
        <f t="shared" si="220"/>
        <v>0</v>
      </c>
      <c r="N2049" s="1" t="b">
        <f t="shared" si="221"/>
        <v>0</v>
      </c>
      <c r="O2049" s="1" t="b">
        <f t="shared" si="222"/>
        <v>0</v>
      </c>
      <c r="P2049" s="1" t="b">
        <f t="shared" si="223"/>
        <v>0</v>
      </c>
    </row>
    <row r="2050" spans="1:16" x14ac:dyDescent="0.2">
      <c r="A2050">
        <v>3834568</v>
      </c>
      <c r="B2050" t="s">
        <v>3666</v>
      </c>
      <c r="C2050" t="s">
        <v>542</v>
      </c>
      <c r="D2050" t="s">
        <v>60</v>
      </c>
      <c r="E2050" s="1">
        <v>44637</v>
      </c>
      <c r="F2050" t="s">
        <v>2500</v>
      </c>
      <c r="G2050" s="1">
        <v>44652</v>
      </c>
      <c r="I2050" t="s">
        <v>13</v>
      </c>
      <c r="J2050" s="1" t="b">
        <f t="shared" si="217"/>
        <v>0</v>
      </c>
      <c r="K2050" s="1" t="b">
        <f t="shared" si="218"/>
        <v>1</v>
      </c>
      <c r="L2050" s="1" t="b">
        <f t="shared" si="219"/>
        <v>0</v>
      </c>
      <c r="M2050" s="1" t="b">
        <f t="shared" si="220"/>
        <v>0</v>
      </c>
      <c r="N2050" s="1" t="b">
        <f t="shared" si="221"/>
        <v>0</v>
      </c>
      <c r="O2050" s="1" t="b">
        <f t="shared" si="222"/>
        <v>0</v>
      </c>
      <c r="P2050" s="1" t="b">
        <f t="shared" si="223"/>
        <v>0</v>
      </c>
    </row>
    <row r="2051" spans="1:16" x14ac:dyDescent="0.2">
      <c r="A2051">
        <v>3834568</v>
      </c>
      <c r="B2051" t="s">
        <v>3667</v>
      </c>
      <c r="C2051" t="s">
        <v>542</v>
      </c>
      <c r="D2051" t="s">
        <v>60</v>
      </c>
      <c r="E2051" s="1">
        <v>44828</v>
      </c>
      <c r="F2051" t="s">
        <v>728</v>
      </c>
      <c r="G2051" s="1">
        <v>44839</v>
      </c>
      <c r="H2051" s="1">
        <v>44858</v>
      </c>
      <c r="J2051" s="1" t="b">
        <f t="shared" ref="J2051:J2114" si="224">AND(NOT(ISBLANK(H2051)), NOT(OR(ISNUMBER(SEARCH("decline", I2051)), ISNUMBER(SEARCH("rescind", I2051)), ISNUMBER(SEARCH("cancel", I2051)))))</f>
        <v>1</v>
      </c>
      <c r="K2051" s="1" t="b">
        <f t="shared" ref="K2051:K2114" si="225">ISNUMBER(SEARCH("decline", I2051))</f>
        <v>0</v>
      </c>
      <c r="L2051" s="1" t="b">
        <f t="shared" ref="L2051:L2114" si="226">ISNUMBER(SEARCH("rescind", I2051))</f>
        <v>0</v>
      </c>
      <c r="M2051" s="1" t="b">
        <f t="shared" ref="M2051:M2114" si="227">ISNUMBER(SEARCH("cancel", I2051))</f>
        <v>0</v>
      </c>
      <c r="N2051" s="1" t="b">
        <f t="shared" ref="N2051:N2114" si="228">ISNUMBER(SEARCH("transfer", I2051))</f>
        <v>0</v>
      </c>
      <c r="O2051" s="1" t="b">
        <f t="shared" ref="O2051:O2114" si="229">ISNUMBER(SEARCH("promo", I2051))</f>
        <v>0</v>
      </c>
      <c r="P2051" s="1" t="b">
        <f t="shared" ref="P2051:P2114" si="230">ISNUMBER(SEARCH("new", I2051))</f>
        <v>0</v>
      </c>
    </row>
    <row r="2052" spans="1:16" x14ac:dyDescent="0.2">
      <c r="A2052">
        <v>8460359</v>
      </c>
      <c r="B2052" t="s">
        <v>3668</v>
      </c>
      <c r="C2052" t="s">
        <v>720</v>
      </c>
      <c r="D2052" t="s">
        <v>77</v>
      </c>
      <c r="E2052" s="1">
        <v>44713</v>
      </c>
      <c r="F2052" t="s">
        <v>1653</v>
      </c>
      <c r="G2052" s="1">
        <v>44730</v>
      </c>
      <c r="H2052" s="1">
        <v>44749</v>
      </c>
      <c r="I2052" t="s">
        <v>16</v>
      </c>
      <c r="J2052" s="1" t="b">
        <f t="shared" si="224"/>
        <v>1</v>
      </c>
      <c r="K2052" s="1" t="b">
        <f t="shared" si="225"/>
        <v>0</v>
      </c>
      <c r="L2052" s="1" t="b">
        <f t="shared" si="226"/>
        <v>0</v>
      </c>
      <c r="M2052" s="1" t="b">
        <f t="shared" si="227"/>
        <v>0</v>
      </c>
      <c r="N2052" s="1" t="b">
        <f t="shared" si="228"/>
        <v>1</v>
      </c>
      <c r="O2052" s="1" t="b">
        <f t="shared" si="229"/>
        <v>0</v>
      </c>
      <c r="P2052" s="1" t="b">
        <f t="shared" si="230"/>
        <v>0</v>
      </c>
    </row>
    <row r="2053" spans="1:16" x14ac:dyDescent="0.2">
      <c r="A2053">
        <v>8460359</v>
      </c>
      <c r="B2053" t="s">
        <v>3669</v>
      </c>
      <c r="C2053" t="s">
        <v>720</v>
      </c>
      <c r="D2053" t="s">
        <v>77</v>
      </c>
      <c r="E2053" s="1">
        <v>44933</v>
      </c>
      <c r="F2053" t="s">
        <v>3670</v>
      </c>
      <c r="G2053" s="1">
        <v>44956</v>
      </c>
      <c r="I2053" t="s">
        <v>13</v>
      </c>
      <c r="J2053" s="1" t="b">
        <f t="shared" si="224"/>
        <v>0</v>
      </c>
      <c r="K2053" s="1" t="b">
        <f t="shared" si="225"/>
        <v>1</v>
      </c>
      <c r="L2053" s="1" t="b">
        <f t="shared" si="226"/>
        <v>0</v>
      </c>
      <c r="M2053" s="1" t="b">
        <f t="shared" si="227"/>
        <v>0</v>
      </c>
      <c r="N2053" s="1" t="b">
        <f t="shared" si="228"/>
        <v>0</v>
      </c>
      <c r="O2053" s="1" t="b">
        <f t="shared" si="229"/>
        <v>0</v>
      </c>
      <c r="P2053" s="1" t="b">
        <f t="shared" si="230"/>
        <v>0</v>
      </c>
    </row>
    <row r="2054" spans="1:16" x14ac:dyDescent="0.2">
      <c r="A2054">
        <v>8460359</v>
      </c>
      <c r="B2054" t="s">
        <v>3671</v>
      </c>
      <c r="C2054" t="s">
        <v>720</v>
      </c>
      <c r="D2054" t="s">
        <v>77</v>
      </c>
      <c r="E2054" s="1">
        <v>44724</v>
      </c>
      <c r="F2054" t="s">
        <v>862</v>
      </c>
      <c r="G2054" s="1">
        <v>44743</v>
      </c>
      <c r="I2054" t="s">
        <v>25</v>
      </c>
      <c r="J2054" s="1" t="b">
        <f t="shared" si="224"/>
        <v>0</v>
      </c>
      <c r="K2054" s="1" t="b">
        <f t="shared" si="225"/>
        <v>0</v>
      </c>
      <c r="L2054" s="1" t="b">
        <f t="shared" si="226"/>
        <v>1</v>
      </c>
      <c r="M2054" s="1" t="b">
        <f t="shared" si="227"/>
        <v>0</v>
      </c>
      <c r="N2054" s="1" t="b">
        <f t="shared" si="228"/>
        <v>0</v>
      </c>
      <c r="O2054" s="1" t="b">
        <f t="shared" si="229"/>
        <v>0</v>
      </c>
      <c r="P2054" s="1" t="b">
        <f t="shared" si="230"/>
        <v>0</v>
      </c>
    </row>
    <row r="2055" spans="1:16" x14ac:dyDescent="0.2">
      <c r="A2055">
        <v>6112711</v>
      </c>
      <c r="B2055" t="s">
        <v>3672</v>
      </c>
      <c r="C2055" t="s">
        <v>363</v>
      </c>
      <c r="D2055" t="s">
        <v>77</v>
      </c>
      <c r="E2055" s="1">
        <v>44693</v>
      </c>
      <c r="F2055" t="s">
        <v>3673</v>
      </c>
      <c r="G2055" s="1">
        <v>44698</v>
      </c>
      <c r="I2055" t="s">
        <v>13</v>
      </c>
      <c r="J2055" s="1" t="b">
        <f t="shared" si="224"/>
        <v>0</v>
      </c>
      <c r="K2055" s="1" t="b">
        <f t="shared" si="225"/>
        <v>1</v>
      </c>
      <c r="L2055" s="1" t="b">
        <f t="shared" si="226"/>
        <v>0</v>
      </c>
      <c r="M2055" s="1" t="b">
        <f t="shared" si="227"/>
        <v>0</v>
      </c>
      <c r="N2055" s="1" t="b">
        <f t="shared" si="228"/>
        <v>0</v>
      </c>
      <c r="O2055" s="1" t="b">
        <f t="shared" si="229"/>
        <v>0</v>
      </c>
      <c r="P2055" s="1" t="b">
        <f t="shared" si="230"/>
        <v>0</v>
      </c>
    </row>
    <row r="2056" spans="1:16" x14ac:dyDescent="0.2">
      <c r="A2056">
        <v>6112711</v>
      </c>
      <c r="B2056" t="s">
        <v>3674</v>
      </c>
      <c r="C2056" t="s">
        <v>363</v>
      </c>
      <c r="D2056" t="s">
        <v>77</v>
      </c>
      <c r="E2056" s="1">
        <v>44795</v>
      </c>
      <c r="F2056" t="s">
        <v>3675</v>
      </c>
      <c r="G2056" s="1">
        <v>44796</v>
      </c>
      <c r="H2056" s="1">
        <v>44851</v>
      </c>
      <c r="J2056" s="1" t="b">
        <f t="shared" si="224"/>
        <v>1</v>
      </c>
      <c r="K2056" s="1" t="b">
        <f t="shared" si="225"/>
        <v>0</v>
      </c>
      <c r="L2056" s="1" t="b">
        <f t="shared" si="226"/>
        <v>0</v>
      </c>
      <c r="M2056" s="1" t="b">
        <f t="shared" si="227"/>
        <v>0</v>
      </c>
      <c r="N2056" s="1" t="b">
        <f t="shared" si="228"/>
        <v>0</v>
      </c>
      <c r="O2056" s="1" t="b">
        <f t="shared" si="229"/>
        <v>0</v>
      </c>
      <c r="P2056" s="1" t="b">
        <f t="shared" si="230"/>
        <v>0</v>
      </c>
    </row>
    <row r="2057" spans="1:16" x14ac:dyDescent="0.2">
      <c r="A2057">
        <v>6112711</v>
      </c>
      <c r="B2057" t="s">
        <v>3676</v>
      </c>
      <c r="C2057" t="s">
        <v>363</v>
      </c>
      <c r="D2057" t="s">
        <v>77</v>
      </c>
      <c r="E2057" s="1">
        <v>44574</v>
      </c>
      <c r="F2057" t="s">
        <v>3677</v>
      </c>
      <c r="G2057" s="1">
        <v>44583</v>
      </c>
      <c r="I2057" t="s">
        <v>25</v>
      </c>
      <c r="J2057" s="1" t="b">
        <f t="shared" si="224"/>
        <v>0</v>
      </c>
      <c r="K2057" s="1" t="b">
        <f t="shared" si="225"/>
        <v>0</v>
      </c>
      <c r="L2057" s="1" t="b">
        <f t="shared" si="226"/>
        <v>1</v>
      </c>
      <c r="M2057" s="1" t="b">
        <f t="shared" si="227"/>
        <v>0</v>
      </c>
      <c r="N2057" s="1" t="b">
        <f t="shared" si="228"/>
        <v>0</v>
      </c>
      <c r="O2057" s="1" t="b">
        <f t="shared" si="229"/>
        <v>0</v>
      </c>
      <c r="P2057" s="1" t="b">
        <f t="shared" si="230"/>
        <v>0</v>
      </c>
    </row>
    <row r="2058" spans="1:16" x14ac:dyDescent="0.2">
      <c r="A2058">
        <v>7109621</v>
      </c>
      <c r="B2058" t="s">
        <v>3678</v>
      </c>
      <c r="C2058" t="s">
        <v>138</v>
      </c>
      <c r="D2058" t="s">
        <v>139</v>
      </c>
      <c r="E2058" s="1">
        <v>44721</v>
      </c>
      <c r="F2058" t="s">
        <v>2919</v>
      </c>
      <c r="G2058" s="1">
        <v>44740</v>
      </c>
      <c r="H2058" s="1">
        <v>44795</v>
      </c>
      <c r="I2058" t="s">
        <v>43</v>
      </c>
      <c r="J2058" s="1" t="b">
        <f t="shared" si="224"/>
        <v>1</v>
      </c>
      <c r="K2058" s="1" t="b">
        <f t="shared" si="225"/>
        <v>0</v>
      </c>
      <c r="L2058" s="1" t="b">
        <f t="shared" si="226"/>
        <v>0</v>
      </c>
      <c r="M2058" s="1" t="b">
        <f t="shared" si="227"/>
        <v>0</v>
      </c>
      <c r="N2058" s="1" t="b">
        <f t="shared" si="228"/>
        <v>0</v>
      </c>
      <c r="O2058" s="1" t="b">
        <f t="shared" si="229"/>
        <v>1</v>
      </c>
      <c r="P2058" s="1" t="b">
        <f t="shared" si="230"/>
        <v>0</v>
      </c>
    </row>
    <row r="2059" spans="1:16" x14ac:dyDescent="0.2">
      <c r="A2059">
        <v>7109621</v>
      </c>
      <c r="B2059" t="s">
        <v>3679</v>
      </c>
      <c r="C2059" t="s">
        <v>138</v>
      </c>
      <c r="D2059" t="s">
        <v>139</v>
      </c>
      <c r="E2059" s="1">
        <v>45058</v>
      </c>
      <c r="F2059" t="s">
        <v>561</v>
      </c>
      <c r="G2059" s="1">
        <v>45079</v>
      </c>
      <c r="H2059" s="1">
        <v>45090</v>
      </c>
      <c r="I2059" t="s">
        <v>28</v>
      </c>
      <c r="J2059" s="1" t="b">
        <f t="shared" si="224"/>
        <v>1</v>
      </c>
      <c r="K2059" s="1" t="b">
        <f t="shared" si="225"/>
        <v>0</v>
      </c>
      <c r="L2059" s="1" t="b">
        <f t="shared" si="226"/>
        <v>0</v>
      </c>
      <c r="M2059" s="1" t="b">
        <f t="shared" si="227"/>
        <v>0</v>
      </c>
      <c r="N2059" s="1" t="b">
        <f t="shared" si="228"/>
        <v>0</v>
      </c>
      <c r="O2059" s="1" t="b">
        <f t="shared" si="229"/>
        <v>0</v>
      </c>
      <c r="P2059" s="1" t="b">
        <f t="shared" si="230"/>
        <v>1</v>
      </c>
    </row>
    <row r="2060" spans="1:16" x14ac:dyDescent="0.2">
      <c r="A2060">
        <v>7109621</v>
      </c>
      <c r="B2060" t="s">
        <v>3680</v>
      </c>
      <c r="C2060" t="s">
        <v>138</v>
      </c>
      <c r="D2060" t="s">
        <v>139</v>
      </c>
      <c r="E2060" s="1">
        <v>44950</v>
      </c>
      <c r="F2060" t="s">
        <v>3650</v>
      </c>
      <c r="G2060" s="1">
        <v>44951</v>
      </c>
      <c r="H2060" s="1">
        <v>44994</v>
      </c>
      <c r="J2060" s="1" t="b">
        <f t="shared" si="224"/>
        <v>1</v>
      </c>
      <c r="K2060" s="1" t="b">
        <f t="shared" si="225"/>
        <v>0</v>
      </c>
      <c r="L2060" s="1" t="b">
        <f t="shared" si="226"/>
        <v>0</v>
      </c>
      <c r="M2060" s="1" t="b">
        <f t="shared" si="227"/>
        <v>0</v>
      </c>
      <c r="N2060" s="1" t="b">
        <f t="shared" si="228"/>
        <v>0</v>
      </c>
      <c r="O2060" s="1" t="b">
        <f t="shared" si="229"/>
        <v>0</v>
      </c>
      <c r="P2060" s="1" t="b">
        <f t="shared" si="230"/>
        <v>0</v>
      </c>
    </row>
    <row r="2061" spans="1:16" x14ac:dyDescent="0.2">
      <c r="A2061">
        <v>7109621</v>
      </c>
      <c r="B2061" t="s">
        <v>3681</v>
      </c>
      <c r="C2061" t="s">
        <v>138</v>
      </c>
      <c r="D2061" t="s">
        <v>139</v>
      </c>
      <c r="E2061" s="1">
        <v>44773</v>
      </c>
      <c r="F2061" t="s">
        <v>3682</v>
      </c>
      <c r="G2061" s="1">
        <v>44781</v>
      </c>
      <c r="H2061" s="1">
        <v>44791</v>
      </c>
      <c r="I2061" t="s">
        <v>28</v>
      </c>
      <c r="J2061" s="1" t="b">
        <f t="shared" si="224"/>
        <v>1</v>
      </c>
      <c r="K2061" s="1" t="b">
        <f t="shared" si="225"/>
        <v>0</v>
      </c>
      <c r="L2061" s="1" t="b">
        <f t="shared" si="226"/>
        <v>0</v>
      </c>
      <c r="M2061" s="1" t="b">
        <f t="shared" si="227"/>
        <v>0</v>
      </c>
      <c r="N2061" s="1" t="b">
        <f t="shared" si="228"/>
        <v>0</v>
      </c>
      <c r="O2061" s="1" t="b">
        <f t="shared" si="229"/>
        <v>0</v>
      </c>
      <c r="P2061" s="1" t="b">
        <f t="shared" si="230"/>
        <v>1</v>
      </c>
    </row>
    <row r="2062" spans="1:16" x14ac:dyDescent="0.2">
      <c r="A2062">
        <v>7109621</v>
      </c>
      <c r="B2062" t="s">
        <v>3683</v>
      </c>
      <c r="C2062" t="s">
        <v>138</v>
      </c>
      <c r="D2062" t="s">
        <v>139</v>
      </c>
      <c r="E2062" s="1">
        <v>44684</v>
      </c>
      <c r="F2062" t="s">
        <v>3684</v>
      </c>
      <c r="G2062" s="1">
        <v>44705</v>
      </c>
      <c r="I2062" t="s">
        <v>25</v>
      </c>
      <c r="J2062" s="1" t="b">
        <f t="shared" si="224"/>
        <v>0</v>
      </c>
      <c r="K2062" s="1" t="b">
        <f t="shared" si="225"/>
        <v>0</v>
      </c>
      <c r="L2062" s="1" t="b">
        <f t="shared" si="226"/>
        <v>1</v>
      </c>
      <c r="M2062" s="1" t="b">
        <f t="shared" si="227"/>
        <v>0</v>
      </c>
      <c r="N2062" s="1" t="b">
        <f t="shared" si="228"/>
        <v>0</v>
      </c>
      <c r="O2062" s="1" t="b">
        <f t="shared" si="229"/>
        <v>0</v>
      </c>
      <c r="P2062" s="1" t="b">
        <f t="shared" si="230"/>
        <v>0</v>
      </c>
    </row>
    <row r="2063" spans="1:16" x14ac:dyDescent="0.2">
      <c r="A2063">
        <v>4304141</v>
      </c>
      <c r="B2063" t="s">
        <v>3685</v>
      </c>
      <c r="C2063" t="s">
        <v>542</v>
      </c>
      <c r="D2063" t="s">
        <v>77</v>
      </c>
      <c r="E2063" s="1">
        <v>45098</v>
      </c>
      <c r="F2063" t="s">
        <v>1406</v>
      </c>
      <c r="G2063" s="1">
        <v>45127</v>
      </c>
      <c r="H2063" s="1">
        <v>45142</v>
      </c>
      <c r="I2063" t="s">
        <v>16</v>
      </c>
      <c r="J2063" s="1" t="b">
        <f t="shared" si="224"/>
        <v>1</v>
      </c>
      <c r="K2063" s="1" t="b">
        <f t="shared" si="225"/>
        <v>0</v>
      </c>
      <c r="L2063" s="1" t="b">
        <f t="shared" si="226"/>
        <v>0</v>
      </c>
      <c r="M2063" s="1" t="b">
        <f t="shared" si="227"/>
        <v>0</v>
      </c>
      <c r="N2063" s="1" t="b">
        <f t="shared" si="228"/>
        <v>1</v>
      </c>
      <c r="O2063" s="1" t="b">
        <f t="shared" si="229"/>
        <v>0</v>
      </c>
      <c r="P2063" s="1" t="b">
        <f t="shared" si="230"/>
        <v>0</v>
      </c>
    </row>
    <row r="2064" spans="1:16" x14ac:dyDescent="0.2">
      <c r="A2064">
        <v>4304141</v>
      </c>
      <c r="B2064" t="s">
        <v>3686</v>
      </c>
      <c r="C2064" t="s">
        <v>542</v>
      </c>
      <c r="D2064" t="s">
        <v>77</v>
      </c>
      <c r="E2064" s="1">
        <v>44970</v>
      </c>
      <c r="F2064" t="s">
        <v>1964</v>
      </c>
      <c r="G2064" s="1">
        <v>44991</v>
      </c>
      <c r="H2064" s="1">
        <v>44998</v>
      </c>
      <c r="I2064" t="s">
        <v>28</v>
      </c>
      <c r="J2064" s="1" t="b">
        <f t="shared" si="224"/>
        <v>1</v>
      </c>
      <c r="K2064" s="1" t="b">
        <f t="shared" si="225"/>
        <v>0</v>
      </c>
      <c r="L2064" s="1" t="b">
        <f t="shared" si="226"/>
        <v>0</v>
      </c>
      <c r="M2064" s="1" t="b">
        <f t="shared" si="227"/>
        <v>0</v>
      </c>
      <c r="N2064" s="1" t="b">
        <f t="shared" si="228"/>
        <v>0</v>
      </c>
      <c r="O2064" s="1" t="b">
        <f t="shared" si="229"/>
        <v>0</v>
      </c>
      <c r="P2064" s="1" t="b">
        <f t="shared" si="230"/>
        <v>1</v>
      </c>
    </row>
    <row r="2065" spans="1:16" x14ac:dyDescent="0.2">
      <c r="A2065">
        <v>4304141</v>
      </c>
      <c r="B2065" t="s">
        <v>3687</v>
      </c>
      <c r="C2065" t="s">
        <v>542</v>
      </c>
      <c r="D2065" t="s">
        <v>77</v>
      </c>
      <c r="E2065" s="1">
        <v>44643</v>
      </c>
      <c r="F2065" t="s">
        <v>1325</v>
      </c>
      <c r="G2065" s="1">
        <v>44669</v>
      </c>
      <c r="H2065" s="1">
        <v>44673</v>
      </c>
      <c r="I2065" t="s">
        <v>16</v>
      </c>
      <c r="J2065" s="1" t="b">
        <f t="shared" si="224"/>
        <v>1</v>
      </c>
      <c r="K2065" s="1" t="b">
        <f t="shared" si="225"/>
        <v>0</v>
      </c>
      <c r="L2065" s="1" t="b">
        <f t="shared" si="226"/>
        <v>0</v>
      </c>
      <c r="M2065" s="1" t="b">
        <f t="shared" si="227"/>
        <v>0</v>
      </c>
      <c r="N2065" s="1" t="b">
        <f t="shared" si="228"/>
        <v>1</v>
      </c>
      <c r="O2065" s="1" t="b">
        <f t="shared" si="229"/>
        <v>0</v>
      </c>
      <c r="P2065" s="1" t="b">
        <f t="shared" si="230"/>
        <v>0</v>
      </c>
    </row>
    <row r="2066" spans="1:16" x14ac:dyDescent="0.2">
      <c r="A2066">
        <v>4304141</v>
      </c>
      <c r="B2066" t="s">
        <v>3688</v>
      </c>
      <c r="C2066" t="s">
        <v>542</v>
      </c>
      <c r="D2066" t="s">
        <v>77</v>
      </c>
      <c r="E2066" s="1">
        <v>44749</v>
      </c>
      <c r="F2066" t="s">
        <v>3689</v>
      </c>
      <c r="G2066" s="1">
        <v>44772</v>
      </c>
      <c r="H2066" s="1">
        <v>44832</v>
      </c>
      <c r="I2066" t="s">
        <v>43</v>
      </c>
      <c r="J2066" s="1" t="b">
        <f t="shared" si="224"/>
        <v>1</v>
      </c>
      <c r="K2066" s="1" t="b">
        <f t="shared" si="225"/>
        <v>0</v>
      </c>
      <c r="L2066" s="1" t="b">
        <f t="shared" si="226"/>
        <v>0</v>
      </c>
      <c r="M2066" s="1" t="b">
        <f t="shared" si="227"/>
        <v>0</v>
      </c>
      <c r="N2066" s="1" t="b">
        <f t="shared" si="228"/>
        <v>0</v>
      </c>
      <c r="O2066" s="1" t="b">
        <f t="shared" si="229"/>
        <v>1</v>
      </c>
      <c r="P2066" s="1" t="b">
        <f t="shared" si="230"/>
        <v>0</v>
      </c>
    </row>
    <row r="2067" spans="1:16" x14ac:dyDescent="0.2">
      <c r="A2067">
        <v>5111878</v>
      </c>
      <c r="B2067" t="s">
        <v>3690</v>
      </c>
      <c r="C2067" t="s">
        <v>93</v>
      </c>
      <c r="D2067" t="s">
        <v>77</v>
      </c>
      <c r="E2067" s="1">
        <v>44697</v>
      </c>
      <c r="F2067" t="s">
        <v>3691</v>
      </c>
      <c r="G2067" s="1">
        <v>44714</v>
      </c>
      <c r="I2067" t="s">
        <v>13</v>
      </c>
      <c r="J2067" s="1" t="b">
        <f t="shared" si="224"/>
        <v>0</v>
      </c>
      <c r="K2067" s="1" t="b">
        <f t="shared" si="225"/>
        <v>1</v>
      </c>
      <c r="L2067" s="1" t="b">
        <f t="shared" si="226"/>
        <v>0</v>
      </c>
      <c r="M2067" s="1" t="b">
        <f t="shared" si="227"/>
        <v>0</v>
      </c>
      <c r="N2067" s="1" t="b">
        <f t="shared" si="228"/>
        <v>0</v>
      </c>
      <c r="O2067" s="1" t="b">
        <f t="shared" si="229"/>
        <v>0</v>
      </c>
      <c r="P2067" s="1" t="b">
        <f t="shared" si="230"/>
        <v>0</v>
      </c>
    </row>
    <row r="2068" spans="1:16" x14ac:dyDescent="0.2">
      <c r="A2068">
        <v>5111878</v>
      </c>
      <c r="B2068" t="s">
        <v>3692</v>
      </c>
      <c r="C2068" t="s">
        <v>93</v>
      </c>
      <c r="D2068" t="s">
        <v>77</v>
      </c>
      <c r="E2068" s="1">
        <v>44756</v>
      </c>
      <c r="F2068" t="s">
        <v>3693</v>
      </c>
      <c r="G2068" s="1">
        <v>44780</v>
      </c>
      <c r="H2068" s="1">
        <v>44834</v>
      </c>
      <c r="I2068" t="s">
        <v>28</v>
      </c>
      <c r="J2068" s="1" t="b">
        <f t="shared" si="224"/>
        <v>1</v>
      </c>
      <c r="K2068" s="1" t="b">
        <f t="shared" si="225"/>
        <v>0</v>
      </c>
      <c r="L2068" s="1" t="b">
        <f t="shared" si="226"/>
        <v>0</v>
      </c>
      <c r="M2068" s="1" t="b">
        <f t="shared" si="227"/>
        <v>0</v>
      </c>
      <c r="N2068" s="1" t="b">
        <f t="shared" si="228"/>
        <v>0</v>
      </c>
      <c r="O2068" s="1" t="b">
        <f t="shared" si="229"/>
        <v>0</v>
      </c>
      <c r="P2068" s="1" t="b">
        <f t="shared" si="230"/>
        <v>1</v>
      </c>
    </row>
    <row r="2069" spans="1:16" x14ac:dyDescent="0.2">
      <c r="A2069">
        <v>6079484</v>
      </c>
      <c r="B2069" t="s">
        <v>3694</v>
      </c>
      <c r="C2069" t="s">
        <v>521</v>
      </c>
      <c r="D2069" t="s">
        <v>19</v>
      </c>
      <c r="E2069" s="1">
        <v>45050</v>
      </c>
      <c r="F2069" t="s">
        <v>1122</v>
      </c>
      <c r="G2069" s="1">
        <v>45065</v>
      </c>
      <c r="I2069" t="s">
        <v>13</v>
      </c>
      <c r="J2069" s="1" t="b">
        <f t="shared" si="224"/>
        <v>0</v>
      </c>
      <c r="K2069" s="1" t="b">
        <f t="shared" si="225"/>
        <v>1</v>
      </c>
      <c r="L2069" s="1" t="b">
        <f t="shared" si="226"/>
        <v>0</v>
      </c>
      <c r="M2069" s="1" t="b">
        <f t="shared" si="227"/>
        <v>0</v>
      </c>
      <c r="N2069" s="1" t="b">
        <f t="shared" si="228"/>
        <v>0</v>
      </c>
      <c r="O2069" s="1" t="b">
        <f t="shared" si="229"/>
        <v>0</v>
      </c>
      <c r="P2069" s="1" t="b">
        <f t="shared" si="230"/>
        <v>0</v>
      </c>
    </row>
    <row r="2070" spans="1:16" x14ac:dyDescent="0.2">
      <c r="A2070">
        <v>6079484</v>
      </c>
      <c r="B2070" t="s">
        <v>3695</v>
      </c>
      <c r="C2070" t="s">
        <v>521</v>
      </c>
      <c r="D2070" t="s">
        <v>19</v>
      </c>
      <c r="I2070" t="s">
        <v>33</v>
      </c>
      <c r="J2070" s="1" t="b">
        <f t="shared" si="224"/>
        <v>0</v>
      </c>
      <c r="K2070" s="1" t="b">
        <f t="shared" si="225"/>
        <v>0</v>
      </c>
      <c r="L2070" s="1" t="b">
        <f t="shared" si="226"/>
        <v>0</v>
      </c>
      <c r="M2070" s="1" t="b">
        <f t="shared" si="227"/>
        <v>1</v>
      </c>
      <c r="N2070" s="1" t="b">
        <f t="shared" si="228"/>
        <v>0</v>
      </c>
      <c r="O2070" s="1" t="b">
        <f t="shared" si="229"/>
        <v>0</v>
      </c>
      <c r="P2070" s="1" t="b">
        <f t="shared" si="230"/>
        <v>0</v>
      </c>
    </row>
    <row r="2071" spans="1:16" x14ac:dyDescent="0.2">
      <c r="A2071">
        <v>1857027</v>
      </c>
      <c r="B2071" t="s">
        <v>3696</v>
      </c>
      <c r="C2071" t="s">
        <v>720</v>
      </c>
      <c r="D2071" t="s">
        <v>122</v>
      </c>
      <c r="E2071" s="1">
        <v>44764</v>
      </c>
      <c r="F2071" t="s">
        <v>3697</v>
      </c>
      <c r="G2071" s="1">
        <v>44768</v>
      </c>
      <c r="H2071" s="1">
        <v>44803</v>
      </c>
      <c r="J2071" s="1" t="b">
        <f t="shared" si="224"/>
        <v>1</v>
      </c>
      <c r="K2071" s="1" t="b">
        <f t="shared" si="225"/>
        <v>0</v>
      </c>
      <c r="L2071" s="1" t="b">
        <f t="shared" si="226"/>
        <v>0</v>
      </c>
      <c r="M2071" s="1" t="b">
        <f t="shared" si="227"/>
        <v>0</v>
      </c>
      <c r="N2071" s="1" t="b">
        <f t="shared" si="228"/>
        <v>0</v>
      </c>
      <c r="O2071" s="1" t="b">
        <f t="shared" si="229"/>
        <v>0</v>
      </c>
      <c r="P2071" s="1" t="b">
        <f t="shared" si="230"/>
        <v>0</v>
      </c>
    </row>
    <row r="2072" spans="1:16" x14ac:dyDescent="0.2">
      <c r="A2072">
        <v>1857027</v>
      </c>
      <c r="B2072" t="s">
        <v>3698</v>
      </c>
      <c r="C2072" t="s">
        <v>720</v>
      </c>
      <c r="D2072" t="s">
        <v>122</v>
      </c>
      <c r="E2072" s="1">
        <v>44571</v>
      </c>
      <c r="F2072" t="s">
        <v>288</v>
      </c>
      <c r="G2072" s="1">
        <v>44590</v>
      </c>
      <c r="H2072" s="1">
        <v>44618</v>
      </c>
      <c r="J2072" s="1" t="b">
        <f t="shared" si="224"/>
        <v>1</v>
      </c>
      <c r="K2072" s="1" t="b">
        <f t="shared" si="225"/>
        <v>0</v>
      </c>
      <c r="L2072" s="1" t="b">
        <f t="shared" si="226"/>
        <v>0</v>
      </c>
      <c r="M2072" s="1" t="b">
        <f t="shared" si="227"/>
        <v>0</v>
      </c>
      <c r="N2072" s="1" t="b">
        <f t="shared" si="228"/>
        <v>0</v>
      </c>
      <c r="O2072" s="1" t="b">
        <f t="shared" si="229"/>
        <v>0</v>
      </c>
      <c r="P2072" s="1" t="b">
        <f t="shared" si="230"/>
        <v>0</v>
      </c>
    </row>
    <row r="2073" spans="1:16" x14ac:dyDescent="0.2">
      <c r="A2073">
        <v>2871060</v>
      </c>
      <c r="B2073" t="s">
        <v>3699</v>
      </c>
      <c r="C2073" t="s">
        <v>138</v>
      </c>
      <c r="D2073" t="s">
        <v>77</v>
      </c>
      <c r="E2073" s="1">
        <v>44978</v>
      </c>
      <c r="F2073" t="s">
        <v>2251</v>
      </c>
      <c r="G2073" s="1">
        <v>44998</v>
      </c>
      <c r="H2073" s="1">
        <v>45016</v>
      </c>
      <c r="J2073" s="1" t="b">
        <f t="shared" si="224"/>
        <v>1</v>
      </c>
      <c r="K2073" s="1" t="b">
        <f t="shared" si="225"/>
        <v>0</v>
      </c>
      <c r="L2073" s="1" t="b">
        <f t="shared" si="226"/>
        <v>0</v>
      </c>
      <c r="M2073" s="1" t="b">
        <f t="shared" si="227"/>
        <v>0</v>
      </c>
      <c r="N2073" s="1" t="b">
        <f t="shared" si="228"/>
        <v>0</v>
      </c>
      <c r="O2073" s="1" t="b">
        <f t="shared" si="229"/>
        <v>0</v>
      </c>
      <c r="P2073" s="1" t="b">
        <f t="shared" si="230"/>
        <v>0</v>
      </c>
    </row>
    <row r="2074" spans="1:16" x14ac:dyDescent="0.2">
      <c r="A2074">
        <v>2871060</v>
      </c>
      <c r="B2074" t="s">
        <v>3700</v>
      </c>
      <c r="C2074" t="s">
        <v>138</v>
      </c>
      <c r="D2074" t="s">
        <v>77</v>
      </c>
      <c r="E2074" s="1">
        <v>45056</v>
      </c>
      <c r="F2074" t="s">
        <v>3701</v>
      </c>
      <c r="G2074" s="1">
        <v>45073</v>
      </c>
      <c r="H2074" s="1">
        <v>45092</v>
      </c>
      <c r="I2074" t="s">
        <v>43</v>
      </c>
      <c r="J2074" s="1" t="b">
        <f t="shared" si="224"/>
        <v>1</v>
      </c>
      <c r="K2074" s="1" t="b">
        <f t="shared" si="225"/>
        <v>0</v>
      </c>
      <c r="L2074" s="1" t="b">
        <f t="shared" si="226"/>
        <v>0</v>
      </c>
      <c r="M2074" s="1" t="b">
        <f t="shared" si="227"/>
        <v>0</v>
      </c>
      <c r="N2074" s="1" t="b">
        <f t="shared" si="228"/>
        <v>0</v>
      </c>
      <c r="O2074" s="1" t="b">
        <f t="shared" si="229"/>
        <v>1</v>
      </c>
      <c r="P2074" s="1" t="b">
        <f t="shared" si="230"/>
        <v>0</v>
      </c>
    </row>
    <row r="2075" spans="1:16" x14ac:dyDescent="0.2">
      <c r="A2075">
        <v>6027079</v>
      </c>
      <c r="B2075" t="s">
        <v>3702</v>
      </c>
      <c r="C2075" t="s">
        <v>282</v>
      </c>
      <c r="D2075" t="s">
        <v>139</v>
      </c>
      <c r="E2075" s="1">
        <v>45077</v>
      </c>
      <c r="F2075" t="s">
        <v>2045</v>
      </c>
      <c r="G2075" s="1">
        <v>45087</v>
      </c>
      <c r="I2075" t="s">
        <v>25</v>
      </c>
      <c r="J2075" s="1" t="b">
        <f t="shared" si="224"/>
        <v>0</v>
      </c>
      <c r="K2075" s="1" t="b">
        <f t="shared" si="225"/>
        <v>0</v>
      </c>
      <c r="L2075" s="1" t="b">
        <f t="shared" si="226"/>
        <v>1</v>
      </c>
      <c r="M2075" s="1" t="b">
        <f t="shared" si="227"/>
        <v>0</v>
      </c>
      <c r="N2075" s="1" t="b">
        <f t="shared" si="228"/>
        <v>0</v>
      </c>
      <c r="O2075" s="1" t="b">
        <f t="shared" si="229"/>
        <v>0</v>
      </c>
      <c r="P2075" s="1" t="b">
        <f t="shared" si="230"/>
        <v>0</v>
      </c>
    </row>
    <row r="2076" spans="1:16" x14ac:dyDescent="0.2">
      <c r="A2076">
        <v>6027079</v>
      </c>
      <c r="B2076" t="s">
        <v>3703</v>
      </c>
      <c r="C2076" t="s">
        <v>282</v>
      </c>
      <c r="D2076" t="s">
        <v>139</v>
      </c>
      <c r="E2076" s="1">
        <v>45061</v>
      </c>
      <c r="F2076" t="s">
        <v>3704</v>
      </c>
      <c r="G2076" s="1">
        <v>45062</v>
      </c>
      <c r="H2076" s="1">
        <v>45083</v>
      </c>
      <c r="I2076" t="s">
        <v>16</v>
      </c>
      <c r="J2076" s="1" t="b">
        <f t="shared" si="224"/>
        <v>1</v>
      </c>
      <c r="K2076" s="1" t="b">
        <f t="shared" si="225"/>
        <v>0</v>
      </c>
      <c r="L2076" s="1" t="b">
        <f t="shared" si="226"/>
        <v>0</v>
      </c>
      <c r="M2076" s="1" t="b">
        <f t="shared" si="227"/>
        <v>0</v>
      </c>
      <c r="N2076" s="1" t="b">
        <f t="shared" si="228"/>
        <v>1</v>
      </c>
      <c r="O2076" s="1" t="b">
        <f t="shared" si="229"/>
        <v>0</v>
      </c>
      <c r="P2076" s="1" t="b">
        <f t="shared" si="230"/>
        <v>0</v>
      </c>
    </row>
    <row r="2077" spans="1:16" x14ac:dyDescent="0.2">
      <c r="A2077">
        <v>9548795</v>
      </c>
      <c r="B2077" t="s">
        <v>3705</v>
      </c>
      <c r="C2077" t="s">
        <v>363</v>
      </c>
      <c r="D2077" t="s">
        <v>77</v>
      </c>
      <c r="E2077" s="1">
        <v>44873</v>
      </c>
      <c r="F2077" t="s">
        <v>1745</v>
      </c>
      <c r="G2077" s="1">
        <v>44877</v>
      </c>
      <c r="I2077" t="s">
        <v>13</v>
      </c>
      <c r="J2077" s="1" t="b">
        <f t="shared" si="224"/>
        <v>0</v>
      </c>
      <c r="K2077" s="1" t="b">
        <f t="shared" si="225"/>
        <v>1</v>
      </c>
      <c r="L2077" s="1" t="b">
        <f t="shared" si="226"/>
        <v>0</v>
      </c>
      <c r="M2077" s="1" t="b">
        <f t="shared" si="227"/>
        <v>0</v>
      </c>
      <c r="N2077" s="1" t="b">
        <f t="shared" si="228"/>
        <v>0</v>
      </c>
      <c r="O2077" s="1" t="b">
        <f t="shared" si="229"/>
        <v>0</v>
      </c>
      <c r="P2077" s="1" t="b">
        <f t="shared" si="230"/>
        <v>0</v>
      </c>
    </row>
    <row r="2078" spans="1:16" x14ac:dyDescent="0.2">
      <c r="A2078">
        <v>9548795</v>
      </c>
      <c r="B2078" t="s">
        <v>3706</v>
      </c>
      <c r="C2078" t="s">
        <v>363</v>
      </c>
      <c r="D2078" t="s">
        <v>77</v>
      </c>
      <c r="E2078" s="1">
        <v>44749</v>
      </c>
      <c r="F2078" t="s">
        <v>3707</v>
      </c>
      <c r="G2078" s="1">
        <v>44756</v>
      </c>
      <c r="H2078" s="1">
        <v>44806</v>
      </c>
      <c r="J2078" s="1" t="b">
        <f t="shared" si="224"/>
        <v>1</v>
      </c>
      <c r="K2078" s="1" t="b">
        <f t="shared" si="225"/>
        <v>0</v>
      </c>
      <c r="L2078" s="1" t="b">
        <f t="shared" si="226"/>
        <v>0</v>
      </c>
      <c r="M2078" s="1" t="b">
        <f t="shared" si="227"/>
        <v>0</v>
      </c>
      <c r="N2078" s="1" t="b">
        <f t="shared" si="228"/>
        <v>0</v>
      </c>
      <c r="O2078" s="1" t="b">
        <f t="shared" si="229"/>
        <v>0</v>
      </c>
      <c r="P2078" s="1" t="b">
        <f t="shared" si="230"/>
        <v>0</v>
      </c>
    </row>
    <row r="2079" spans="1:16" x14ac:dyDescent="0.2">
      <c r="A2079">
        <v>2823879</v>
      </c>
      <c r="B2079" t="s">
        <v>3708</v>
      </c>
      <c r="C2079" t="s">
        <v>35</v>
      </c>
      <c r="D2079" t="s">
        <v>19</v>
      </c>
      <c r="E2079" s="1">
        <v>45105</v>
      </c>
      <c r="F2079" t="s">
        <v>1743</v>
      </c>
      <c r="G2079" s="1">
        <v>45121</v>
      </c>
      <c r="I2079" t="s">
        <v>25</v>
      </c>
      <c r="J2079" s="1" t="b">
        <f t="shared" si="224"/>
        <v>0</v>
      </c>
      <c r="K2079" s="1" t="b">
        <f t="shared" si="225"/>
        <v>0</v>
      </c>
      <c r="L2079" s="1" t="b">
        <f t="shared" si="226"/>
        <v>1</v>
      </c>
      <c r="M2079" s="1" t="b">
        <f t="shared" si="227"/>
        <v>0</v>
      </c>
      <c r="N2079" s="1" t="b">
        <f t="shared" si="228"/>
        <v>0</v>
      </c>
      <c r="O2079" s="1" t="b">
        <f t="shared" si="229"/>
        <v>0</v>
      </c>
      <c r="P2079" s="1" t="b">
        <f t="shared" si="230"/>
        <v>0</v>
      </c>
    </row>
    <row r="2080" spans="1:16" x14ac:dyDescent="0.2">
      <c r="A2080">
        <v>2823879</v>
      </c>
      <c r="B2080" t="s">
        <v>3709</v>
      </c>
      <c r="C2080" t="s">
        <v>35</v>
      </c>
      <c r="D2080" t="s">
        <v>19</v>
      </c>
      <c r="E2080" s="1">
        <v>44777</v>
      </c>
      <c r="F2080" t="s">
        <v>626</v>
      </c>
      <c r="G2080" s="1">
        <v>44796</v>
      </c>
      <c r="I2080" t="s">
        <v>13</v>
      </c>
      <c r="J2080" s="1" t="b">
        <f t="shared" si="224"/>
        <v>0</v>
      </c>
      <c r="K2080" s="1" t="b">
        <f t="shared" si="225"/>
        <v>1</v>
      </c>
      <c r="L2080" s="1" t="b">
        <f t="shared" si="226"/>
        <v>0</v>
      </c>
      <c r="M2080" s="1" t="b">
        <f t="shared" si="227"/>
        <v>0</v>
      </c>
      <c r="N2080" s="1" t="b">
        <f t="shared" si="228"/>
        <v>0</v>
      </c>
      <c r="O2080" s="1" t="b">
        <f t="shared" si="229"/>
        <v>0</v>
      </c>
      <c r="P2080" s="1" t="b">
        <f t="shared" si="230"/>
        <v>0</v>
      </c>
    </row>
    <row r="2081" spans="1:16" x14ac:dyDescent="0.2">
      <c r="A2081">
        <v>3593718</v>
      </c>
      <c r="B2081" t="s">
        <v>3710</v>
      </c>
      <c r="C2081" t="s">
        <v>720</v>
      </c>
      <c r="D2081" t="s">
        <v>187</v>
      </c>
      <c r="E2081" s="1">
        <v>44722</v>
      </c>
      <c r="F2081" t="s">
        <v>3711</v>
      </c>
      <c r="G2081" s="1">
        <v>44733</v>
      </c>
      <c r="H2081" s="1">
        <v>44767</v>
      </c>
      <c r="I2081" t="s">
        <v>43</v>
      </c>
      <c r="J2081" s="1" t="b">
        <f t="shared" si="224"/>
        <v>1</v>
      </c>
      <c r="K2081" s="1" t="b">
        <f t="shared" si="225"/>
        <v>0</v>
      </c>
      <c r="L2081" s="1" t="b">
        <f t="shared" si="226"/>
        <v>0</v>
      </c>
      <c r="M2081" s="1" t="b">
        <f t="shared" si="227"/>
        <v>0</v>
      </c>
      <c r="N2081" s="1" t="b">
        <f t="shared" si="228"/>
        <v>0</v>
      </c>
      <c r="O2081" s="1" t="b">
        <f t="shared" si="229"/>
        <v>1</v>
      </c>
      <c r="P2081" s="1" t="b">
        <f t="shared" si="230"/>
        <v>0</v>
      </c>
    </row>
    <row r="2082" spans="1:16" x14ac:dyDescent="0.2">
      <c r="A2082">
        <v>3593718</v>
      </c>
      <c r="B2082" t="s">
        <v>3712</v>
      </c>
      <c r="C2082" t="s">
        <v>720</v>
      </c>
      <c r="D2082" t="s">
        <v>187</v>
      </c>
      <c r="E2082" s="1">
        <v>44837</v>
      </c>
      <c r="F2082" t="s">
        <v>3684</v>
      </c>
      <c r="G2082" s="1">
        <v>44845</v>
      </c>
      <c r="H2082" s="1">
        <v>44905</v>
      </c>
      <c r="J2082" s="1" t="b">
        <f t="shared" si="224"/>
        <v>1</v>
      </c>
      <c r="K2082" s="1" t="b">
        <f t="shared" si="225"/>
        <v>0</v>
      </c>
      <c r="L2082" s="1" t="b">
        <f t="shared" si="226"/>
        <v>0</v>
      </c>
      <c r="M2082" s="1" t="b">
        <f t="shared" si="227"/>
        <v>0</v>
      </c>
      <c r="N2082" s="1" t="b">
        <f t="shared" si="228"/>
        <v>0</v>
      </c>
      <c r="O2082" s="1" t="b">
        <f t="shared" si="229"/>
        <v>0</v>
      </c>
      <c r="P2082" s="1" t="b">
        <f t="shared" si="230"/>
        <v>0</v>
      </c>
    </row>
    <row r="2083" spans="1:16" x14ac:dyDescent="0.2">
      <c r="A2083">
        <v>5409982</v>
      </c>
      <c r="B2083" t="s">
        <v>3713</v>
      </c>
      <c r="C2083" t="s">
        <v>363</v>
      </c>
      <c r="D2083" t="s">
        <v>11</v>
      </c>
      <c r="E2083" s="1">
        <v>44924</v>
      </c>
      <c r="F2083" t="s">
        <v>3313</v>
      </c>
      <c r="G2083" s="1">
        <v>44951</v>
      </c>
      <c r="I2083" t="s">
        <v>13</v>
      </c>
      <c r="J2083" s="1" t="b">
        <f t="shared" si="224"/>
        <v>0</v>
      </c>
      <c r="K2083" s="1" t="b">
        <f t="shared" si="225"/>
        <v>1</v>
      </c>
      <c r="L2083" s="1" t="b">
        <f t="shared" si="226"/>
        <v>0</v>
      </c>
      <c r="M2083" s="1" t="b">
        <f t="shared" si="227"/>
        <v>0</v>
      </c>
      <c r="N2083" s="1" t="b">
        <f t="shared" si="228"/>
        <v>0</v>
      </c>
      <c r="O2083" s="1" t="b">
        <f t="shared" si="229"/>
        <v>0</v>
      </c>
      <c r="P2083" s="1" t="b">
        <f t="shared" si="230"/>
        <v>0</v>
      </c>
    </row>
    <row r="2084" spans="1:16" x14ac:dyDescent="0.2">
      <c r="A2084">
        <v>5409982</v>
      </c>
      <c r="B2084" t="s">
        <v>3714</v>
      </c>
      <c r="C2084" t="s">
        <v>363</v>
      </c>
      <c r="D2084" t="s">
        <v>11</v>
      </c>
      <c r="E2084" s="1">
        <v>44964</v>
      </c>
      <c r="F2084" t="s">
        <v>3715</v>
      </c>
      <c r="G2084" s="1">
        <v>44989</v>
      </c>
      <c r="H2084" s="1">
        <v>45016</v>
      </c>
      <c r="J2084" s="1" t="b">
        <f t="shared" si="224"/>
        <v>1</v>
      </c>
      <c r="K2084" s="1" t="b">
        <f t="shared" si="225"/>
        <v>0</v>
      </c>
      <c r="L2084" s="1" t="b">
        <f t="shared" si="226"/>
        <v>0</v>
      </c>
      <c r="M2084" s="1" t="b">
        <f t="shared" si="227"/>
        <v>0</v>
      </c>
      <c r="N2084" s="1" t="b">
        <f t="shared" si="228"/>
        <v>0</v>
      </c>
      <c r="O2084" s="1" t="b">
        <f t="shared" si="229"/>
        <v>0</v>
      </c>
      <c r="P2084" s="1" t="b">
        <f t="shared" si="230"/>
        <v>0</v>
      </c>
    </row>
    <row r="2085" spans="1:16" x14ac:dyDescent="0.2">
      <c r="A2085">
        <v>5409982</v>
      </c>
      <c r="B2085" t="s">
        <v>3716</v>
      </c>
      <c r="C2085" t="s">
        <v>363</v>
      </c>
      <c r="D2085" t="s">
        <v>11</v>
      </c>
      <c r="E2085" s="1">
        <v>44618</v>
      </c>
      <c r="F2085" t="s">
        <v>2672</v>
      </c>
      <c r="G2085" s="1">
        <v>44632</v>
      </c>
      <c r="I2085" t="s">
        <v>13</v>
      </c>
      <c r="J2085" s="1" t="b">
        <f t="shared" si="224"/>
        <v>0</v>
      </c>
      <c r="K2085" s="1" t="b">
        <f t="shared" si="225"/>
        <v>1</v>
      </c>
      <c r="L2085" s="1" t="b">
        <f t="shared" si="226"/>
        <v>0</v>
      </c>
      <c r="M2085" s="1" t="b">
        <f t="shared" si="227"/>
        <v>0</v>
      </c>
      <c r="N2085" s="1" t="b">
        <f t="shared" si="228"/>
        <v>0</v>
      </c>
      <c r="O2085" s="1" t="b">
        <f t="shared" si="229"/>
        <v>0</v>
      </c>
      <c r="P2085" s="1" t="b">
        <f t="shared" si="230"/>
        <v>0</v>
      </c>
    </row>
    <row r="2086" spans="1:16" x14ac:dyDescent="0.2">
      <c r="A2086">
        <v>6932624</v>
      </c>
      <c r="B2086" t="s">
        <v>3717</v>
      </c>
      <c r="C2086" t="s">
        <v>265</v>
      </c>
      <c r="D2086" t="s">
        <v>187</v>
      </c>
      <c r="E2086" s="1">
        <v>44769</v>
      </c>
      <c r="F2086" t="s">
        <v>1815</v>
      </c>
      <c r="G2086" s="1">
        <v>44776</v>
      </c>
      <c r="H2086" s="1">
        <v>44819</v>
      </c>
      <c r="I2086" t="s">
        <v>16</v>
      </c>
      <c r="J2086" s="1" t="b">
        <f t="shared" si="224"/>
        <v>1</v>
      </c>
      <c r="K2086" s="1" t="b">
        <f t="shared" si="225"/>
        <v>0</v>
      </c>
      <c r="L2086" s="1" t="b">
        <f t="shared" si="226"/>
        <v>0</v>
      </c>
      <c r="M2086" s="1" t="b">
        <f t="shared" si="227"/>
        <v>0</v>
      </c>
      <c r="N2086" s="1" t="b">
        <f t="shared" si="228"/>
        <v>1</v>
      </c>
      <c r="O2086" s="1" t="b">
        <f t="shared" si="229"/>
        <v>0</v>
      </c>
      <c r="P2086" s="1" t="b">
        <f t="shared" si="230"/>
        <v>0</v>
      </c>
    </row>
    <row r="2087" spans="1:16" x14ac:dyDescent="0.2">
      <c r="A2087">
        <v>6932624</v>
      </c>
      <c r="B2087" t="s">
        <v>3718</v>
      </c>
      <c r="C2087" t="s">
        <v>265</v>
      </c>
      <c r="D2087" t="s">
        <v>187</v>
      </c>
      <c r="E2087" s="1">
        <v>44586</v>
      </c>
      <c r="F2087" t="s">
        <v>2150</v>
      </c>
      <c r="G2087" s="1">
        <v>44597</v>
      </c>
      <c r="H2087" s="1">
        <v>44625</v>
      </c>
      <c r="I2087" t="s">
        <v>28</v>
      </c>
      <c r="J2087" s="1" t="b">
        <f t="shared" si="224"/>
        <v>1</v>
      </c>
      <c r="K2087" s="1" t="b">
        <f t="shared" si="225"/>
        <v>0</v>
      </c>
      <c r="L2087" s="1" t="b">
        <f t="shared" si="226"/>
        <v>0</v>
      </c>
      <c r="M2087" s="1" t="b">
        <f t="shared" si="227"/>
        <v>0</v>
      </c>
      <c r="N2087" s="1" t="b">
        <f t="shared" si="228"/>
        <v>0</v>
      </c>
      <c r="O2087" s="1" t="b">
        <f t="shared" si="229"/>
        <v>0</v>
      </c>
      <c r="P2087" s="1" t="b">
        <f t="shared" si="230"/>
        <v>1</v>
      </c>
    </row>
    <row r="2088" spans="1:16" x14ac:dyDescent="0.2">
      <c r="A2088">
        <v>6932624</v>
      </c>
      <c r="B2088" t="s">
        <v>3719</v>
      </c>
      <c r="C2088" t="s">
        <v>265</v>
      </c>
      <c r="D2088" t="s">
        <v>187</v>
      </c>
      <c r="E2088" s="1">
        <v>44766</v>
      </c>
      <c r="F2088" t="s">
        <v>1271</v>
      </c>
      <c r="G2088" s="1">
        <v>44792</v>
      </c>
      <c r="H2088" s="1">
        <v>44806</v>
      </c>
      <c r="I2088" t="s">
        <v>28</v>
      </c>
      <c r="J2088" s="1" t="b">
        <f t="shared" si="224"/>
        <v>1</v>
      </c>
      <c r="K2088" s="1" t="b">
        <f t="shared" si="225"/>
        <v>0</v>
      </c>
      <c r="L2088" s="1" t="b">
        <f t="shared" si="226"/>
        <v>0</v>
      </c>
      <c r="M2088" s="1" t="b">
        <f t="shared" si="227"/>
        <v>0</v>
      </c>
      <c r="N2088" s="1" t="b">
        <f t="shared" si="228"/>
        <v>0</v>
      </c>
      <c r="O2088" s="1" t="b">
        <f t="shared" si="229"/>
        <v>0</v>
      </c>
      <c r="P2088" s="1" t="b">
        <f t="shared" si="230"/>
        <v>1</v>
      </c>
    </row>
    <row r="2089" spans="1:16" x14ac:dyDescent="0.2">
      <c r="A2089">
        <v>6932624</v>
      </c>
      <c r="B2089" t="s">
        <v>3720</v>
      </c>
      <c r="C2089" t="s">
        <v>265</v>
      </c>
      <c r="D2089" t="s">
        <v>187</v>
      </c>
      <c r="E2089" s="1">
        <v>44671</v>
      </c>
      <c r="F2089" t="s">
        <v>3721</v>
      </c>
      <c r="G2089" s="1">
        <v>44674</v>
      </c>
      <c r="H2089" s="1">
        <v>44690</v>
      </c>
      <c r="J2089" s="1" t="b">
        <f t="shared" si="224"/>
        <v>1</v>
      </c>
      <c r="K2089" s="1" t="b">
        <f t="shared" si="225"/>
        <v>0</v>
      </c>
      <c r="L2089" s="1" t="b">
        <f t="shared" si="226"/>
        <v>0</v>
      </c>
      <c r="M2089" s="1" t="b">
        <f t="shared" si="227"/>
        <v>0</v>
      </c>
      <c r="N2089" s="1" t="b">
        <f t="shared" si="228"/>
        <v>0</v>
      </c>
      <c r="O2089" s="1" t="b">
        <f t="shared" si="229"/>
        <v>0</v>
      </c>
      <c r="P2089" s="1" t="b">
        <f t="shared" si="230"/>
        <v>0</v>
      </c>
    </row>
    <row r="2090" spans="1:16" x14ac:dyDescent="0.2">
      <c r="A2090">
        <v>3691366</v>
      </c>
      <c r="B2090" t="s">
        <v>3722</v>
      </c>
      <c r="C2090" t="s">
        <v>720</v>
      </c>
      <c r="D2090" t="s">
        <v>77</v>
      </c>
      <c r="E2090" s="1">
        <v>44961</v>
      </c>
      <c r="F2090" t="s">
        <v>3723</v>
      </c>
      <c r="G2090" s="1">
        <v>44984</v>
      </c>
      <c r="H2090" s="1">
        <v>45043</v>
      </c>
      <c r="I2090" t="s">
        <v>16</v>
      </c>
      <c r="J2090" s="1" t="b">
        <f t="shared" si="224"/>
        <v>1</v>
      </c>
      <c r="K2090" s="1" t="b">
        <f t="shared" si="225"/>
        <v>0</v>
      </c>
      <c r="L2090" s="1" t="b">
        <f t="shared" si="226"/>
        <v>0</v>
      </c>
      <c r="M2090" s="1" t="b">
        <f t="shared" si="227"/>
        <v>0</v>
      </c>
      <c r="N2090" s="1" t="b">
        <f t="shared" si="228"/>
        <v>1</v>
      </c>
      <c r="O2090" s="1" t="b">
        <f t="shared" si="229"/>
        <v>0</v>
      </c>
      <c r="P2090" s="1" t="b">
        <f t="shared" si="230"/>
        <v>0</v>
      </c>
    </row>
    <row r="2091" spans="1:16" x14ac:dyDescent="0.2">
      <c r="A2091">
        <v>3691366</v>
      </c>
      <c r="B2091" t="s">
        <v>3724</v>
      </c>
      <c r="C2091" t="s">
        <v>720</v>
      </c>
      <c r="D2091" t="s">
        <v>77</v>
      </c>
      <c r="E2091" s="1">
        <v>44946</v>
      </c>
      <c r="F2091" t="s">
        <v>3725</v>
      </c>
      <c r="G2091" s="1">
        <v>44948</v>
      </c>
      <c r="H2091" s="1">
        <v>44955</v>
      </c>
      <c r="I2091" t="s">
        <v>43</v>
      </c>
      <c r="J2091" s="1" t="b">
        <f t="shared" si="224"/>
        <v>1</v>
      </c>
      <c r="K2091" s="1" t="b">
        <f t="shared" si="225"/>
        <v>0</v>
      </c>
      <c r="L2091" s="1" t="b">
        <f t="shared" si="226"/>
        <v>0</v>
      </c>
      <c r="M2091" s="1" t="b">
        <f t="shared" si="227"/>
        <v>0</v>
      </c>
      <c r="N2091" s="1" t="b">
        <f t="shared" si="228"/>
        <v>0</v>
      </c>
      <c r="O2091" s="1" t="b">
        <f t="shared" si="229"/>
        <v>1</v>
      </c>
      <c r="P2091" s="1" t="b">
        <f t="shared" si="230"/>
        <v>0</v>
      </c>
    </row>
    <row r="2092" spans="1:16" x14ac:dyDescent="0.2">
      <c r="A2092">
        <v>3691366</v>
      </c>
      <c r="B2092" t="s">
        <v>3726</v>
      </c>
      <c r="C2092" t="s">
        <v>720</v>
      </c>
      <c r="D2092" t="s">
        <v>77</v>
      </c>
      <c r="E2092" s="1">
        <v>44940</v>
      </c>
      <c r="F2092" t="s">
        <v>1887</v>
      </c>
      <c r="G2092" s="1">
        <v>44955</v>
      </c>
      <c r="I2092" t="s">
        <v>13</v>
      </c>
      <c r="J2092" s="1" t="b">
        <f t="shared" si="224"/>
        <v>0</v>
      </c>
      <c r="K2092" s="1" t="b">
        <f t="shared" si="225"/>
        <v>1</v>
      </c>
      <c r="L2092" s="1" t="b">
        <f t="shared" si="226"/>
        <v>0</v>
      </c>
      <c r="M2092" s="1" t="b">
        <f t="shared" si="227"/>
        <v>0</v>
      </c>
      <c r="N2092" s="1" t="b">
        <f t="shared" si="228"/>
        <v>0</v>
      </c>
      <c r="O2092" s="1" t="b">
        <f t="shared" si="229"/>
        <v>0</v>
      </c>
      <c r="P2092" s="1" t="b">
        <f t="shared" si="230"/>
        <v>0</v>
      </c>
    </row>
    <row r="2093" spans="1:16" x14ac:dyDescent="0.2">
      <c r="A2093">
        <v>3691366</v>
      </c>
      <c r="B2093" t="s">
        <v>3727</v>
      </c>
      <c r="C2093" t="s">
        <v>720</v>
      </c>
      <c r="D2093" t="s">
        <v>77</v>
      </c>
      <c r="E2093" s="1">
        <v>44637</v>
      </c>
      <c r="F2093" t="s">
        <v>3728</v>
      </c>
      <c r="G2093" s="1">
        <v>44648</v>
      </c>
      <c r="H2093" s="1">
        <v>44698</v>
      </c>
      <c r="I2093" t="s">
        <v>16</v>
      </c>
      <c r="J2093" s="1" t="b">
        <f t="shared" si="224"/>
        <v>1</v>
      </c>
      <c r="K2093" s="1" t="b">
        <f t="shared" si="225"/>
        <v>0</v>
      </c>
      <c r="L2093" s="1" t="b">
        <f t="shared" si="226"/>
        <v>0</v>
      </c>
      <c r="M2093" s="1" t="b">
        <f t="shared" si="227"/>
        <v>0</v>
      </c>
      <c r="N2093" s="1" t="b">
        <f t="shared" si="228"/>
        <v>1</v>
      </c>
      <c r="O2093" s="1" t="b">
        <f t="shared" si="229"/>
        <v>0</v>
      </c>
      <c r="P2093" s="1" t="b">
        <f t="shared" si="230"/>
        <v>0</v>
      </c>
    </row>
    <row r="2094" spans="1:16" x14ac:dyDescent="0.2">
      <c r="A2094">
        <v>3691366</v>
      </c>
      <c r="B2094" t="s">
        <v>3729</v>
      </c>
      <c r="C2094" t="s">
        <v>720</v>
      </c>
      <c r="D2094" t="s">
        <v>77</v>
      </c>
      <c r="E2094" s="1">
        <v>44868</v>
      </c>
      <c r="F2094" t="s">
        <v>337</v>
      </c>
      <c r="G2094" s="1">
        <v>44887</v>
      </c>
      <c r="H2094" s="1">
        <v>44900</v>
      </c>
      <c r="I2094" t="s">
        <v>43</v>
      </c>
      <c r="J2094" s="1" t="b">
        <f t="shared" si="224"/>
        <v>1</v>
      </c>
      <c r="K2094" s="1" t="b">
        <f t="shared" si="225"/>
        <v>0</v>
      </c>
      <c r="L2094" s="1" t="b">
        <f t="shared" si="226"/>
        <v>0</v>
      </c>
      <c r="M2094" s="1" t="b">
        <f t="shared" si="227"/>
        <v>0</v>
      </c>
      <c r="N2094" s="1" t="b">
        <f t="shared" si="228"/>
        <v>0</v>
      </c>
      <c r="O2094" s="1" t="b">
        <f t="shared" si="229"/>
        <v>1</v>
      </c>
      <c r="P2094" s="1" t="b">
        <f t="shared" si="230"/>
        <v>0</v>
      </c>
    </row>
    <row r="2095" spans="1:16" x14ac:dyDescent="0.2">
      <c r="A2095">
        <v>2476481</v>
      </c>
      <c r="B2095" t="s">
        <v>3730</v>
      </c>
      <c r="C2095" t="s">
        <v>287</v>
      </c>
      <c r="D2095" t="s">
        <v>19</v>
      </c>
      <c r="E2095" s="1">
        <v>44860</v>
      </c>
      <c r="F2095" t="s">
        <v>1280</v>
      </c>
      <c r="G2095" s="1">
        <v>44883</v>
      </c>
      <c r="H2095" s="1">
        <v>44885</v>
      </c>
      <c r="I2095" t="s">
        <v>28</v>
      </c>
      <c r="J2095" s="1" t="b">
        <f t="shared" si="224"/>
        <v>1</v>
      </c>
      <c r="K2095" s="1" t="b">
        <f t="shared" si="225"/>
        <v>0</v>
      </c>
      <c r="L2095" s="1" t="b">
        <f t="shared" si="226"/>
        <v>0</v>
      </c>
      <c r="M2095" s="1" t="b">
        <f t="shared" si="227"/>
        <v>0</v>
      </c>
      <c r="N2095" s="1" t="b">
        <f t="shared" si="228"/>
        <v>0</v>
      </c>
      <c r="O2095" s="1" t="b">
        <f t="shared" si="229"/>
        <v>0</v>
      </c>
      <c r="P2095" s="1" t="b">
        <f t="shared" si="230"/>
        <v>1</v>
      </c>
    </row>
    <row r="2096" spans="1:16" x14ac:dyDescent="0.2">
      <c r="A2096">
        <v>2476481</v>
      </c>
      <c r="B2096" t="s">
        <v>3731</v>
      </c>
      <c r="C2096" t="s">
        <v>287</v>
      </c>
      <c r="D2096" t="s">
        <v>19</v>
      </c>
      <c r="E2096" s="1">
        <v>44883</v>
      </c>
      <c r="F2096" t="s">
        <v>3732</v>
      </c>
      <c r="G2096" s="1">
        <v>44911</v>
      </c>
      <c r="I2096" t="s">
        <v>13</v>
      </c>
      <c r="J2096" s="1" t="b">
        <f t="shared" si="224"/>
        <v>0</v>
      </c>
      <c r="K2096" s="1" t="b">
        <f t="shared" si="225"/>
        <v>1</v>
      </c>
      <c r="L2096" s="1" t="b">
        <f t="shared" si="226"/>
        <v>0</v>
      </c>
      <c r="M2096" s="1" t="b">
        <f t="shared" si="227"/>
        <v>0</v>
      </c>
      <c r="N2096" s="1" t="b">
        <f t="shared" si="228"/>
        <v>0</v>
      </c>
      <c r="O2096" s="1" t="b">
        <f t="shared" si="229"/>
        <v>0</v>
      </c>
      <c r="P2096" s="1" t="b">
        <f t="shared" si="230"/>
        <v>0</v>
      </c>
    </row>
    <row r="2097" spans="1:16" x14ac:dyDescent="0.2">
      <c r="A2097">
        <v>2476481</v>
      </c>
      <c r="B2097" t="s">
        <v>3733</v>
      </c>
      <c r="C2097" t="s">
        <v>287</v>
      </c>
      <c r="D2097" t="s">
        <v>19</v>
      </c>
      <c r="E2097" s="1">
        <v>44781</v>
      </c>
      <c r="F2097" t="s">
        <v>3734</v>
      </c>
      <c r="G2097" s="1">
        <v>44787</v>
      </c>
      <c r="H2097" s="1">
        <v>44808</v>
      </c>
      <c r="J2097" s="1" t="b">
        <f t="shared" si="224"/>
        <v>1</v>
      </c>
      <c r="K2097" s="1" t="b">
        <f t="shared" si="225"/>
        <v>0</v>
      </c>
      <c r="L2097" s="1" t="b">
        <f t="shared" si="226"/>
        <v>0</v>
      </c>
      <c r="M2097" s="1" t="b">
        <f t="shared" si="227"/>
        <v>0</v>
      </c>
      <c r="N2097" s="1" t="b">
        <f t="shared" si="228"/>
        <v>0</v>
      </c>
      <c r="O2097" s="1" t="b">
        <f t="shared" si="229"/>
        <v>0</v>
      </c>
      <c r="P2097" s="1" t="b">
        <f t="shared" si="230"/>
        <v>0</v>
      </c>
    </row>
    <row r="2098" spans="1:16" x14ac:dyDescent="0.2">
      <c r="A2098">
        <v>8857213</v>
      </c>
      <c r="B2098" t="s">
        <v>3735</v>
      </c>
      <c r="C2098" t="s">
        <v>93</v>
      </c>
      <c r="D2098" t="s">
        <v>77</v>
      </c>
      <c r="E2098" s="1">
        <v>44827</v>
      </c>
      <c r="F2098" t="s">
        <v>3736</v>
      </c>
      <c r="G2098" s="1">
        <v>44836</v>
      </c>
      <c r="I2098" t="s">
        <v>25</v>
      </c>
      <c r="J2098" s="1" t="b">
        <f t="shared" si="224"/>
        <v>0</v>
      </c>
      <c r="K2098" s="1" t="b">
        <f t="shared" si="225"/>
        <v>0</v>
      </c>
      <c r="L2098" s="1" t="b">
        <f t="shared" si="226"/>
        <v>1</v>
      </c>
      <c r="M2098" s="1" t="b">
        <f t="shared" si="227"/>
        <v>0</v>
      </c>
      <c r="N2098" s="1" t="b">
        <f t="shared" si="228"/>
        <v>0</v>
      </c>
      <c r="O2098" s="1" t="b">
        <f t="shared" si="229"/>
        <v>0</v>
      </c>
      <c r="P2098" s="1" t="b">
        <f t="shared" si="230"/>
        <v>0</v>
      </c>
    </row>
    <row r="2099" spans="1:16" x14ac:dyDescent="0.2">
      <c r="A2099">
        <v>8857213</v>
      </c>
      <c r="B2099" t="s">
        <v>3737</v>
      </c>
      <c r="C2099" t="s">
        <v>93</v>
      </c>
      <c r="D2099" t="s">
        <v>77</v>
      </c>
      <c r="E2099" s="1">
        <v>44982</v>
      </c>
      <c r="F2099" t="s">
        <v>3738</v>
      </c>
      <c r="G2099" s="1">
        <v>44996</v>
      </c>
      <c r="H2099" s="1">
        <v>45022</v>
      </c>
      <c r="I2099" t="s">
        <v>16</v>
      </c>
      <c r="J2099" s="1" t="b">
        <f t="shared" si="224"/>
        <v>1</v>
      </c>
      <c r="K2099" s="1" t="b">
        <f t="shared" si="225"/>
        <v>0</v>
      </c>
      <c r="L2099" s="1" t="b">
        <f t="shared" si="226"/>
        <v>0</v>
      </c>
      <c r="M2099" s="1" t="b">
        <f t="shared" si="227"/>
        <v>0</v>
      </c>
      <c r="N2099" s="1" t="b">
        <f t="shared" si="228"/>
        <v>1</v>
      </c>
      <c r="O2099" s="1" t="b">
        <f t="shared" si="229"/>
        <v>0</v>
      </c>
      <c r="P2099" s="1" t="b">
        <f t="shared" si="230"/>
        <v>0</v>
      </c>
    </row>
    <row r="2100" spans="1:16" x14ac:dyDescent="0.2">
      <c r="A2100">
        <v>8857213</v>
      </c>
      <c r="B2100" t="s">
        <v>3739</v>
      </c>
      <c r="C2100" t="s">
        <v>93</v>
      </c>
      <c r="D2100" t="s">
        <v>77</v>
      </c>
      <c r="E2100" s="1">
        <v>44623</v>
      </c>
      <c r="F2100" t="s">
        <v>3740</v>
      </c>
      <c r="G2100" s="1">
        <v>44653</v>
      </c>
      <c r="H2100" s="1">
        <v>44686</v>
      </c>
      <c r="I2100" t="s">
        <v>16</v>
      </c>
      <c r="J2100" s="1" t="b">
        <f t="shared" si="224"/>
        <v>1</v>
      </c>
      <c r="K2100" s="1" t="b">
        <f t="shared" si="225"/>
        <v>0</v>
      </c>
      <c r="L2100" s="1" t="b">
        <f t="shared" si="226"/>
        <v>0</v>
      </c>
      <c r="M2100" s="1" t="b">
        <f t="shared" si="227"/>
        <v>0</v>
      </c>
      <c r="N2100" s="1" t="b">
        <f t="shared" si="228"/>
        <v>1</v>
      </c>
      <c r="O2100" s="1" t="b">
        <f t="shared" si="229"/>
        <v>0</v>
      </c>
      <c r="P2100" s="1" t="b">
        <f t="shared" si="230"/>
        <v>0</v>
      </c>
    </row>
    <row r="2101" spans="1:16" x14ac:dyDescent="0.2">
      <c r="A2101">
        <v>7265860</v>
      </c>
      <c r="B2101" t="s">
        <v>3741</v>
      </c>
      <c r="C2101" t="s">
        <v>10</v>
      </c>
      <c r="D2101" t="s">
        <v>81</v>
      </c>
      <c r="E2101" s="1">
        <v>45065</v>
      </c>
      <c r="F2101" t="s">
        <v>3742</v>
      </c>
      <c r="G2101" s="1">
        <v>45075</v>
      </c>
      <c r="H2101" s="1">
        <v>45112</v>
      </c>
      <c r="I2101" t="s">
        <v>28</v>
      </c>
      <c r="J2101" s="1" t="b">
        <f t="shared" si="224"/>
        <v>1</v>
      </c>
      <c r="K2101" s="1" t="b">
        <f t="shared" si="225"/>
        <v>0</v>
      </c>
      <c r="L2101" s="1" t="b">
        <f t="shared" si="226"/>
        <v>0</v>
      </c>
      <c r="M2101" s="1" t="b">
        <f t="shared" si="227"/>
        <v>0</v>
      </c>
      <c r="N2101" s="1" t="b">
        <f t="shared" si="228"/>
        <v>0</v>
      </c>
      <c r="O2101" s="1" t="b">
        <f t="shared" si="229"/>
        <v>0</v>
      </c>
      <c r="P2101" s="1" t="b">
        <f t="shared" si="230"/>
        <v>1</v>
      </c>
    </row>
    <row r="2102" spans="1:16" x14ac:dyDescent="0.2">
      <c r="A2102">
        <v>7265860</v>
      </c>
      <c r="B2102" t="s">
        <v>3743</v>
      </c>
      <c r="C2102" t="s">
        <v>10</v>
      </c>
      <c r="D2102" t="s">
        <v>81</v>
      </c>
      <c r="E2102" s="1">
        <v>44656</v>
      </c>
      <c r="F2102" t="s">
        <v>421</v>
      </c>
      <c r="G2102" s="1">
        <v>44674</v>
      </c>
      <c r="H2102" s="1">
        <v>44724</v>
      </c>
      <c r="I2102" t="s">
        <v>16</v>
      </c>
      <c r="J2102" s="1" t="b">
        <f t="shared" si="224"/>
        <v>1</v>
      </c>
      <c r="K2102" s="1" t="b">
        <f t="shared" si="225"/>
        <v>0</v>
      </c>
      <c r="L2102" s="1" t="b">
        <f t="shared" si="226"/>
        <v>0</v>
      </c>
      <c r="M2102" s="1" t="b">
        <f t="shared" si="227"/>
        <v>0</v>
      </c>
      <c r="N2102" s="1" t="b">
        <f t="shared" si="228"/>
        <v>1</v>
      </c>
      <c r="O2102" s="1" t="b">
        <f t="shared" si="229"/>
        <v>0</v>
      </c>
      <c r="P2102" s="1" t="b">
        <f t="shared" si="230"/>
        <v>0</v>
      </c>
    </row>
    <row r="2103" spans="1:16" x14ac:dyDescent="0.2">
      <c r="A2103">
        <v>7265860</v>
      </c>
      <c r="B2103" t="s">
        <v>3744</v>
      </c>
      <c r="C2103" t="s">
        <v>10</v>
      </c>
      <c r="D2103" t="s">
        <v>81</v>
      </c>
      <c r="E2103" s="1">
        <v>45087</v>
      </c>
      <c r="F2103" t="s">
        <v>475</v>
      </c>
      <c r="G2103" s="1">
        <v>45115</v>
      </c>
      <c r="I2103" t="s">
        <v>13</v>
      </c>
      <c r="J2103" s="1" t="b">
        <f t="shared" si="224"/>
        <v>0</v>
      </c>
      <c r="K2103" s="1" t="b">
        <f t="shared" si="225"/>
        <v>1</v>
      </c>
      <c r="L2103" s="1" t="b">
        <f t="shared" si="226"/>
        <v>0</v>
      </c>
      <c r="M2103" s="1" t="b">
        <f t="shared" si="227"/>
        <v>0</v>
      </c>
      <c r="N2103" s="1" t="b">
        <f t="shared" si="228"/>
        <v>0</v>
      </c>
      <c r="O2103" s="1" t="b">
        <f t="shared" si="229"/>
        <v>0</v>
      </c>
      <c r="P2103" s="1" t="b">
        <f t="shared" si="230"/>
        <v>0</v>
      </c>
    </row>
    <row r="2104" spans="1:16" x14ac:dyDescent="0.2">
      <c r="A2104">
        <v>7265860</v>
      </c>
      <c r="B2104" t="s">
        <v>3745</v>
      </c>
      <c r="C2104" t="s">
        <v>10</v>
      </c>
      <c r="D2104" t="s">
        <v>81</v>
      </c>
      <c r="E2104" s="1">
        <v>44757</v>
      </c>
      <c r="F2104" t="s">
        <v>2332</v>
      </c>
      <c r="G2104" s="1">
        <v>44782</v>
      </c>
      <c r="H2104" s="1">
        <v>44787</v>
      </c>
      <c r="J2104" s="1" t="b">
        <f t="shared" si="224"/>
        <v>1</v>
      </c>
      <c r="K2104" s="1" t="b">
        <f t="shared" si="225"/>
        <v>0</v>
      </c>
      <c r="L2104" s="1" t="b">
        <f t="shared" si="226"/>
        <v>0</v>
      </c>
      <c r="M2104" s="1" t="b">
        <f t="shared" si="227"/>
        <v>0</v>
      </c>
      <c r="N2104" s="1" t="b">
        <f t="shared" si="228"/>
        <v>0</v>
      </c>
      <c r="O2104" s="1" t="b">
        <f t="shared" si="229"/>
        <v>0</v>
      </c>
      <c r="P2104" s="1" t="b">
        <f t="shared" si="230"/>
        <v>0</v>
      </c>
    </row>
    <row r="2105" spans="1:16" x14ac:dyDescent="0.2">
      <c r="A2105">
        <v>8230086</v>
      </c>
      <c r="B2105" t="s">
        <v>3746</v>
      </c>
      <c r="C2105" t="s">
        <v>150</v>
      </c>
      <c r="D2105" t="s">
        <v>11</v>
      </c>
      <c r="E2105" s="1">
        <v>44636</v>
      </c>
      <c r="F2105" t="s">
        <v>249</v>
      </c>
      <c r="G2105" s="1">
        <v>44642</v>
      </c>
      <c r="H2105" s="1">
        <v>44684</v>
      </c>
      <c r="I2105" t="s">
        <v>43</v>
      </c>
      <c r="J2105" s="1" t="b">
        <f t="shared" si="224"/>
        <v>1</v>
      </c>
      <c r="K2105" s="1" t="b">
        <f t="shared" si="225"/>
        <v>0</v>
      </c>
      <c r="L2105" s="1" t="b">
        <f t="shared" si="226"/>
        <v>0</v>
      </c>
      <c r="M2105" s="1" t="b">
        <f t="shared" si="227"/>
        <v>0</v>
      </c>
      <c r="N2105" s="1" t="b">
        <f t="shared" si="228"/>
        <v>0</v>
      </c>
      <c r="O2105" s="1" t="b">
        <f t="shared" si="229"/>
        <v>1</v>
      </c>
      <c r="P2105" s="1" t="b">
        <f t="shared" si="230"/>
        <v>0</v>
      </c>
    </row>
    <row r="2106" spans="1:16" x14ac:dyDescent="0.2">
      <c r="A2106">
        <v>8230086</v>
      </c>
      <c r="B2106" t="s">
        <v>3747</v>
      </c>
      <c r="C2106" t="s">
        <v>150</v>
      </c>
      <c r="D2106" t="s">
        <v>11</v>
      </c>
      <c r="E2106" s="1">
        <v>45004</v>
      </c>
      <c r="F2106" t="s">
        <v>2272</v>
      </c>
      <c r="G2106" s="1">
        <v>45033</v>
      </c>
      <c r="H2106" s="1">
        <v>45035</v>
      </c>
      <c r="J2106" s="1" t="b">
        <f t="shared" si="224"/>
        <v>1</v>
      </c>
      <c r="K2106" s="1" t="b">
        <f t="shared" si="225"/>
        <v>0</v>
      </c>
      <c r="L2106" s="1" t="b">
        <f t="shared" si="226"/>
        <v>0</v>
      </c>
      <c r="M2106" s="1" t="b">
        <f t="shared" si="227"/>
        <v>0</v>
      </c>
      <c r="N2106" s="1" t="b">
        <f t="shared" si="228"/>
        <v>0</v>
      </c>
      <c r="O2106" s="1" t="b">
        <f t="shared" si="229"/>
        <v>0</v>
      </c>
      <c r="P2106" s="1" t="b">
        <f t="shared" si="230"/>
        <v>0</v>
      </c>
    </row>
    <row r="2107" spans="1:16" x14ac:dyDescent="0.2">
      <c r="A2107">
        <v>8230086</v>
      </c>
      <c r="B2107" t="s">
        <v>3748</v>
      </c>
      <c r="C2107" t="s">
        <v>150</v>
      </c>
      <c r="D2107" t="s">
        <v>11</v>
      </c>
      <c r="E2107" s="1">
        <v>44961</v>
      </c>
      <c r="F2107" t="s">
        <v>3749</v>
      </c>
      <c r="G2107" s="1">
        <v>44962</v>
      </c>
      <c r="H2107" s="1">
        <v>44963</v>
      </c>
      <c r="I2107" t="s">
        <v>28</v>
      </c>
      <c r="J2107" s="1" t="b">
        <f t="shared" si="224"/>
        <v>1</v>
      </c>
      <c r="K2107" s="1" t="b">
        <f t="shared" si="225"/>
        <v>0</v>
      </c>
      <c r="L2107" s="1" t="b">
        <f t="shared" si="226"/>
        <v>0</v>
      </c>
      <c r="M2107" s="1" t="b">
        <f t="shared" si="227"/>
        <v>0</v>
      </c>
      <c r="N2107" s="1" t="b">
        <f t="shared" si="228"/>
        <v>0</v>
      </c>
      <c r="O2107" s="1" t="b">
        <f t="shared" si="229"/>
        <v>0</v>
      </c>
      <c r="P2107" s="1" t="b">
        <f t="shared" si="230"/>
        <v>1</v>
      </c>
    </row>
    <row r="2108" spans="1:16" x14ac:dyDescent="0.2">
      <c r="A2108">
        <v>8230086</v>
      </c>
      <c r="B2108" t="s">
        <v>3750</v>
      </c>
      <c r="C2108" t="s">
        <v>150</v>
      </c>
      <c r="D2108" t="s">
        <v>11</v>
      </c>
      <c r="E2108" s="1">
        <v>44827</v>
      </c>
      <c r="F2108" t="s">
        <v>3220</v>
      </c>
      <c r="G2108" s="1">
        <v>44855</v>
      </c>
      <c r="I2108" t="s">
        <v>25</v>
      </c>
      <c r="J2108" s="1" t="b">
        <f t="shared" si="224"/>
        <v>0</v>
      </c>
      <c r="K2108" s="1" t="b">
        <f t="shared" si="225"/>
        <v>0</v>
      </c>
      <c r="L2108" s="1" t="b">
        <f t="shared" si="226"/>
        <v>1</v>
      </c>
      <c r="M2108" s="1" t="b">
        <f t="shared" si="227"/>
        <v>0</v>
      </c>
      <c r="N2108" s="1" t="b">
        <f t="shared" si="228"/>
        <v>0</v>
      </c>
      <c r="O2108" s="1" t="b">
        <f t="shared" si="229"/>
        <v>0</v>
      </c>
      <c r="P2108" s="1" t="b">
        <f t="shared" si="230"/>
        <v>0</v>
      </c>
    </row>
    <row r="2109" spans="1:16" x14ac:dyDescent="0.2">
      <c r="A2109">
        <v>4739473</v>
      </c>
      <c r="B2109" t="s">
        <v>3751</v>
      </c>
      <c r="C2109" t="s">
        <v>32</v>
      </c>
      <c r="D2109" t="s">
        <v>39</v>
      </c>
      <c r="E2109" s="1">
        <v>44925</v>
      </c>
      <c r="F2109" t="s">
        <v>3752</v>
      </c>
      <c r="G2109" s="1">
        <v>44954</v>
      </c>
      <c r="H2109" s="1">
        <v>45011</v>
      </c>
      <c r="I2109" t="s">
        <v>43</v>
      </c>
      <c r="J2109" s="1" t="b">
        <f t="shared" si="224"/>
        <v>1</v>
      </c>
      <c r="K2109" s="1" t="b">
        <f t="shared" si="225"/>
        <v>0</v>
      </c>
      <c r="L2109" s="1" t="b">
        <f t="shared" si="226"/>
        <v>0</v>
      </c>
      <c r="M2109" s="1" t="b">
        <f t="shared" si="227"/>
        <v>0</v>
      </c>
      <c r="N2109" s="1" t="b">
        <f t="shared" si="228"/>
        <v>0</v>
      </c>
      <c r="O2109" s="1" t="b">
        <f t="shared" si="229"/>
        <v>1</v>
      </c>
      <c r="P2109" s="1" t="b">
        <f t="shared" si="230"/>
        <v>0</v>
      </c>
    </row>
    <row r="2110" spans="1:16" x14ac:dyDescent="0.2">
      <c r="A2110">
        <v>4739473</v>
      </c>
      <c r="B2110" t="s">
        <v>3753</v>
      </c>
      <c r="C2110" t="s">
        <v>32</v>
      </c>
      <c r="D2110" t="s">
        <v>39</v>
      </c>
      <c r="E2110" s="1">
        <v>44713</v>
      </c>
      <c r="F2110" t="s">
        <v>3754</v>
      </c>
      <c r="G2110" s="1">
        <v>44720</v>
      </c>
      <c r="H2110" s="1">
        <v>44740</v>
      </c>
      <c r="I2110" t="s">
        <v>43</v>
      </c>
      <c r="J2110" s="1" t="b">
        <f t="shared" si="224"/>
        <v>1</v>
      </c>
      <c r="K2110" s="1" t="b">
        <f t="shared" si="225"/>
        <v>0</v>
      </c>
      <c r="L2110" s="1" t="b">
        <f t="shared" si="226"/>
        <v>0</v>
      </c>
      <c r="M2110" s="1" t="b">
        <f t="shared" si="227"/>
        <v>0</v>
      </c>
      <c r="N2110" s="1" t="b">
        <f t="shared" si="228"/>
        <v>0</v>
      </c>
      <c r="O2110" s="1" t="b">
        <f t="shared" si="229"/>
        <v>1</v>
      </c>
      <c r="P2110" s="1" t="b">
        <f t="shared" si="230"/>
        <v>0</v>
      </c>
    </row>
    <row r="2111" spans="1:16" x14ac:dyDescent="0.2">
      <c r="A2111">
        <v>4739473</v>
      </c>
      <c r="B2111" t="s">
        <v>3755</v>
      </c>
      <c r="C2111" t="s">
        <v>32</v>
      </c>
      <c r="D2111" t="s">
        <v>39</v>
      </c>
      <c r="E2111" s="1">
        <v>44602</v>
      </c>
      <c r="F2111" t="s">
        <v>2152</v>
      </c>
      <c r="G2111" s="1">
        <v>44627</v>
      </c>
      <c r="I2111" t="s">
        <v>13</v>
      </c>
      <c r="J2111" s="1" t="b">
        <f t="shared" si="224"/>
        <v>0</v>
      </c>
      <c r="K2111" s="1" t="b">
        <f t="shared" si="225"/>
        <v>1</v>
      </c>
      <c r="L2111" s="1" t="b">
        <f t="shared" si="226"/>
        <v>0</v>
      </c>
      <c r="M2111" s="1" t="b">
        <f t="shared" si="227"/>
        <v>0</v>
      </c>
      <c r="N2111" s="1" t="b">
        <f t="shared" si="228"/>
        <v>0</v>
      </c>
      <c r="O2111" s="1" t="b">
        <f t="shared" si="229"/>
        <v>0</v>
      </c>
      <c r="P2111" s="1" t="b">
        <f t="shared" si="230"/>
        <v>0</v>
      </c>
    </row>
    <row r="2112" spans="1:16" x14ac:dyDescent="0.2">
      <c r="A2112">
        <v>4739473</v>
      </c>
      <c r="B2112" t="s">
        <v>3756</v>
      </c>
      <c r="C2112" t="s">
        <v>32</v>
      </c>
      <c r="D2112" t="s">
        <v>39</v>
      </c>
      <c r="E2112" s="1">
        <v>44897</v>
      </c>
      <c r="F2112" t="s">
        <v>3274</v>
      </c>
      <c r="G2112" s="1">
        <v>44925</v>
      </c>
      <c r="I2112" t="s">
        <v>13</v>
      </c>
      <c r="J2112" s="1" t="b">
        <f t="shared" si="224"/>
        <v>0</v>
      </c>
      <c r="K2112" s="1" t="b">
        <f t="shared" si="225"/>
        <v>1</v>
      </c>
      <c r="L2112" s="1" t="b">
        <f t="shared" si="226"/>
        <v>0</v>
      </c>
      <c r="M2112" s="1" t="b">
        <f t="shared" si="227"/>
        <v>0</v>
      </c>
      <c r="N2112" s="1" t="b">
        <f t="shared" si="228"/>
        <v>0</v>
      </c>
      <c r="O2112" s="1" t="b">
        <f t="shared" si="229"/>
        <v>0</v>
      </c>
      <c r="P2112" s="1" t="b">
        <f t="shared" si="230"/>
        <v>0</v>
      </c>
    </row>
    <row r="2113" spans="1:16" x14ac:dyDescent="0.2">
      <c r="A2113">
        <v>4739473</v>
      </c>
      <c r="B2113" t="s">
        <v>3757</v>
      </c>
      <c r="C2113" t="s">
        <v>32</v>
      </c>
      <c r="D2113" t="s">
        <v>39</v>
      </c>
      <c r="E2113" s="1">
        <v>44768</v>
      </c>
      <c r="F2113" t="s">
        <v>3120</v>
      </c>
      <c r="G2113" s="1">
        <v>44778</v>
      </c>
      <c r="H2113" s="1">
        <v>44789</v>
      </c>
      <c r="I2113" t="s">
        <v>43</v>
      </c>
      <c r="J2113" s="1" t="b">
        <f t="shared" si="224"/>
        <v>1</v>
      </c>
      <c r="K2113" s="1" t="b">
        <f t="shared" si="225"/>
        <v>0</v>
      </c>
      <c r="L2113" s="1" t="b">
        <f t="shared" si="226"/>
        <v>0</v>
      </c>
      <c r="M2113" s="1" t="b">
        <f t="shared" si="227"/>
        <v>0</v>
      </c>
      <c r="N2113" s="1" t="b">
        <f t="shared" si="228"/>
        <v>0</v>
      </c>
      <c r="O2113" s="1" t="b">
        <f t="shared" si="229"/>
        <v>1</v>
      </c>
      <c r="P2113" s="1" t="b">
        <f t="shared" si="230"/>
        <v>0</v>
      </c>
    </row>
    <row r="2114" spans="1:16" x14ac:dyDescent="0.2">
      <c r="A2114">
        <v>8118298</v>
      </c>
      <c r="B2114" t="s">
        <v>3758</v>
      </c>
      <c r="C2114" t="s">
        <v>282</v>
      </c>
      <c r="D2114" t="s">
        <v>19</v>
      </c>
      <c r="E2114" s="1">
        <v>45012</v>
      </c>
      <c r="F2114" t="s">
        <v>1627</v>
      </c>
      <c r="G2114" s="1">
        <v>45016</v>
      </c>
      <c r="H2114" s="1">
        <v>45070</v>
      </c>
      <c r="I2114" t="s">
        <v>16</v>
      </c>
      <c r="J2114" s="1" t="b">
        <f t="shared" si="224"/>
        <v>1</v>
      </c>
      <c r="K2114" s="1" t="b">
        <f t="shared" si="225"/>
        <v>0</v>
      </c>
      <c r="L2114" s="1" t="b">
        <f t="shared" si="226"/>
        <v>0</v>
      </c>
      <c r="M2114" s="1" t="b">
        <f t="shared" si="227"/>
        <v>0</v>
      </c>
      <c r="N2114" s="1" t="b">
        <f t="shared" si="228"/>
        <v>1</v>
      </c>
      <c r="O2114" s="1" t="b">
        <f t="shared" si="229"/>
        <v>0</v>
      </c>
      <c r="P2114" s="1" t="b">
        <f t="shared" si="230"/>
        <v>0</v>
      </c>
    </row>
    <row r="2115" spans="1:16" x14ac:dyDescent="0.2">
      <c r="A2115">
        <v>8118298</v>
      </c>
      <c r="B2115" t="s">
        <v>3759</v>
      </c>
      <c r="C2115" t="s">
        <v>282</v>
      </c>
      <c r="D2115" t="s">
        <v>19</v>
      </c>
      <c r="E2115" s="1">
        <v>44775</v>
      </c>
      <c r="F2115" t="s">
        <v>744</v>
      </c>
      <c r="G2115" s="1">
        <v>44788</v>
      </c>
      <c r="H2115" s="1">
        <v>44792</v>
      </c>
      <c r="I2115" t="s">
        <v>16</v>
      </c>
      <c r="J2115" s="1" t="b">
        <f t="shared" ref="J2115:J2178" si="231">AND(NOT(ISBLANK(H2115)), NOT(OR(ISNUMBER(SEARCH("decline", I2115)), ISNUMBER(SEARCH("rescind", I2115)), ISNUMBER(SEARCH("cancel", I2115)))))</f>
        <v>1</v>
      </c>
      <c r="K2115" s="1" t="b">
        <f t="shared" ref="K2115:K2178" si="232">ISNUMBER(SEARCH("decline", I2115))</f>
        <v>0</v>
      </c>
      <c r="L2115" s="1" t="b">
        <f t="shared" ref="L2115:L2178" si="233">ISNUMBER(SEARCH("rescind", I2115))</f>
        <v>0</v>
      </c>
      <c r="M2115" s="1" t="b">
        <f t="shared" ref="M2115:M2178" si="234">ISNUMBER(SEARCH("cancel", I2115))</f>
        <v>0</v>
      </c>
      <c r="N2115" s="1" t="b">
        <f t="shared" ref="N2115:N2178" si="235">ISNUMBER(SEARCH("transfer", I2115))</f>
        <v>1</v>
      </c>
      <c r="O2115" s="1" t="b">
        <f t="shared" ref="O2115:O2178" si="236">ISNUMBER(SEARCH("promo", I2115))</f>
        <v>0</v>
      </c>
      <c r="P2115" s="1" t="b">
        <f t="shared" ref="P2115:P2178" si="237">ISNUMBER(SEARCH("new", I2115))</f>
        <v>0</v>
      </c>
    </row>
    <row r="2116" spans="1:16" x14ac:dyDescent="0.2">
      <c r="A2116">
        <v>8496267</v>
      </c>
      <c r="B2116" t="s">
        <v>3760</v>
      </c>
      <c r="C2116" t="s">
        <v>287</v>
      </c>
      <c r="D2116" t="s">
        <v>60</v>
      </c>
      <c r="E2116" s="1">
        <v>44689</v>
      </c>
      <c r="F2116" t="s">
        <v>3761</v>
      </c>
      <c r="G2116" s="1">
        <v>44692</v>
      </c>
      <c r="I2116" t="s">
        <v>13</v>
      </c>
      <c r="J2116" s="1" t="b">
        <f t="shared" si="231"/>
        <v>0</v>
      </c>
      <c r="K2116" s="1" t="b">
        <f t="shared" si="232"/>
        <v>1</v>
      </c>
      <c r="L2116" s="1" t="b">
        <f t="shared" si="233"/>
        <v>0</v>
      </c>
      <c r="M2116" s="1" t="b">
        <f t="shared" si="234"/>
        <v>0</v>
      </c>
      <c r="N2116" s="1" t="b">
        <f t="shared" si="235"/>
        <v>0</v>
      </c>
      <c r="O2116" s="1" t="b">
        <f t="shared" si="236"/>
        <v>0</v>
      </c>
      <c r="P2116" s="1" t="b">
        <f t="shared" si="237"/>
        <v>0</v>
      </c>
    </row>
    <row r="2117" spans="1:16" x14ac:dyDescent="0.2">
      <c r="A2117">
        <v>8496267</v>
      </c>
      <c r="B2117" t="s">
        <v>3762</v>
      </c>
      <c r="C2117" t="s">
        <v>287</v>
      </c>
      <c r="D2117" t="s">
        <v>60</v>
      </c>
      <c r="E2117" s="1">
        <v>44776</v>
      </c>
      <c r="F2117" t="s">
        <v>3763</v>
      </c>
      <c r="G2117" s="1">
        <v>44780</v>
      </c>
      <c r="H2117" s="1">
        <v>44812</v>
      </c>
      <c r="I2117" t="s">
        <v>16</v>
      </c>
      <c r="J2117" s="1" t="b">
        <f t="shared" si="231"/>
        <v>1</v>
      </c>
      <c r="K2117" s="1" t="b">
        <f t="shared" si="232"/>
        <v>0</v>
      </c>
      <c r="L2117" s="1" t="b">
        <f t="shared" si="233"/>
        <v>0</v>
      </c>
      <c r="M2117" s="1" t="b">
        <f t="shared" si="234"/>
        <v>0</v>
      </c>
      <c r="N2117" s="1" t="b">
        <f t="shared" si="235"/>
        <v>1</v>
      </c>
      <c r="O2117" s="1" t="b">
        <f t="shared" si="236"/>
        <v>0</v>
      </c>
      <c r="P2117" s="1" t="b">
        <f t="shared" si="237"/>
        <v>0</v>
      </c>
    </row>
    <row r="2118" spans="1:16" x14ac:dyDescent="0.2">
      <c r="A2118">
        <v>7012792</v>
      </c>
      <c r="B2118" t="s">
        <v>3764</v>
      </c>
      <c r="C2118" t="s">
        <v>138</v>
      </c>
      <c r="D2118" t="s">
        <v>39</v>
      </c>
      <c r="E2118" s="1">
        <v>45081</v>
      </c>
      <c r="F2118" t="s">
        <v>3765</v>
      </c>
      <c r="G2118" s="1">
        <v>45093</v>
      </c>
      <c r="I2118" t="s">
        <v>13</v>
      </c>
      <c r="J2118" s="1" t="b">
        <f t="shared" si="231"/>
        <v>0</v>
      </c>
      <c r="K2118" s="1" t="b">
        <f t="shared" si="232"/>
        <v>1</v>
      </c>
      <c r="L2118" s="1" t="b">
        <f t="shared" si="233"/>
        <v>0</v>
      </c>
      <c r="M2118" s="1" t="b">
        <f t="shared" si="234"/>
        <v>0</v>
      </c>
      <c r="N2118" s="1" t="b">
        <f t="shared" si="235"/>
        <v>0</v>
      </c>
      <c r="O2118" s="1" t="b">
        <f t="shared" si="236"/>
        <v>0</v>
      </c>
      <c r="P2118" s="1" t="b">
        <f t="shared" si="237"/>
        <v>0</v>
      </c>
    </row>
    <row r="2119" spans="1:16" x14ac:dyDescent="0.2">
      <c r="A2119">
        <v>7012792</v>
      </c>
      <c r="B2119" t="s">
        <v>3766</v>
      </c>
      <c r="C2119" t="s">
        <v>138</v>
      </c>
      <c r="D2119" t="s">
        <v>39</v>
      </c>
      <c r="E2119" s="1">
        <v>44578</v>
      </c>
      <c r="F2119" t="s">
        <v>3767</v>
      </c>
      <c r="G2119" s="1">
        <v>44579</v>
      </c>
      <c r="H2119" s="1">
        <v>44604</v>
      </c>
      <c r="I2119" t="s">
        <v>16</v>
      </c>
      <c r="J2119" s="1" t="b">
        <f t="shared" si="231"/>
        <v>1</v>
      </c>
      <c r="K2119" s="1" t="b">
        <f t="shared" si="232"/>
        <v>0</v>
      </c>
      <c r="L2119" s="1" t="b">
        <f t="shared" si="233"/>
        <v>0</v>
      </c>
      <c r="M2119" s="1" t="b">
        <f t="shared" si="234"/>
        <v>0</v>
      </c>
      <c r="N2119" s="1" t="b">
        <f t="shared" si="235"/>
        <v>1</v>
      </c>
      <c r="O2119" s="1" t="b">
        <f t="shared" si="236"/>
        <v>0</v>
      </c>
      <c r="P2119" s="1" t="b">
        <f t="shared" si="237"/>
        <v>0</v>
      </c>
    </row>
    <row r="2120" spans="1:16" x14ac:dyDescent="0.2">
      <c r="A2120">
        <v>7012792</v>
      </c>
      <c r="B2120" t="s">
        <v>3768</v>
      </c>
      <c r="C2120" t="s">
        <v>138</v>
      </c>
      <c r="D2120" t="s">
        <v>39</v>
      </c>
      <c r="E2120" s="1">
        <v>44925</v>
      </c>
      <c r="F2120" t="s">
        <v>3769</v>
      </c>
      <c r="G2120" s="1">
        <v>44937</v>
      </c>
      <c r="H2120" s="1">
        <v>44957</v>
      </c>
      <c r="J2120" s="1" t="b">
        <f t="shared" si="231"/>
        <v>1</v>
      </c>
      <c r="K2120" s="1" t="b">
        <f t="shared" si="232"/>
        <v>0</v>
      </c>
      <c r="L2120" s="1" t="b">
        <f t="shared" si="233"/>
        <v>0</v>
      </c>
      <c r="M2120" s="1" t="b">
        <f t="shared" si="234"/>
        <v>0</v>
      </c>
      <c r="N2120" s="1" t="b">
        <f t="shared" si="235"/>
        <v>0</v>
      </c>
      <c r="O2120" s="1" t="b">
        <f t="shared" si="236"/>
        <v>0</v>
      </c>
      <c r="P2120" s="1" t="b">
        <f t="shared" si="237"/>
        <v>0</v>
      </c>
    </row>
    <row r="2121" spans="1:16" x14ac:dyDescent="0.2">
      <c r="A2121">
        <v>7012792</v>
      </c>
      <c r="B2121" t="s">
        <v>3770</v>
      </c>
      <c r="C2121" t="s">
        <v>138</v>
      </c>
      <c r="D2121" t="s">
        <v>39</v>
      </c>
      <c r="E2121" s="1">
        <v>44869</v>
      </c>
      <c r="F2121" t="s">
        <v>2363</v>
      </c>
      <c r="G2121" s="1">
        <v>44877</v>
      </c>
      <c r="H2121" s="1">
        <v>44922</v>
      </c>
      <c r="J2121" s="1" t="b">
        <f t="shared" si="231"/>
        <v>1</v>
      </c>
      <c r="K2121" s="1" t="b">
        <f t="shared" si="232"/>
        <v>0</v>
      </c>
      <c r="L2121" s="1" t="b">
        <f t="shared" si="233"/>
        <v>0</v>
      </c>
      <c r="M2121" s="1" t="b">
        <f t="shared" si="234"/>
        <v>0</v>
      </c>
      <c r="N2121" s="1" t="b">
        <f t="shared" si="235"/>
        <v>0</v>
      </c>
      <c r="O2121" s="1" t="b">
        <f t="shared" si="236"/>
        <v>0</v>
      </c>
      <c r="P2121" s="1" t="b">
        <f t="shared" si="237"/>
        <v>0</v>
      </c>
    </row>
    <row r="2122" spans="1:16" x14ac:dyDescent="0.2">
      <c r="A2122">
        <v>2416860</v>
      </c>
      <c r="B2122" t="s">
        <v>3771</v>
      </c>
      <c r="C2122" t="s">
        <v>265</v>
      </c>
      <c r="D2122" t="s">
        <v>60</v>
      </c>
      <c r="E2122" s="1">
        <v>44942</v>
      </c>
      <c r="F2122" t="s">
        <v>3772</v>
      </c>
      <c r="G2122" s="1">
        <v>44962</v>
      </c>
      <c r="I2122" t="s">
        <v>13</v>
      </c>
      <c r="J2122" s="1" t="b">
        <f t="shared" si="231"/>
        <v>0</v>
      </c>
      <c r="K2122" s="1" t="b">
        <f t="shared" si="232"/>
        <v>1</v>
      </c>
      <c r="L2122" s="1" t="b">
        <f t="shared" si="233"/>
        <v>0</v>
      </c>
      <c r="M2122" s="1" t="b">
        <f t="shared" si="234"/>
        <v>0</v>
      </c>
      <c r="N2122" s="1" t="b">
        <f t="shared" si="235"/>
        <v>0</v>
      </c>
      <c r="O2122" s="1" t="b">
        <f t="shared" si="236"/>
        <v>0</v>
      </c>
      <c r="P2122" s="1" t="b">
        <f t="shared" si="237"/>
        <v>0</v>
      </c>
    </row>
    <row r="2123" spans="1:16" x14ac:dyDescent="0.2">
      <c r="A2123">
        <v>2416860</v>
      </c>
      <c r="B2123" t="s">
        <v>3773</v>
      </c>
      <c r="C2123" t="s">
        <v>265</v>
      </c>
      <c r="D2123" t="s">
        <v>60</v>
      </c>
      <c r="E2123" s="1">
        <v>44816</v>
      </c>
      <c r="F2123" t="s">
        <v>3774</v>
      </c>
      <c r="G2123" s="1">
        <v>44822</v>
      </c>
      <c r="H2123" s="1">
        <v>44859</v>
      </c>
      <c r="I2123" t="s">
        <v>28</v>
      </c>
      <c r="J2123" s="1" t="b">
        <f t="shared" si="231"/>
        <v>1</v>
      </c>
      <c r="K2123" s="1" t="b">
        <f t="shared" si="232"/>
        <v>0</v>
      </c>
      <c r="L2123" s="1" t="b">
        <f t="shared" si="233"/>
        <v>0</v>
      </c>
      <c r="M2123" s="1" t="b">
        <f t="shared" si="234"/>
        <v>0</v>
      </c>
      <c r="N2123" s="1" t="b">
        <f t="shared" si="235"/>
        <v>0</v>
      </c>
      <c r="O2123" s="1" t="b">
        <f t="shared" si="236"/>
        <v>0</v>
      </c>
      <c r="P2123" s="1" t="b">
        <f t="shared" si="237"/>
        <v>1</v>
      </c>
    </row>
    <row r="2124" spans="1:16" x14ac:dyDescent="0.2">
      <c r="A2124">
        <v>2416860</v>
      </c>
      <c r="B2124" t="s">
        <v>3775</v>
      </c>
      <c r="C2124" t="s">
        <v>265</v>
      </c>
      <c r="D2124" t="s">
        <v>60</v>
      </c>
      <c r="E2124" s="1">
        <v>44705</v>
      </c>
      <c r="F2124" t="s">
        <v>622</v>
      </c>
      <c r="G2124" s="1">
        <v>44728</v>
      </c>
      <c r="I2124" t="s">
        <v>13</v>
      </c>
      <c r="J2124" s="1" t="b">
        <f t="shared" si="231"/>
        <v>0</v>
      </c>
      <c r="K2124" s="1" t="b">
        <f t="shared" si="232"/>
        <v>1</v>
      </c>
      <c r="L2124" s="1" t="b">
        <f t="shared" si="233"/>
        <v>0</v>
      </c>
      <c r="M2124" s="1" t="b">
        <f t="shared" si="234"/>
        <v>0</v>
      </c>
      <c r="N2124" s="1" t="b">
        <f t="shared" si="235"/>
        <v>0</v>
      </c>
      <c r="O2124" s="1" t="b">
        <f t="shared" si="236"/>
        <v>0</v>
      </c>
      <c r="P2124" s="1" t="b">
        <f t="shared" si="237"/>
        <v>0</v>
      </c>
    </row>
    <row r="2125" spans="1:16" x14ac:dyDescent="0.2">
      <c r="A2125">
        <v>2416860</v>
      </c>
      <c r="B2125" t="s">
        <v>3776</v>
      </c>
      <c r="C2125" t="s">
        <v>265</v>
      </c>
      <c r="D2125" t="s">
        <v>60</v>
      </c>
      <c r="E2125" s="1">
        <v>44776</v>
      </c>
      <c r="F2125" t="s">
        <v>3777</v>
      </c>
      <c r="G2125" s="1">
        <v>44804</v>
      </c>
      <c r="H2125" s="1">
        <v>44852</v>
      </c>
      <c r="I2125" t="s">
        <v>16</v>
      </c>
      <c r="J2125" s="1" t="b">
        <f t="shared" si="231"/>
        <v>1</v>
      </c>
      <c r="K2125" s="1" t="b">
        <f t="shared" si="232"/>
        <v>0</v>
      </c>
      <c r="L2125" s="1" t="b">
        <f t="shared" si="233"/>
        <v>0</v>
      </c>
      <c r="M2125" s="1" t="b">
        <f t="shared" si="234"/>
        <v>0</v>
      </c>
      <c r="N2125" s="1" t="b">
        <f t="shared" si="235"/>
        <v>1</v>
      </c>
      <c r="O2125" s="1" t="b">
        <f t="shared" si="236"/>
        <v>0</v>
      </c>
      <c r="P2125" s="1" t="b">
        <f t="shared" si="237"/>
        <v>0</v>
      </c>
    </row>
    <row r="2126" spans="1:16" x14ac:dyDescent="0.2">
      <c r="A2126">
        <v>7960470</v>
      </c>
      <c r="B2126" t="s">
        <v>3778</v>
      </c>
      <c r="C2126" t="s">
        <v>150</v>
      </c>
      <c r="D2126" t="s">
        <v>187</v>
      </c>
      <c r="E2126" s="1">
        <v>44717</v>
      </c>
      <c r="F2126" t="s">
        <v>3779</v>
      </c>
      <c r="G2126" s="1">
        <v>44741</v>
      </c>
      <c r="I2126" t="s">
        <v>13</v>
      </c>
      <c r="J2126" s="1" t="b">
        <f t="shared" si="231"/>
        <v>0</v>
      </c>
      <c r="K2126" s="1" t="b">
        <f t="shared" si="232"/>
        <v>1</v>
      </c>
      <c r="L2126" s="1" t="b">
        <f t="shared" si="233"/>
        <v>0</v>
      </c>
      <c r="M2126" s="1" t="b">
        <f t="shared" si="234"/>
        <v>0</v>
      </c>
      <c r="N2126" s="1" t="b">
        <f t="shared" si="235"/>
        <v>0</v>
      </c>
      <c r="O2126" s="1" t="b">
        <f t="shared" si="236"/>
        <v>0</v>
      </c>
      <c r="P2126" s="1" t="b">
        <f t="shared" si="237"/>
        <v>0</v>
      </c>
    </row>
    <row r="2127" spans="1:16" x14ac:dyDescent="0.2">
      <c r="A2127">
        <v>7960470</v>
      </c>
      <c r="B2127" t="s">
        <v>3780</v>
      </c>
      <c r="C2127" t="s">
        <v>150</v>
      </c>
      <c r="D2127" t="s">
        <v>187</v>
      </c>
      <c r="E2127" s="1">
        <v>44674</v>
      </c>
      <c r="F2127" t="s">
        <v>3781</v>
      </c>
      <c r="G2127" s="1">
        <v>44700</v>
      </c>
      <c r="H2127" s="1">
        <v>44711</v>
      </c>
      <c r="I2127" t="s">
        <v>43</v>
      </c>
      <c r="J2127" s="1" t="b">
        <f t="shared" si="231"/>
        <v>1</v>
      </c>
      <c r="K2127" s="1" t="b">
        <f t="shared" si="232"/>
        <v>0</v>
      </c>
      <c r="L2127" s="1" t="b">
        <f t="shared" si="233"/>
        <v>0</v>
      </c>
      <c r="M2127" s="1" t="b">
        <f t="shared" si="234"/>
        <v>0</v>
      </c>
      <c r="N2127" s="1" t="b">
        <f t="shared" si="235"/>
        <v>0</v>
      </c>
      <c r="O2127" s="1" t="b">
        <f t="shared" si="236"/>
        <v>1</v>
      </c>
      <c r="P2127" s="1" t="b">
        <f t="shared" si="237"/>
        <v>0</v>
      </c>
    </row>
    <row r="2128" spans="1:16" x14ac:dyDescent="0.2">
      <c r="A2128">
        <v>7960470</v>
      </c>
      <c r="B2128" t="s">
        <v>3782</v>
      </c>
      <c r="C2128" t="s">
        <v>150</v>
      </c>
      <c r="D2128" t="s">
        <v>187</v>
      </c>
      <c r="E2128" s="1">
        <v>44975</v>
      </c>
      <c r="F2128" t="s">
        <v>3783</v>
      </c>
      <c r="G2128" s="1">
        <v>44996</v>
      </c>
      <c r="I2128" t="s">
        <v>13</v>
      </c>
      <c r="J2128" s="1" t="b">
        <f t="shared" si="231"/>
        <v>0</v>
      </c>
      <c r="K2128" s="1" t="b">
        <f t="shared" si="232"/>
        <v>1</v>
      </c>
      <c r="L2128" s="1" t="b">
        <f t="shared" si="233"/>
        <v>0</v>
      </c>
      <c r="M2128" s="1" t="b">
        <f t="shared" si="234"/>
        <v>0</v>
      </c>
      <c r="N2128" s="1" t="b">
        <f t="shared" si="235"/>
        <v>0</v>
      </c>
      <c r="O2128" s="1" t="b">
        <f t="shared" si="236"/>
        <v>0</v>
      </c>
      <c r="P2128" s="1" t="b">
        <f t="shared" si="237"/>
        <v>0</v>
      </c>
    </row>
    <row r="2129" spans="1:16" x14ac:dyDescent="0.2">
      <c r="A2129">
        <v>7960470</v>
      </c>
      <c r="B2129" t="s">
        <v>3784</v>
      </c>
      <c r="C2129" t="s">
        <v>150</v>
      </c>
      <c r="D2129" t="s">
        <v>187</v>
      </c>
      <c r="E2129" s="1">
        <v>44591</v>
      </c>
      <c r="F2129" t="s">
        <v>2429</v>
      </c>
      <c r="G2129" s="1">
        <v>44617</v>
      </c>
      <c r="H2129" s="1">
        <v>44619</v>
      </c>
      <c r="I2129" t="s">
        <v>28</v>
      </c>
      <c r="J2129" s="1" t="b">
        <f t="shared" si="231"/>
        <v>1</v>
      </c>
      <c r="K2129" s="1" t="b">
        <f t="shared" si="232"/>
        <v>0</v>
      </c>
      <c r="L2129" s="1" t="b">
        <f t="shared" si="233"/>
        <v>0</v>
      </c>
      <c r="M2129" s="1" t="b">
        <f t="shared" si="234"/>
        <v>0</v>
      </c>
      <c r="N2129" s="1" t="b">
        <f t="shared" si="235"/>
        <v>0</v>
      </c>
      <c r="O2129" s="1" t="b">
        <f t="shared" si="236"/>
        <v>0</v>
      </c>
      <c r="P2129" s="1" t="b">
        <f t="shared" si="237"/>
        <v>1</v>
      </c>
    </row>
    <row r="2130" spans="1:16" x14ac:dyDescent="0.2">
      <c r="A2130">
        <v>6563023</v>
      </c>
      <c r="B2130" t="s">
        <v>3785</v>
      </c>
      <c r="C2130" t="s">
        <v>10</v>
      </c>
      <c r="D2130" t="s">
        <v>77</v>
      </c>
      <c r="E2130" s="1">
        <v>44609</v>
      </c>
      <c r="F2130" t="s">
        <v>959</v>
      </c>
      <c r="G2130" s="1">
        <v>44627</v>
      </c>
      <c r="H2130" s="1">
        <v>44652</v>
      </c>
      <c r="I2130" t="s">
        <v>43</v>
      </c>
      <c r="J2130" s="1" t="b">
        <f t="shared" si="231"/>
        <v>1</v>
      </c>
      <c r="K2130" s="1" t="b">
        <f t="shared" si="232"/>
        <v>0</v>
      </c>
      <c r="L2130" s="1" t="b">
        <f t="shared" si="233"/>
        <v>0</v>
      </c>
      <c r="M2130" s="1" t="b">
        <f t="shared" si="234"/>
        <v>0</v>
      </c>
      <c r="N2130" s="1" t="b">
        <f t="shared" si="235"/>
        <v>0</v>
      </c>
      <c r="O2130" s="1" t="b">
        <f t="shared" si="236"/>
        <v>1</v>
      </c>
      <c r="P2130" s="1" t="b">
        <f t="shared" si="237"/>
        <v>0</v>
      </c>
    </row>
    <row r="2131" spans="1:16" x14ac:dyDescent="0.2">
      <c r="A2131">
        <v>9811471</v>
      </c>
      <c r="B2131" t="s">
        <v>3786</v>
      </c>
      <c r="C2131" t="s">
        <v>38</v>
      </c>
      <c r="D2131" t="s">
        <v>187</v>
      </c>
      <c r="I2131" t="s">
        <v>33</v>
      </c>
      <c r="J2131" s="1" t="b">
        <f t="shared" si="231"/>
        <v>0</v>
      </c>
      <c r="K2131" s="1" t="b">
        <f t="shared" si="232"/>
        <v>0</v>
      </c>
      <c r="L2131" s="1" t="b">
        <f t="shared" si="233"/>
        <v>0</v>
      </c>
      <c r="M2131" s="1" t="b">
        <f t="shared" si="234"/>
        <v>1</v>
      </c>
      <c r="N2131" s="1" t="b">
        <f t="shared" si="235"/>
        <v>0</v>
      </c>
      <c r="O2131" s="1" t="b">
        <f t="shared" si="236"/>
        <v>0</v>
      </c>
      <c r="P2131" s="1" t="b">
        <f t="shared" si="237"/>
        <v>0</v>
      </c>
    </row>
    <row r="2132" spans="1:16" x14ac:dyDescent="0.2">
      <c r="A2132">
        <v>4736280</v>
      </c>
      <c r="B2132" t="s">
        <v>3787</v>
      </c>
      <c r="C2132" t="s">
        <v>76</v>
      </c>
      <c r="D2132" t="s">
        <v>60</v>
      </c>
      <c r="E2132" s="1">
        <v>44987</v>
      </c>
      <c r="F2132" t="s">
        <v>1813</v>
      </c>
      <c r="G2132" s="1">
        <v>45015</v>
      </c>
      <c r="I2132" t="s">
        <v>13</v>
      </c>
      <c r="J2132" s="1" t="b">
        <f t="shared" si="231"/>
        <v>0</v>
      </c>
      <c r="K2132" s="1" t="b">
        <f t="shared" si="232"/>
        <v>1</v>
      </c>
      <c r="L2132" s="1" t="b">
        <f t="shared" si="233"/>
        <v>0</v>
      </c>
      <c r="M2132" s="1" t="b">
        <f t="shared" si="234"/>
        <v>0</v>
      </c>
      <c r="N2132" s="1" t="b">
        <f t="shared" si="235"/>
        <v>0</v>
      </c>
      <c r="O2132" s="1" t="b">
        <f t="shared" si="236"/>
        <v>0</v>
      </c>
      <c r="P2132" s="1" t="b">
        <f t="shared" si="237"/>
        <v>0</v>
      </c>
    </row>
    <row r="2133" spans="1:16" x14ac:dyDescent="0.2">
      <c r="A2133">
        <v>8388951</v>
      </c>
      <c r="B2133" t="s">
        <v>3788</v>
      </c>
      <c r="C2133" t="s">
        <v>71</v>
      </c>
      <c r="D2133" t="s">
        <v>81</v>
      </c>
      <c r="E2133" s="1">
        <v>44825</v>
      </c>
      <c r="F2133" t="s">
        <v>3789</v>
      </c>
      <c r="G2133" s="1">
        <v>44830</v>
      </c>
      <c r="I2133" t="s">
        <v>25</v>
      </c>
      <c r="J2133" s="1" t="b">
        <f t="shared" si="231"/>
        <v>0</v>
      </c>
      <c r="K2133" s="1" t="b">
        <f t="shared" si="232"/>
        <v>0</v>
      </c>
      <c r="L2133" s="1" t="b">
        <f t="shared" si="233"/>
        <v>1</v>
      </c>
      <c r="M2133" s="1" t="b">
        <f t="shared" si="234"/>
        <v>0</v>
      </c>
      <c r="N2133" s="1" t="b">
        <f t="shared" si="235"/>
        <v>0</v>
      </c>
      <c r="O2133" s="1" t="b">
        <f t="shared" si="236"/>
        <v>0</v>
      </c>
      <c r="P2133" s="1" t="b">
        <f t="shared" si="237"/>
        <v>0</v>
      </c>
    </row>
    <row r="2134" spans="1:16" x14ac:dyDescent="0.2">
      <c r="A2134">
        <v>6416968</v>
      </c>
      <c r="B2134" t="s">
        <v>3790</v>
      </c>
      <c r="C2134" t="s">
        <v>167</v>
      </c>
      <c r="D2134" t="s">
        <v>139</v>
      </c>
      <c r="E2134" s="1">
        <v>44762</v>
      </c>
      <c r="F2134" t="s">
        <v>2811</v>
      </c>
      <c r="G2134" s="1">
        <v>44767</v>
      </c>
      <c r="H2134" s="1">
        <v>44782</v>
      </c>
      <c r="I2134" t="s">
        <v>16</v>
      </c>
      <c r="J2134" s="1" t="b">
        <f t="shared" si="231"/>
        <v>1</v>
      </c>
      <c r="K2134" s="1" t="b">
        <f t="shared" si="232"/>
        <v>0</v>
      </c>
      <c r="L2134" s="1" t="b">
        <f t="shared" si="233"/>
        <v>0</v>
      </c>
      <c r="M2134" s="1" t="b">
        <f t="shared" si="234"/>
        <v>0</v>
      </c>
      <c r="N2134" s="1" t="b">
        <f t="shared" si="235"/>
        <v>1</v>
      </c>
      <c r="O2134" s="1" t="b">
        <f t="shared" si="236"/>
        <v>0</v>
      </c>
      <c r="P2134" s="1" t="b">
        <f t="shared" si="237"/>
        <v>0</v>
      </c>
    </row>
    <row r="2135" spans="1:16" x14ac:dyDescent="0.2">
      <c r="A2135">
        <v>6416968</v>
      </c>
      <c r="B2135" t="s">
        <v>3791</v>
      </c>
      <c r="C2135" t="s">
        <v>167</v>
      </c>
      <c r="D2135" t="s">
        <v>139</v>
      </c>
      <c r="E2135" s="1">
        <v>44646</v>
      </c>
      <c r="F2135" t="s">
        <v>1083</v>
      </c>
      <c r="G2135" s="1">
        <v>44670</v>
      </c>
      <c r="H2135" s="1">
        <v>44677</v>
      </c>
      <c r="I2135" t="s">
        <v>43</v>
      </c>
      <c r="J2135" s="1" t="b">
        <f t="shared" si="231"/>
        <v>1</v>
      </c>
      <c r="K2135" s="1" t="b">
        <f t="shared" si="232"/>
        <v>0</v>
      </c>
      <c r="L2135" s="1" t="b">
        <f t="shared" si="233"/>
        <v>0</v>
      </c>
      <c r="M2135" s="1" t="b">
        <f t="shared" si="234"/>
        <v>0</v>
      </c>
      <c r="N2135" s="1" t="b">
        <f t="shared" si="235"/>
        <v>0</v>
      </c>
      <c r="O2135" s="1" t="b">
        <f t="shared" si="236"/>
        <v>1</v>
      </c>
      <c r="P2135" s="1" t="b">
        <f t="shared" si="237"/>
        <v>0</v>
      </c>
    </row>
    <row r="2136" spans="1:16" x14ac:dyDescent="0.2">
      <c r="A2136">
        <v>6416968</v>
      </c>
      <c r="B2136" t="s">
        <v>3792</v>
      </c>
      <c r="C2136" t="s">
        <v>167</v>
      </c>
      <c r="D2136" t="s">
        <v>139</v>
      </c>
      <c r="E2136" s="1">
        <v>44669</v>
      </c>
      <c r="F2136" t="s">
        <v>3793</v>
      </c>
      <c r="G2136" s="1">
        <v>44677</v>
      </c>
      <c r="H2136" s="1">
        <v>44692</v>
      </c>
      <c r="I2136" t="s">
        <v>28</v>
      </c>
      <c r="J2136" s="1" t="b">
        <f t="shared" si="231"/>
        <v>1</v>
      </c>
      <c r="K2136" s="1" t="b">
        <f t="shared" si="232"/>
        <v>0</v>
      </c>
      <c r="L2136" s="1" t="b">
        <f t="shared" si="233"/>
        <v>0</v>
      </c>
      <c r="M2136" s="1" t="b">
        <f t="shared" si="234"/>
        <v>0</v>
      </c>
      <c r="N2136" s="1" t="b">
        <f t="shared" si="235"/>
        <v>0</v>
      </c>
      <c r="O2136" s="1" t="b">
        <f t="shared" si="236"/>
        <v>0</v>
      </c>
      <c r="P2136" s="1" t="b">
        <f t="shared" si="237"/>
        <v>1</v>
      </c>
    </row>
    <row r="2137" spans="1:16" x14ac:dyDescent="0.2">
      <c r="A2137">
        <v>5205556</v>
      </c>
      <c r="B2137" t="s">
        <v>3794</v>
      </c>
      <c r="C2137" t="s">
        <v>38</v>
      </c>
      <c r="D2137" t="s">
        <v>11</v>
      </c>
      <c r="E2137" s="1">
        <v>45094</v>
      </c>
      <c r="F2137" t="s">
        <v>3795</v>
      </c>
      <c r="G2137" s="1">
        <v>45111</v>
      </c>
      <c r="H2137" s="1">
        <v>45148</v>
      </c>
      <c r="J2137" s="1" t="b">
        <f t="shared" si="231"/>
        <v>1</v>
      </c>
      <c r="K2137" s="1" t="b">
        <f t="shared" si="232"/>
        <v>0</v>
      </c>
      <c r="L2137" s="1" t="b">
        <f t="shared" si="233"/>
        <v>0</v>
      </c>
      <c r="M2137" s="1" t="b">
        <f t="shared" si="234"/>
        <v>0</v>
      </c>
      <c r="N2137" s="1" t="b">
        <f t="shared" si="235"/>
        <v>0</v>
      </c>
      <c r="O2137" s="1" t="b">
        <f t="shared" si="236"/>
        <v>0</v>
      </c>
      <c r="P2137" s="1" t="b">
        <f t="shared" si="237"/>
        <v>0</v>
      </c>
    </row>
    <row r="2138" spans="1:16" x14ac:dyDescent="0.2">
      <c r="A2138">
        <v>5205556</v>
      </c>
      <c r="B2138" t="s">
        <v>3796</v>
      </c>
      <c r="C2138" t="s">
        <v>38</v>
      </c>
      <c r="D2138" t="s">
        <v>11</v>
      </c>
      <c r="E2138" s="1">
        <v>44696</v>
      </c>
      <c r="F2138" t="s">
        <v>1899</v>
      </c>
      <c r="G2138" s="1">
        <v>44707</v>
      </c>
      <c r="H2138" s="1">
        <v>44735</v>
      </c>
      <c r="I2138" t="s">
        <v>28</v>
      </c>
      <c r="J2138" s="1" t="b">
        <f t="shared" si="231"/>
        <v>1</v>
      </c>
      <c r="K2138" s="1" t="b">
        <f t="shared" si="232"/>
        <v>0</v>
      </c>
      <c r="L2138" s="1" t="b">
        <f t="shared" si="233"/>
        <v>0</v>
      </c>
      <c r="M2138" s="1" t="b">
        <f t="shared" si="234"/>
        <v>0</v>
      </c>
      <c r="N2138" s="1" t="b">
        <f t="shared" si="235"/>
        <v>0</v>
      </c>
      <c r="O2138" s="1" t="b">
        <f t="shared" si="236"/>
        <v>0</v>
      </c>
      <c r="P2138" s="1" t="b">
        <f t="shared" si="237"/>
        <v>1</v>
      </c>
    </row>
    <row r="2139" spans="1:16" x14ac:dyDescent="0.2">
      <c r="A2139">
        <v>5205556</v>
      </c>
      <c r="B2139" t="s">
        <v>3797</v>
      </c>
      <c r="C2139" t="s">
        <v>38</v>
      </c>
      <c r="D2139" t="s">
        <v>11</v>
      </c>
      <c r="E2139" s="1">
        <v>44597</v>
      </c>
      <c r="F2139" t="s">
        <v>400</v>
      </c>
      <c r="G2139" s="1">
        <v>44621</v>
      </c>
      <c r="H2139" s="1">
        <v>44679</v>
      </c>
      <c r="I2139" t="s">
        <v>43</v>
      </c>
      <c r="J2139" s="1" t="b">
        <f t="shared" si="231"/>
        <v>1</v>
      </c>
      <c r="K2139" s="1" t="b">
        <f t="shared" si="232"/>
        <v>0</v>
      </c>
      <c r="L2139" s="1" t="b">
        <f t="shared" si="233"/>
        <v>0</v>
      </c>
      <c r="M2139" s="1" t="b">
        <f t="shared" si="234"/>
        <v>0</v>
      </c>
      <c r="N2139" s="1" t="b">
        <f t="shared" si="235"/>
        <v>0</v>
      </c>
      <c r="O2139" s="1" t="b">
        <f t="shared" si="236"/>
        <v>1</v>
      </c>
      <c r="P2139" s="1" t="b">
        <f t="shared" si="237"/>
        <v>0</v>
      </c>
    </row>
    <row r="2140" spans="1:16" x14ac:dyDescent="0.2">
      <c r="A2140">
        <v>7459731</v>
      </c>
      <c r="B2140" t="s">
        <v>3798</v>
      </c>
      <c r="C2140" t="s">
        <v>265</v>
      </c>
      <c r="D2140" t="s">
        <v>56</v>
      </c>
      <c r="E2140" s="1">
        <v>44596</v>
      </c>
      <c r="F2140" t="s">
        <v>3799</v>
      </c>
      <c r="G2140" s="1">
        <v>44623</v>
      </c>
      <c r="H2140" s="1">
        <v>44674</v>
      </c>
      <c r="I2140" t="s">
        <v>16</v>
      </c>
      <c r="J2140" s="1" t="b">
        <f t="shared" si="231"/>
        <v>1</v>
      </c>
      <c r="K2140" s="1" t="b">
        <f t="shared" si="232"/>
        <v>0</v>
      </c>
      <c r="L2140" s="1" t="b">
        <f t="shared" si="233"/>
        <v>0</v>
      </c>
      <c r="M2140" s="1" t="b">
        <f t="shared" si="234"/>
        <v>0</v>
      </c>
      <c r="N2140" s="1" t="b">
        <f t="shared" si="235"/>
        <v>1</v>
      </c>
      <c r="O2140" s="1" t="b">
        <f t="shared" si="236"/>
        <v>0</v>
      </c>
      <c r="P2140" s="1" t="b">
        <f t="shared" si="237"/>
        <v>0</v>
      </c>
    </row>
    <row r="2141" spans="1:16" x14ac:dyDescent="0.2">
      <c r="A2141">
        <v>7459731</v>
      </c>
      <c r="B2141" t="s">
        <v>3800</v>
      </c>
      <c r="C2141" t="s">
        <v>265</v>
      </c>
      <c r="D2141" t="s">
        <v>56</v>
      </c>
      <c r="E2141" s="1">
        <v>44573</v>
      </c>
      <c r="F2141" t="s">
        <v>3801</v>
      </c>
      <c r="G2141" s="1">
        <v>44592</v>
      </c>
      <c r="I2141" t="s">
        <v>25</v>
      </c>
      <c r="J2141" s="1" t="b">
        <f t="shared" si="231"/>
        <v>0</v>
      </c>
      <c r="K2141" s="1" t="b">
        <f t="shared" si="232"/>
        <v>0</v>
      </c>
      <c r="L2141" s="1" t="b">
        <f t="shared" si="233"/>
        <v>1</v>
      </c>
      <c r="M2141" s="1" t="b">
        <f t="shared" si="234"/>
        <v>0</v>
      </c>
      <c r="N2141" s="1" t="b">
        <f t="shared" si="235"/>
        <v>0</v>
      </c>
      <c r="O2141" s="1" t="b">
        <f t="shared" si="236"/>
        <v>0</v>
      </c>
      <c r="P2141" s="1" t="b">
        <f t="shared" si="237"/>
        <v>0</v>
      </c>
    </row>
    <row r="2142" spans="1:16" x14ac:dyDescent="0.2">
      <c r="A2142">
        <v>9066089</v>
      </c>
      <c r="B2142" t="s">
        <v>3802</v>
      </c>
      <c r="C2142" t="s">
        <v>363</v>
      </c>
      <c r="D2142" t="s">
        <v>39</v>
      </c>
      <c r="E2142" s="1">
        <v>45026</v>
      </c>
      <c r="F2142" t="s">
        <v>3803</v>
      </c>
      <c r="G2142" s="1">
        <v>45046</v>
      </c>
      <c r="H2142" s="1">
        <v>45063</v>
      </c>
      <c r="J2142" s="1" t="b">
        <f t="shared" si="231"/>
        <v>1</v>
      </c>
      <c r="K2142" s="1" t="b">
        <f t="shared" si="232"/>
        <v>0</v>
      </c>
      <c r="L2142" s="1" t="b">
        <f t="shared" si="233"/>
        <v>0</v>
      </c>
      <c r="M2142" s="1" t="b">
        <f t="shared" si="234"/>
        <v>0</v>
      </c>
      <c r="N2142" s="1" t="b">
        <f t="shared" si="235"/>
        <v>0</v>
      </c>
      <c r="O2142" s="1" t="b">
        <f t="shared" si="236"/>
        <v>0</v>
      </c>
      <c r="P2142" s="1" t="b">
        <f t="shared" si="237"/>
        <v>0</v>
      </c>
    </row>
    <row r="2143" spans="1:16" x14ac:dyDescent="0.2">
      <c r="A2143">
        <v>9066089</v>
      </c>
      <c r="B2143" t="s">
        <v>3804</v>
      </c>
      <c r="C2143" t="s">
        <v>363</v>
      </c>
      <c r="D2143" t="s">
        <v>39</v>
      </c>
      <c r="E2143" s="1">
        <v>45088</v>
      </c>
      <c r="F2143" t="s">
        <v>3805</v>
      </c>
      <c r="G2143" s="1">
        <v>45118</v>
      </c>
      <c r="H2143" s="1">
        <v>45140</v>
      </c>
      <c r="I2143" t="s">
        <v>16</v>
      </c>
      <c r="J2143" s="1" t="b">
        <f t="shared" si="231"/>
        <v>1</v>
      </c>
      <c r="K2143" s="1" t="b">
        <f t="shared" si="232"/>
        <v>0</v>
      </c>
      <c r="L2143" s="1" t="b">
        <f t="shared" si="233"/>
        <v>0</v>
      </c>
      <c r="M2143" s="1" t="b">
        <f t="shared" si="234"/>
        <v>0</v>
      </c>
      <c r="N2143" s="1" t="b">
        <f t="shared" si="235"/>
        <v>1</v>
      </c>
      <c r="O2143" s="1" t="b">
        <f t="shared" si="236"/>
        <v>0</v>
      </c>
      <c r="P2143" s="1" t="b">
        <f t="shared" si="237"/>
        <v>0</v>
      </c>
    </row>
    <row r="2144" spans="1:16" x14ac:dyDescent="0.2">
      <c r="A2144">
        <v>6658193</v>
      </c>
      <c r="B2144" t="s">
        <v>3806</v>
      </c>
      <c r="C2144" t="s">
        <v>131</v>
      </c>
      <c r="D2144" t="s">
        <v>187</v>
      </c>
      <c r="E2144" s="1">
        <v>45029</v>
      </c>
      <c r="F2144" t="s">
        <v>3329</v>
      </c>
      <c r="G2144" s="1">
        <v>45051</v>
      </c>
      <c r="I2144" t="s">
        <v>25</v>
      </c>
      <c r="J2144" s="1" t="b">
        <f t="shared" si="231"/>
        <v>0</v>
      </c>
      <c r="K2144" s="1" t="b">
        <f t="shared" si="232"/>
        <v>0</v>
      </c>
      <c r="L2144" s="1" t="b">
        <f t="shared" si="233"/>
        <v>1</v>
      </c>
      <c r="M2144" s="1" t="b">
        <f t="shared" si="234"/>
        <v>0</v>
      </c>
      <c r="N2144" s="1" t="b">
        <f t="shared" si="235"/>
        <v>0</v>
      </c>
      <c r="O2144" s="1" t="b">
        <f t="shared" si="236"/>
        <v>0</v>
      </c>
      <c r="P2144" s="1" t="b">
        <f t="shared" si="237"/>
        <v>0</v>
      </c>
    </row>
    <row r="2145" spans="1:16" x14ac:dyDescent="0.2">
      <c r="A2145">
        <v>6658193</v>
      </c>
      <c r="B2145" t="s">
        <v>3807</v>
      </c>
      <c r="C2145" t="s">
        <v>131</v>
      </c>
      <c r="D2145" t="s">
        <v>187</v>
      </c>
      <c r="E2145" s="1">
        <v>44691</v>
      </c>
      <c r="F2145" t="s">
        <v>2152</v>
      </c>
      <c r="G2145" s="1">
        <v>44695</v>
      </c>
      <c r="I2145" t="s">
        <v>13</v>
      </c>
      <c r="J2145" s="1" t="b">
        <f t="shared" si="231"/>
        <v>0</v>
      </c>
      <c r="K2145" s="1" t="b">
        <f t="shared" si="232"/>
        <v>1</v>
      </c>
      <c r="L2145" s="1" t="b">
        <f t="shared" si="233"/>
        <v>0</v>
      </c>
      <c r="M2145" s="1" t="b">
        <f t="shared" si="234"/>
        <v>0</v>
      </c>
      <c r="N2145" s="1" t="b">
        <f t="shared" si="235"/>
        <v>0</v>
      </c>
      <c r="O2145" s="1" t="b">
        <f t="shared" si="236"/>
        <v>0</v>
      </c>
      <c r="P2145" s="1" t="b">
        <f t="shared" si="237"/>
        <v>0</v>
      </c>
    </row>
    <row r="2146" spans="1:16" x14ac:dyDescent="0.2">
      <c r="A2146">
        <v>6658193</v>
      </c>
      <c r="B2146" t="s">
        <v>3808</v>
      </c>
      <c r="C2146" t="s">
        <v>131</v>
      </c>
      <c r="D2146" t="s">
        <v>187</v>
      </c>
      <c r="E2146" s="1">
        <v>44936</v>
      </c>
      <c r="F2146" t="s">
        <v>3809</v>
      </c>
      <c r="G2146" s="1">
        <v>44950</v>
      </c>
      <c r="H2146" s="1">
        <v>44992</v>
      </c>
      <c r="I2146" t="s">
        <v>28</v>
      </c>
      <c r="J2146" s="1" t="b">
        <f t="shared" si="231"/>
        <v>1</v>
      </c>
      <c r="K2146" s="1" t="b">
        <f t="shared" si="232"/>
        <v>0</v>
      </c>
      <c r="L2146" s="1" t="b">
        <f t="shared" si="233"/>
        <v>0</v>
      </c>
      <c r="M2146" s="1" t="b">
        <f t="shared" si="234"/>
        <v>0</v>
      </c>
      <c r="N2146" s="1" t="b">
        <f t="shared" si="235"/>
        <v>0</v>
      </c>
      <c r="O2146" s="1" t="b">
        <f t="shared" si="236"/>
        <v>0</v>
      </c>
      <c r="P2146" s="1" t="b">
        <f t="shared" si="237"/>
        <v>1</v>
      </c>
    </row>
    <row r="2147" spans="1:16" x14ac:dyDescent="0.2">
      <c r="A2147">
        <v>4810526</v>
      </c>
      <c r="B2147" t="s">
        <v>3810</v>
      </c>
      <c r="C2147" t="s">
        <v>287</v>
      </c>
      <c r="D2147" t="s">
        <v>122</v>
      </c>
      <c r="E2147" s="1">
        <v>44917</v>
      </c>
      <c r="F2147" t="s">
        <v>3811</v>
      </c>
      <c r="G2147" s="1">
        <v>44927</v>
      </c>
      <c r="H2147" s="1">
        <v>44956</v>
      </c>
      <c r="I2147" t="s">
        <v>28</v>
      </c>
      <c r="J2147" s="1" t="b">
        <f t="shared" si="231"/>
        <v>1</v>
      </c>
      <c r="K2147" s="1" t="b">
        <f t="shared" si="232"/>
        <v>0</v>
      </c>
      <c r="L2147" s="1" t="b">
        <f t="shared" si="233"/>
        <v>0</v>
      </c>
      <c r="M2147" s="1" t="b">
        <f t="shared" si="234"/>
        <v>0</v>
      </c>
      <c r="N2147" s="1" t="b">
        <f t="shared" si="235"/>
        <v>0</v>
      </c>
      <c r="O2147" s="1" t="b">
        <f t="shared" si="236"/>
        <v>0</v>
      </c>
      <c r="P2147" s="1" t="b">
        <f t="shared" si="237"/>
        <v>1</v>
      </c>
    </row>
    <row r="2148" spans="1:16" x14ac:dyDescent="0.2">
      <c r="A2148">
        <v>8317619</v>
      </c>
      <c r="B2148" t="s">
        <v>3812</v>
      </c>
      <c r="C2148" t="s">
        <v>18</v>
      </c>
      <c r="D2148" t="s">
        <v>122</v>
      </c>
      <c r="E2148" s="1">
        <v>45085</v>
      </c>
      <c r="F2148" t="s">
        <v>3813</v>
      </c>
      <c r="G2148" s="1">
        <v>45092</v>
      </c>
      <c r="I2148" t="s">
        <v>13</v>
      </c>
      <c r="J2148" s="1" t="b">
        <f t="shared" si="231"/>
        <v>0</v>
      </c>
      <c r="K2148" s="1" t="b">
        <f t="shared" si="232"/>
        <v>1</v>
      </c>
      <c r="L2148" s="1" t="b">
        <f t="shared" si="233"/>
        <v>0</v>
      </c>
      <c r="M2148" s="1" t="b">
        <f t="shared" si="234"/>
        <v>0</v>
      </c>
      <c r="N2148" s="1" t="b">
        <f t="shared" si="235"/>
        <v>0</v>
      </c>
      <c r="O2148" s="1" t="b">
        <f t="shared" si="236"/>
        <v>0</v>
      </c>
      <c r="P2148" s="1" t="b">
        <f t="shared" si="237"/>
        <v>0</v>
      </c>
    </row>
    <row r="2149" spans="1:16" x14ac:dyDescent="0.2">
      <c r="A2149">
        <v>8317619</v>
      </c>
      <c r="B2149" t="s">
        <v>3814</v>
      </c>
      <c r="C2149" t="s">
        <v>18</v>
      </c>
      <c r="D2149" t="s">
        <v>122</v>
      </c>
      <c r="E2149" s="1">
        <v>44579</v>
      </c>
      <c r="F2149" t="s">
        <v>296</v>
      </c>
      <c r="G2149" s="1">
        <v>44586</v>
      </c>
      <c r="I2149" t="s">
        <v>13</v>
      </c>
      <c r="J2149" s="1" t="b">
        <f t="shared" si="231"/>
        <v>0</v>
      </c>
      <c r="K2149" s="1" t="b">
        <f t="shared" si="232"/>
        <v>1</v>
      </c>
      <c r="L2149" s="1" t="b">
        <f t="shared" si="233"/>
        <v>0</v>
      </c>
      <c r="M2149" s="1" t="b">
        <f t="shared" si="234"/>
        <v>0</v>
      </c>
      <c r="N2149" s="1" t="b">
        <f t="shared" si="235"/>
        <v>0</v>
      </c>
      <c r="O2149" s="1" t="b">
        <f t="shared" si="236"/>
        <v>0</v>
      </c>
      <c r="P2149" s="1" t="b">
        <f t="shared" si="237"/>
        <v>0</v>
      </c>
    </row>
    <row r="2150" spans="1:16" x14ac:dyDescent="0.2">
      <c r="A2150">
        <v>8317619</v>
      </c>
      <c r="B2150" t="s">
        <v>3815</v>
      </c>
      <c r="C2150" t="s">
        <v>18</v>
      </c>
      <c r="D2150" t="s">
        <v>122</v>
      </c>
      <c r="E2150" s="1">
        <v>44717</v>
      </c>
      <c r="F2150" t="s">
        <v>3474</v>
      </c>
      <c r="G2150" s="1">
        <v>44736</v>
      </c>
      <c r="H2150" s="1">
        <v>44792</v>
      </c>
      <c r="I2150" t="s">
        <v>28</v>
      </c>
      <c r="J2150" s="1" t="b">
        <f t="shared" si="231"/>
        <v>1</v>
      </c>
      <c r="K2150" s="1" t="b">
        <f t="shared" si="232"/>
        <v>0</v>
      </c>
      <c r="L2150" s="1" t="b">
        <f t="shared" si="233"/>
        <v>0</v>
      </c>
      <c r="M2150" s="1" t="b">
        <f t="shared" si="234"/>
        <v>0</v>
      </c>
      <c r="N2150" s="1" t="b">
        <f t="shared" si="235"/>
        <v>0</v>
      </c>
      <c r="O2150" s="1" t="b">
        <f t="shared" si="236"/>
        <v>0</v>
      </c>
      <c r="P2150" s="1" t="b">
        <f t="shared" si="237"/>
        <v>1</v>
      </c>
    </row>
    <row r="2151" spans="1:16" x14ac:dyDescent="0.2">
      <c r="A2151">
        <v>8317619</v>
      </c>
      <c r="B2151" t="s">
        <v>3816</v>
      </c>
      <c r="C2151" t="s">
        <v>18</v>
      </c>
      <c r="D2151" t="s">
        <v>122</v>
      </c>
      <c r="E2151" s="1">
        <v>44933</v>
      </c>
      <c r="F2151" t="s">
        <v>3817</v>
      </c>
      <c r="G2151" s="1">
        <v>44951</v>
      </c>
      <c r="H2151" s="1">
        <v>44966</v>
      </c>
      <c r="I2151" t="s">
        <v>16</v>
      </c>
      <c r="J2151" s="1" t="b">
        <f t="shared" si="231"/>
        <v>1</v>
      </c>
      <c r="K2151" s="1" t="b">
        <f t="shared" si="232"/>
        <v>0</v>
      </c>
      <c r="L2151" s="1" t="b">
        <f t="shared" si="233"/>
        <v>0</v>
      </c>
      <c r="M2151" s="1" t="b">
        <f t="shared" si="234"/>
        <v>0</v>
      </c>
      <c r="N2151" s="1" t="b">
        <f t="shared" si="235"/>
        <v>1</v>
      </c>
      <c r="O2151" s="1" t="b">
        <f t="shared" si="236"/>
        <v>0</v>
      </c>
      <c r="P2151" s="1" t="b">
        <f t="shared" si="237"/>
        <v>0</v>
      </c>
    </row>
    <row r="2152" spans="1:16" x14ac:dyDescent="0.2">
      <c r="A2152">
        <v>8317619</v>
      </c>
      <c r="B2152" t="s">
        <v>3818</v>
      </c>
      <c r="C2152" t="s">
        <v>18</v>
      </c>
      <c r="D2152" t="s">
        <v>122</v>
      </c>
      <c r="E2152" s="1">
        <v>44664</v>
      </c>
      <c r="F2152" t="s">
        <v>2355</v>
      </c>
      <c r="G2152" s="1">
        <v>44686</v>
      </c>
      <c r="H2152" s="1">
        <v>44697</v>
      </c>
      <c r="I2152" t="s">
        <v>43</v>
      </c>
      <c r="J2152" s="1" t="b">
        <f t="shared" si="231"/>
        <v>1</v>
      </c>
      <c r="K2152" s="1" t="b">
        <f t="shared" si="232"/>
        <v>0</v>
      </c>
      <c r="L2152" s="1" t="b">
        <f t="shared" si="233"/>
        <v>0</v>
      </c>
      <c r="M2152" s="1" t="b">
        <f t="shared" si="234"/>
        <v>0</v>
      </c>
      <c r="N2152" s="1" t="b">
        <f t="shared" si="235"/>
        <v>0</v>
      </c>
      <c r="O2152" s="1" t="b">
        <f t="shared" si="236"/>
        <v>1</v>
      </c>
      <c r="P2152" s="1" t="b">
        <f t="shared" si="237"/>
        <v>0</v>
      </c>
    </row>
    <row r="2153" spans="1:16" x14ac:dyDescent="0.2">
      <c r="A2153">
        <v>4795970</v>
      </c>
      <c r="B2153" t="s">
        <v>3819</v>
      </c>
      <c r="C2153" t="s">
        <v>150</v>
      </c>
      <c r="D2153" t="s">
        <v>187</v>
      </c>
      <c r="E2153" s="1">
        <v>44847</v>
      </c>
      <c r="F2153" t="s">
        <v>2572</v>
      </c>
      <c r="G2153" s="1">
        <v>44849</v>
      </c>
      <c r="H2153" s="1">
        <v>44875</v>
      </c>
      <c r="J2153" s="1" t="b">
        <f t="shared" si="231"/>
        <v>1</v>
      </c>
      <c r="K2153" s="1" t="b">
        <f t="shared" si="232"/>
        <v>0</v>
      </c>
      <c r="L2153" s="1" t="b">
        <f t="shared" si="233"/>
        <v>0</v>
      </c>
      <c r="M2153" s="1" t="b">
        <f t="shared" si="234"/>
        <v>0</v>
      </c>
      <c r="N2153" s="1" t="b">
        <f t="shared" si="235"/>
        <v>0</v>
      </c>
      <c r="O2153" s="1" t="b">
        <f t="shared" si="236"/>
        <v>0</v>
      </c>
      <c r="P2153" s="1" t="b">
        <f t="shared" si="237"/>
        <v>0</v>
      </c>
    </row>
    <row r="2154" spans="1:16" x14ac:dyDescent="0.2">
      <c r="A2154">
        <v>4795970</v>
      </c>
      <c r="B2154" t="s">
        <v>3820</v>
      </c>
      <c r="C2154" t="s">
        <v>150</v>
      </c>
      <c r="D2154" t="s">
        <v>187</v>
      </c>
      <c r="E2154" s="1">
        <v>44993</v>
      </c>
      <c r="F2154" t="s">
        <v>3162</v>
      </c>
      <c r="G2154" s="1">
        <v>45022</v>
      </c>
      <c r="I2154" t="s">
        <v>25</v>
      </c>
      <c r="J2154" s="1" t="b">
        <f t="shared" si="231"/>
        <v>0</v>
      </c>
      <c r="K2154" s="1" t="b">
        <f t="shared" si="232"/>
        <v>0</v>
      </c>
      <c r="L2154" s="1" t="b">
        <f t="shared" si="233"/>
        <v>1</v>
      </c>
      <c r="M2154" s="1" t="b">
        <f t="shared" si="234"/>
        <v>0</v>
      </c>
      <c r="N2154" s="1" t="b">
        <f t="shared" si="235"/>
        <v>0</v>
      </c>
      <c r="O2154" s="1" t="b">
        <f t="shared" si="236"/>
        <v>0</v>
      </c>
      <c r="P2154" s="1" t="b">
        <f t="shared" si="237"/>
        <v>0</v>
      </c>
    </row>
    <row r="2155" spans="1:16" x14ac:dyDescent="0.2">
      <c r="A2155">
        <v>4795970</v>
      </c>
      <c r="B2155" t="s">
        <v>3821</v>
      </c>
      <c r="C2155" t="s">
        <v>150</v>
      </c>
      <c r="D2155" t="s">
        <v>187</v>
      </c>
      <c r="E2155" s="1">
        <v>44869</v>
      </c>
      <c r="F2155" t="s">
        <v>3822</v>
      </c>
      <c r="G2155" s="1">
        <v>44870</v>
      </c>
      <c r="H2155" s="1">
        <v>44875</v>
      </c>
      <c r="I2155" t="s">
        <v>28</v>
      </c>
      <c r="J2155" s="1" t="b">
        <f t="shared" si="231"/>
        <v>1</v>
      </c>
      <c r="K2155" s="1" t="b">
        <f t="shared" si="232"/>
        <v>0</v>
      </c>
      <c r="L2155" s="1" t="b">
        <f t="shared" si="233"/>
        <v>0</v>
      </c>
      <c r="M2155" s="1" t="b">
        <f t="shared" si="234"/>
        <v>0</v>
      </c>
      <c r="N2155" s="1" t="b">
        <f t="shared" si="235"/>
        <v>0</v>
      </c>
      <c r="O2155" s="1" t="b">
        <f t="shared" si="236"/>
        <v>0</v>
      </c>
      <c r="P2155" s="1" t="b">
        <f t="shared" si="237"/>
        <v>1</v>
      </c>
    </row>
    <row r="2156" spans="1:16" x14ac:dyDescent="0.2">
      <c r="A2156">
        <v>4795970</v>
      </c>
      <c r="B2156" t="s">
        <v>3823</v>
      </c>
      <c r="C2156" t="s">
        <v>150</v>
      </c>
      <c r="D2156" t="s">
        <v>187</v>
      </c>
      <c r="E2156" s="1">
        <v>44881</v>
      </c>
      <c r="F2156" t="s">
        <v>2613</v>
      </c>
      <c r="G2156" s="1">
        <v>44888</v>
      </c>
      <c r="I2156" t="s">
        <v>25</v>
      </c>
      <c r="J2156" s="1" t="b">
        <f t="shared" si="231"/>
        <v>0</v>
      </c>
      <c r="K2156" s="1" t="b">
        <f t="shared" si="232"/>
        <v>0</v>
      </c>
      <c r="L2156" s="1" t="b">
        <f t="shared" si="233"/>
        <v>1</v>
      </c>
      <c r="M2156" s="1" t="b">
        <f t="shared" si="234"/>
        <v>0</v>
      </c>
      <c r="N2156" s="1" t="b">
        <f t="shared" si="235"/>
        <v>0</v>
      </c>
      <c r="O2156" s="1" t="b">
        <f t="shared" si="236"/>
        <v>0</v>
      </c>
      <c r="P2156" s="1" t="b">
        <f t="shared" si="237"/>
        <v>0</v>
      </c>
    </row>
    <row r="2157" spans="1:16" x14ac:dyDescent="0.2">
      <c r="A2157">
        <v>4795970</v>
      </c>
      <c r="B2157" t="s">
        <v>3824</v>
      </c>
      <c r="C2157" t="s">
        <v>150</v>
      </c>
      <c r="D2157" t="s">
        <v>187</v>
      </c>
      <c r="E2157" s="1">
        <v>44982</v>
      </c>
      <c r="F2157" t="s">
        <v>3203</v>
      </c>
      <c r="G2157" s="1">
        <v>44987</v>
      </c>
      <c r="H2157" s="1">
        <v>44997</v>
      </c>
      <c r="I2157" t="s">
        <v>16</v>
      </c>
      <c r="J2157" s="1" t="b">
        <f t="shared" si="231"/>
        <v>1</v>
      </c>
      <c r="K2157" s="1" t="b">
        <f t="shared" si="232"/>
        <v>0</v>
      </c>
      <c r="L2157" s="1" t="b">
        <f t="shared" si="233"/>
        <v>0</v>
      </c>
      <c r="M2157" s="1" t="b">
        <f t="shared" si="234"/>
        <v>0</v>
      </c>
      <c r="N2157" s="1" t="b">
        <f t="shared" si="235"/>
        <v>1</v>
      </c>
      <c r="O2157" s="1" t="b">
        <f t="shared" si="236"/>
        <v>0</v>
      </c>
      <c r="P2157" s="1" t="b">
        <f t="shared" si="237"/>
        <v>0</v>
      </c>
    </row>
    <row r="2158" spans="1:16" x14ac:dyDescent="0.2">
      <c r="A2158">
        <v>9068702</v>
      </c>
      <c r="B2158" t="s">
        <v>3825</v>
      </c>
      <c r="C2158" t="s">
        <v>150</v>
      </c>
      <c r="D2158" t="s">
        <v>187</v>
      </c>
      <c r="E2158" s="1">
        <v>44991</v>
      </c>
      <c r="F2158" t="s">
        <v>3826</v>
      </c>
      <c r="G2158" s="1">
        <v>45004</v>
      </c>
      <c r="I2158" t="s">
        <v>25</v>
      </c>
      <c r="J2158" s="1" t="b">
        <f t="shared" si="231"/>
        <v>0</v>
      </c>
      <c r="K2158" s="1" t="b">
        <f t="shared" si="232"/>
        <v>0</v>
      </c>
      <c r="L2158" s="1" t="b">
        <f t="shared" si="233"/>
        <v>1</v>
      </c>
      <c r="M2158" s="1" t="b">
        <f t="shared" si="234"/>
        <v>0</v>
      </c>
      <c r="N2158" s="1" t="b">
        <f t="shared" si="235"/>
        <v>0</v>
      </c>
      <c r="O2158" s="1" t="b">
        <f t="shared" si="236"/>
        <v>0</v>
      </c>
      <c r="P2158" s="1" t="b">
        <f t="shared" si="237"/>
        <v>0</v>
      </c>
    </row>
    <row r="2159" spans="1:16" x14ac:dyDescent="0.2">
      <c r="A2159">
        <v>9068702</v>
      </c>
      <c r="B2159" t="s">
        <v>3827</v>
      </c>
      <c r="C2159" t="s">
        <v>150</v>
      </c>
      <c r="D2159" t="s">
        <v>187</v>
      </c>
      <c r="E2159" s="1">
        <v>44634</v>
      </c>
      <c r="F2159" t="s">
        <v>3828</v>
      </c>
      <c r="G2159" s="1">
        <v>44642</v>
      </c>
      <c r="H2159" s="1">
        <v>44660</v>
      </c>
      <c r="I2159" t="s">
        <v>43</v>
      </c>
      <c r="J2159" s="1" t="b">
        <f t="shared" si="231"/>
        <v>1</v>
      </c>
      <c r="K2159" s="1" t="b">
        <f t="shared" si="232"/>
        <v>0</v>
      </c>
      <c r="L2159" s="1" t="b">
        <f t="shared" si="233"/>
        <v>0</v>
      </c>
      <c r="M2159" s="1" t="b">
        <f t="shared" si="234"/>
        <v>0</v>
      </c>
      <c r="N2159" s="1" t="b">
        <f t="shared" si="235"/>
        <v>0</v>
      </c>
      <c r="O2159" s="1" t="b">
        <f t="shared" si="236"/>
        <v>1</v>
      </c>
      <c r="P2159" s="1" t="b">
        <f t="shared" si="237"/>
        <v>0</v>
      </c>
    </row>
    <row r="2160" spans="1:16" x14ac:dyDescent="0.2">
      <c r="A2160">
        <v>3356197</v>
      </c>
      <c r="B2160" t="s">
        <v>3829</v>
      </c>
      <c r="C2160" t="s">
        <v>131</v>
      </c>
      <c r="D2160" t="s">
        <v>60</v>
      </c>
      <c r="E2160" s="1">
        <v>44707</v>
      </c>
      <c r="F2160" t="s">
        <v>3830</v>
      </c>
      <c r="G2160" s="1">
        <v>44729</v>
      </c>
      <c r="H2160" s="1">
        <v>44747</v>
      </c>
      <c r="I2160" t="s">
        <v>43</v>
      </c>
      <c r="J2160" s="1" t="b">
        <f t="shared" si="231"/>
        <v>1</v>
      </c>
      <c r="K2160" s="1" t="b">
        <f t="shared" si="232"/>
        <v>0</v>
      </c>
      <c r="L2160" s="1" t="b">
        <f t="shared" si="233"/>
        <v>0</v>
      </c>
      <c r="M2160" s="1" t="b">
        <f t="shared" si="234"/>
        <v>0</v>
      </c>
      <c r="N2160" s="1" t="b">
        <f t="shared" si="235"/>
        <v>0</v>
      </c>
      <c r="O2160" s="1" t="b">
        <f t="shared" si="236"/>
        <v>1</v>
      </c>
      <c r="P2160" s="1" t="b">
        <f t="shared" si="237"/>
        <v>0</v>
      </c>
    </row>
    <row r="2161" spans="1:16" x14ac:dyDescent="0.2">
      <c r="A2161">
        <v>6494025</v>
      </c>
      <c r="B2161" t="s">
        <v>3831</v>
      </c>
      <c r="C2161" t="s">
        <v>10</v>
      </c>
      <c r="D2161" t="s">
        <v>122</v>
      </c>
      <c r="E2161" s="1">
        <v>45044</v>
      </c>
      <c r="F2161" t="s">
        <v>3832</v>
      </c>
      <c r="G2161" s="1">
        <v>45052</v>
      </c>
      <c r="I2161" t="s">
        <v>25</v>
      </c>
      <c r="J2161" s="1" t="b">
        <f t="shared" si="231"/>
        <v>0</v>
      </c>
      <c r="K2161" s="1" t="b">
        <f t="shared" si="232"/>
        <v>0</v>
      </c>
      <c r="L2161" s="1" t="b">
        <f t="shared" si="233"/>
        <v>1</v>
      </c>
      <c r="M2161" s="1" t="b">
        <f t="shared" si="234"/>
        <v>0</v>
      </c>
      <c r="N2161" s="1" t="b">
        <f t="shared" si="235"/>
        <v>0</v>
      </c>
      <c r="O2161" s="1" t="b">
        <f t="shared" si="236"/>
        <v>0</v>
      </c>
      <c r="P2161" s="1" t="b">
        <f t="shared" si="237"/>
        <v>0</v>
      </c>
    </row>
    <row r="2162" spans="1:16" x14ac:dyDescent="0.2">
      <c r="A2162">
        <v>6494025</v>
      </c>
      <c r="B2162" t="s">
        <v>3833</v>
      </c>
      <c r="C2162" t="s">
        <v>10</v>
      </c>
      <c r="D2162" t="s">
        <v>122</v>
      </c>
      <c r="E2162" s="1">
        <v>45027</v>
      </c>
      <c r="F2162" t="s">
        <v>3834</v>
      </c>
      <c r="G2162" s="1">
        <v>45032</v>
      </c>
      <c r="H2162" s="1">
        <v>45037</v>
      </c>
      <c r="I2162" t="s">
        <v>28</v>
      </c>
      <c r="J2162" s="1" t="b">
        <f t="shared" si="231"/>
        <v>1</v>
      </c>
      <c r="K2162" s="1" t="b">
        <f t="shared" si="232"/>
        <v>0</v>
      </c>
      <c r="L2162" s="1" t="b">
        <f t="shared" si="233"/>
        <v>0</v>
      </c>
      <c r="M2162" s="1" t="b">
        <f t="shared" si="234"/>
        <v>0</v>
      </c>
      <c r="N2162" s="1" t="b">
        <f t="shared" si="235"/>
        <v>0</v>
      </c>
      <c r="O2162" s="1" t="b">
        <f t="shared" si="236"/>
        <v>0</v>
      </c>
      <c r="P2162" s="1" t="b">
        <f t="shared" si="237"/>
        <v>1</v>
      </c>
    </row>
    <row r="2163" spans="1:16" x14ac:dyDescent="0.2">
      <c r="A2163">
        <v>6494025</v>
      </c>
      <c r="B2163" t="s">
        <v>3835</v>
      </c>
      <c r="C2163" t="s">
        <v>10</v>
      </c>
      <c r="D2163" t="s">
        <v>122</v>
      </c>
      <c r="E2163" s="1">
        <v>44603</v>
      </c>
      <c r="F2163" t="s">
        <v>2884</v>
      </c>
      <c r="G2163" s="1">
        <v>44616</v>
      </c>
      <c r="H2163" s="1">
        <v>44670</v>
      </c>
      <c r="I2163" t="s">
        <v>28</v>
      </c>
      <c r="J2163" s="1" t="b">
        <f t="shared" si="231"/>
        <v>1</v>
      </c>
      <c r="K2163" s="1" t="b">
        <f t="shared" si="232"/>
        <v>0</v>
      </c>
      <c r="L2163" s="1" t="b">
        <f t="shared" si="233"/>
        <v>0</v>
      </c>
      <c r="M2163" s="1" t="b">
        <f t="shared" si="234"/>
        <v>0</v>
      </c>
      <c r="N2163" s="1" t="b">
        <f t="shared" si="235"/>
        <v>0</v>
      </c>
      <c r="O2163" s="1" t="b">
        <f t="shared" si="236"/>
        <v>0</v>
      </c>
      <c r="P2163" s="1" t="b">
        <f t="shared" si="237"/>
        <v>1</v>
      </c>
    </row>
    <row r="2164" spans="1:16" x14ac:dyDescent="0.2">
      <c r="A2164">
        <v>6494025</v>
      </c>
      <c r="B2164" t="s">
        <v>3836</v>
      </c>
      <c r="C2164" t="s">
        <v>10</v>
      </c>
      <c r="D2164" t="s">
        <v>122</v>
      </c>
      <c r="E2164" s="1">
        <v>44998</v>
      </c>
      <c r="F2164" t="s">
        <v>3837</v>
      </c>
      <c r="G2164" s="1">
        <v>45017</v>
      </c>
      <c r="H2164" s="1">
        <v>45028</v>
      </c>
      <c r="I2164" t="s">
        <v>16</v>
      </c>
      <c r="J2164" s="1" t="b">
        <f t="shared" si="231"/>
        <v>1</v>
      </c>
      <c r="K2164" s="1" t="b">
        <f t="shared" si="232"/>
        <v>0</v>
      </c>
      <c r="L2164" s="1" t="b">
        <f t="shared" si="233"/>
        <v>0</v>
      </c>
      <c r="M2164" s="1" t="b">
        <f t="shared" si="234"/>
        <v>0</v>
      </c>
      <c r="N2164" s="1" t="b">
        <f t="shared" si="235"/>
        <v>1</v>
      </c>
      <c r="O2164" s="1" t="b">
        <f t="shared" si="236"/>
        <v>0</v>
      </c>
      <c r="P2164" s="1" t="b">
        <f t="shared" si="237"/>
        <v>0</v>
      </c>
    </row>
    <row r="2165" spans="1:16" x14ac:dyDescent="0.2">
      <c r="A2165">
        <v>6494025</v>
      </c>
      <c r="B2165" t="s">
        <v>3838</v>
      </c>
      <c r="C2165" t="s">
        <v>10</v>
      </c>
      <c r="D2165" t="s">
        <v>122</v>
      </c>
      <c r="E2165" s="1">
        <v>44792</v>
      </c>
      <c r="F2165" t="s">
        <v>3839</v>
      </c>
      <c r="G2165" s="1">
        <v>44809</v>
      </c>
      <c r="H2165" s="1">
        <v>44816</v>
      </c>
      <c r="J2165" s="1" t="b">
        <f t="shared" si="231"/>
        <v>1</v>
      </c>
      <c r="K2165" s="1" t="b">
        <f t="shared" si="232"/>
        <v>0</v>
      </c>
      <c r="L2165" s="1" t="b">
        <f t="shared" si="233"/>
        <v>0</v>
      </c>
      <c r="M2165" s="1" t="b">
        <f t="shared" si="234"/>
        <v>0</v>
      </c>
      <c r="N2165" s="1" t="b">
        <f t="shared" si="235"/>
        <v>0</v>
      </c>
      <c r="O2165" s="1" t="b">
        <f t="shared" si="236"/>
        <v>0</v>
      </c>
      <c r="P2165" s="1" t="b">
        <f t="shared" si="237"/>
        <v>0</v>
      </c>
    </row>
    <row r="2166" spans="1:16" x14ac:dyDescent="0.2">
      <c r="A2166">
        <v>2486007</v>
      </c>
      <c r="B2166" t="s">
        <v>3840</v>
      </c>
      <c r="C2166" t="s">
        <v>138</v>
      </c>
      <c r="D2166" t="s">
        <v>81</v>
      </c>
      <c r="E2166" s="1">
        <v>45068</v>
      </c>
      <c r="F2166" t="s">
        <v>495</v>
      </c>
      <c r="G2166" s="1">
        <v>45095</v>
      </c>
      <c r="H2166" s="1">
        <v>45140</v>
      </c>
      <c r="I2166" t="s">
        <v>43</v>
      </c>
      <c r="J2166" s="1" t="b">
        <f t="shared" si="231"/>
        <v>1</v>
      </c>
      <c r="K2166" s="1" t="b">
        <f t="shared" si="232"/>
        <v>0</v>
      </c>
      <c r="L2166" s="1" t="b">
        <f t="shared" si="233"/>
        <v>0</v>
      </c>
      <c r="M2166" s="1" t="b">
        <f t="shared" si="234"/>
        <v>0</v>
      </c>
      <c r="N2166" s="1" t="b">
        <f t="shared" si="235"/>
        <v>0</v>
      </c>
      <c r="O2166" s="1" t="b">
        <f t="shared" si="236"/>
        <v>1</v>
      </c>
      <c r="P2166" s="1" t="b">
        <f t="shared" si="237"/>
        <v>0</v>
      </c>
    </row>
    <row r="2167" spans="1:16" x14ac:dyDescent="0.2">
      <c r="A2167">
        <v>2486007</v>
      </c>
      <c r="B2167" t="s">
        <v>3841</v>
      </c>
      <c r="C2167" t="s">
        <v>138</v>
      </c>
      <c r="D2167" t="s">
        <v>81</v>
      </c>
      <c r="E2167" s="1">
        <v>44669</v>
      </c>
      <c r="F2167" t="s">
        <v>1920</v>
      </c>
      <c r="G2167" s="1">
        <v>44697</v>
      </c>
      <c r="H2167" s="1">
        <v>44747</v>
      </c>
      <c r="J2167" s="1" t="b">
        <f t="shared" si="231"/>
        <v>1</v>
      </c>
      <c r="K2167" s="1" t="b">
        <f t="shared" si="232"/>
        <v>0</v>
      </c>
      <c r="L2167" s="1" t="b">
        <f t="shared" si="233"/>
        <v>0</v>
      </c>
      <c r="M2167" s="1" t="b">
        <f t="shared" si="234"/>
        <v>0</v>
      </c>
      <c r="N2167" s="1" t="b">
        <f t="shared" si="235"/>
        <v>0</v>
      </c>
      <c r="O2167" s="1" t="b">
        <f t="shared" si="236"/>
        <v>0</v>
      </c>
      <c r="P2167" s="1" t="b">
        <f t="shared" si="237"/>
        <v>0</v>
      </c>
    </row>
    <row r="2168" spans="1:16" x14ac:dyDescent="0.2">
      <c r="A2168">
        <v>2486007</v>
      </c>
      <c r="B2168" t="s">
        <v>3842</v>
      </c>
      <c r="C2168" t="s">
        <v>138</v>
      </c>
      <c r="D2168" t="s">
        <v>81</v>
      </c>
      <c r="E2168" s="1">
        <v>44844</v>
      </c>
      <c r="F2168" t="s">
        <v>2602</v>
      </c>
      <c r="G2168" s="1">
        <v>44873</v>
      </c>
      <c r="I2168" t="s">
        <v>25</v>
      </c>
      <c r="J2168" s="1" t="b">
        <f t="shared" si="231"/>
        <v>0</v>
      </c>
      <c r="K2168" s="1" t="b">
        <f t="shared" si="232"/>
        <v>0</v>
      </c>
      <c r="L2168" s="1" t="b">
        <f t="shared" si="233"/>
        <v>1</v>
      </c>
      <c r="M2168" s="1" t="b">
        <f t="shared" si="234"/>
        <v>0</v>
      </c>
      <c r="N2168" s="1" t="b">
        <f t="shared" si="235"/>
        <v>0</v>
      </c>
      <c r="O2168" s="1" t="b">
        <f t="shared" si="236"/>
        <v>0</v>
      </c>
      <c r="P2168" s="1" t="b">
        <f t="shared" si="237"/>
        <v>0</v>
      </c>
    </row>
    <row r="2169" spans="1:16" x14ac:dyDescent="0.2">
      <c r="A2169">
        <v>2486007</v>
      </c>
      <c r="B2169" t="s">
        <v>3843</v>
      </c>
      <c r="C2169" t="s">
        <v>138</v>
      </c>
      <c r="D2169" t="s">
        <v>81</v>
      </c>
      <c r="E2169" s="1">
        <v>44991</v>
      </c>
      <c r="F2169" t="s">
        <v>1619</v>
      </c>
      <c r="G2169" s="1">
        <v>45013</v>
      </c>
      <c r="I2169" t="s">
        <v>25</v>
      </c>
      <c r="J2169" s="1" t="b">
        <f t="shared" si="231"/>
        <v>0</v>
      </c>
      <c r="K2169" s="1" t="b">
        <f t="shared" si="232"/>
        <v>0</v>
      </c>
      <c r="L2169" s="1" t="b">
        <f t="shared" si="233"/>
        <v>1</v>
      </c>
      <c r="M2169" s="1" t="b">
        <f t="shared" si="234"/>
        <v>0</v>
      </c>
      <c r="N2169" s="1" t="b">
        <f t="shared" si="235"/>
        <v>0</v>
      </c>
      <c r="O2169" s="1" t="b">
        <f t="shared" si="236"/>
        <v>0</v>
      </c>
      <c r="P2169" s="1" t="b">
        <f t="shared" si="237"/>
        <v>0</v>
      </c>
    </row>
    <row r="2170" spans="1:16" x14ac:dyDescent="0.2">
      <c r="A2170">
        <v>2486007</v>
      </c>
      <c r="B2170" t="s">
        <v>3844</v>
      </c>
      <c r="C2170" t="s">
        <v>138</v>
      </c>
      <c r="D2170" t="s">
        <v>81</v>
      </c>
      <c r="E2170" s="1">
        <v>44665</v>
      </c>
      <c r="F2170" t="s">
        <v>2245</v>
      </c>
      <c r="G2170" s="1">
        <v>44688</v>
      </c>
      <c r="H2170" s="1">
        <v>44740</v>
      </c>
      <c r="I2170" t="s">
        <v>28</v>
      </c>
      <c r="J2170" s="1" t="b">
        <f t="shared" si="231"/>
        <v>1</v>
      </c>
      <c r="K2170" s="1" t="b">
        <f t="shared" si="232"/>
        <v>0</v>
      </c>
      <c r="L2170" s="1" t="b">
        <f t="shared" si="233"/>
        <v>0</v>
      </c>
      <c r="M2170" s="1" t="b">
        <f t="shared" si="234"/>
        <v>0</v>
      </c>
      <c r="N2170" s="1" t="b">
        <f t="shared" si="235"/>
        <v>0</v>
      </c>
      <c r="O2170" s="1" t="b">
        <f t="shared" si="236"/>
        <v>0</v>
      </c>
      <c r="P2170" s="1" t="b">
        <f t="shared" si="237"/>
        <v>1</v>
      </c>
    </row>
    <row r="2171" spans="1:16" x14ac:dyDescent="0.2">
      <c r="A2171">
        <v>9146156</v>
      </c>
      <c r="B2171" t="s">
        <v>3845</v>
      </c>
      <c r="C2171" t="s">
        <v>93</v>
      </c>
      <c r="D2171" t="s">
        <v>81</v>
      </c>
      <c r="E2171" s="1">
        <v>44834</v>
      </c>
      <c r="F2171" t="s">
        <v>1259</v>
      </c>
      <c r="G2171" s="1">
        <v>44838</v>
      </c>
      <c r="I2171" t="s">
        <v>13</v>
      </c>
      <c r="J2171" s="1" t="b">
        <f t="shared" si="231"/>
        <v>0</v>
      </c>
      <c r="K2171" s="1" t="b">
        <f t="shared" si="232"/>
        <v>1</v>
      </c>
      <c r="L2171" s="1" t="b">
        <f t="shared" si="233"/>
        <v>0</v>
      </c>
      <c r="M2171" s="1" t="b">
        <f t="shared" si="234"/>
        <v>0</v>
      </c>
      <c r="N2171" s="1" t="b">
        <f t="shared" si="235"/>
        <v>0</v>
      </c>
      <c r="O2171" s="1" t="b">
        <f t="shared" si="236"/>
        <v>0</v>
      </c>
      <c r="P2171" s="1" t="b">
        <f t="shared" si="237"/>
        <v>0</v>
      </c>
    </row>
    <row r="2172" spans="1:16" x14ac:dyDescent="0.2">
      <c r="A2172">
        <v>9146156</v>
      </c>
      <c r="B2172" t="s">
        <v>3846</v>
      </c>
      <c r="C2172" t="s">
        <v>93</v>
      </c>
      <c r="D2172" t="s">
        <v>81</v>
      </c>
      <c r="E2172" s="1">
        <v>44946</v>
      </c>
      <c r="F2172" t="s">
        <v>2669</v>
      </c>
      <c r="G2172" s="1">
        <v>44966</v>
      </c>
      <c r="H2172" s="1">
        <v>45000</v>
      </c>
      <c r="J2172" s="1" t="b">
        <f t="shared" si="231"/>
        <v>1</v>
      </c>
      <c r="K2172" s="1" t="b">
        <f t="shared" si="232"/>
        <v>0</v>
      </c>
      <c r="L2172" s="1" t="b">
        <f t="shared" si="233"/>
        <v>0</v>
      </c>
      <c r="M2172" s="1" t="b">
        <f t="shared" si="234"/>
        <v>0</v>
      </c>
      <c r="N2172" s="1" t="b">
        <f t="shared" si="235"/>
        <v>0</v>
      </c>
      <c r="O2172" s="1" t="b">
        <f t="shared" si="236"/>
        <v>0</v>
      </c>
      <c r="P2172" s="1" t="b">
        <f t="shared" si="237"/>
        <v>0</v>
      </c>
    </row>
    <row r="2173" spans="1:16" x14ac:dyDescent="0.2">
      <c r="A2173">
        <v>9146156</v>
      </c>
      <c r="B2173" t="s">
        <v>3847</v>
      </c>
      <c r="C2173" t="s">
        <v>93</v>
      </c>
      <c r="D2173" t="s">
        <v>81</v>
      </c>
      <c r="E2173" s="1">
        <v>44672</v>
      </c>
      <c r="F2173" t="s">
        <v>3001</v>
      </c>
      <c r="G2173" s="1">
        <v>44691</v>
      </c>
      <c r="H2173" s="1">
        <v>44745</v>
      </c>
      <c r="J2173" s="1" t="b">
        <f t="shared" si="231"/>
        <v>1</v>
      </c>
      <c r="K2173" s="1" t="b">
        <f t="shared" si="232"/>
        <v>0</v>
      </c>
      <c r="L2173" s="1" t="b">
        <f t="shared" si="233"/>
        <v>0</v>
      </c>
      <c r="M2173" s="1" t="b">
        <f t="shared" si="234"/>
        <v>0</v>
      </c>
      <c r="N2173" s="1" t="b">
        <f t="shared" si="235"/>
        <v>0</v>
      </c>
      <c r="O2173" s="1" t="b">
        <f t="shared" si="236"/>
        <v>0</v>
      </c>
      <c r="P2173" s="1" t="b">
        <f t="shared" si="237"/>
        <v>0</v>
      </c>
    </row>
    <row r="2174" spans="1:16" x14ac:dyDescent="0.2">
      <c r="A2174">
        <v>9146156</v>
      </c>
      <c r="B2174" t="s">
        <v>3848</v>
      </c>
      <c r="C2174" t="s">
        <v>93</v>
      </c>
      <c r="D2174" t="s">
        <v>81</v>
      </c>
      <c r="E2174" s="1">
        <v>44682</v>
      </c>
      <c r="F2174" t="s">
        <v>892</v>
      </c>
      <c r="G2174" s="1">
        <v>44707</v>
      </c>
      <c r="H2174" s="1">
        <v>44723</v>
      </c>
      <c r="I2174" t="s">
        <v>16</v>
      </c>
      <c r="J2174" s="1" t="b">
        <f t="shared" si="231"/>
        <v>1</v>
      </c>
      <c r="K2174" s="1" t="b">
        <f t="shared" si="232"/>
        <v>0</v>
      </c>
      <c r="L2174" s="1" t="b">
        <f t="shared" si="233"/>
        <v>0</v>
      </c>
      <c r="M2174" s="1" t="b">
        <f t="shared" si="234"/>
        <v>0</v>
      </c>
      <c r="N2174" s="1" t="b">
        <f t="shared" si="235"/>
        <v>1</v>
      </c>
      <c r="O2174" s="1" t="b">
        <f t="shared" si="236"/>
        <v>0</v>
      </c>
      <c r="P2174" s="1" t="b">
        <f t="shared" si="237"/>
        <v>0</v>
      </c>
    </row>
    <row r="2175" spans="1:16" x14ac:dyDescent="0.2">
      <c r="A2175">
        <v>7051555</v>
      </c>
      <c r="B2175" t="s">
        <v>3849</v>
      </c>
      <c r="C2175" t="s">
        <v>32</v>
      </c>
      <c r="D2175" t="s">
        <v>81</v>
      </c>
      <c r="E2175" s="1">
        <v>45012</v>
      </c>
      <c r="F2175" t="s">
        <v>2919</v>
      </c>
      <c r="G2175" s="1">
        <v>45040</v>
      </c>
      <c r="H2175" s="1">
        <v>45070</v>
      </c>
      <c r="I2175" t="s">
        <v>16</v>
      </c>
      <c r="J2175" s="1" t="b">
        <f t="shared" si="231"/>
        <v>1</v>
      </c>
      <c r="K2175" s="1" t="b">
        <f t="shared" si="232"/>
        <v>0</v>
      </c>
      <c r="L2175" s="1" t="b">
        <f t="shared" si="233"/>
        <v>0</v>
      </c>
      <c r="M2175" s="1" t="b">
        <f t="shared" si="234"/>
        <v>0</v>
      </c>
      <c r="N2175" s="1" t="b">
        <f t="shared" si="235"/>
        <v>1</v>
      </c>
      <c r="O2175" s="1" t="b">
        <f t="shared" si="236"/>
        <v>0</v>
      </c>
      <c r="P2175" s="1" t="b">
        <f t="shared" si="237"/>
        <v>0</v>
      </c>
    </row>
    <row r="2176" spans="1:16" x14ac:dyDescent="0.2">
      <c r="A2176">
        <v>7051555</v>
      </c>
      <c r="B2176" t="s">
        <v>3850</v>
      </c>
      <c r="C2176" t="s">
        <v>32</v>
      </c>
      <c r="D2176" t="s">
        <v>81</v>
      </c>
      <c r="E2176" s="1">
        <v>45004</v>
      </c>
      <c r="F2176" t="s">
        <v>2672</v>
      </c>
      <c r="G2176" s="1">
        <v>45026</v>
      </c>
      <c r="H2176" s="1">
        <v>45085</v>
      </c>
      <c r="I2176" t="s">
        <v>16</v>
      </c>
      <c r="J2176" s="1" t="b">
        <f t="shared" si="231"/>
        <v>1</v>
      </c>
      <c r="K2176" s="1" t="b">
        <f t="shared" si="232"/>
        <v>0</v>
      </c>
      <c r="L2176" s="1" t="b">
        <f t="shared" si="233"/>
        <v>0</v>
      </c>
      <c r="M2176" s="1" t="b">
        <f t="shared" si="234"/>
        <v>0</v>
      </c>
      <c r="N2176" s="1" t="b">
        <f t="shared" si="235"/>
        <v>1</v>
      </c>
      <c r="O2176" s="1" t="b">
        <f t="shared" si="236"/>
        <v>0</v>
      </c>
      <c r="P2176" s="1" t="b">
        <f t="shared" si="237"/>
        <v>0</v>
      </c>
    </row>
    <row r="2177" spans="1:16" x14ac:dyDescent="0.2">
      <c r="A2177">
        <v>7051555</v>
      </c>
      <c r="B2177" t="s">
        <v>3851</v>
      </c>
      <c r="C2177" t="s">
        <v>32</v>
      </c>
      <c r="D2177" t="s">
        <v>81</v>
      </c>
      <c r="E2177" s="1">
        <v>44586</v>
      </c>
      <c r="F2177" t="s">
        <v>3852</v>
      </c>
      <c r="G2177" s="1">
        <v>44607</v>
      </c>
      <c r="I2177" t="s">
        <v>13</v>
      </c>
      <c r="J2177" s="1" t="b">
        <f t="shared" si="231"/>
        <v>0</v>
      </c>
      <c r="K2177" s="1" t="b">
        <f t="shared" si="232"/>
        <v>1</v>
      </c>
      <c r="L2177" s="1" t="b">
        <f t="shared" si="233"/>
        <v>0</v>
      </c>
      <c r="M2177" s="1" t="b">
        <f t="shared" si="234"/>
        <v>0</v>
      </c>
      <c r="N2177" s="1" t="b">
        <f t="shared" si="235"/>
        <v>0</v>
      </c>
      <c r="O2177" s="1" t="b">
        <f t="shared" si="236"/>
        <v>0</v>
      </c>
      <c r="P2177" s="1" t="b">
        <f t="shared" si="237"/>
        <v>0</v>
      </c>
    </row>
    <row r="2178" spans="1:16" x14ac:dyDescent="0.2">
      <c r="A2178">
        <v>7051555</v>
      </c>
      <c r="B2178" t="s">
        <v>3853</v>
      </c>
      <c r="C2178" t="s">
        <v>32</v>
      </c>
      <c r="D2178" t="s">
        <v>81</v>
      </c>
      <c r="E2178" s="1">
        <v>44984</v>
      </c>
      <c r="F2178" t="s">
        <v>3854</v>
      </c>
      <c r="G2178" s="1">
        <v>45010</v>
      </c>
      <c r="H2178" s="1">
        <v>45012</v>
      </c>
      <c r="I2178" t="s">
        <v>16</v>
      </c>
      <c r="J2178" s="1" t="b">
        <f t="shared" si="231"/>
        <v>1</v>
      </c>
      <c r="K2178" s="1" t="b">
        <f t="shared" si="232"/>
        <v>0</v>
      </c>
      <c r="L2178" s="1" t="b">
        <f t="shared" si="233"/>
        <v>0</v>
      </c>
      <c r="M2178" s="1" t="b">
        <f t="shared" si="234"/>
        <v>0</v>
      </c>
      <c r="N2178" s="1" t="b">
        <f t="shared" si="235"/>
        <v>1</v>
      </c>
      <c r="O2178" s="1" t="b">
        <f t="shared" si="236"/>
        <v>0</v>
      </c>
      <c r="P2178" s="1" t="b">
        <f t="shared" si="237"/>
        <v>0</v>
      </c>
    </row>
    <row r="2179" spans="1:16" x14ac:dyDescent="0.2">
      <c r="A2179">
        <v>8660865</v>
      </c>
      <c r="B2179" t="s">
        <v>3855</v>
      </c>
      <c r="C2179" t="s">
        <v>90</v>
      </c>
      <c r="D2179" t="s">
        <v>11</v>
      </c>
      <c r="E2179" s="1">
        <v>44845</v>
      </c>
      <c r="F2179" t="s">
        <v>3856</v>
      </c>
      <c r="G2179" s="1">
        <v>44860</v>
      </c>
      <c r="H2179" s="1">
        <v>44911</v>
      </c>
      <c r="I2179" t="s">
        <v>28</v>
      </c>
      <c r="J2179" s="1" t="b">
        <f t="shared" ref="J2179:J2201" si="238">AND(NOT(ISBLANK(H2179)), NOT(OR(ISNUMBER(SEARCH("decline", I2179)), ISNUMBER(SEARCH("rescind", I2179)), ISNUMBER(SEARCH("cancel", I2179)))))</f>
        <v>1</v>
      </c>
      <c r="K2179" s="1" t="b">
        <f t="shared" ref="K2179:K2201" si="239">ISNUMBER(SEARCH("decline", I2179))</f>
        <v>0</v>
      </c>
      <c r="L2179" s="1" t="b">
        <f t="shared" ref="L2179:L2201" si="240">ISNUMBER(SEARCH("rescind", I2179))</f>
        <v>0</v>
      </c>
      <c r="M2179" s="1" t="b">
        <f t="shared" ref="M2179:M2201" si="241">ISNUMBER(SEARCH("cancel", I2179))</f>
        <v>0</v>
      </c>
      <c r="N2179" s="1" t="b">
        <f t="shared" ref="N2179:N2201" si="242">ISNUMBER(SEARCH("transfer", I2179))</f>
        <v>0</v>
      </c>
      <c r="O2179" s="1" t="b">
        <f t="shared" ref="O2179:O2201" si="243">ISNUMBER(SEARCH("promo", I2179))</f>
        <v>0</v>
      </c>
      <c r="P2179" s="1" t="b">
        <f t="shared" ref="P2179:P2201" si="244">ISNUMBER(SEARCH("new", I2179))</f>
        <v>1</v>
      </c>
    </row>
    <row r="2180" spans="1:16" x14ac:dyDescent="0.2">
      <c r="A2180">
        <v>8660865</v>
      </c>
      <c r="B2180" t="s">
        <v>3857</v>
      </c>
      <c r="C2180" t="s">
        <v>90</v>
      </c>
      <c r="D2180" t="s">
        <v>11</v>
      </c>
      <c r="E2180" s="1">
        <v>44831</v>
      </c>
      <c r="F2180" t="s">
        <v>2222</v>
      </c>
      <c r="G2180" s="1">
        <v>44856</v>
      </c>
      <c r="I2180" t="s">
        <v>13</v>
      </c>
      <c r="J2180" s="1" t="b">
        <f t="shared" si="238"/>
        <v>0</v>
      </c>
      <c r="K2180" s="1" t="b">
        <f t="shared" si="239"/>
        <v>1</v>
      </c>
      <c r="L2180" s="1" t="b">
        <f t="shared" si="240"/>
        <v>0</v>
      </c>
      <c r="M2180" s="1" t="b">
        <f t="shared" si="241"/>
        <v>0</v>
      </c>
      <c r="N2180" s="1" t="b">
        <f t="shared" si="242"/>
        <v>0</v>
      </c>
      <c r="O2180" s="1" t="b">
        <f t="shared" si="243"/>
        <v>0</v>
      </c>
      <c r="P2180" s="1" t="b">
        <f t="shared" si="244"/>
        <v>0</v>
      </c>
    </row>
    <row r="2181" spans="1:16" x14ac:dyDescent="0.2">
      <c r="A2181">
        <v>8660865</v>
      </c>
      <c r="B2181" t="s">
        <v>3858</v>
      </c>
      <c r="C2181" t="s">
        <v>90</v>
      </c>
      <c r="D2181" t="s">
        <v>11</v>
      </c>
      <c r="E2181" s="1">
        <v>44891</v>
      </c>
      <c r="F2181" t="s">
        <v>3859</v>
      </c>
      <c r="G2181" s="1">
        <v>44915</v>
      </c>
      <c r="H2181" s="1">
        <v>44941</v>
      </c>
      <c r="I2181" t="s">
        <v>43</v>
      </c>
      <c r="J2181" s="1" t="b">
        <f t="shared" si="238"/>
        <v>1</v>
      </c>
      <c r="K2181" s="1" t="b">
        <f t="shared" si="239"/>
        <v>0</v>
      </c>
      <c r="L2181" s="1" t="b">
        <f t="shared" si="240"/>
        <v>0</v>
      </c>
      <c r="M2181" s="1" t="b">
        <f t="shared" si="241"/>
        <v>0</v>
      </c>
      <c r="N2181" s="1" t="b">
        <f t="shared" si="242"/>
        <v>0</v>
      </c>
      <c r="O2181" s="1" t="b">
        <f t="shared" si="243"/>
        <v>1</v>
      </c>
      <c r="P2181" s="1" t="b">
        <f t="shared" si="244"/>
        <v>0</v>
      </c>
    </row>
    <row r="2182" spans="1:16" x14ac:dyDescent="0.2">
      <c r="A2182">
        <v>6847516</v>
      </c>
      <c r="B2182" t="s">
        <v>3860</v>
      </c>
      <c r="C2182" t="s">
        <v>35</v>
      </c>
      <c r="D2182" t="s">
        <v>187</v>
      </c>
      <c r="E2182" s="1">
        <v>44795</v>
      </c>
      <c r="F2182" t="s">
        <v>1658</v>
      </c>
      <c r="G2182" s="1">
        <v>44806</v>
      </c>
      <c r="H2182" s="1">
        <v>44860</v>
      </c>
      <c r="I2182" t="s">
        <v>28</v>
      </c>
      <c r="J2182" s="1" t="b">
        <f t="shared" si="238"/>
        <v>1</v>
      </c>
      <c r="K2182" s="1" t="b">
        <f t="shared" si="239"/>
        <v>0</v>
      </c>
      <c r="L2182" s="1" t="b">
        <f t="shared" si="240"/>
        <v>0</v>
      </c>
      <c r="M2182" s="1" t="b">
        <f t="shared" si="241"/>
        <v>0</v>
      </c>
      <c r="N2182" s="1" t="b">
        <f t="shared" si="242"/>
        <v>0</v>
      </c>
      <c r="O2182" s="1" t="b">
        <f t="shared" si="243"/>
        <v>0</v>
      </c>
      <c r="P2182" s="1" t="b">
        <f t="shared" si="244"/>
        <v>1</v>
      </c>
    </row>
    <row r="2183" spans="1:16" x14ac:dyDescent="0.2">
      <c r="A2183">
        <v>6847516</v>
      </c>
      <c r="B2183" t="s">
        <v>3861</v>
      </c>
      <c r="C2183" t="s">
        <v>35</v>
      </c>
      <c r="D2183" t="s">
        <v>187</v>
      </c>
      <c r="E2183" s="1">
        <v>44882</v>
      </c>
      <c r="F2183" t="s">
        <v>3862</v>
      </c>
      <c r="G2183" s="1">
        <v>44902</v>
      </c>
      <c r="H2183" s="1">
        <v>44934</v>
      </c>
      <c r="I2183" t="s">
        <v>16</v>
      </c>
      <c r="J2183" s="1" t="b">
        <f t="shared" si="238"/>
        <v>1</v>
      </c>
      <c r="K2183" s="1" t="b">
        <f t="shared" si="239"/>
        <v>0</v>
      </c>
      <c r="L2183" s="1" t="b">
        <f t="shared" si="240"/>
        <v>0</v>
      </c>
      <c r="M2183" s="1" t="b">
        <f t="shared" si="241"/>
        <v>0</v>
      </c>
      <c r="N2183" s="1" t="b">
        <f t="shared" si="242"/>
        <v>1</v>
      </c>
      <c r="O2183" s="1" t="b">
        <f t="shared" si="243"/>
        <v>0</v>
      </c>
      <c r="P2183" s="1" t="b">
        <f t="shared" si="244"/>
        <v>0</v>
      </c>
    </row>
    <row r="2184" spans="1:16" x14ac:dyDescent="0.2">
      <c r="A2184">
        <v>6847516</v>
      </c>
      <c r="B2184" t="s">
        <v>3863</v>
      </c>
      <c r="C2184" t="s">
        <v>35</v>
      </c>
      <c r="D2184" t="s">
        <v>187</v>
      </c>
      <c r="E2184" s="1">
        <v>45059</v>
      </c>
      <c r="F2184" t="s">
        <v>3864</v>
      </c>
      <c r="G2184" s="1">
        <v>45071</v>
      </c>
      <c r="H2184" s="1">
        <v>45093</v>
      </c>
      <c r="J2184" s="1" t="b">
        <f t="shared" si="238"/>
        <v>1</v>
      </c>
      <c r="K2184" s="1" t="b">
        <f t="shared" si="239"/>
        <v>0</v>
      </c>
      <c r="L2184" s="1" t="b">
        <f t="shared" si="240"/>
        <v>0</v>
      </c>
      <c r="M2184" s="1" t="b">
        <f t="shared" si="241"/>
        <v>0</v>
      </c>
      <c r="N2184" s="1" t="b">
        <f t="shared" si="242"/>
        <v>0</v>
      </c>
      <c r="O2184" s="1" t="b">
        <f t="shared" si="243"/>
        <v>0</v>
      </c>
      <c r="P2184" s="1" t="b">
        <f t="shared" si="244"/>
        <v>0</v>
      </c>
    </row>
    <row r="2185" spans="1:16" x14ac:dyDescent="0.2">
      <c r="A2185">
        <v>6847516</v>
      </c>
      <c r="B2185" t="s">
        <v>3865</v>
      </c>
      <c r="C2185" t="s">
        <v>35</v>
      </c>
      <c r="D2185" t="s">
        <v>187</v>
      </c>
      <c r="E2185" s="1">
        <v>44734</v>
      </c>
      <c r="F2185" t="s">
        <v>3866</v>
      </c>
      <c r="G2185" s="1">
        <v>44745</v>
      </c>
      <c r="H2185" s="1">
        <v>44747</v>
      </c>
      <c r="I2185" t="s">
        <v>28</v>
      </c>
      <c r="J2185" s="1" t="b">
        <f t="shared" si="238"/>
        <v>1</v>
      </c>
      <c r="K2185" s="1" t="b">
        <f t="shared" si="239"/>
        <v>0</v>
      </c>
      <c r="L2185" s="1" t="b">
        <f t="shared" si="240"/>
        <v>0</v>
      </c>
      <c r="M2185" s="1" t="b">
        <f t="shared" si="241"/>
        <v>0</v>
      </c>
      <c r="N2185" s="1" t="b">
        <f t="shared" si="242"/>
        <v>0</v>
      </c>
      <c r="O2185" s="1" t="b">
        <f t="shared" si="243"/>
        <v>0</v>
      </c>
      <c r="P2185" s="1" t="b">
        <f t="shared" si="244"/>
        <v>1</v>
      </c>
    </row>
    <row r="2186" spans="1:16" x14ac:dyDescent="0.2">
      <c r="A2186">
        <v>2870334</v>
      </c>
      <c r="B2186" t="s">
        <v>3867</v>
      </c>
      <c r="C2186" t="s">
        <v>454</v>
      </c>
      <c r="D2186" t="s">
        <v>81</v>
      </c>
      <c r="E2186" s="1">
        <v>44744</v>
      </c>
      <c r="F2186" t="s">
        <v>3461</v>
      </c>
      <c r="G2186" s="1">
        <v>44757</v>
      </c>
      <c r="H2186" s="1">
        <v>44797</v>
      </c>
      <c r="I2186" t="s">
        <v>28</v>
      </c>
      <c r="J2186" s="1" t="b">
        <f t="shared" si="238"/>
        <v>1</v>
      </c>
      <c r="K2186" s="1" t="b">
        <f t="shared" si="239"/>
        <v>0</v>
      </c>
      <c r="L2186" s="1" t="b">
        <f t="shared" si="240"/>
        <v>0</v>
      </c>
      <c r="M2186" s="1" t="b">
        <f t="shared" si="241"/>
        <v>0</v>
      </c>
      <c r="N2186" s="1" t="b">
        <f t="shared" si="242"/>
        <v>0</v>
      </c>
      <c r="O2186" s="1" t="b">
        <f t="shared" si="243"/>
        <v>0</v>
      </c>
      <c r="P2186" s="1" t="b">
        <f t="shared" si="244"/>
        <v>1</v>
      </c>
    </row>
    <row r="2187" spans="1:16" x14ac:dyDescent="0.2">
      <c r="A2187">
        <v>2870334</v>
      </c>
      <c r="B2187" t="s">
        <v>3868</v>
      </c>
      <c r="C2187" t="s">
        <v>454</v>
      </c>
      <c r="D2187" t="s">
        <v>81</v>
      </c>
      <c r="E2187" s="1">
        <v>44976</v>
      </c>
      <c r="F2187" t="s">
        <v>3869</v>
      </c>
      <c r="G2187" s="1">
        <v>45004</v>
      </c>
      <c r="H2187" s="1">
        <v>45021</v>
      </c>
      <c r="I2187" t="s">
        <v>43</v>
      </c>
      <c r="J2187" s="1" t="b">
        <f t="shared" si="238"/>
        <v>1</v>
      </c>
      <c r="K2187" s="1" t="b">
        <f t="shared" si="239"/>
        <v>0</v>
      </c>
      <c r="L2187" s="1" t="b">
        <f t="shared" si="240"/>
        <v>0</v>
      </c>
      <c r="M2187" s="1" t="b">
        <f t="shared" si="241"/>
        <v>0</v>
      </c>
      <c r="N2187" s="1" t="b">
        <f t="shared" si="242"/>
        <v>0</v>
      </c>
      <c r="O2187" s="1" t="b">
        <f t="shared" si="243"/>
        <v>1</v>
      </c>
      <c r="P2187" s="1" t="b">
        <f t="shared" si="244"/>
        <v>0</v>
      </c>
    </row>
    <row r="2188" spans="1:16" x14ac:dyDescent="0.2">
      <c r="A2188">
        <v>2870334</v>
      </c>
      <c r="B2188" t="s">
        <v>3870</v>
      </c>
      <c r="C2188" t="s">
        <v>454</v>
      </c>
      <c r="D2188" t="s">
        <v>81</v>
      </c>
      <c r="E2188" s="1">
        <v>44924</v>
      </c>
      <c r="F2188" t="s">
        <v>3871</v>
      </c>
      <c r="G2188" s="1">
        <v>44937</v>
      </c>
      <c r="I2188" t="s">
        <v>13</v>
      </c>
      <c r="J2188" s="1" t="b">
        <f t="shared" si="238"/>
        <v>0</v>
      </c>
      <c r="K2188" s="1" t="b">
        <f t="shared" si="239"/>
        <v>1</v>
      </c>
      <c r="L2188" s="1" t="b">
        <f t="shared" si="240"/>
        <v>0</v>
      </c>
      <c r="M2188" s="1" t="b">
        <f t="shared" si="241"/>
        <v>0</v>
      </c>
      <c r="N2188" s="1" t="b">
        <f t="shared" si="242"/>
        <v>0</v>
      </c>
      <c r="O2188" s="1" t="b">
        <f t="shared" si="243"/>
        <v>0</v>
      </c>
      <c r="P2188" s="1" t="b">
        <f t="shared" si="244"/>
        <v>0</v>
      </c>
    </row>
    <row r="2189" spans="1:16" x14ac:dyDescent="0.2">
      <c r="A2189">
        <v>3231911</v>
      </c>
      <c r="B2189" t="s">
        <v>3872</v>
      </c>
      <c r="C2189" t="s">
        <v>310</v>
      </c>
      <c r="D2189" t="s">
        <v>60</v>
      </c>
      <c r="E2189" s="1">
        <v>44646</v>
      </c>
      <c r="F2189" t="s">
        <v>1832</v>
      </c>
      <c r="G2189" s="1">
        <v>44657</v>
      </c>
      <c r="H2189" s="1">
        <v>44672</v>
      </c>
      <c r="I2189" t="s">
        <v>28</v>
      </c>
      <c r="J2189" s="1" t="b">
        <f t="shared" si="238"/>
        <v>1</v>
      </c>
      <c r="K2189" s="1" t="b">
        <f t="shared" si="239"/>
        <v>0</v>
      </c>
      <c r="L2189" s="1" t="b">
        <f t="shared" si="240"/>
        <v>0</v>
      </c>
      <c r="M2189" s="1" t="b">
        <f t="shared" si="241"/>
        <v>0</v>
      </c>
      <c r="N2189" s="1" t="b">
        <f t="shared" si="242"/>
        <v>0</v>
      </c>
      <c r="O2189" s="1" t="b">
        <f t="shared" si="243"/>
        <v>0</v>
      </c>
      <c r="P2189" s="1" t="b">
        <f t="shared" si="244"/>
        <v>1</v>
      </c>
    </row>
    <row r="2190" spans="1:16" x14ac:dyDescent="0.2">
      <c r="A2190">
        <v>8424522</v>
      </c>
      <c r="B2190" t="s">
        <v>3873</v>
      </c>
      <c r="C2190" t="s">
        <v>150</v>
      </c>
      <c r="D2190" t="s">
        <v>56</v>
      </c>
      <c r="E2190" s="1">
        <v>44791</v>
      </c>
      <c r="F2190" t="s">
        <v>3874</v>
      </c>
      <c r="G2190" s="1">
        <v>44818</v>
      </c>
      <c r="H2190" s="1">
        <v>44863</v>
      </c>
      <c r="I2190" t="s">
        <v>28</v>
      </c>
      <c r="J2190" s="1" t="b">
        <f t="shared" si="238"/>
        <v>1</v>
      </c>
      <c r="K2190" s="1" t="b">
        <f t="shared" si="239"/>
        <v>0</v>
      </c>
      <c r="L2190" s="1" t="b">
        <f t="shared" si="240"/>
        <v>0</v>
      </c>
      <c r="M2190" s="1" t="b">
        <f t="shared" si="241"/>
        <v>0</v>
      </c>
      <c r="N2190" s="1" t="b">
        <f t="shared" si="242"/>
        <v>0</v>
      </c>
      <c r="O2190" s="1" t="b">
        <f t="shared" si="243"/>
        <v>0</v>
      </c>
      <c r="P2190" s="1" t="b">
        <f t="shared" si="244"/>
        <v>1</v>
      </c>
    </row>
    <row r="2191" spans="1:16" x14ac:dyDescent="0.2">
      <c r="A2191">
        <v>8424522</v>
      </c>
      <c r="B2191" t="s">
        <v>3875</v>
      </c>
      <c r="C2191" t="s">
        <v>150</v>
      </c>
      <c r="D2191" t="s">
        <v>56</v>
      </c>
      <c r="E2191" s="1">
        <v>45012</v>
      </c>
      <c r="F2191" t="s">
        <v>3876</v>
      </c>
      <c r="G2191" s="1">
        <v>45033</v>
      </c>
      <c r="H2191" s="1">
        <v>45085</v>
      </c>
      <c r="I2191" t="s">
        <v>43</v>
      </c>
      <c r="J2191" s="1" t="b">
        <f t="shared" si="238"/>
        <v>1</v>
      </c>
      <c r="K2191" s="1" t="b">
        <f t="shared" si="239"/>
        <v>0</v>
      </c>
      <c r="L2191" s="1" t="b">
        <f t="shared" si="240"/>
        <v>0</v>
      </c>
      <c r="M2191" s="1" t="b">
        <f t="shared" si="241"/>
        <v>0</v>
      </c>
      <c r="N2191" s="1" t="b">
        <f t="shared" si="242"/>
        <v>0</v>
      </c>
      <c r="O2191" s="1" t="b">
        <f t="shared" si="243"/>
        <v>1</v>
      </c>
      <c r="P2191" s="1" t="b">
        <f t="shared" si="244"/>
        <v>0</v>
      </c>
    </row>
    <row r="2192" spans="1:16" x14ac:dyDescent="0.2">
      <c r="A2192">
        <v>4623343</v>
      </c>
      <c r="B2192" t="s">
        <v>3877</v>
      </c>
      <c r="C2192" t="s">
        <v>71</v>
      </c>
      <c r="D2192" t="s">
        <v>56</v>
      </c>
      <c r="E2192" s="1">
        <v>45056</v>
      </c>
      <c r="F2192" t="s">
        <v>3878</v>
      </c>
      <c r="G2192" s="1">
        <v>45083</v>
      </c>
      <c r="I2192" t="s">
        <v>13</v>
      </c>
      <c r="J2192" s="1" t="b">
        <f t="shared" si="238"/>
        <v>0</v>
      </c>
      <c r="K2192" s="1" t="b">
        <f t="shared" si="239"/>
        <v>1</v>
      </c>
      <c r="L2192" s="1" t="b">
        <f t="shared" si="240"/>
        <v>0</v>
      </c>
      <c r="M2192" s="1" t="b">
        <f t="shared" si="241"/>
        <v>0</v>
      </c>
      <c r="N2192" s="1" t="b">
        <f t="shared" si="242"/>
        <v>0</v>
      </c>
      <c r="O2192" s="1" t="b">
        <f t="shared" si="243"/>
        <v>0</v>
      </c>
      <c r="P2192" s="1" t="b">
        <f t="shared" si="244"/>
        <v>0</v>
      </c>
    </row>
    <row r="2193" spans="1:16" x14ac:dyDescent="0.2">
      <c r="A2193">
        <v>4623343</v>
      </c>
      <c r="B2193" t="s">
        <v>3879</v>
      </c>
      <c r="C2193" t="s">
        <v>71</v>
      </c>
      <c r="D2193" t="s">
        <v>56</v>
      </c>
      <c r="E2193" s="1">
        <v>45093</v>
      </c>
      <c r="F2193" t="s">
        <v>2069</v>
      </c>
      <c r="G2193" s="1">
        <v>45112</v>
      </c>
      <c r="H2193" s="1">
        <v>45138</v>
      </c>
      <c r="I2193" t="s">
        <v>43</v>
      </c>
      <c r="J2193" s="1" t="b">
        <f t="shared" si="238"/>
        <v>1</v>
      </c>
      <c r="K2193" s="1" t="b">
        <f t="shared" si="239"/>
        <v>0</v>
      </c>
      <c r="L2193" s="1" t="b">
        <f t="shared" si="240"/>
        <v>0</v>
      </c>
      <c r="M2193" s="1" t="b">
        <f t="shared" si="241"/>
        <v>0</v>
      </c>
      <c r="N2193" s="1" t="b">
        <f t="shared" si="242"/>
        <v>0</v>
      </c>
      <c r="O2193" s="1" t="b">
        <f t="shared" si="243"/>
        <v>1</v>
      </c>
      <c r="P2193" s="1" t="b">
        <f t="shared" si="244"/>
        <v>0</v>
      </c>
    </row>
    <row r="2194" spans="1:16" x14ac:dyDescent="0.2">
      <c r="A2194">
        <v>4623343</v>
      </c>
      <c r="B2194" t="s">
        <v>3880</v>
      </c>
      <c r="C2194" t="s">
        <v>71</v>
      </c>
      <c r="D2194" t="s">
        <v>56</v>
      </c>
      <c r="E2194" s="1">
        <v>44934</v>
      </c>
      <c r="F2194" t="s">
        <v>3881</v>
      </c>
      <c r="G2194" s="1">
        <v>44960</v>
      </c>
      <c r="H2194" s="1">
        <v>45012</v>
      </c>
      <c r="J2194" s="1" t="b">
        <f t="shared" si="238"/>
        <v>1</v>
      </c>
      <c r="K2194" s="1" t="b">
        <f t="shared" si="239"/>
        <v>0</v>
      </c>
      <c r="L2194" s="1" t="b">
        <f t="shared" si="240"/>
        <v>0</v>
      </c>
      <c r="M2194" s="1" t="b">
        <f t="shared" si="241"/>
        <v>0</v>
      </c>
      <c r="N2194" s="1" t="b">
        <f t="shared" si="242"/>
        <v>0</v>
      </c>
      <c r="O2194" s="1" t="b">
        <f t="shared" si="243"/>
        <v>0</v>
      </c>
      <c r="P2194" s="1" t="b">
        <f t="shared" si="244"/>
        <v>0</v>
      </c>
    </row>
    <row r="2195" spans="1:16" x14ac:dyDescent="0.2">
      <c r="A2195">
        <v>5421758</v>
      </c>
      <c r="B2195" t="s">
        <v>3882</v>
      </c>
      <c r="C2195" t="s">
        <v>315</v>
      </c>
      <c r="D2195" t="s">
        <v>39</v>
      </c>
      <c r="E2195" s="1">
        <v>44927</v>
      </c>
      <c r="F2195" t="s">
        <v>3883</v>
      </c>
      <c r="G2195" s="1">
        <v>44930</v>
      </c>
      <c r="H2195" s="1">
        <v>44975</v>
      </c>
      <c r="I2195" t="s">
        <v>43</v>
      </c>
      <c r="J2195" s="1" t="b">
        <f t="shared" si="238"/>
        <v>1</v>
      </c>
      <c r="K2195" s="1" t="b">
        <f t="shared" si="239"/>
        <v>0</v>
      </c>
      <c r="L2195" s="1" t="b">
        <f t="shared" si="240"/>
        <v>0</v>
      </c>
      <c r="M2195" s="1" t="b">
        <f t="shared" si="241"/>
        <v>0</v>
      </c>
      <c r="N2195" s="1" t="b">
        <f t="shared" si="242"/>
        <v>0</v>
      </c>
      <c r="O2195" s="1" t="b">
        <f t="shared" si="243"/>
        <v>1</v>
      </c>
      <c r="P2195" s="1" t="b">
        <f t="shared" si="244"/>
        <v>0</v>
      </c>
    </row>
    <row r="2196" spans="1:16" x14ac:dyDescent="0.2">
      <c r="A2196">
        <v>5421758</v>
      </c>
      <c r="B2196" t="s">
        <v>3884</v>
      </c>
      <c r="C2196" t="s">
        <v>315</v>
      </c>
      <c r="D2196" t="s">
        <v>39</v>
      </c>
      <c r="E2196" s="1">
        <v>44814</v>
      </c>
      <c r="F2196" t="s">
        <v>3885</v>
      </c>
      <c r="G2196" s="1">
        <v>44840</v>
      </c>
      <c r="I2196" t="s">
        <v>13</v>
      </c>
      <c r="J2196" s="1" t="b">
        <f t="shared" si="238"/>
        <v>0</v>
      </c>
      <c r="K2196" s="1" t="b">
        <f t="shared" si="239"/>
        <v>1</v>
      </c>
      <c r="L2196" s="1" t="b">
        <f t="shared" si="240"/>
        <v>0</v>
      </c>
      <c r="M2196" s="1" t="b">
        <f t="shared" si="241"/>
        <v>0</v>
      </c>
      <c r="N2196" s="1" t="b">
        <f t="shared" si="242"/>
        <v>0</v>
      </c>
      <c r="O2196" s="1" t="b">
        <f t="shared" si="243"/>
        <v>0</v>
      </c>
      <c r="P2196" s="1" t="b">
        <f t="shared" si="244"/>
        <v>0</v>
      </c>
    </row>
    <row r="2197" spans="1:16" x14ac:dyDescent="0.2">
      <c r="A2197">
        <v>5421758</v>
      </c>
      <c r="B2197" t="s">
        <v>3886</v>
      </c>
      <c r="C2197" t="s">
        <v>315</v>
      </c>
      <c r="D2197" t="s">
        <v>39</v>
      </c>
      <c r="E2197" s="1">
        <v>45081</v>
      </c>
      <c r="F2197" t="s">
        <v>3505</v>
      </c>
      <c r="G2197" s="1">
        <v>45104</v>
      </c>
      <c r="H2197" s="1">
        <v>45135</v>
      </c>
      <c r="I2197" t="s">
        <v>43</v>
      </c>
      <c r="J2197" s="1" t="b">
        <f t="shared" si="238"/>
        <v>1</v>
      </c>
      <c r="K2197" s="1" t="b">
        <f t="shared" si="239"/>
        <v>0</v>
      </c>
      <c r="L2197" s="1" t="b">
        <f t="shared" si="240"/>
        <v>0</v>
      </c>
      <c r="M2197" s="1" t="b">
        <f t="shared" si="241"/>
        <v>0</v>
      </c>
      <c r="N2197" s="1" t="b">
        <f t="shared" si="242"/>
        <v>0</v>
      </c>
      <c r="O2197" s="1" t="b">
        <f t="shared" si="243"/>
        <v>1</v>
      </c>
      <c r="P2197" s="1" t="b">
        <f t="shared" si="244"/>
        <v>0</v>
      </c>
    </row>
    <row r="2198" spans="1:16" x14ac:dyDescent="0.2">
      <c r="A2198">
        <v>9981848</v>
      </c>
      <c r="B2198" t="s">
        <v>3887</v>
      </c>
      <c r="C2198" t="s">
        <v>720</v>
      </c>
      <c r="D2198" t="s">
        <v>122</v>
      </c>
      <c r="E2198" s="1">
        <v>44616</v>
      </c>
      <c r="F2198" t="s">
        <v>3888</v>
      </c>
      <c r="G2198" s="1">
        <v>44631</v>
      </c>
      <c r="H2198" s="1">
        <v>44671</v>
      </c>
      <c r="I2198" t="s">
        <v>43</v>
      </c>
      <c r="J2198" s="1" t="b">
        <f t="shared" si="238"/>
        <v>1</v>
      </c>
      <c r="K2198" s="1" t="b">
        <f t="shared" si="239"/>
        <v>0</v>
      </c>
      <c r="L2198" s="1" t="b">
        <f t="shared" si="240"/>
        <v>0</v>
      </c>
      <c r="M2198" s="1" t="b">
        <f t="shared" si="241"/>
        <v>0</v>
      </c>
      <c r="N2198" s="1" t="b">
        <f t="shared" si="242"/>
        <v>0</v>
      </c>
      <c r="O2198" s="1" t="b">
        <f t="shared" si="243"/>
        <v>1</v>
      </c>
      <c r="P2198" s="1" t="b">
        <f t="shared" si="244"/>
        <v>0</v>
      </c>
    </row>
    <row r="2199" spans="1:16" x14ac:dyDescent="0.2">
      <c r="A2199">
        <v>9981848</v>
      </c>
      <c r="B2199" t="s">
        <v>3889</v>
      </c>
      <c r="C2199" t="s">
        <v>720</v>
      </c>
      <c r="D2199" t="s">
        <v>122</v>
      </c>
      <c r="E2199" s="1">
        <v>44584</v>
      </c>
      <c r="F2199" t="s">
        <v>3150</v>
      </c>
      <c r="G2199" s="1">
        <v>44602</v>
      </c>
      <c r="H2199" s="1">
        <v>44631</v>
      </c>
      <c r="J2199" s="1" t="b">
        <f t="shared" si="238"/>
        <v>1</v>
      </c>
      <c r="K2199" s="1" t="b">
        <f t="shared" si="239"/>
        <v>0</v>
      </c>
      <c r="L2199" s="1" t="b">
        <f t="shared" si="240"/>
        <v>0</v>
      </c>
      <c r="M2199" s="1" t="b">
        <f t="shared" si="241"/>
        <v>0</v>
      </c>
      <c r="N2199" s="1" t="b">
        <f t="shared" si="242"/>
        <v>0</v>
      </c>
      <c r="O2199" s="1" t="b">
        <f t="shared" si="243"/>
        <v>0</v>
      </c>
      <c r="P2199" s="1" t="b">
        <f t="shared" si="244"/>
        <v>0</v>
      </c>
    </row>
    <row r="2200" spans="1:16" x14ac:dyDescent="0.2">
      <c r="A2200">
        <v>1965457</v>
      </c>
      <c r="B2200" t="s">
        <v>3890</v>
      </c>
      <c r="C2200" t="s">
        <v>131</v>
      </c>
      <c r="D2200" t="s">
        <v>39</v>
      </c>
      <c r="E2200" s="1">
        <v>44924</v>
      </c>
      <c r="F2200" t="s">
        <v>117</v>
      </c>
      <c r="G2200" s="1">
        <v>44927</v>
      </c>
      <c r="H2200" s="1">
        <v>44974</v>
      </c>
      <c r="I2200" t="s">
        <v>43</v>
      </c>
      <c r="J2200" s="1" t="b">
        <f t="shared" si="238"/>
        <v>1</v>
      </c>
      <c r="K2200" s="1" t="b">
        <f t="shared" si="239"/>
        <v>0</v>
      </c>
      <c r="L2200" s="1" t="b">
        <f t="shared" si="240"/>
        <v>0</v>
      </c>
      <c r="M2200" s="1" t="b">
        <f t="shared" si="241"/>
        <v>0</v>
      </c>
      <c r="N2200" s="1" t="b">
        <f t="shared" si="242"/>
        <v>0</v>
      </c>
      <c r="O2200" s="1" t="b">
        <f t="shared" si="243"/>
        <v>1</v>
      </c>
      <c r="P2200" s="1" t="b">
        <f t="shared" si="244"/>
        <v>0</v>
      </c>
    </row>
    <row r="2201" spans="1:16" x14ac:dyDescent="0.2">
      <c r="A2201">
        <v>1965457</v>
      </c>
      <c r="B2201" t="s">
        <v>3891</v>
      </c>
      <c r="C2201" t="s">
        <v>131</v>
      </c>
      <c r="D2201" t="s">
        <v>39</v>
      </c>
      <c r="E2201" s="1">
        <v>44590</v>
      </c>
      <c r="F2201" t="s">
        <v>3892</v>
      </c>
      <c r="G2201" s="1">
        <v>44613</v>
      </c>
      <c r="I2201" t="s">
        <v>25</v>
      </c>
      <c r="J2201" s="1" t="b">
        <f t="shared" si="238"/>
        <v>0</v>
      </c>
      <c r="K2201" s="1" t="b">
        <f t="shared" si="239"/>
        <v>0</v>
      </c>
      <c r="L2201" s="1" t="b">
        <f t="shared" si="240"/>
        <v>1</v>
      </c>
      <c r="M2201" s="1" t="b">
        <f t="shared" si="241"/>
        <v>0</v>
      </c>
      <c r="N2201" s="1" t="b">
        <f t="shared" si="242"/>
        <v>0</v>
      </c>
      <c r="O2201" s="1" t="b">
        <f t="shared" si="243"/>
        <v>0</v>
      </c>
      <c r="P2201" s="1" t="b">
        <f t="shared" si="244"/>
        <v>0</v>
      </c>
    </row>
  </sheetData>
  <conditionalFormatting sqref="A2:P2201">
    <cfRule type="expression" dxfId="124" priority="1">
      <formula>OR(ISNUMBER(SEARCH("decline", $I2)), ISNUMBER(SEARCH("rescind", $I2)), ISNUMBER(SEARCH("cancel", $I2)))</formula>
    </cfRule>
  </conditionalFormatting>
  <pageMargins left="0.75" right="0.75" top="1" bottom="1" header="0.5" footer="0.5"/>
  <ignoredErrors>
    <ignoredError sqref="J2:K2" calculatedColumn="1"/>
  </ignoredErrors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ADC0CF7-6B3C-8448-BA2C-128784A2FE56}">
          <xm:f>hr_hiring_data_original!1:1048576</xm:f>
        </x15:webExtension>
        <x15:webExtension appRef="{65834C78-1C8C-9941-9B4B-697BD4E0E04E}">
          <xm:f>hr_hiring_data_original!XFD1048550:XFD1048575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2B4FB-0EA6-3245-8D03-FE71AA06F13E}">
  <dimension ref="A1:B14"/>
  <sheetViews>
    <sheetView topLeftCell="A5" workbookViewId="0">
      <selection activeCell="B22" sqref="B22"/>
    </sheetView>
  </sheetViews>
  <sheetFormatPr baseColWidth="10" defaultRowHeight="16" x14ac:dyDescent="0.2"/>
  <cols>
    <col min="1" max="1" width="23.664062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3</v>
      </c>
      <c r="B3" t="s">
        <v>3901</v>
      </c>
    </row>
    <row r="4" spans="1:2" x14ac:dyDescent="0.2">
      <c r="A4" t="s">
        <v>77</v>
      </c>
      <c r="B4">
        <v>166</v>
      </c>
    </row>
    <row r="5" spans="1:2" x14ac:dyDescent="0.2">
      <c r="A5" t="s">
        <v>60</v>
      </c>
      <c r="B5">
        <v>158</v>
      </c>
    </row>
    <row r="6" spans="1:2" x14ac:dyDescent="0.2">
      <c r="A6" t="s">
        <v>139</v>
      </c>
      <c r="B6">
        <v>149</v>
      </c>
    </row>
    <row r="7" spans="1:2" x14ac:dyDescent="0.2">
      <c r="A7" t="s">
        <v>11</v>
      </c>
      <c r="B7">
        <v>149</v>
      </c>
    </row>
    <row r="8" spans="1:2" x14ac:dyDescent="0.2">
      <c r="A8" t="s">
        <v>187</v>
      </c>
      <c r="B8">
        <v>147</v>
      </c>
    </row>
    <row r="9" spans="1:2" x14ac:dyDescent="0.2">
      <c r="A9" t="s">
        <v>39</v>
      </c>
      <c r="B9">
        <v>146</v>
      </c>
    </row>
    <row r="10" spans="1:2" x14ac:dyDescent="0.2">
      <c r="A10" t="s">
        <v>122</v>
      </c>
      <c r="B10">
        <v>146</v>
      </c>
    </row>
    <row r="11" spans="1:2" x14ac:dyDescent="0.2">
      <c r="A11" t="s">
        <v>19</v>
      </c>
      <c r="B11">
        <v>144</v>
      </c>
    </row>
    <row r="12" spans="1:2" x14ac:dyDescent="0.2">
      <c r="A12" t="s">
        <v>56</v>
      </c>
      <c r="B12">
        <v>130</v>
      </c>
    </row>
    <row r="13" spans="1:2" x14ac:dyDescent="0.2">
      <c r="A13" t="s">
        <v>81</v>
      </c>
      <c r="B13">
        <v>124</v>
      </c>
    </row>
    <row r="14" spans="1:2" x14ac:dyDescent="0.2">
      <c r="A14" t="s">
        <v>3900</v>
      </c>
      <c r="B14">
        <v>1459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0D57-6079-A04E-BB1F-CCAA97ED64DF}">
  <dimension ref="A1:B14"/>
  <sheetViews>
    <sheetView workbookViewId="0">
      <selection activeCell="C19" sqref="C19"/>
    </sheetView>
  </sheetViews>
  <sheetFormatPr baseColWidth="10" defaultRowHeight="16" x14ac:dyDescent="0.2"/>
  <cols>
    <col min="1" max="1" width="23.664062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3</v>
      </c>
      <c r="B3" t="s">
        <v>3903</v>
      </c>
    </row>
    <row r="4" spans="1:2" x14ac:dyDescent="0.2">
      <c r="A4" t="s">
        <v>139</v>
      </c>
      <c r="B4">
        <v>60</v>
      </c>
    </row>
    <row r="5" spans="1:2" x14ac:dyDescent="0.2">
      <c r="A5" t="s">
        <v>19</v>
      </c>
      <c r="B5">
        <v>60</v>
      </c>
    </row>
    <row r="6" spans="1:2" x14ac:dyDescent="0.2">
      <c r="A6" t="s">
        <v>77</v>
      </c>
      <c r="B6">
        <v>58</v>
      </c>
    </row>
    <row r="7" spans="1:2" x14ac:dyDescent="0.2">
      <c r="A7" t="s">
        <v>187</v>
      </c>
      <c r="B7">
        <v>52</v>
      </c>
    </row>
    <row r="8" spans="1:2" x14ac:dyDescent="0.2">
      <c r="A8" t="s">
        <v>60</v>
      </c>
      <c r="B8">
        <v>50</v>
      </c>
    </row>
    <row r="9" spans="1:2" x14ac:dyDescent="0.2">
      <c r="A9" t="s">
        <v>11</v>
      </c>
      <c r="B9">
        <v>46</v>
      </c>
    </row>
    <row r="10" spans="1:2" x14ac:dyDescent="0.2">
      <c r="A10" t="s">
        <v>81</v>
      </c>
      <c r="B10">
        <v>45</v>
      </c>
    </row>
    <row r="11" spans="1:2" x14ac:dyDescent="0.2">
      <c r="A11" t="s">
        <v>122</v>
      </c>
      <c r="B11">
        <v>44</v>
      </c>
    </row>
    <row r="12" spans="1:2" x14ac:dyDescent="0.2">
      <c r="A12" t="s">
        <v>39</v>
      </c>
      <c r="B12">
        <v>40</v>
      </c>
    </row>
    <row r="13" spans="1:2" x14ac:dyDescent="0.2">
      <c r="A13" t="s">
        <v>56</v>
      </c>
      <c r="B13">
        <v>39</v>
      </c>
    </row>
    <row r="14" spans="1:2" x14ac:dyDescent="0.2">
      <c r="A14" t="s">
        <v>3900</v>
      </c>
      <c r="B14">
        <v>494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B7E0-A0CA-4849-8458-E72DEB61A094}">
  <dimension ref="A1:B14"/>
  <sheetViews>
    <sheetView workbookViewId="0">
      <selection activeCell="N1" sqref="N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3</v>
      </c>
      <c r="B3" t="s">
        <v>3912</v>
      </c>
    </row>
    <row r="4" spans="1:2" x14ac:dyDescent="0.2">
      <c r="A4" t="s">
        <v>122</v>
      </c>
      <c r="B4">
        <v>30</v>
      </c>
    </row>
    <row r="5" spans="1:2" x14ac:dyDescent="0.2">
      <c r="A5" t="s">
        <v>81</v>
      </c>
      <c r="B5">
        <v>26</v>
      </c>
    </row>
    <row r="6" spans="1:2" x14ac:dyDescent="0.2">
      <c r="A6" t="s">
        <v>77</v>
      </c>
      <c r="B6">
        <v>26</v>
      </c>
    </row>
    <row r="7" spans="1:2" x14ac:dyDescent="0.2">
      <c r="A7" t="s">
        <v>19</v>
      </c>
      <c r="B7">
        <v>25</v>
      </c>
    </row>
    <row r="8" spans="1:2" x14ac:dyDescent="0.2">
      <c r="A8" t="s">
        <v>187</v>
      </c>
      <c r="B8">
        <v>23</v>
      </c>
    </row>
    <row r="9" spans="1:2" x14ac:dyDescent="0.2">
      <c r="A9" t="s">
        <v>60</v>
      </c>
      <c r="B9">
        <v>23</v>
      </c>
    </row>
    <row r="10" spans="1:2" x14ac:dyDescent="0.2">
      <c r="A10" t="s">
        <v>39</v>
      </c>
      <c r="B10">
        <v>20</v>
      </c>
    </row>
    <row r="11" spans="1:2" x14ac:dyDescent="0.2">
      <c r="A11" t="s">
        <v>56</v>
      </c>
      <c r="B11">
        <v>17</v>
      </c>
    </row>
    <row r="12" spans="1:2" x14ac:dyDescent="0.2">
      <c r="A12" t="s">
        <v>11</v>
      </c>
      <c r="B12">
        <v>15</v>
      </c>
    </row>
    <row r="13" spans="1:2" x14ac:dyDescent="0.2">
      <c r="A13" t="s">
        <v>139</v>
      </c>
      <c r="B13">
        <v>15</v>
      </c>
    </row>
    <row r="14" spans="1:2" x14ac:dyDescent="0.2">
      <c r="A14" t="s">
        <v>3900</v>
      </c>
      <c r="B14">
        <v>220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5307-AA78-B04D-BFF1-2A1EE3397909}">
  <dimension ref="A1:B14"/>
  <sheetViews>
    <sheetView workbookViewId="0">
      <selection activeCell="K30" sqref="K30"/>
    </sheetView>
  </sheetViews>
  <sheetFormatPr baseColWidth="10" defaultRowHeight="16" x14ac:dyDescent="0.2"/>
  <cols>
    <col min="1" max="1" width="23.664062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3</v>
      </c>
      <c r="B3" t="s">
        <v>3913</v>
      </c>
    </row>
    <row r="4" spans="1:2" x14ac:dyDescent="0.2">
      <c r="A4" t="s">
        <v>77</v>
      </c>
      <c r="B4">
        <v>44</v>
      </c>
    </row>
    <row r="5" spans="1:2" x14ac:dyDescent="0.2">
      <c r="A5" t="s">
        <v>60</v>
      </c>
      <c r="B5">
        <v>43</v>
      </c>
    </row>
    <row r="6" spans="1:2" x14ac:dyDescent="0.2">
      <c r="A6" t="s">
        <v>56</v>
      </c>
      <c r="B6">
        <v>40</v>
      </c>
    </row>
    <row r="7" spans="1:2" x14ac:dyDescent="0.2">
      <c r="A7" t="s">
        <v>139</v>
      </c>
      <c r="B7">
        <v>36</v>
      </c>
    </row>
    <row r="8" spans="1:2" x14ac:dyDescent="0.2">
      <c r="A8" t="s">
        <v>19</v>
      </c>
      <c r="B8">
        <v>34</v>
      </c>
    </row>
    <row r="9" spans="1:2" x14ac:dyDescent="0.2">
      <c r="A9" t="s">
        <v>187</v>
      </c>
      <c r="B9">
        <v>32</v>
      </c>
    </row>
    <row r="10" spans="1:2" x14ac:dyDescent="0.2">
      <c r="A10" t="s">
        <v>122</v>
      </c>
      <c r="B10">
        <v>32</v>
      </c>
    </row>
    <row r="11" spans="1:2" x14ac:dyDescent="0.2">
      <c r="A11" t="s">
        <v>81</v>
      </c>
      <c r="B11">
        <v>31</v>
      </c>
    </row>
    <row r="12" spans="1:2" x14ac:dyDescent="0.2">
      <c r="A12" t="s">
        <v>11</v>
      </c>
      <c r="B12">
        <v>28</v>
      </c>
    </row>
    <row r="13" spans="1:2" x14ac:dyDescent="0.2">
      <c r="A13" t="s">
        <v>39</v>
      </c>
      <c r="B13">
        <v>22</v>
      </c>
    </row>
    <row r="14" spans="1:2" x14ac:dyDescent="0.2">
      <c r="A14" t="s">
        <v>3900</v>
      </c>
      <c r="B14">
        <v>342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E486-EFDE-694E-B938-A6BC49005C3D}">
  <dimension ref="A1:B14"/>
  <sheetViews>
    <sheetView workbookViewId="0">
      <selection activeCell="N21" sqref="N2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3</v>
      </c>
      <c r="B3" t="s">
        <v>3904</v>
      </c>
    </row>
    <row r="4" spans="1:2" x14ac:dyDescent="0.2">
      <c r="A4" t="s">
        <v>39</v>
      </c>
      <c r="B4">
        <v>46</v>
      </c>
    </row>
    <row r="5" spans="1:2" x14ac:dyDescent="0.2">
      <c r="A5" t="s">
        <v>11</v>
      </c>
      <c r="B5">
        <v>40</v>
      </c>
    </row>
    <row r="6" spans="1:2" x14ac:dyDescent="0.2">
      <c r="A6" t="s">
        <v>60</v>
      </c>
      <c r="B6">
        <v>39</v>
      </c>
    </row>
    <row r="7" spans="1:2" x14ac:dyDescent="0.2">
      <c r="A7" t="s">
        <v>77</v>
      </c>
      <c r="B7">
        <v>38</v>
      </c>
    </row>
    <row r="8" spans="1:2" x14ac:dyDescent="0.2">
      <c r="A8" t="s">
        <v>139</v>
      </c>
      <c r="B8">
        <v>35</v>
      </c>
    </row>
    <row r="9" spans="1:2" x14ac:dyDescent="0.2">
      <c r="A9" t="s">
        <v>56</v>
      </c>
      <c r="B9">
        <v>35</v>
      </c>
    </row>
    <row r="10" spans="1:2" x14ac:dyDescent="0.2">
      <c r="A10" t="s">
        <v>19</v>
      </c>
      <c r="B10">
        <v>34</v>
      </c>
    </row>
    <row r="11" spans="1:2" x14ac:dyDescent="0.2">
      <c r="A11" t="s">
        <v>187</v>
      </c>
      <c r="B11">
        <v>33</v>
      </c>
    </row>
    <row r="12" spans="1:2" x14ac:dyDescent="0.2">
      <c r="A12" t="s">
        <v>122</v>
      </c>
      <c r="B12">
        <v>30</v>
      </c>
    </row>
    <row r="13" spans="1:2" x14ac:dyDescent="0.2">
      <c r="A13" t="s">
        <v>81</v>
      </c>
      <c r="B13">
        <v>29</v>
      </c>
    </row>
    <row r="14" spans="1:2" x14ac:dyDescent="0.2">
      <c r="A14" t="s">
        <v>3900</v>
      </c>
      <c r="B14">
        <v>359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6B50-5FA9-AB4B-8C87-4FD1CF61A767}">
  <dimension ref="A1:I25"/>
  <sheetViews>
    <sheetView topLeftCell="A22" workbookViewId="0">
      <selection activeCell="F55" sqref="F55"/>
    </sheetView>
  </sheetViews>
  <sheetFormatPr baseColWidth="10" defaultRowHeight="16" x14ac:dyDescent="0.2"/>
  <cols>
    <col min="1" max="1" width="23.6640625" bestFit="1" customWidth="1"/>
    <col min="2" max="2" width="21" bestFit="1" customWidth="1"/>
    <col min="3" max="3" width="23" customWidth="1"/>
    <col min="4" max="4" width="23.6640625" bestFit="1" customWidth="1"/>
    <col min="5" max="5" width="20.1640625" bestFit="1" customWidth="1"/>
    <col min="6" max="6" width="22.1640625" customWidth="1"/>
    <col min="7" max="7" width="17.83203125" customWidth="1"/>
    <col min="8" max="8" width="17.1640625" customWidth="1"/>
    <col min="9" max="9" width="16.33203125" customWidth="1"/>
  </cols>
  <sheetData>
    <row r="1" spans="1:9" x14ac:dyDescent="0.2">
      <c r="A1" t="s">
        <v>3</v>
      </c>
      <c r="B1" t="s">
        <v>3905</v>
      </c>
      <c r="C1" t="s">
        <v>3906</v>
      </c>
      <c r="D1" t="s">
        <v>3907</v>
      </c>
      <c r="E1" t="s">
        <v>3908</v>
      </c>
      <c r="F1" t="s">
        <v>3909</v>
      </c>
      <c r="G1" t="s">
        <v>3914</v>
      </c>
      <c r="H1" t="s">
        <v>3910</v>
      </c>
      <c r="I1" t="s">
        <v>3911</v>
      </c>
    </row>
    <row r="2" spans="1:9" x14ac:dyDescent="0.2">
      <c r="A2" t="s">
        <v>39</v>
      </c>
      <c r="B2">
        <f>_xlfn.XLOOKUP(A2, 'Hires by Dept'!$A$4:$A$13, 'Hires by Dept'!$B$4:$B$13, "NA", 0)</f>
        <v>146</v>
      </c>
      <c r="C2">
        <f>_xlfn.XLOOKUP(A2, 'Declinations by Dept'!A$4:A$13, 'Declinations by Dept'!B$4:B$13, "NA", 0)</f>
        <v>40</v>
      </c>
      <c r="D2">
        <f>_xlfn.XLOOKUP(A2, 'Rescinded by Dept'!A$4:A$13, 'Rescinded by Dept'!B$4:B$13, "NA", 0)</f>
        <v>20</v>
      </c>
      <c r="E2">
        <f>_xlfn.XLOOKUP(A2, 'Transfers by Dept'!A$4:A$13, 'Transfers by Dept'!B$4:B$13, "NA", 0)</f>
        <v>22</v>
      </c>
      <c r="F2">
        <f>_xlfn.XLOOKUP(A2, 'Promos by Dept'!A$4:A$13, 'Promos by Dept'!B$4:B$13, "NA", 0)</f>
        <v>46</v>
      </c>
      <c r="G2">
        <f>B2 + C2 + D2</f>
        <v>206</v>
      </c>
      <c r="H2" s="3">
        <f>C2 / G2</f>
        <v>0.1941747572815534</v>
      </c>
      <c r="I2" s="3">
        <f>F2 / B2</f>
        <v>0.31506849315068491</v>
      </c>
    </row>
    <row r="3" spans="1:9" x14ac:dyDescent="0.2">
      <c r="A3" t="s">
        <v>187</v>
      </c>
      <c r="B3">
        <f>_xlfn.XLOOKUP(A3, 'Hires by Dept'!$A$4:$A$13, 'Hires by Dept'!$B$4:$B$13, "NA", 0)</f>
        <v>147</v>
      </c>
      <c r="C3">
        <f>_xlfn.XLOOKUP(A3, 'Declinations by Dept'!A$4:A$13, 'Declinations by Dept'!B$4:B$13, "NA", 0)</f>
        <v>52</v>
      </c>
      <c r="D3">
        <f>_xlfn.XLOOKUP(A3, 'Rescinded by Dept'!A$4:A$13, 'Rescinded by Dept'!B$4:B$13, "NA", 0)</f>
        <v>23</v>
      </c>
      <c r="E3">
        <f>_xlfn.XLOOKUP(A3, 'Transfers by Dept'!A$4:A$13, 'Transfers by Dept'!B$4:B$13, "NA", 0)</f>
        <v>32</v>
      </c>
      <c r="F3">
        <f>_xlfn.XLOOKUP(A3, 'Promos by Dept'!A$4:A$13, 'Promos by Dept'!B$4:B$13, "NA", 0)</f>
        <v>33</v>
      </c>
      <c r="G3">
        <f t="shared" ref="G3:G11" si="0">B3 + C3 + D3</f>
        <v>222</v>
      </c>
      <c r="H3" s="3">
        <f t="shared" ref="H3:H11" si="1">C3 / G3</f>
        <v>0.23423423423423423</v>
      </c>
      <c r="I3" s="3">
        <f t="shared" ref="I3:I11" si="2">F3 / B3</f>
        <v>0.22448979591836735</v>
      </c>
    </row>
    <row r="4" spans="1:9" x14ac:dyDescent="0.2">
      <c r="A4" t="s">
        <v>122</v>
      </c>
      <c r="B4">
        <f>_xlfn.XLOOKUP(A4, 'Hires by Dept'!$A$4:$A$13, 'Hires by Dept'!$B$4:$B$13, "NA", 0)</f>
        <v>146</v>
      </c>
      <c r="C4">
        <f>_xlfn.XLOOKUP(A4, 'Declinations by Dept'!A$4:A$13, 'Declinations by Dept'!B$4:B$13, "NA", 0)</f>
        <v>44</v>
      </c>
      <c r="D4">
        <f>_xlfn.XLOOKUP(A4, 'Rescinded by Dept'!A$4:A$13, 'Rescinded by Dept'!B$4:B$13, "NA", 0)</f>
        <v>30</v>
      </c>
      <c r="E4">
        <f>_xlfn.XLOOKUP(A4, 'Transfers by Dept'!A$4:A$13, 'Transfers by Dept'!B$4:B$13, "NA", 0)</f>
        <v>32</v>
      </c>
      <c r="F4">
        <f>_xlfn.XLOOKUP(A4, 'Promos by Dept'!A$4:A$13, 'Promos by Dept'!B$4:B$13, "NA", 0)</f>
        <v>30</v>
      </c>
      <c r="G4">
        <f t="shared" si="0"/>
        <v>220</v>
      </c>
      <c r="H4" s="3">
        <f t="shared" si="1"/>
        <v>0.2</v>
      </c>
      <c r="I4" s="3">
        <f t="shared" si="2"/>
        <v>0.20547945205479451</v>
      </c>
    </row>
    <row r="5" spans="1:9" x14ac:dyDescent="0.2">
      <c r="A5" t="s">
        <v>56</v>
      </c>
      <c r="B5">
        <f>_xlfn.XLOOKUP(A5, 'Hires by Dept'!$A$4:$A$13, 'Hires by Dept'!$B$4:$B$13, "NA", 0)</f>
        <v>130</v>
      </c>
      <c r="C5">
        <f>_xlfn.XLOOKUP(A5, 'Declinations by Dept'!A$4:A$13, 'Declinations by Dept'!B$4:B$13, "NA", 0)</f>
        <v>39</v>
      </c>
      <c r="D5">
        <f>_xlfn.XLOOKUP(A5, 'Rescinded by Dept'!A$4:A$13, 'Rescinded by Dept'!B$4:B$13, "NA", 0)</f>
        <v>17</v>
      </c>
      <c r="E5">
        <f>_xlfn.XLOOKUP(A5, 'Transfers by Dept'!A$4:A$13, 'Transfers by Dept'!B$4:B$13, "NA", 0)</f>
        <v>40</v>
      </c>
      <c r="F5">
        <f>_xlfn.XLOOKUP(A5, 'Promos by Dept'!A$4:A$13, 'Promos by Dept'!B$4:B$13, "NA", 0)</f>
        <v>35</v>
      </c>
      <c r="G5">
        <f t="shared" si="0"/>
        <v>186</v>
      </c>
      <c r="H5" s="3">
        <f t="shared" si="1"/>
        <v>0.20967741935483872</v>
      </c>
      <c r="I5" s="3">
        <f t="shared" si="2"/>
        <v>0.26923076923076922</v>
      </c>
    </row>
    <row r="6" spans="1:9" x14ac:dyDescent="0.2">
      <c r="A6" t="s">
        <v>60</v>
      </c>
      <c r="B6">
        <f>_xlfn.XLOOKUP(A6, 'Hires by Dept'!$A$4:$A$13, 'Hires by Dept'!$B$4:$B$13, "NA", 0)</f>
        <v>158</v>
      </c>
      <c r="C6">
        <f>_xlfn.XLOOKUP(A6, 'Declinations by Dept'!A$4:A$13, 'Declinations by Dept'!B$4:B$13, "NA", 0)</f>
        <v>50</v>
      </c>
      <c r="D6">
        <f>_xlfn.XLOOKUP(A6, 'Rescinded by Dept'!A$4:A$13, 'Rescinded by Dept'!B$4:B$13, "NA", 0)</f>
        <v>23</v>
      </c>
      <c r="E6">
        <f>_xlfn.XLOOKUP(A6, 'Transfers by Dept'!A$4:A$13, 'Transfers by Dept'!B$4:B$13, "NA", 0)</f>
        <v>43</v>
      </c>
      <c r="F6">
        <f>_xlfn.XLOOKUP(A6, 'Promos by Dept'!A$4:A$13, 'Promos by Dept'!B$4:B$13, "NA", 0)</f>
        <v>39</v>
      </c>
      <c r="G6">
        <f t="shared" si="0"/>
        <v>231</v>
      </c>
      <c r="H6" s="3">
        <f t="shared" si="1"/>
        <v>0.21645021645021645</v>
      </c>
      <c r="I6" s="3">
        <f t="shared" si="2"/>
        <v>0.24683544303797469</v>
      </c>
    </row>
    <row r="7" spans="1:9" x14ac:dyDescent="0.2">
      <c r="A7" t="s">
        <v>81</v>
      </c>
      <c r="B7">
        <f>_xlfn.XLOOKUP(A7, 'Hires by Dept'!$A$4:$A$13, 'Hires by Dept'!$B$4:$B$13, "NA", 0)</f>
        <v>124</v>
      </c>
      <c r="C7">
        <f>_xlfn.XLOOKUP(A7, 'Declinations by Dept'!A$4:A$13, 'Declinations by Dept'!B$4:B$13, "NA", 0)</f>
        <v>45</v>
      </c>
      <c r="D7">
        <f>_xlfn.XLOOKUP(A7, 'Rescinded by Dept'!A$4:A$13, 'Rescinded by Dept'!B$4:B$13, "NA", 0)</f>
        <v>26</v>
      </c>
      <c r="E7">
        <f>_xlfn.XLOOKUP(A7, 'Transfers by Dept'!A$4:A$13, 'Transfers by Dept'!B$4:B$13, "NA", 0)</f>
        <v>31</v>
      </c>
      <c r="F7">
        <f>_xlfn.XLOOKUP(A7, 'Promos by Dept'!A$4:A$13, 'Promos by Dept'!B$4:B$13, "NA", 0)</f>
        <v>29</v>
      </c>
      <c r="G7">
        <f t="shared" si="0"/>
        <v>195</v>
      </c>
      <c r="H7" s="3">
        <f t="shared" si="1"/>
        <v>0.23076923076923078</v>
      </c>
      <c r="I7" s="3">
        <f t="shared" si="2"/>
        <v>0.23387096774193547</v>
      </c>
    </row>
    <row r="8" spans="1:9" x14ac:dyDescent="0.2">
      <c r="A8" t="s">
        <v>19</v>
      </c>
      <c r="B8">
        <f>_xlfn.XLOOKUP(A8, 'Hires by Dept'!$A$4:$A$13, 'Hires by Dept'!$B$4:$B$13, "NA", 0)</f>
        <v>144</v>
      </c>
      <c r="C8">
        <f>_xlfn.XLOOKUP(A8, 'Declinations by Dept'!A$4:A$13, 'Declinations by Dept'!B$4:B$13, "NA", 0)</f>
        <v>60</v>
      </c>
      <c r="D8">
        <f>_xlfn.XLOOKUP(A8, 'Rescinded by Dept'!A$4:A$13, 'Rescinded by Dept'!B$4:B$13, "NA", 0)</f>
        <v>25</v>
      </c>
      <c r="E8">
        <f>_xlfn.XLOOKUP(A8, 'Transfers by Dept'!A$4:A$13, 'Transfers by Dept'!B$4:B$13, "NA", 0)</f>
        <v>34</v>
      </c>
      <c r="F8">
        <f>_xlfn.XLOOKUP(A8, 'Promos by Dept'!A$4:A$13, 'Promos by Dept'!B$4:B$13, "NA", 0)</f>
        <v>34</v>
      </c>
      <c r="G8">
        <f t="shared" si="0"/>
        <v>229</v>
      </c>
      <c r="H8" s="3">
        <f t="shared" si="1"/>
        <v>0.26200873362445415</v>
      </c>
      <c r="I8" s="3">
        <f t="shared" si="2"/>
        <v>0.2361111111111111</v>
      </c>
    </row>
    <row r="9" spans="1:9" x14ac:dyDescent="0.2">
      <c r="A9" t="s">
        <v>139</v>
      </c>
      <c r="B9">
        <f>_xlfn.XLOOKUP(A9, 'Hires by Dept'!$A$4:$A$13, 'Hires by Dept'!$B$4:$B$13, "NA", 0)</f>
        <v>149</v>
      </c>
      <c r="C9">
        <f>_xlfn.XLOOKUP(A9, 'Declinations by Dept'!A$4:A$13, 'Declinations by Dept'!B$4:B$13, "NA", 0)</f>
        <v>60</v>
      </c>
      <c r="D9">
        <f>_xlfn.XLOOKUP(A9, 'Rescinded by Dept'!A$4:A$13, 'Rescinded by Dept'!B$4:B$13, "NA", 0)</f>
        <v>15</v>
      </c>
      <c r="E9">
        <f>_xlfn.XLOOKUP(A9, 'Transfers by Dept'!A$4:A$13, 'Transfers by Dept'!B$4:B$13, "NA", 0)</f>
        <v>36</v>
      </c>
      <c r="F9">
        <f>_xlfn.XLOOKUP(A9, 'Promos by Dept'!A$4:A$13, 'Promos by Dept'!B$4:B$13, "NA", 0)</f>
        <v>35</v>
      </c>
      <c r="G9">
        <f t="shared" si="0"/>
        <v>224</v>
      </c>
      <c r="H9" s="3">
        <f t="shared" si="1"/>
        <v>0.26785714285714285</v>
      </c>
      <c r="I9" s="3">
        <f t="shared" si="2"/>
        <v>0.2348993288590604</v>
      </c>
    </row>
    <row r="10" spans="1:9" x14ac:dyDescent="0.2">
      <c r="A10" t="s">
        <v>77</v>
      </c>
      <c r="B10">
        <f>_xlfn.XLOOKUP(A10, 'Hires by Dept'!$A$4:$A$13, 'Hires by Dept'!$B$4:$B$13, "NA", 0)</f>
        <v>166</v>
      </c>
      <c r="C10">
        <f>_xlfn.XLOOKUP(A10, 'Declinations by Dept'!A$4:A$13, 'Declinations by Dept'!B$4:B$13, "NA", 0)</f>
        <v>58</v>
      </c>
      <c r="D10">
        <f>_xlfn.XLOOKUP(A10, 'Rescinded by Dept'!A$4:A$13, 'Rescinded by Dept'!B$4:B$13, "NA", 0)</f>
        <v>26</v>
      </c>
      <c r="E10">
        <f>_xlfn.XLOOKUP(A10, 'Transfers by Dept'!A$4:A$13, 'Transfers by Dept'!B$4:B$13, "NA", 0)</f>
        <v>44</v>
      </c>
      <c r="F10">
        <f>_xlfn.XLOOKUP(A10, 'Promos by Dept'!A$4:A$13, 'Promos by Dept'!B$4:B$13, "NA", 0)</f>
        <v>38</v>
      </c>
      <c r="G10">
        <f t="shared" si="0"/>
        <v>250</v>
      </c>
      <c r="H10" s="3">
        <f t="shared" si="1"/>
        <v>0.23200000000000001</v>
      </c>
      <c r="I10" s="3">
        <f t="shared" si="2"/>
        <v>0.2289156626506024</v>
      </c>
    </row>
    <row r="11" spans="1:9" x14ac:dyDescent="0.2">
      <c r="A11" t="s">
        <v>11</v>
      </c>
      <c r="B11">
        <f>_xlfn.XLOOKUP(A11, 'Hires by Dept'!$A$4:$A$13, 'Hires by Dept'!$B$4:$B$13, "NA", 0)</f>
        <v>149</v>
      </c>
      <c r="C11">
        <f>_xlfn.XLOOKUP(A11, 'Declinations by Dept'!A$4:A$13, 'Declinations by Dept'!B$4:B$13, "NA", 0)</f>
        <v>46</v>
      </c>
      <c r="D11">
        <f>_xlfn.XLOOKUP(A11, 'Rescinded by Dept'!A$4:A$13, 'Rescinded by Dept'!B$4:B$13, "NA", 0)</f>
        <v>15</v>
      </c>
      <c r="E11">
        <f>_xlfn.XLOOKUP(A11, 'Transfers by Dept'!A$4:A$13, 'Transfers by Dept'!B$4:B$13, "NA", 0)</f>
        <v>28</v>
      </c>
      <c r="F11">
        <f>_xlfn.XLOOKUP(A11, 'Promos by Dept'!A$4:A$13, 'Promos by Dept'!B$4:B$13, "NA", 0)</f>
        <v>40</v>
      </c>
      <c r="G11">
        <f t="shared" si="0"/>
        <v>210</v>
      </c>
      <c r="H11" s="3">
        <f t="shared" si="1"/>
        <v>0.21904761904761905</v>
      </c>
      <c r="I11" s="3">
        <f t="shared" si="2"/>
        <v>0.26845637583892618</v>
      </c>
    </row>
    <row r="15" spans="1:9" x14ac:dyDescent="0.2">
      <c r="A15" s="4" t="s">
        <v>3</v>
      </c>
      <c r="B15" s="5" t="s">
        <v>3915</v>
      </c>
      <c r="D15" s="4" t="s">
        <v>3</v>
      </c>
      <c r="E15" s="5" t="s">
        <v>3916</v>
      </c>
    </row>
    <row r="16" spans="1:9" x14ac:dyDescent="0.2">
      <c r="A16" s="6" t="s">
        <v>139</v>
      </c>
      <c r="B16" s="7">
        <v>0.26785714285714285</v>
      </c>
      <c r="D16" s="6" t="s">
        <v>39</v>
      </c>
      <c r="E16" s="7">
        <v>0.31506849315068491</v>
      </c>
    </row>
    <row r="17" spans="1:5" x14ac:dyDescent="0.2">
      <c r="A17" s="6" t="s">
        <v>19</v>
      </c>
      <c r="B17" s="7">
        <v>0.26200873362445415</v>
      </c>
      <c r="D17" s="6" t="s">
        <v>56</v>
      </c>
      <c r="E17" s="7">
        <v>0.26923076923076922</v>
      </c>
    </row>
    <row r="18" spans="1:5" x14ac:dyDescent="0.2">
      <c r="A18" s="6" t="s">
        <v>187</v>
      </c>
      <c r="B18" s="7">
        <v>0.23423423423423423</v>
      </c>
      <c r="D18" s="6" t="s">
        <v>11</v>
      </c>
      <c r="E18" s="7">
        <v>0.26845637583892618</v>
      </c>
    </row>
    <row r="19" spans="1:5" x14ac:dyDescent="0.2">
      <c r="A19" s="6" t="s">
        <v>77</v>
      </c>
      <c r="B19" s="7">
        <v>0.23200000000000001</v>
      </c>
      <c r="D19" s="6" t="s">
        <v>60</v>
      </c>
      <c r="E19" s="7">
        <v>0.24683544303797469</v>
      </c>
    </row>
    <row r="20" spans="1:5" x14ac:dyDescent="0.2">
      <c r="A20" s="6" t="s">
        <v>81</v>
      </c>
      <c r="B20" s="7">
        <v>0.23076923076923078</v>
      </c>
      <c r="D20" s="6" t="s">
        <v>19</v>
      </c>
      <c r="E20" s="7">
        <v>0.2361111111111111</v>
      </c>
    </row>
    <row r="21" spans="1:5" x14ac:dyDescent="0.2">
      <c r="A21" s="6" t="s">
        <v>11</v>
      </c>
      <c r="B21" s="7">
        <v>0.21904761904761905</v>
      </c>
      <c r="D21" s="6" t="s">
        <v>139</v>
      </c>
      <c r="E21" s="7">
        <v>0.2348993288590604</v>
      </c>
    </row>
    <row r="22" spans="1:5" x14ac:dyDescent="0.2">
      <c r="A22" s="6" t="s">
        <v>60</v>
      </c>
      <c r="B22" s="7">
        <v>0.21645021645021645</v>
      </c>
      <c r="D22" s="6" t="s">
        <v>81</v>
      </c>
      <c r="E22" s="7">
        <v>0.23387096774193547</v>
      </c>
    </row>
    <row r="23" spans="1:5" x14ac:dyDescent="0.2">
      <c r="A23" s="6" t="s">
        <v>56</v>
      </c>
      <c r="B23" s="7">
        <v>0.20967741935483872</v>
      </c>
      <c r="D23" s="6" t="s">
        <v>77</v>
      </c>
      <c r="E23" s="7">
        <v>0.2289156626506024</v>
      </c>
    </row>
    <row r="24" spans="1:5" x14ac:dyDescent="0.2">
      <c r="A24" s="6" t="s">
        <v>122</v>
      </c>
      <c r="B24" s="7">
        <v>0.2</v>
      </c>
      <c r="D24" s="6" t="s">
        <v>187</v>
      </c>
      <c r="E24" s="7">
        <v>0.22448979591836735</v>
      </c>
    </row>
    <row r="25" spans="1:5" x14ac:dyDescent="0.2">
      <c r="A25" s="8" t="s">
        <v>39</v>
      </c>
      <c r="B25" s="9">
        <v>0.1941747572815534</v>
      </c>
      <c r="D25" s="8" t="s">
        <v>122</v>
      </c>
      <c r="E25" s="9">
        <v>0.20547945205479451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43F56-EBFF-0945-A3F9-8840534F9AD1}">
  <dimension ref="A1:B34"/>
  <sheetViews>
    <sheetView workbookViewId="0">
      <selection activeCell="R13" sqref="R13"/>
    </sheetView>
  </sheetViews>
  <sheetFormatPr baseColWidth="10" defaultRowHeight="16" x14ac:dyDescent="0.2"/>
  <cols>
    <col min="1" max="1" width="19.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2</v>
      </c>
      <c r="B3" t="s">
        <v>3901</v>
      </c>
    </row>
    <row r="4" spans="1:2" x14ac:dyDescent="0.2">
      <c r="A4" t="s">
        <v>35</v>
      </c>
      <c r="B4">
        <v>79</v>
      </c>
    </row>
    <row r="5" spans="1:2" x14ac:dyDescent="0.2">
      <c r="A5" t="s">
        <v>720</v>
      </c>
      <c r="B5">
        <v>77</v>
      </c>
    </row>
    <row r="6" spans="1:2" x14ac:dyDescent="0.2">
      <c r="A6" t="s">
        <v>176</v>
      </c>
      <c r="B6">
        <v>65</v>
      </c>
    </row>
    <row r="7" spans="1:2" x14ac:dyDescent="0.2">
      <c r="A7" t="s">
        <v>363</v>
      </c>
      <c r="B7">
        <v>63</v>
      </c>
    </row>
    <row r="8" spans="1:2" x14ac:dyDescent="0.2">
      <c r="A8" t="s">
        <v>121</v>
      </c>
      <c r="B8">
        <v>63</v>
      </c>
    </row>
    <row r="9" spans="1:2" x14ac:dyDescent="0.2">
      <c r="A9" t="s">
        <v>287</v>
      </c>
      <c r="B9">
        <v>58</v>
      </c>
    </row>
    <row r="10" spans="1:2" x14ac:dyDescent="0.2">
      <c r="A10" t="s">
        <v>542</v>
      </c>
      <c r="B10">
        <v>58</v>
      </c>
    </row>
    <row r="11" spans="1:2" x14ac:dyDescent="0.2">
      <c r="A11" t="s">
        <v>265</v>
      </c>
      <c r="B11">
        <v>58</v>
      </c>
    </row>
    <row r="12" spans="1:2" x14ac:dyDescent="0.2">
      <c r="A12" t="s">
        <v>93</v>
      </c>
      <c r="B12">
        <v>57</v>
      </c>
    </row>
    <row r="13" spans="1:2" x14ac:dyDescent="0.2">
      <c r="A13" t="s">
        <v>10</v>
      </c>
      <c r="B13">
        <v>55</v>
      </c>
    </row>
    <row r="14" spans="1:2" x14ac:dyDescent="0.2">
      <c r="A14" t="s">
        <v>131</v>
      </c>
      <c r="B14">
        <v>53</v>
      </c>
    </row>
    <row r="15" spans="1:2" x14ac:dyDescent="0.2">
      <c r="A15" t="s">
        <v>310</v>
      </c>
      <c r="B15">
        <v>52</v>
      </c>
    </row>
    <row r="16" spans="1:2" x14ac:dyDescent="0.2">
      <c r="A16" t="s">
        <v>150</v>
      </c>
      <c r="B16">
        <v>51</v>
      </c>
    </row>
    <row r="17" spans="1:2" x14ac:dyDescent="0.2">
      <c r="A17" t="s">
        <v>454</v>
      </c>
      <c r="B17">
        <v>51</v>
      </c>
    </row>
    <row r="18" spans="1:2" x14ac:dyDescent="0.2">
      <c r="A18" t="s">
        <v>71</v>
      </c>
      <c r="B18">
        <v>49</v>
      </c>
    </row>
    <row r="19" spans="1:2" x14ac:dyDescent="0.2">
      <c r="A19" t="s">
        <v>138</v>
      </c>
      <c r="B19">
        <v>47</v>
      </c>
    </row>
    <row r="20" spans="1:2" x14ac:dyDescent="0.2">
      <c r="A20" t="s">
        <v>110</v>
      </c>
      <c r="B20">
        <v>46</v>
      </c>
    </row>
    <row r="21" spans="1:2" x14ac:dyDescent="0.2">
      <c r="A21" t="s">
        <v>240</v>
      </c>
      <c r="B21">
        <v>43</v>
      </c>
    </row>
    <row r="22" spans="1:2" x14ac:dyDescent="0.2">
      <c r="A22" t="s">
        <v>38</v>
      </c>
      <c r="B22">
        <v>43</v>
      </c>
    </row>
    <row r="23" spans="1:2" x14ac:dyDescent="0.2">
      <c r="A23" t="s">
        <v>76</v>
      </c>
      <c r="B23">
        <v>42</v>
      </c>
    </row>
    <row r="24" spans="1:2" x14ac:dyDescent="0.2">
      <c r="A24" t="s">
        <v>167</v>
      </c>
      <c r="B24">
        <v>41</v>
      </c>
    </row>
    <row r="25" spans="1:2" x14ac:dyDescent="0.2">
      <c r="A25" t="s">
        <v>59</v>
      </c>
      <c r="B25">
        <v>41</v>
      </c>
    </row>
    <row r="26" spans="1:2" x14ac:dyDescent="0.2">
      <c r="A26" t="s">
        <v>47</v>
      </c>
      <c r="B26">
        <v>41</v>
      </c>
    </row>
    <row r="27" spans="1:2" x14ac:dyDescent="0.2">
      <c r="A27" t="s">
        <v>80</v>
      </c>
      <c r="B27">
        <v>40</v>
      </c>
    </row>
    <row r="28" spans="1:2" x14ac:dyDescent="0.2">
      <c r="A28" t="s">
        <v>32</v>
      </c>
      <c r="B28">
        <v>39</v>
      </c>
    </row>
    <row r="29" spans="1:2" x14ac:dyDescent="0.2">
      <c r="A29" t="s">
        <v>90</v>
      </c>
      <c r="B29">
        <v>37</v>
      </c>
    </row>
    <row r="30" spans="1:2" x14ac:dyDescent="0.2">
      <c r="A30" t="s">
        <v>18</v>
      </c>
      <c r="B30">
        <v>31</v>
      </c>
    </row>
    <row r="31" spans="1:2" x14ac:dyDescent="0.2">
      <c r="A31" t="s">
        <v>521</v>
      </c>
      <c r="B31">
        <v>29</v>
      </c>
    </row>
    <row r="32" spans="1:2" x14ac:dyDescent="0.2">
      <c r="A32" t="s">
        <v>315</v>
      </c>
      <c r="B32">
        <v>29</v>
      </c>
    </row>
    <row r="33" spans="1:2" x14ac:dyDescent="0.2">
      <c r="A33" t="s">
        <v>282</v>
      </c>
      <c r="B33">
        <v>21</v>
      </c>
    </row>
    <row r="34" spans="1:2" x14ac:dyDescent="0.2">
      <c r="A34" t="s">
        <v>3900</v>
      </c>
      <c r="B34">
        <v>1459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E40B-0944-1549-B917-A9F87B9E70AE}">
  <dimension ref="A1:B34"/>
  <sheetViews>
    <sheetView workbookViewId="0">
      <selection activeCell="H33" sqref="H33"/>
    </sheetView>
  </sheetViews>
  <sheetFormatPr baseColWidth="10" defaultRowHeight="16" x14ac:dyDescent="0.2"/>
  <cols>
    <col min="1" max="1" width="19.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2</v>
      </c>
      <c r="B3" t="s">
        <v>3903</v>
      </c>
    </row>
    <row r="4" spans="1:2" x14ac:dyDescent="0.2">
      <c r="A4" t="s">
        <v>287</v>
      </c>
      <c r="B4">
        <v>29</v>
      </c>
    </row>
    <row r="5" spans="1:2" x14ac:dyDescent="0.2">
      <c r="A5" t="s">
        <v>35</v>
      </c>
      <c r="B5">
        <v>23</v>
      </c>
    </row>
    <row r="6" spans="1:2" x14ac:dyDescent="0.2">
      <c r="A6" t="s">
        <v>363</v>
      </c>
      <c r="B6">
        <v>23</v>
      </c>
    </row>
    <row r="7" spans="1:2" x14ac:dyDescent="0.2">
      <c r="A7" t="s">
        <v>176</v>
      </c>
      <c r="B7">
        <v>22</v>
      </c>
    </row>
    <row r="8" spans="1:2" x14ac:dyDescent="0.2">
      <c r="A8" t="s">
        <v>32</v>
      </c>
      <c r="B8">
        <v>22</v>
      </c>
    </row>
    <row r="9" spans="1:2" x14ac:dyDescent="0.2">
      <c r="A9" t="s">
        <v>542</v>
      </c>
      <c r="B9">
        <v>20</v>
      </c>
    </row>
    <row r="10" spans="1:2" x14ac:dyDescent="0.2">
      <c r="A10" t="s">
        <v>93</v>
      </c>
      <c r="B10">
        <v>20</v>
      </c>
    </row>
    <row r="11" spans="1:2" x14ac:dyDescent="0.2">
      <c r="A11" t="s">
        <v>315</v>
      </c>
      <c r="B11">
        <v>19</v>
      </c>
    </row>
    <row r="12" spans="1:2" x14ac:dyDescent="0.2">
      <c r="A12" t="s">
        <v>131</v>
      </c>
      <c r="B12">
        <v>19</v>
      </c>
    </row>
    <row r="13" spans="1:2" x14ac:dyDescent="0.2">
      <c r="A13" t="s">
        <v>454</v>
      </c>
      <c r="B13">
        <v>19</v>
      </c>
    </row>
    <row r="14" spans="1:2" x14ac:dyDescent="0.2">
      <c r="A14" t="s">
        <v>240</v>
      </c>
      <c r="B14">
        <v>18</v>
      </c>
    </row>
    <row r="15" spans="1:2" x14ac:dyDescent="0.2">
      <c r="A15" t="s">
        <v>71</v>
      </c>
      <c r="B15">
        <v>17</v>
      </c>
    </row>
    <row r="16" spans="1:2" x14ac:dyDescent="0.2">
      <c r="A16" t="s">
        <v>150</v>
      </c>
      <c r="B16">
        <v>17</v>
      </c>
    </row>
    <row r="17" spans="1:2" x14ac:dyDescent="0.2">
      <c r="A17" t="s">
        <v>80</v>
      </c>
      <c r="B17">
        <v>16</v>
      </c>
    </row>
    <row r="18" spans="1:2" x14ac:dyDescent="0.2">
      <c r="A18" t="s">
        <v>76</v>
      </c>
      <c r="B18">
        <v>16</v>
      </c>
    </row>
    <row r="19" spans="1:2" x14ac:dyDescent="0.2">
      <c r="A19" t="s">
        <v>720</v>
      </c>
      <c r="B19">
        <v>16</v>
      </c>
    </row>
    <row r="20" spans="1:2" x14ac:dyDescent="0.2">
      <c r="A20" t="s">
        <v>18</v>
      </c>
      <c r="B20">
        <v>16</v>
      </c>
    </row>
    <row r="21" spans="1:2" x14ac:dyDescent="0.2">
      <c r="A21" t="s">
        <v>59</v>
      </c>
      <c r="B21">
        <v>15</v>
      </c>
    </row>
    <row r="22" spans="1:2" x14ac:dyDescent="0.2">
      <c r="A22" t="s">
        <v>265</v>
      </c>
      <c r="B22">
        <v>15</v>
      </c>
    </row>
    <row r="23" spans="1:2" x14ac:dyDescent="0.2">
      <c r="A23" t="s">
        <v>121</v>
      </c>
      <c r="B23">
        <v>15</v>
      </c>
    </row>
    <row r="24" spans="1:2" x14ac:dyDescent="0.2">
      <c r="A24" t="s">
        <v>521</v>
      </c>
      <c r="B24">
        <v>14</v>
      </c>
    </row>
    <row r="25" spans="1:2" x14ac:dyDescent="0.2">
      <c r="A25" t="s">
        <v>38</v>
      </c>
      <c r="B25">
        <v>14</v>
      </c>
    </row>
    <row r="26" spans="1:2" x14ac:dyDescent="0.2">
      <c r="A26" t="s">
        <v>10</v>
      </c>
      <c r="B26">
        <v>13</v>
      </c>
    </row>
    <row r="27" spans="1:2" x14ac:dyDescent="0.2">
      <c r="A27" t="s">
        <v>90</v>
      </c>
      <c r="B27">
        <v>13</v>
      </c>
    </row>
    <row r="28" spans="1:2" x14ac:dyDescent="0.2">
      <c r="A28" t="s">
        <v>310</v>
      </c>
      <c r="B28">
        <v>13</v>
      </c>
    </row>
    <row r="29" spans="1:2" x14ac:dyDescent="0.2">
      <c r="A29" t="s">
        <v>110</v>
      </c>
      <c r="B29">
        <v>13</v>
      </c>
    </row>
    <row r="30" spans="1:2" x14ac:dyDescent="0.2">
      <c r="A30" t="s">
        <v>138</v>
      </c>
      <c r="B30">
        <v>12</v>
      </c>
    </row>
    <row r="31" spans="1:2" x14ac:dyDescent="0.2">
      <c r="A31" t="s">
        <v>47</v>
      </c>
      <c r="B31">
        <v>11</v>
      </c>
    </row>
    <row r="32" spans="1:2" x14ac:dyDescent="0.2">
      <c r="A32" t="s">
        <v>167</v>
      </c>
      <c r="B32">
        <v>7</v>
      </c>
    </row>
    <row r="33" spans="1:2" x14ac:dyDescent="0.2">
      <c r="A33" t="s">
        <v>282</v>
      </c>
      <c r="B33">
        <v>7</v>
      </c>
    </row>
    <row r="34" spans="1:2" x14ac:dyDescent="0.2">
      <c r="A34" t="s">
        <v>3900</v>
      </c>
      <c r="B34">
        <v>494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7A373-5357-5A4F-93FF-9DDEB68D6375}">
  <dimension ref="A1:B34"/>
  <sheetViews>
    <sheetView workbookViewId="0">
      <selection activeCell="G36" sqref="G36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2</v>
      </c>
      <c r="B3" t="s">
        <v>3912</v>
      </c>
    </row>
    <row r="4" spans="1:2" x14ac:dyDescent="0.2">
      <c r="A4" t="s">
        <v>35</v>
      </c>
      <c r="B4">
        <v>16</v>
      </c>
    </row>
    <row r="5" spans="1:2" x14ac:dyDescent="0.2">
      <c r="A5" t="s">
        <v>454</v>
      </c>
      <c r="B5">
        <v>14</v>
      </c>
    </row>
    <row r="6" spans="1:2" x14ac:dyDescent="0.2">
      <c r="A6" t="s">
        <v>10</v>
      </c>
      <c r="B6">
        <v>14</v>
      </c>
    </row>
    <row r="7" spans="1:2" x14ac:dyDescent="0.2">
      <c r="A7" t="s">
        <v>363</v>
      </c>
      <c r="B7">
        <v>12</v>
      </c>
    </row>
    <row r="8" spans="1:2" x14ac:dyDescent="0.2">
      <c r="A8" t="s">
        <v>110</v>
      </c>
      <c r="B8">
        <v>11</v>
      </c>
    </row>
    <row r="9" spans="1:2" x14ac:dyDescent="0.2">
      <c r="A9" t="s">
        <v>176</v>
      </c>
      <c r="B9">
        <v>10</v>
      </c>
    </row>
    <row r="10" spans="1:2" x14ac:dyDescent="0.2">
      <c r="A10" t="s">
        <v>90</v>
      </c>
      <c r="B10">
        <v>10</v>
      </c>
    </row>
    <row r="11" spans="1:2" x14ac:dyDescent="0.2">
      <c r="A11" t="s">
        <v>138</v>
      </c>
      <c r="B11">
        <v>10</v>
      </c>
    </row>
    <row r="12" spans="1:2" x14ac:dyDescent="0.2">
      <c r="A12" t="s">
        <v>542</v>
      </c>
      <c r="B12">
        <v>9</v>
      </c>
    </row>
    <row r="13" spans="1:2" x14ac:dyDescent="0.2">
      <c r="A13" t="s">
        <v>71</v>
      </c>
      <c r="B13">
        <v>9</v>
      </c>
    </row>
    <row r="14" spans="1:2" x14ac:dyDescent="0.2">
      <c r="A14" t="s">
        <v>167</v>
      </c>
      <c r="B14">
        <v>9</v>
      </c>
    </row>
    <row r="15" spans="1:2" x14ac:dyDescent="0.2">
      <c r="A15" t="s">
        <v>150</v>
      </c>
      <c r="B15">
        <v>8</v>
      </c>
    </row>
    <row r="16" spans="1:2" x14ac:dyDescent="0.2">
      <c r="A16" t="s">
        <v>121</v>
      </c>
      <c r="B16">
        <v>8</v>
      </c>
    </row>
    <row r="17" spans="1:2" x14ac:dyDescent="0.2">
      <c r="A17" t="s">
        <v>93</v>
      </c>
      <c r="B17">
        <v>7</v>
      </c>
    </row>
    <row r="18" spans="1:2" x14ac:dyDescent="0.2">
      <c r="A18" t="s">
        <v>287</v>
      </c>
      <c r="B18">
        <v>6</v>
      </c>
    </row>
    <row r="19" spans="1:2" x14ac:dyDescent="0.2">
      <c r="A19" t="s">
        <v>38</v>
      </c>
      <c r="B19">
        <v>6</v>
      </c>
    </row>
    <row r="20" spans="1:2" x14ac:dyDescent="0.2">
      <c r="A20" t="s">
        <v>131</v>
      </c>
      <c r="B20">
        <v>5</v>
      </c>
    </row>
    <row r="21" spans="1:2" x14ac:dyDescent="0.2">
      <c r="A21" t="s">
        <v>240</v>
      </c>
      <c r="B21">
        <v>5</v>
      </c>
    </row>
    <row r="22" spans="1:2" x14ac:dyDescent="0.2">
      <c r="A22" t="s">
        <v>521</v>
      </c>
      <c r="B22">
        <v>5</v>
      </c>
    </row>
    <row r="23" spans="1:2" x14ac:dyDescent="0.2">
      <c r="A23" t="s">
        <v>720</v>
      </c>
      <c r="B23">
        <v>5</v>
      </c>
    </row>
    <row r="24" spans="1:2" x14ac:dyDescent="0.2">
      <c r="A24" t="s">
        <v>310</v>
      </c>
      <c r="B24">
        <v>5</v>
      </c>
    </row>
    <row r="25" spans="1:2" x14ac:dyDescent="0.2">
      <c r="A25" t="s">
        <v>76</v>
      </c>
      <c r="B25">
        <v>5</v>
      </c>
    </row>
    <row r="26" spans="1:2" x14ac:dyDescent="0.2">
      <c r="A26" t="s">
        <v>47</v>
      </c>
      <c r="B26">
        <v>5</v>
      </c>
    </row>
    <row r="27" spans="1:2" x14ac:dyDescent="0.2">
      <c r="A27" t="s">
        <v>265</v>
      </c>
      <c r="B27">
        <v>5</v>
      </c>
    </row>
    <row r="28" spans="1:2" x14ac:dyDescent="0.2">
      <c r="A28" t="s">
        <v>18</v>
      </c>
      <c r="B28">
        <v>5</v>
      </c>
    </row>
    <row r="29" spans="1:2" x14ac:dyDescent="0.2">
      <c r="A29" t="s">
        <v>80</v>
      </c>
      <c r="B29">
        <v>4</v>
      </c>
    </row>
    <row r="30" spans="1:2" x14ac:dyDescent="0.2">
      <c r="A30" t="s">
        <v>32</v>
      </c>
      <c r="B30">
        <v>4</v>
      </c>
    </row>
    <row r="31" spans="1:2" x14ac:dyDescent="0.2">
      <c r="A31" t="s">
        <v>59</v>
      </c>
      <c r="B31">
        <v>4</v>
      </c>
    </row>
    <row r="32" spans="1:2" x14ac:dyDescent="0.2">
      <c r="A32" t="s">
        <v>315</v>
      </c>
      <c r="B32">
        <v>2</v>
      </c>
    </row>
    <row r="33" spans="1:2" x14ac:dyDescent="0.2">
      <c r="A33" t="s">
        <v>282</v>
      </c>
      <c r="B33">
        <v>2</v>
      </c>
    </row>
    <row r="34" spans="1:2" x14ac:dyDescent="0.2">
      <c r="A34" t="s">
        <v>3900</v>
      </c>
      <c r="B34">
        <v>220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FE36B-5A9E-C545-BB62-AC5B507295A2}">
  <dimension ref="A1:B34"/>
  <sheetViews>
    <sheetView workbookViewId="0">
      <selection activeCell="M32" sqref="M32"/>
    </sheetView>
  </sheetViews>
  <sheetFormatPr baseColWidth="10" defaultRowHeight="16" x14ac:dyDescent="0.2"/>
  <cols>
    <col min="1" max="1" width="19.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2</v>
      </c>
      <c r="B3" t="s">
        <v>3913</v>
      </c>
    </row>
    <row r="4" spans="1:2" x14ac:dyDescent="0.2">
      <c r="A4" t="s">
        <v>35</v>
      </c>
      <c r="B4">
        <v>28</v>
      </c>
    </row>
    <row r="5" spans="1:2" x14ac:dyDescent="0.2">
      <c r="A5" t="s">
        <v>10</v>
      </c>
      <c r="B5">
        <v>19</v>
      </c>
    </row>
    <row r="6" spans="1:2" x14ac:dyDescent="0.2">
      <c r="A6" t="s">
        <v>720</v>
      </c>
      <c r="B6">
        <v>18</v>
      </c>
    </row>
    <row r="7" spans="1:2" x14ac:dyDescent="0.2">
      <c r="A7" t="s">
        <v>93</v>
      </c>
      <c r="B7">
        <v>17</v>
      </c>
    </row>
    <row r="8" spans="1:2" x14ac:dyDescent="0.2">
      <c r="A8" t="s">
        <v>121</v>
      </c>
      <c r="B8">
        <v>16</v>
      </c>
    </row>
    <row r="9" spans="1:2" x14ac:dyDescent="0.2">
      <c r="A9" t="s">
        <v>32</v>
      </c>
      <c r="B9">
        <v>15</v>
      </c>
    </row>
    <row r="10" spans="1:2" x14ac:dyDescent="0.2">
      <c r="A10" t="s">
        <v>542</v>
      </c>
      <c r="B10">
        <v>15</v>
      </c>
    </row>
    <row r="11" spans="1:2" x14ac:dyDescent="0.2">
      <c r="A11" t="s">
        <v>38</v>
      </c>
      <c r="B11">
        <v>15</v>
      </c>
    </row>
    <row r="12" spans="1:2" x14ac:dyDescent="0.2">
      <c r="A12" t="s">
        <v>287</v>
      </c>
      <c r="B12">
        <v>14</v>
      </c>
    </row>
    <row r="13" spans="1:2" x14ac:dyDescent="0.2">
      <c r="A13" t="s">
        <v>176</v>
      </c>
      <c r="B13">
        <v>13</v>
      </c>
    </row>
    <row r="14" spans="1:2" x14ac:dyDescent="0.2">
      <c r="A14" t="s">
        <v>150</v>
      </c>
      <c r="B14">
        <v>12</v>
      </c>
    </row>
    <row r="15" spans="1:2" x14ac:dyDescent="0.2">
      <c r="A15" t="s">
        <v>131</v>
      </c>
      <c r="B15">
        <v>12</v>
      </c>
    </row>
    <row r="16" spans="1:2" x14ac:dyDescent="0.2">
      <c r="A16" t="s">
        <v>265</v>
      </c>
      <c r="B16">
        <v>12</v>
      </c>
    </row>
    <row r="17" spans="1:2" x14ac:dyDescent="0.2">
      <c r="A17" t="s">
        <v>310</v>
      </c>
      <c r="B17">
        <v>11</v>
      </c>
    </row>
    <row r="18" spans="1:2" x14ac:dyDescent="0.2">
      <c r="A18" t="s">
        <v>71</v>
      </c>
      <c r="B18">
        <v>11</v>
      </c>
    </row>
    <row r="19" spans="1:2" x14ac:dyDescent="0.2">
      <c r="A19" t="s">
        <v>454</v>
      </c>
      <c r="B19">
        <v>10</v>
      </c>
    </row>
    <row r="20" spans="1:2" x14ac:dyDescent="0.2">
      <c r="A20" t="s">
        <v>110</v>
      </c>
      <c r="B20">
        <v>10</v>
      </c>
    </row>
    <row r="21" spans="1:2" x14ac:dyDescent="0.2">
      <c r="A21" t="s">
        <v>363</v>
      </c>
      <c r="B21">
        <v>9</v>
      </c>
    </row>
    <row r="22" spans="1:2" x14ac:dyDescent="0.2">
      <c r="A22" t="s">
        <v>240</v>
      </c>
      <c r="B22">
        <v>9</v>
      </c>
    </row>
    <row r="23" spans="1:2" x14ac:dyDescent="0.2">
      <c r="A23" t="s">
        <v>76</v>
      </c>
      <c r="B23">
        <v>9</v>
      </c>
    </row>
    <row r="24" spans="1:2" x14ac:dyDescent="0.2">
      <c r="A24" t="s">
        <v>47</v>
      </c>
      <c r="B24">
        <v>9</v>
      </c>
    </row>
    <row r="25" spans="1:2" x14ac:dyDescent="0.2">
      <c r="A25" t="s">
        <v>521</v>
      </c>
      <c r="B25">
        <v>8</v>
      </c>
    </row>
    <row r="26" spans="1:2" x14ac:dyDescent="0.2">
      <c r="A26" t="s">
        <v>138</v>
      </c>
      <c r="B26">
        <v>8</v>
      </c>
    </row>
    <row r="27" spans="1:2" x14ac:dyDescent="0.2">
      <c r="A27" t="s">
        <v>59</v>
      </c>
      <c r="B27">
        <v>7</v>
      </c>
    </row>
    <row r="28" spans="1:2" x14ac:dyDescent="0.2">
      <c r="A28" t="s">
        <v>90</v>
      </c>
      <c r="B28">
        <v>7</v>
      </c>
    </row>
    <row r="29" spans="1:2" x14ac:dyDescent="0.2">
      <c r="A29" t="s">
        <v>167</v>
      </c>
      <c r="B29">
        <v>6</v>
      </c>
    </row>
    <row r="30" spans="1:2" x14ac:dyDescent="0.2">
      <c r="A30" t="s">
        <v>80</v>
      </c>
      <c r="B30">
        <v>6</v>
      </c>
    </row>
    <row r="31" spans="1:2" x14ac:dyDescent="0.2">
      <c r="A31" t="s">
        <v>18</v>
      </c>
      <c r="B31">
        <v>6</v>
      </c>
    </row>
    <row r="32" spans="1:2" x14ac:dyDescent="0.2">
      <c r="A32" t="s">
        <v>282</v>
      </c>
      <c r="B32">
        <v>5</v>
      </c>
    </row>
    <row r="33" spans="1:2" x14ac:dyDescent="0.2">
      <c r="A33" t="s">
        <v>315</v>
      </c>
      <c r="B33">
        <v>5</v>
      </c>
    </row>
    <row r="34" spans="1:2" x14ac:dyDescent="0.2">
      <c r="A34" t="s">
        <v>3900</v>
      </c>
      <c r="B34">
        <v>342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0CBD-B766-9B4E-B649-83DD10020769}">
  <dimension ref="A1:B34"/>
  <sheetViews>
    <sheetView workbookViewId="0">
      <selection activeCell="O8" sqref="O8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2</v>
      </c>
      <c r="B3" t="s">
        <v>3904</v>
      </c>
    </row>
    <row r="4" spans="1:2" x14ac:dyDescent="0.2">
      <c r="A4" t="s">
        <v>720</v>
      </c>
      <c r="B4">
        <v>25</v>
      </c>
    </row>
    <row r="5" spans="1:2" x14ac:dyDescent="0.2">
      <c r="A5" t="s">
        <v>93</v>
      </c>
      <c r="B5">
        <v>20</v>
      </c>
    </row>
    <row r="6" spans="1:2" x14ac:dyDescent="0.2">
      <c r="A6" t="s">
        <v>363</v>
      </c>
      <c r="B6">
        <v>18</v>
      </c>
    </row>
    <row r="7" spans="1:2" x14ac:dyDescent="0.2">
      <c r="A7" t="s">
        <v>38</v>
      </c>
      <c r="B7">
        <v>16</v>
      </c>
    </row>
    <row r="8" spans="1:2" x14ac:dyDescent="0.2">
      <c r="A8" t="s">
        <v>176</v>
      </c>
      <c r="B8">
        <v>16</v>
      </c>
    </row>
    <row r="9" spans="1:2" x14ac:dyDescent="0.2">
      <c r="A9" t="s">
        <v>131</v>
      </c>
      <c r="B9">
        <v>15</v>
      </c>
    </row>
    <row r="10" spans="1:2" x14ac:dyDescent="0.2">
      <c r="A10" t="s">
        <v>80</v>
      </c>
      <c r="B10">
        <v>15</v>
      </c>
    </row>
    <row r="11" spans="1:2" x14ac:dyDescent="0.2">
      <c r="A11" t="s">
        <v>150</v>
      </c>
      <c r="B11">
        <v>14</v>
      </c>
    </row>
    <row r="12" spans="1:2" x14ac:dyDescent="0.2">
      <c r="A12" t="s">
        <v>287</v>
      </c>
      <c r="B12">
        <v>13</v>
      </c>
    </row>
    <row r="13" spans="1:2" x14ac:dyDescent="0.2">
      <c r="A13" t="s">
        <v>35</v>
      </c>
      <c r="B13">
        <v>13</v>
      </c>
    </row>
    <row r="14" spans="1:2" x14ac:dyDescent="0.2">
      <c r="A14" t="s">
        <v>521</v>
      </c>
      <c r="B14">
        <v>13</v>
      </c>
    </row>
    <row r="15" spans="1:2" x14ac:dyDescent="0.2">
      <c r="A15" t="s">
        <v>71</v>
      </c>
      <c r="B15">
        <v>13</v>
      </c>
    </row>
    <row r="16" spans="1:2" x14ac:dyDescent="0.2">
      <c r="A16" t="s">
        <v>265</v>
      </c>
      <c r="B16">
        <v>12</v>
      </c>
    </row>
    <row r="17" spans="1:2" x14ac:dyDescent="0.2">
      <c r="A17" t="s">
        <v>454</v>
      </c>
      <c r="B17">
        <v>12</v>
      </c>
    </row>
    <row r="18" spans="1:2" x14ac:dyDescent="0.2">
      <c r="A18" t="s">
        <v>240</v>
      </c>
      <c r="B18">
        <v>12</v>
      </c>
    </row>
    <row r="19" spans="1:2" x14ac:dyDescent="0.2">
      <c r="A19" t="s">
        <v>32</v>
      </c>
      <c r="B19">
        <v>12</v>
      </c>
    </row>
    <row r="20" spans="1:2" x14ac:dyDescent="0.2">
      <c r="A20" t="s">
        <v>167</v>
      </c>
      <c r="B20">
        <v>11</v>
      </c>
    </row>
    <row r="21" spans="1:2" x14ac:dyDescent="0.2">
      <c r="A21" t="s">
        <v>47</v>
      </c>
      <c r="B21">
        <v>11</v>
      </c>
    </row>
    <row r="22" spans="1:2" x14ac:dyDescent="0.2">
      <c r="A22" t="s">
        <v>542</v>
      </c>
      <c r="B22">
        <v>10</v>
      </c>
    </row>
    <row r="23" spans="1:2" x14ac:dyDescent="0.2">
      <c r="A23" t="s">
        <v>10</v>
      </c>
      <c r="B23">
        <v>10</v>
      </c>
    </row>
    <row r="24" spans="1:2" x14ac:dyDescent="0.2">
      <c r="A24" t="s">
        <v>76</v>
      </c>
      <c r="B24">
        <v>10</v>
      </c>
    </row>
    <row r="25" spans="1:2" x14ac:dyDescent="0.2">
      <c r="A25" t="s">
        <v>138</v>
      </c>
      <c r="B25">
        <v>10</v>
      </c>
    </row>
    <row r="26" spans="1:2" x14ac:dyDescent="0.2">
      <c r="A26" t="s">
        <v>59</v>
      </c>
      <c r="B26">
        <v>10</v>
      </c>
    </row>
    <row r="27" spans="1:2" x14ac:dyDescent="0.2">
      <c r="A27" t="s">
        <v>110</v>
      </c>
      <c r="B27">
        <v>10</v>
      </c>
    </row>
    <row r="28" spans="1:2" x14ac:dyDescent="0.2">
      <c r="A28" t="s">
        <v>121</v>
      </c>
      <c r="B28">
        <v>8</v>
      </c>
    </row>
    <row r="29" spans="1:2" x14ac:dyDescent="0.2">
      <c r="A29" t="s">
        <v>310</v>
      </c>
      <c r="B29">
        <v>8</v>
      </c>
    </row>
    <row r="30" spans="1:2" x14ac:dyDescent="0.2">
      <c r="A30" t="s">
        <v>315</v>
      </c>
      <c r="B30">
        <v>7</v>
      </c>
    </row>
    <row r="31" spans="1:2" x14ac:dyDescent="0.2">
      <c r="A31" t="s">
        <v>18</v>
      </c>
      <c r="B31">
        <v>7</v>
      </c>
    </row>
    <row r="32" spans="1:2" x14ac:dyDescent="0.2">
      <c r="A32" t="s">
        <v>90</v>
      </c>
      <c r="B32">
        <v>5</v>
      </c>
    </row>
    <row r="33" spans="1:2" x14ac:dyDescent="0.2">
      <c r="A33" t="s">
        <v>282</v>
      </c>
      <c r="B33">
        <v>3</v>
      </c>
    </row>
    <row r="34" spans="1:2" x14ac:dyDescent="0.2">
      <c r="A34" t="s">
        <v>3900</v>
      </c>
      <c r="B34">
        <v>359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F1B65-21BB-3B4E-B8E2-CB2E6B336B17}">
  <dimension ref="A1:I65"/>
  <sheetViews>
    <sheetView topLeftCell="A66" workbookViewId="0">
      <selection activeCell="G75" sqref="G75"/>
    </sheetView>
  </sheetViews>
  <sheetFormatPr baseColWidth="10" defaultRowHeight="16" x14ac:dyDescent="0.2"/>
  <cols>
    <col min="1" max="1" width="19.5" bestFit="1" customWidth="1"/>
    <col min="2" max="2" width="21" bestFit="1" customWidth="1"/>
    <col min="3" max="3" width="23" customWidth="1"/>
    <col min="4" max="4" width="19.5" bestFit="1" customWidth="1"/>
    <col min="5" max="5" width="20.1640625" bestFit="1" customWidth="1"/>
    <col min="6" max="6" width="20.33203125" customWidth="1"/>
    <col min="7" max="7" width="22.1640625" customWidth="1"/>
    <col min="8" max="8" width="17.1640625" customWidth="1"/>
    <col min="9" max="9" width="16.33203125" customWidth="1"/>
  </cols>
  <sheetData>
    <row r="1" spans="1:9" x14ac:dyDescent="0.2">
      <c r="A1" t="s">
        <v>2</v>
      </c>
      <c r="B1" t="s">
        <v>3905</v>
      </c>
      <c r="C1" t="s">
        <v>3906</v>
      </c>
      <c r="D1" t="s">
        <v>3907</v>
      </c>
      <c r="E1" t="s">
        <v>3914</v>
      </c>
      <c r="F1" t="s">
        <v>3908</v>
      </c>
      <c r="G1" t="s">
        <v>3909</v>
      </c>
      <c r="H1" t="s">
        <v>3910</v>
      </c>
      <c r="I1" t="s">
        <v>3911</v>
      </c>
    </row>
    <row r="2" spans="1:9" x14ac:dyDescent="0.2">
      <c r="A2" t="s">
        <v>32</v>
      </c>
      <c r="B2">
        <f>_xlfn.XLOOKUP(A2, 'Hires by Classification'!A$4:A$33, 'Hires by Classification'!B$4:B$33, "NA", 0)</f>
        <v>39</v>
      </c>
      <c r="C2">
        <f>_xlfn.XLOOKUP(A2, 'Declinations by Classification'!A$4:A$33, 'Declinations by Classification'!B$4:B$33, "NA", 0)</f>
        <v>22</v>
      </c>
      <c r="D2">
        <f>_xlfn.XLOOKUP(A2, 'Rescinded by Classification'!A$4:A$33, 'Rescinded by Classification'!B$4:B$33, "NA", 0)</f>
        <v>4</v>
      </c>
      <c r="E2">
        <f>B2 + C2 + D2</f>
        <v>65</v>
      </c>
      <c r="F2">
        <f>_xlfn.XLOOKUP(A2, 'Transfers by Classification'!A$4:A$33, 'Transfers by Classification'!B$4:B$33, "NA", 0)</f>
        <v>15</v>
      </c>
      <c r="G2">
        <f>_xlfn.XLOOKUP(A2, 'Promos by Classification'!A$4:A$33, 'Promos by Classification'!B$4:B$33, "NA", 0)</f>
        <v>12</v>
      </c>
      <c r="H2" s="3">
        <f>C2 / E2</f>
        <v>0.33846153846153848</v>
      </c>
      <c r="I2" s="3">
        <f>G2 / B2</f>
        <v>0.30769230769230771</v>
      </c>
    </row>
    <row r="3" spans="1:9" x14ac:dyDescent="0.2">
      <c r="A3" t="s">
        <v>310</v>
      </c>
      <c r="B3">
        <f>_xlfn.XLOOKUP(A3, 'Hires by Classification'!A$4:A$33, 'Hires by Classification'!B$4:B$33, "NA", 0)</f>
        <v>52</v>
      </c>
      <c r="C3">
        <f>_xlfn.XLOOKUP(A3, 'Declinations by Classification'!A$4:A$33, 'Declinations by Classification'!B$4:B$33, "NA", 0)</f>
        <v>13</v>
      </c>
      <c r="D3">
        <f>_xlfn.XLOOKUP(A3, 'Rescinded by Classification'!A$4:A$33, 'Rescinded by Classification'!B$4:B$33, "NA", 0)</f>
        <v>5</v>
      </c>
      <c r="E3">
        <f t="shared" ref="E3:E31" si="0">B3 + C3 + D3</f>
        <v>70</v>
      </c>
      <c r="F3">
        <f>_xlfn.XLOOKUP(A3, 'Transfers by Classification'!A$4:A$33, 'Transfers by Classification'!B$4:B$33, "NA", 0)</f>
        <v>11</v>
      </c>
      <c r="G3">
        <f>_xlfn.XLOOKUP(A3, 'Promos by Classification'!A$4:A$33, 'Promos by Classification'!B$4:B$33, "NA", 0)</f>
        <v>8</v>
      </c>
      <c r="H3" s="3">
        <f t="shared" ref="H3:H31" si="1">C3 / E3</f>
        <v>0.18571428571428572</v>
      </c>
      <c r="I3" s="3">
        <f t="shared" ref="I3:I31" si="2">G3 / B3</f>
        <v>0.15384615384615385</v>
      </c>
    </row>
    <row r="4" spans="1:9" x14ac:dyDescent="0.2">
      <c r="A4" t="s">
        <v>542</v>
      </c>
      <c r="B4">
        <f>_xlfn.XLOOKUP(A4, 'Hires by Classification'!A$4:A$33, 'Hires by Classification'!B$4:B$33, "NA", 0)</f>
        <v>58</v>
      </c>
      <c r="C4">
        <f>_xlfn.XLOOKUP(A4, 'Declinations by Classification'!A$4:A$33, 'Declinations by Classification'!B$4:B$33, "NA", 0)</f>
        <v>20</v>
      </c>
      <c r="D4">
        <f>_xlfn.XLOOKUP(A4, 'Rescinded by Classification'!A$4:A$33, 'Rescinded by Classification'!B$4:B$33, "NA", 0)</f>
        <v>9</v>
      </c>
      <c r="E4">
        <f t="shared" si="0"/>
        <v>87</v>
      </c>
      <c r="F4">
        <f>_xlfn.XLOOKUP(A4, 'Transfers by Classification'!A$4:A$33, 'Transfers by Classification'!B$4:B$33, "NA", 0)</f>
        <v>15</v>
      </c>
      <c r="G4">
        <f>_xlfn.XLOOKUP(A4, 'Promos by Classification'!A$4:A$33, 'Promos by Classification'!B$4:B$33, "NA", 0)</f>
        <v>10</v>
      </c>
      <c r="H4" s="3">
        <f t="shared" si="1"/>
        <v>0.22988505747126436</v>
      </c>
      <c r="I4" s="3">
        <f t="shared" si="2"/>
        <v>0.17241379310344829</v>
      </c>
    </row>
    <row r="5" spans="1:9" x14ac:dyDescent="0.2">
      <c r="A5" t="s">
        <v>138</v>
      </c>
      <c r="B5">
        <f>_xlfn.XLOOKUP(A5, 'Hires by Classification'!A$4:A$33, 'Hires by Classification'!B$4:B$33, "NA", 0)</f>
        <v>47</v>
      </c>
      <c r="C5">
        <f>_xlfn.XLOOKUP(A5, 'Declinations by Classification'!A$4:A$33, 'Declinations by Classification'!B$4:B$33, "NA", 0)</f>
        <v>12</v>
      </c>
      <c r="D5">
        <f>_xlfn.XLOOKUP(A5, 'Rescinded by Classification'!A$4:A$33, 'Rescinded by Classification'!B$4:B$33, "NA", 0)</f>
        <v>10</v>
      </c>
      <c r="E5">
        <f t="shared" si="0"/>
        <v>69</v>
      </c>
      <c r="F5">
        <f>_xlfn.XLOOKUP(A5, 'Transfers by Classification'!A$4:A$33, 'Transfers by Classification'!B$4:B$33, "NA", 0)</f>
        <v>8</v>
      </c>
      <c r="G5">
        <f>_xlfn.XLOOKUP(A5, 'Promos by Classification'!A$4:A$33, 'Promos by Classification'!B$4:B$33, "NA", 0)</f>
        <v>10</v>
      </c>
      <c r="H5" s="3">
        <f t="shared" si="1"/>
        <v>0.17391304347826086</v>
      </c>
      <c r="I5" s="3">
        <f t="shared" si="2"/>
        <v>0.21276595744680851</v>
      </c>
    </row>
    <row r="6" spans="1:9" x14ac:dyDescent="0.2">
      <c r="A6" t="s">
        <v>363</v>
      </c>
      <c r="B6">
        <f>_xlfn.XLOOKUP(A6, 'Hires by Classification'!A$4:A$33, 'Hires by Classification'!B$4:B$33, "NA", 0)</f>
        <v>63</v>
      </c>
      <c r="C6">
        <f>_xlfn.XLOOKUP(A6, 'Declinations by Classification'!A$4:A$33, 'Declinations by Classification'!B$4:B$33, "NA", 0)</f>
        <v>23</v>
      </c>
      <c r="D6">
        <f>_xlfn.XLOOKUP(A6, 'Rescinded by Classification'!A$4:A$33, 'Rescinded by Classification'!B$4:B$33, "NA", 0)</f>
        <v>12</v>
      </c>
      <c r="E6">
        <f t="shared" si="0"/>
        <v>98</v>
      </c>
      <c r="F6">
        <f>_xlfn.XLOOKUP(A6, 'Transfers by Classification'!A$4:A$33, 'Transfers by Classification'!B$4:B$33, "NA", 0)</f>
        <v>9</v>
      </c>
      <c r="G6">
        <f>_xlfn.XLOOKUP(A6, 'Promos by Classification'!A$4:A$33, 'Promos by Classification'!B$4:B$33, "NA", 0)</f>
        <v>18</v>
      </c>
      <c r="H6" s="3">
        <f t="shared" si="1"/>
        <v>0.23469387755102042</v>
      </c>
      <c r="I6" s="3">
        <f t="shared" si="2"/>
        <v>0.2857142857142857</v>
      </c>
    </row>
    <row r="7" spans="1:9" x14ac:dyDescent="0.2">
      <c r="A7" t="s">
        <v>93</v>
      </c>
      <c r="B7">
        <f>_xlfn.XLOOKUP(A7, 'Hires by Classification'!A$4:A$33, 'Hires by Classification'!B$4:B$33, "NA", 0)</f>
        <v>57</v>
      </c>
      <c r="C7">
        <f>_xlfn.XLOOKUP(A7, 'Declinations by Classification'!A$4:A$33, 'Declinations by Classification'!B$4:B$33, "NA", 0)</f>
        <v>20</v>
      </c>
      <c r="D7">
        <f>_xlfn.XLOOKUP(A7, 'Rescinded by Classification'!A$4:A$33, 'Rescinded by Classification'!B$4:B$33, "NA", 0)</f>
        <v>7</v>
      </c>
      <c r="E7">
        <f t="shared" si="0"/>
        <v>84</v>
      </c>
      <c r="F7">
        <f>_xlfn.XLOOKUP(A7, 'Transfers by Classification'!A$4:A$33, 'Transfers by Classification'!B$4:B$33, "NA", 0)</f>
        <v>17</v>
      </c>
      <c r="G7">
        <f>_xlfn.XLOOKUP(A7, 'Promos by Classification'!A$4:A$33, 'Promos by Classification'!B$4:B$33, "NA", 0)</f>
        <v>20</v>
      </c>
      <c r="H7" s="3">
        <f t="shared" si="1"/>
        <v>0.23809523809523808</v>
      </c>
      <c r="I7" s="3">
        <f t="shared" si="2"/>
        <v>0.35087719298245612</v>
      </c>
    </row>
    <row r="8" spans="1:9" x14ac:dyDescent="0.2">
      <c r="A8" t="s">
        <v>240</v>
      </c>
      <c r="B8">
        <f>_xlfn.XLOOKUP(A8, 'Hires by Classification'!A$4:A$33, 'Hires by Classification'!B$4:B$33, "NA", 0)</f>
        <v>43</v>
      </c>
      <c r="C8">
        <f>_xlfn.XLOOKUP(A8, 'Declinations by Classification'!A$4:A$33, 'Declinations by Classification'!B$4:B$33, "NA", 0)</f>
        <v>18</v>
      </c>
      <c r="D8">
        <f>_xlfn.XLOOKUP(A8, 'Rescinded by Classification'!A$4:A$33, 'Rescinded by Classification'!B$4:B$33, "NA", 0)</f>
        <v>5</v>
      </c>
      <c r="E8">
        <f t="shared" si="0"/>
        <v>66</v>
      </c>
      <c r="F8">
        <f>_xlfn.XLOOKUP(A8, 'Transfers by Classification'!A$4:A$33, 'Transfers by Classification'!B$4:B$33, "NA", 0)</f>
        <v>9</v>
      </c>
      <c r="G8">
        <f>_xlfn.XLOOKUP(A8, 'Promos by Classification'!A$4:A$33, 'Promos by Classification'!B$4:B$33, "NA", 0)</f>
        <v>12</v>
      </c>
      <c r="H8" s="3">
        <f t="shared" si="1"/>
        <v>0.27272727272727271</v>
      </c>
      <c r="I8" s="3">
        <f t="shared" si="2"/>
        <v>0.27906976744186046</v>
      </c>
    </row>
    <row r="9" spans="1:9" x14ac:dyDescent="0.2">
      <c r="A9" t="s">
        <v>521</v>
      </c>
      <c r="B9">
        <f>_xlfn.XLOOKUP(A9, 'Hires by Classification'!A$4:A$33, 'Hires by Classification'!B$4:B$33, "NA", 0)</f>
        <v>29</v>
      </c>
      <c r="C9">
        <f>_xlfn.XLOOKUP(A9, 'Declinations by Classification'!A$4:A$33, 'Declinations by Classification'!B$4:B$33, "NA", 0)</f>
        <v>14</v>
      </c>
      <c r="D9">
        <f>_xlfn.XLOOKUP(A9, 'Rescinded by Classification'!A$4:A$33, 'Rescinded by Classification'!B$4:B$33, "NA", 0)</f>
        <v>5</v>
      </c>
      <c r="E9">
        <f t="shared" si="0"/>
        <v>48</v>
      </c>
      <c r="F9">
        <f>_xlfn.XLOOKUP(A9, 'Transfers by Classification'!A$4:A$33, 'Transfers by Classification'!B$4:B$33, "NA", 0)</f>
        <v>8</v>
      </c>
      <c r="G9">
        <f>_xlfn.XLOOKUP(A9, 'Promos by Classification'!A$4:A$33, 'Promos by Classification'!B$4:B$33, "NA", 0)</f>
        <v>13</v>
      </c>
      <c r="H9" s="3">
        <f t="shared" si="1"/>
        <v>0.29166666666666669</v>
      </c>
      <c r="I9" s="3">
        <f t="shared" si="2"/>
        <v>0.44827586206896552</v>
      </c>
    </row>
    <row r="10" spans="1:9" x14ac:dyDescent="0.2">
      <c r="A10" t="s">
        <v>167</v>
      </c>
      <c r="B10">
        <f>_xlfn.XLOOKUP(A10, 'Hires by Classification'!A$4:A$33, 'Hires by Classification'!B$4:B$33, "NA", 0)</f>
        <v>41</v>
      </c>
      <c r="C10">
        <f>_xlfn.XLOOKUP(A10, 'Declinations by Classification'!A$4:A$33, 'Declinations by Classification'!B$4:B$33, "NA", 0)</f>
        <v>7</v>
      </c>
      <c r="D10">
        <f>_xlfn.XLOOKUP(A10, 'Rescinded by Classification'!A$4:A$33, 'Rescinded by Classification'!B$4:B$33, "NA", 0)</f>
        <v>9</v>
      </c>
      <c r="E10">
        <f t="shared" si="0"/>
        <v>57</v>
      </c>
      <c r="F10">
        <f>_xlfn.XLOOKUP(A10, 'Transfers by Classification'!A$4:A$33, 'Transfers by Classification'!B$4:B$33, "NA", 0)</f>
        <v>6</v>
      </c>
      <c r="G10">
        <f>_xlfn.XLOOKUP(A10, 'Promos by Classification'!A$4:A$33, 'Promos by Classification'!B$4:B$33, "NA", 0)</f>
        <v>11</v>
      </c>
      <c r="H10" s="3">
        <f t="shared" si="1"/>
        <v>0.12280701754385964</v>
      </c>
      <c r="I10" s="3">
        <f t="shared" si="2"/>
        <v>0.26829268292682928</v>
      </c>
    </row>
    <row r="11" spans="1:9" x14ac:dyDescent="0.2">
      <c r="A11" t="s">
        <v>121</v>
      </c>
      <c r="B11">
        <f>_xlfn.XLOOKUP(A11, 'Hires by Classification'!A$4:A$33, 'Hires by Classification'!B$4:B$33, "NA", 0)</f>
        <v>63</v>
      </c>
      <c r="C11">
        <f>_xlfn.XLOOKUP(A11, 'Declinations by Classification'!A$4:A$33, 'Declinations by Classification'!B$4:B$33, "NA", 0)</f>
        <v>15</v>
      </c>
      <c r="D11">
        <f>_xlfn.XLOOKUP(A11, 'Rescinded by Classification'!A$4:A$33, 'Rescinded by Classification'!B$4:B$33, "NA", 0)</f>
        <v>8</v>
      </c>
      <c r="E11">
        <f t="shared" si="0"/>
        <v>86</v>
      </c>
      <c r="F11">
        <f>_xlfn.XLOOKUP(A11, 'Transfers by Classification'!A$4:A$33, 'Transfers by Classification'!B$4:B$33, "NA", 0)</f>
        <v>16</v>
      </c>
      <c r="G11">
        <f>_xlfn.XLOOKUP(A11, 'Promos by Classification'!A$4:A$33, 'Promos by Classification'!B$4:B$33, "NA", 0)</f>
        <v>8</v>
      </c>
      <c r="H11" s="3">
        <f t="shared" si="1"/>
        <v>0.1744186046511628</v>
      </c>
      <c r="I11" s="3">
        <f t="shared" si="2"/>
        <v>0.12698412698412698</v>
      </c>
    </row>
    <row r="12" spans="1:9" x14ac:dyDescent="0.2">
      <c r="A12" t="s">
        <v>71</v>
      </c>
      <c r="B12">
        <f>_xlfn.XLOOKUP(A12, 'Hires by Classification'!A$4:A$33, 'Hires by Classification'!B$4:B$33, "NA", 0)</f>
        <v>49</v>
      </c>
      <c r="C12">
        <f>_xlfn.XLOOKUP(A12, 'Declinations by Classification'!A$4:A$33, 'Declinations by Classification'!B$4:B$33, "NA", 0)</f>
        <v>17</v>
      </c>
      <c r="D12">
        <f>_xlfn.XLOOKUP(A12, 'Rescinded by Classification'!A$4:A$33, 'Rescinded by Classification'!B$4:B$33, "NA", 0)</f>
        <v>9</v>
      </c>
      <c r="E12">
        <f t="shared" si="0"/>
        <v>75</v>
      </c>
      <c r="F12">
        <f>_xlfn.XLOOKUP(A12, 'Transfers by Classification'!A$4:A$33, 'Transfers by Classification'!B$4:B$33, "NA", 0)</f>
        <v>11</v>
      </c>
      <c r="G12">
        <f>_xlfn.XLOOKUP(A12, 'Promos by Classification'!A$4:A$33, 'Promos by Classification'!B$4:B$33, "NA", 0)</f>
        <v>13</v>
      </c>
      <c r="H12" s="3">
        <f t="shared" si="1"/>
        <v>0.22666666666666666</v>
      </c>
      <c r="I12" s="3">
        <f t="shared" si="2"/>
        <v>0.26530612244897961</v>
      </c>
    </row>
    <row r="13" spans="1:9" x14ac:dyDescent="0.2">
      <c r="A13" t="s">
        <v>287</v>
      </c>
      <c r="B13">
        <f>_xlfn.XLOOKUP(A13, 'Hires by Classification'!A$4:A$33, 'Hires by Classification'!B$4:B$33, "NA", 0)</f>
        <v>58</v>
      </c>
      <c r="C13">
        <f>_xlfn.XLOOKUP(A13, 'Declinations by Classification'!A$4:A$33, 'Declinations by Classification'!B$4:B$33, "NA", 0)</f>
        <v>29</v>
      </c>
      <c r="D13">
        <f>_xlfn.XLOOKUP(A13, 'Rescinded by Classification'!A$4:A$33, 'Rescinded by Classification'!B$4:B$33, "NA", 0)</f>
        <v>6</v>
      </c>
      <c r="E13">
        <f t="shared" si="0"/>
        <v>93</v>
      </c>
      <c r="F13">
        <f>_xlfn.XLOOKUP(A13, 'Transfers by Classification'!A$4:A$33, 'Transfers by Classification'!B$4:B$33, "NA", 0)</f>
        <v>14</v>
      </c>
      <c r="G13">
        <f>_xlfn.XLOOKUP(A13, 'Promos by Classification'!A$4:A$33, 'Promos by Classification'!B$4:B$33, "NA", 0)</f>
        <v>13</v>
      </c>
      <c r="H13" s="3">
        <f t="shared" si="1"/>
        <v>0.31182795698924731</v>
      </c>
      <c r="I13" s="3">
        <f t="shared" si="2"/>
        <v>0.22413793103448276</v>
      </c>
    </row>
    <row r="14" spans="1:9" x14ac:dyDescent="0.2">
      <c r="A14" t="s">
        <v>176</v>
      </c>
      <c r="B14">
        <f>_xlfn.XLOOKUP(A14, 'Hires by Classification'!A$4:A$33, 'Hires by Classification'!B$4:B$33, "NA", 0)</f>
        <v>65</v>
      </c>
      <c r="C14">
        <f>_xlfn.XLOOKUP(A14, 'Declinations by Classification'!A$4:A$33, 'Declinations by Classification'!B$4:B$33, "NA", 0)</f>
        <v>22</v>
      </c>
      <c r="D14">
        <f>_xlfn.XLOOKUP(A14, 'Rescinded by Classification'!A$4:A$33, 'Rescinded by Classification'!B$4:B$33, "NA", 0)</f>
        <v>10</v>
      </c>
      <c r="E14">
        <f t="shared" si="0"/>
        <v>97</v>
      </c>
      <c r="F14">
        <f>_xlfn.XLOOKUP(A14, 'Transfers by Classification'!A$4:A$33, 'Transfers by Classification'!B$4:B$33, "NA", 0)</f>
        <v>13</v>
      </c>
      <c r="G14">
        <f>_xlfn.XLOOKUP(A14, 'Promos by Classification'!A$4:A$33, 'Promos by Classification'!B$4:B$33, "NA", 0)</f>
        <v>16</v>
      </c>
      <c r="H14" s="3">
        <f t="shared" si="1"/>
        <v>0.22680412371134021</v>
      </c>
      <c r="I14" s="3">
        <f t="shared" si="2"/>
        <v>0.24615384615384617</v>
      </c>
    </row>
    <row r="15" spans="1:9" x14ac:dyDescent="0.2">
      <c r="A15" t="s">
        <v>282</v>
      </c>
      <c r="B15">
        <f>_xlfn.XLOOKUP(A15, 'Hires by Classification'!A$4:A$33, 'Hires by Classification'!B$4:B$33, "NA", 0)</f>
        <v>21</v>
      </c>
      <c r="C15">
        <f>_xlfn.XLOOKUP(A15, 'Declinations by Classification'!A$4:A$33, 'Declinations by Classification'!B$4:B$33, "NA", 0)</f>
        <v>7</v>
      </c>
      <c r="D15">
        <f>_xlfn.XLOOKUP(A15, 'Rescinded by Classification'!A$4:A$33, 'Rescinded by Classification'!B$4:B$33, "NA", 0)</f>
        <v>2</v>
      </c>
      <c r="E15">
        <f t="shared" si="0"/>
        <v>30</v>
      </c>
      <c r="F15">
        <f>_xlfn.XLOOKUP(A15, 'Transfers by Classification'!A$4:A$33, 'Transfers by Classification'!B$4:B$33, "NA", 0)</f>
        <v>5</v>
      </c>
      <c r="G15">
        <f>_xlfn.XLOOKUP(A15, 'Promos by Classification'!A$4:A$33, 'Promos by Classification'!B$4:B$33, "NA", 0)</f>
        <v>3</v>
      </c>
      <c r="H15" s="3">
        <f t="shared" si="1"/>
        <v>0.23333333333333334</v>
      </c>
      <c r="I15" s="3">
        <f t="shared" si="2"/>
        <v>0.14285714285714285</v>
      </c>
    </row>
    <row r="16" spans="1:9" x14ac:dyDescent="0.2">
      <c r="A16" t="s">
        <v>110</v>
      </c>
      <c r="B16">
        <f>_xlfn.XLOOKUP(A16, 'Hires by Classification'!A$4:A$33, 'Hires by Classification'!B$4:B$33, "NA", 0)</f>
        <v>46</v>
      </c>
      <c r="C16">
        <f>_xlfn.XLOOKUP(A16, 'Declinations by Classification'!A$4:A$33, 'Declinations by Classification'!B$4:B$33, "NA", 0)</f>
        <v>13</v>
      </c>
      <c r="D16">
        <f>_xlfn.XLOOKUP(A16, 'Rescinded by Classification'!A$4:A$33, 'Rescinded by Classification'!B$4:B$33, "NA", 0)</f>
        <v>11</v>
      </c>
      <c r="E16">
        <f t="shared" si="0"/>
        <v>70</v>
      </c>
      <c r="F16">
        <f>_xlfn.XLOOKUP(A16, 'Transfers by Classification'!A$4:A$33, 'Transfers by Classification'!B$4:B$33, "NA", 0)</f>
        <v>10</v>
      </c>
      <c r="G16">
        <f>_xlfn.XLOOKUP(A16, 'Promos by Classification'!A$4:A$33, 'Promos by Classification'!B$4:B$33, "NA", 0)</f>
        <v>10</v>
      </c>
      <c r="H16" s="3">
        <f t="shared" si="1"/>
        <v>0.18571428571428572</v>
      </c>
      <c r="I16" s="3">
        <f t="shared" si="2"/>
        <v>0.21739130434782608</v>
      </c>
    </row>
    <row r="17" spans="1:9" x14ac:dyDescent="0.2">
      <c r="A17" t="s">
        <v>38</v>
      </c>
      <c r="B17">
        <f>_xlfn.XLOOKUP(A17, 'Hires by Classification'!A$4:A$33, 'Hires by Classification'!B$4:B$33, "NA", 0)</f>
        <v>43</v>
      </c>
      <c r="C17">
        <f>_xlfn.XLOOKUP(A17, 'Declinations by Classification'!A$4:A$33, 'Declinations by Classification'!B$4:B$33, "NA", 0)</f>
        <v>14</v>
      </c>
      <c r="D17">
        <f>_xlfn.XLOOKUP(A17, 'Rescinded by Classification'!A$4:A$33, 'Rescinded by Classification'!B$4:B$33, "NA", 0)</f>
        <v>6</v>
      </c>
      <c r="E17">
        <f t="shared" si="0"/>
        <v>63</v>
      </c>
      <c r="F17">
        <f>_xlfn.XLOOKUP(A17, 'Transfers by Classification'!A$4:A$33, 'Transfers by Classification'!B$4:B$33, "NA", 0)</f>
        <v>15</v>
      </c>
      <c r="G17">
        <f>_xlfn.XLOOKUP(A17, 'Promos by Classification'!A$4:A$33, 'Promos by Classification'!B$4:B$33, "NA", 0)</f>
        <v>16</v>
      </c>
      <c r="H17" s="3">
        <f t="shared" si="1"/>
        <v>0.22222222222222221</v>
      </c>
      <c r="I17" s="3">
        <f t="shared" si="2"/>
        <v>0.37209302325581395</v>
      </c>
    </row>
    <row r="18" spans="1:9" x14ac:dyDescent="0.2">
      <c r="A18" t="s">
        <v>18</v>
      </c>
      <c r="B18">
        <f>_xlfn.XLOOKUP(A18, 'Hires by Classification'!A$4:A$33, 'Hires by Classification'!B$4:B$33, "NA", 0)</f>
        <v>31</v>
      </c>
      <c r="C18">
        <f>_xlfn.XLOOKUP(A18, 'Declinations by Classification'!A$4:A$33, 'Declinations by Classification'!B$4:B$33, "NA", 0)</f>
        <v>16</v>
      </c>
      <c r="D18">
        <f>_xlfn.XLOOKUP(A18, 'Rescinded by Classification'!A$4:A$33, 'Rescinded by Classification'!B$4:B$33, "NA", 0)</f>
        <v>5</v>
      </c>
      <c r="E18">
        <f t="shared" si="0"/>
        <v>52</v>
      </c>
      <c r="F18">
        <f>_xlfn.XLOOKUP(A18, 'Transfers by Classification'!A$4:A$33, 'Transfers by Classification'!B$4:B$33, "NA", 0)</f>
        <v>6</v>
      </c>
      <c r="G18">
        <f>_xlfn.XLOOKUP(A18, 'Promos by Classification'!A$4:A$33, 'Promos by Classification'!B$4:B$33, "NA", 0)</f>
        <v>7</v>
      </c>
      <c r="H18" s="3">
        <f t="shared" si="1"/>
        <v>0.30769230769230771</v>
      </c>
      <c r="I18" s="3">
        <f t="shared" si="2"/>
        <v>0.22580645161290322</v>
      </c>
    </row>
    <row r="19" spans="1:9" x14ac:dyDescent="0.2">
      <c r="A19" t="s">
        <v>59</v>
      </c>
      <c r="B19">
        <f>_xlfn.XLOOKUP(A19, 'Hires by Classification'!A$4:A$33, 'Hires by Classification'!B$4:B$33, "NA", 0)</f>
        <v>41</v>
      </c>
      <c r="C19">
        <f>_xlfn.XLOOKUP(A19, 'Declinations by Classification'!A$4:A$33, 'Declinations by Classification'!B$4:B$33, "NA", 0)</f>
        <v>15</v>
      </c>
      <c r="D19">
        <f>_xlfn.XLOOKUP(A19, 'Rescinded by Classification'!A$4:A$33, 'Rescinded by Classification'!B$4:B$33, "NA", 0)</f>
        <v>4</v>
      </c>
      <c r="E19">
        <f t="shared" si="0"/>
        <v>60</v>
      </c>
      <c r="F19">
        <f>_xlfn.XLOOKUP(A19, 'Transfers by Classification'!A$4:A$33, 'Transfers by Classification'!B$4:B$33, "NA", 0)</f>
        <v>7</v>
      </c>
      <c r="G19">
        <f>_xlfn.XLOOKUP(A19, 'Promos by Classification'!A$4:A$33, 'Promos by Classification'!B$4:B$33, "NA", 0)</f>
        <v>10</v>
      </c>
      <c r="H19" s="3">
        <f t="shared" si="1"/>
        <v>0.25</v>
      </c>
      <c r="I19" s="3">
        <f t="shared" si="2"/>
        <v>0.24390243902439024</v>
      </c>
    </row>
    <row r="20" spans="1:9" x14ac:dyDescent="0.2">
      <c r="A20" t="s">
        <v>90</v>
      </c>
      <c r="B20">
        <f>_xlfn.XLOOKUP(A20, 'Hires by Classification'!A$4:A$33, 'Hires by Classification'!B$4:B$33, "NA", 0)</f>
        <v>37</v>
      </c>
      <c r="C20">
        <f>_xlfn.XLOOKUP(A20, 'Declinations by Classification'!A$4:A$33, 'Declinations by Classification'!B$4:B$33, "NA", 0)</f>
        <v>13</v>
      </c>
      <c r="D20">
        <f>_xlfn.XLOOKUP(A20, 'Rescinded by Classification'!A$4:A$33, 'Rescinded by Classification'!B$4:B$33, "NA", 0)</f>
        <v>10</v>
      </c>
      <c r="E20">
        <f t="shared" si="0"/>
        <v>60</v>
      </c>
      <c r="F20">
        <f>_xlfn.XLOOKUP(A20, 'Transfers by Classification'!A$4:A$33, 'Transfers by Classification'!B$4:B$33, "NA", 0)</f>
        <v>7</v>
      </c>
      <c r="G20">
        <f>_xlfn.XLOOKUP(A20, 'Promos by Classification'!A$4:A$33, 'Promos by Classification'!B$4:B$33, "NA", 0)</f>
        <v>5</v>
      </c>
      <c r="H20" s="3">
        <f t="shared" si="1"/>
        <v>0.21666666666666667</v>
      </c>
      <c r="I20" s="3">
        <f t="shared" si="2"/>
        <v>0.13513513513513514</v>
      </c>
    </row>
    <row r="21" spans="1:9" x14ac:dyDescent="0.2">
      <c r="A21" t="s">
        <v>720</v>
      </c>
      <c r="B21">
        <f>_xlfn.XLOOKUP(A21, 'Hires by Classification'!A$4:A$33, 'Hires by Classification'!B$4:B$33, "NA", 0)</f>
        <v>77</v>
      </c>
      <c r="C21">
        <f>_xlfn.XLOOKUP(A21, 'Declinations by Classification'!A$4:A$33, 'Declinations by Classification'!B$4:B$33, "NA", 0)</f>
        <v>16</v>
      </c>
      <c r="D21">
        <f>_xlfn.XLOOKUP(A21, 'Rescinded by Classification'!A$4:A$33, 'Rescinded by Classification'!B$4:B$33, "NA", 0)</f>
        <v>5</v>
      </c>
      <c r="E21">
        <f t="shared" si="0"/>
        <v>98</v>
      </c>
      <c r="F21">
        <f>_xlfn.XLOOKUP(A21, 'Transfers by Classification'!A$4:A$33, 'Transfers by Classification'!B$4:B$33, "NA", 0)</f>
        <v>18</v>
      </c>
      <c r="G21">
        <f>_xlfn.XLOOKUP(A21, 'Promos by Classification'!A$4:A$33, 'Promos by Classification'!B$4:B$33, "NA", 0)</f>
        <v>25</v>
      </c>
      <c r="H21" s="3">
        <f t="shared" si="1"/>
        <v>0.16326530612244897</v>
      </c>
      <c r="I21" s="3">
        <f t="shared" si="2"/>
        <v>0.32467532467532467</v>
      </c>
    </row>
    <row r="22" spans="1:9" x14ac:dyDescent="0.2">
      <c r="A22" t="s">
        <v>76</v>
      </c>
      <c r="B22">
        <f>_xlfn.XLOOKUP(A22, 'Hires by Classification'!A$4:A$33, 'Hires by Classification'!B$4:B$33, "NA", 0)</f>
        <v>42</v>
      </c>
      <c r="C22">
        <f>_xlfn.XLOOKUP(A22, 'Declinations by Classification'!A$4:A$33, 'Declinations by Classification'!B$4:B$33, "NA", 0)</f>
        <v>16</v>
      </c>
      <c r="D22">
        <f>_xlfn.XLOOKUP(A22, 'Rescinded by Classification'!A$4:A$33, 'Rescinded by Classification'!B$4:B$33, "NA", 0)</f>
        <v>5</v>
      </c>
      <c r="E22">
        <f t="shared" si="0"/>
        <v>63</v>
      </c>
      <c r="F22">
        <f>_xlfn.XLOOKUP(A22, 'Transfers by Classification'!A$4:A$33, 'Transfers by Classification'!B$4:B$33, "NA", 0)</f>
        <v>9</v>
      </c>
      <c r="G22">
        <f>_xlfn.XLOOKUP(A22, 'Promos by Classification'!A$4:A$33, 'Promos by Classification'!B$4:B$33, "NA", 0)</f>
        <v>10</v>
      </c>
      <c r="H22" s="3">
        <f t="shared" si="1"/>
        <v>0.25396825396825395</v>
      </c>
      <c r="I22" s="3">
        <f t="shared" si="2"/>
        <v>0.23809523809523808</v>
      </c>
    </row>
    <row r="23" spans="1:9" x14ac:dyDescent="0.2">
      <c r="A23" t="s">
        <v>80</v>
      </c>
      <c r="B23">
        <f>_xlfn.XLOOKUP(A23, 'Hires by Classification'!A$4:A$33, 'Hires by Classification'!B$4:B$33, "NA", 0)</f>
        <v>40</v>
      </c>
      <c r="C23">
        <f>_xlfn.XLOOKUP(A23, 'Declinations by Classification'!A$4:A$33, 'Declinations by Classification'!B$4:B$33, "NA", 0)</f>
        <v>16</v>
      </c>
      <c r="D23">
        <f>_xlfn.XLOOKUP(A23, 'Rescinded by Classification'!A$4:A$33, 'Rescinded by Classification'!B$4:B$33, "NA", 0)</f>
        <v>4</v>
      </c>
      <c r="E23">
        <f t="shared" si="0"/>
        <v>60</v>
      </c>
      <c r="F23">
        <f>_xlfn.XLOOKUP(A23, 'Transfers by Classification'!A$4:A$33, 'Transfers by Classification'!B$4:B$33, "NA", 0)</f>
        <v>6</v>
      </c>
      <c r="G23">
        <f>_xlfn.XLOOKUP(A23, 'Promos by Classification'!A$4:A$33, 'Promos by Classification'!B$4:B$33, "NA", 0)</f>
        <v>15</v>
      </c>
      <c r="H23" s="3">
        <f t="shared" si="1"/>
        <v>0.26666666666666666</v>
      </c>
      <c r="I23" s="3">
        <f t="shared" si="2"/>
        <v>0.375</v>
      </c>
    </row>
    <row r="24" spans="1:9" x14ac:dyDescent="0.2">
      <c r="A24" t="s">
        <v>47</v>
      </c>
      <c r="B24">
        <f>_xlfn.XLOOKUP(A24, 'Hires by Classification'!A$4:A$33, 'Hires by Classification'!B$4:B$33, "NA", 0)</f>
        <v>41</v>
      </c>
      <c r="C24">
        <f>_xlfn.XLOOKUP(A24, 'Declinations by Classification'!A$4:A$33, 'Declinations by Classification'!B$4:B$33, "NA", 0)</f>
        <v>11</v>
      </c>
      <c r="D24">
        <f>_xlfn.XLOOKUP(A24, 'Rescinded by Classification'!A$4:A$33, 'Rescinded by Classification'!B$4:B$33, "NA", 0)</f>
        <v>5</v>
      </c>
      <c r="E24">
        <f t="shared" si="0"/>
        <v>57</v>
      </c>
      <c r="F24">
        <f>_xlfn.XLOOKUP(A24, 'Transfers by Classification'!A$4:A$33, 'Transfers by Classification'!B$4:B$33, "NA", 0)</f>
        <v>9</v>
      </c>
      <c r="G24">
        <f>_xlfn.XLOOKUP(A24, 'Promos by Classification'!A$4:A$33, 'Promos by Classification'!B$4:B$33, "NA", 0)</f>
        <v>11</v>
      </c>
      <c r="H24" s="3">
        <f t="shared" si="1"/>
        <v>0.19298245614035087</v>
      </c>
      <c r="I24" s="3">
        <f t="shared" si="2"/>
        <v>0.26829268292682928</v>
      </c>
    </row>
    <row r="25" spans="1:9" x14ac:dyDescent="0.2">
      <c r="A25" t="s">
        <v>315</v>
      </c>
      <c r="B25">
        <f>_xlfn.XLOOKUP(A25, 'Hires by Classification'!A$4:A$33, 'Hires by Classification'!B$4:B$33, "NA", 0)</f>
        <v>29</v>
      </c>
      <c r="C25">
        <f>_xlfn.XLOOKUP(A25, 'Declinations by Classification'!A$4:A$33, 'Declinations by Classification'!B$4:B$33, "NA", 0)</f>
        <v>19</v>
      </c>
      <c r="D25">
        <f>_xlfn.XLOOKUP(A25, 'Rescinded by Classification'!A$4:A$33, 'Rescinded by Classification'!B$4:B$33, "NA", 0)</f>
        <v>2</v>
      </c>
      <c r="E25">
        <f t="shared" si="0"/>
        <v>50</v>
      </c>
      <c r="F25">
        <f>_xlfn.XLOOKUP(A25, 'Transfers by Classification'!A$4:A$33, 'Transfers by Classification'!B$4:B$33, "NA", 0)</f>
        <v>5</v>
      </c>
      <c r="G25">
        <f>_xlfn.XLOOKUP(A25, 'Promos by Classification'!A$4:A$33, 'Promos by Classification'!B$4:B$33, "NA", 0)</f>
        <v>7</v>
      </c>
      <c r="H25" s="3">
        <f t="shared" si="1"/>
        <v>0.38</v>
      </c>
      <c r="I25" s="3">
        <f t="shared" si="2"/>
        <v>0.2413793103448276</v>
      </c>
    </row>
    <row r="26" spans="1:9" x14ac:dyDescent="0.2">
      <c r="A26" t="s">
        <v>454</v>
      </c>
      <c r="B26">
        <f>_xlfn.XLOOKUP(A26, 'Hires by Classification'!A$4:A$33, 'Hires by Classification'!B$4:B$33, "NA", 0)</f>
        <v>51</v>
      </c>
      <c r="C26">
        <f>_xlfn.XLOOKUP(A26, 'Declinations by Classification'!A$4:A$33, 'Declinations by Classification'!B$4:B$33, "NA", 0)</f>
        <v>19</v>
      </c>
      <c r="D26">
        <f>_xlfn.XLOOKUP(A26, 'Rescinded by Classification'!A$4:A$33, 'Rescinded by Classification'!B$4:B$33, "NA", 0)</f>
        <v>14</v>
      </c>
      <c r="E26">
        <f t="shared" si="0"/>
        <v>84</v>
      </c>
      <c r="F26">
        <f>_xlfn.XLOOKUP(A26, 'Transfers by Classification'!A$4:A$33, 'Transfers by Classification'!B$4:B$33, "NA", 0)</f>
        <v>10</v>
      </c>
      <c r="G26">
        <f>_xlfn.XLOOKUP(A26, 'Promos by Classification'!A$4:A$33, 'Promos by Classification'!B$4:B$33, "NA", 0)</f>
        <v>12</v>
      </c>
      <c r="H26" s="3">
        <f t="shared" si="1"/>
        <v>0.22619047619047619</v>
      </c>
      <c r="I26" s="3">
        <f t="shared" si="2"/>
        <v>0.23529411764705882</v>
      </c>
    </row>
    <row r="27" spans="1:9" x14ac:dyDescent="0.2">
      <c r="A27" t="s">
        <v>35</v>
      </c>
      <c r="B27">
        <f>_xlfn.XLOOKUP(A27, 'Hires by Classification'!A$4:A$33, 'Hires by Classification'!B$4:B$33, "NA", 0)</f>
        <v>79</v>
      </c>
      <c r="C27">
        <f>_xlfn.XLOOKUP(A27, 'Declinations by Classification'!A$4:A$33, 'Declinations by Classification'!B$4:B$33, "NA", 0)</f>
        <v>23</v>
      </c>
      <c r="D27">
        <f>_xlfn.XLOOKUP(A27, 'Rescinded by Classification'!A$4:A$33, 'Rescinded by Classification'!B$4:B$33, "NA", 0)</f>
        <v>16</v>
      </c>
      <c r="E27">
        <f t="shared" si="0"/>
        <v>118</v>
      </c>
      <c r="F27">
        <f>_xlfn.XLOOKUP(A27, 'Transfers by Classification'!A$4:A$33, 'Transfers by Classification'!B$4:B$33, "NA", 0)</f>
        <v>28</v>
      </c>
      <c r="G27">
        <f>_xlfn.XLOOKUP(A27, 'Promos by Classification'!A$4:A$33, 'Promos by Classification'!B$4:B$33, "NA", 0)</f>
        <v>13</v>
      </c>
      <c r="H27" s="3">
        <f t="shared" si="1"/>
        <v>0.19491525423728814</v>
      </c>
      <c r="I27" s="3">
        <f t="shared" si="2"/>
        <v>0.16455696202531644</v>
      </c>
    </row>
    <row r="28" spans="1:9" x14ac:dyDescent="0.2">
      <c r="A28" t="s">
        <v>10</v>
      </c>
      <c r="B28">
        <f>_xlfn.XLOOKUP(A28, 'Hires by Classification'!A$4:A$33, 'Hires by Classification'!B$4:B$33, "NA", 0)</f>
        <v>55</v>
      </c>
      <c r="C28">
        <f>_xlfn.XLOOKUP(A28, 'Declinations by Classification'!A$4:A$33, 'Declinations by Classification'!B$4:B$33, "NA", 0)</f>
        <v>13</v>
      </c>
      <c r="D28">
        <f>_xlfn.XLOOKUP(A28, 'Rescinded by Classification'!A$4:A$33, 'Rescinded by Classification'!B$4:B$33, "NA", 0)</f>
        <v>14</v>
      </c>
      <c r="E28">
        <f t="shared" si="0"/>
        <v>82</v>
      </c>
      <c r="F28">
        <f>_xlfn.XLOOKUP(A28, 'Transfers by Classification'!A$4:A$33, 'Transfers by Classification'!B$4:B$33, "NA", 0)</f>
        <v>19</v>
      </c>
      <c r="G28">
        <f>_xlfn.XLOOKUP(A28, 'Promos by Classification'!A$4:A$33, 'Promos by Classification'!B$4:B$33, "NA", 0)</f>
        <v>10</v>
      </c>
      <c r="H28" s="3">
        <f t="shared" si="1"/>
        <v>0.15853658536585366</v>
      </c>
      <c r="I28" s="3">
        <f t="shared" si="2"/>
        <v>0.18181818181818182</v>
      </c>
    </row>
    <row r="29" spans="1:9" x14ac:dyDescent="0.2">
      <c r="A29" t="s">
        <v>131</v>
      </c>
      <c r="B29">
        <f>_xlfn.XLOOKUP(A29, 'Hires by Classification'!A$4:A$33, 'Hires by Classification'!B$4:B$33, "NA", 0)</f>
        <v>53</v>
      </c>
      <c r="C29">
        <f>_xlfn.XLOOKUP(A29, 'Declinations by Classification'!A$4:A$33, 'Declinations by Classification'!B$4:B$33, "NA", 0)</f>
        <v>19</v>
      </c>
      <c r="D29">
        <f>_xlfn.XLOOKUP(A29, 'Rescinded by Classification'!A$4:A$33, 'Rescinded by Classification'!B$4:B$33, "NA", 0)</f>
        <v>5</v>
      </c>
      <c r="E29">
        <f t="shared" si="0"/>
        <v>77</v>
      </c>
      <c r="F29">
        <f>_xlfn.XLOOKUP(A29, 'Transfers by Classification'!A$4:A$33, 'Transfers by Classification'!B$4:B$33, "NA", 0)</f>
        <v>12</v>
      </c>
      <c r="G29">
        <f>_xlfn.XLOOKUP(A29, 'Promos by Classification'!A$4:A$33, 'Promos by Classification'!B$4:B$33, "NA", 0)</f>
        <v>15</v>
      </c>
      <c r="H29" s="3">
        <f t="shared" si="1"/>
        <v>0.24675324675324675</v>
      </c>
      <c r="I29" s="3">
        <f t="shared" si="2"/>
        <v>0.28301886792452829</v>
      </c>
    </row>
    <row r="30" spans="1:9" x14ac:dyDescent="0.2">
      <c r="A30" t="s">
        <v>150</v>
      </c>
      <c r="B30">
        <f>_xlfn.XLOOKUP(A30, 'Hires by Classification'!A$4:A$33, 'Hires by Classification'!B$4:B$33, "NA", 0)</f>
        <v>51</v>
      </c>
      <c r="C30">
        <f>_xlfn.XLOOKUP(A30, 'Declinations by Classification'!A$4:A$33, 'Declinations by Classification'!B$4:B$33, "NA", 0)</f>
        <v>17</v>
      </c>
      <c r="D30">
        <f>_xlfn.XLOOKUP(A30, 'Rescinded by Classification'!A$4:A$33, 'Rescinded by Classification'!B$4:B$33, "NA", 0)</f>
        <v>8</v>
      </c>
      <c r="E30">
        <f t="shared" si="0"/>
        <v>76</v>
      </c>
      <c r="F30">
        <f>_xlfn.XLOOKUP(A30, 'Transfers by Classification'!A$4:A$33, 'Transfers by Classification'!B$4:B$33, "NA", 0)</f>
        <v>12</v>
      </c>
      <c r="G30">
        <f>_xlfn.XLOOKUP(A30, 'Promos by Classification'!A$4:A$33, 'Promos by Classification'!B$4:B$33, "NA", 0)</f>
        <v>14</v>
      </c>
      <c r="H30" s="3">
        <f t="shared" si="1"/>
        <v>0.22368421052631579</v>
      </c>
      <c r="I30" s="3">
        <f t="shared" si="2"/>
        <v>0.27450980392156865</v>
      </c>
    </row>
    <row r="31" spans="1:9" x14ac:dyDescent="0.2">
      <c r="A31" t="s">
        <v>265</v>
      </c>
      <c r="B31">
        <f>_xlfn.XLOOKUP(A31, 'Hires by Classification'!A$4:A$33, 'Hires by Classification'!B$4:B$33, "NA", 0)</f>
        <v>58</v>
      </c>
      <c r="C31">
        <f>_xlfn.XLOOKUP(A31, 'Declinations by Classification'!A$4:A$33, 'Declinations by Classification'!B$4:B$33, "NA", 0)</f>
        <v>15</v>
      </c>
      <c r="D31">
        <f>_xlfn.XLOOKUP(A31, 'Rescinded by Classification'!A$4:A$33, 'Rescinded by Classification'!B$4:B$33, "NA", 0)</f>
        <v>5</v>
      </c>
      <c r="E31">
        <f t="shared" si="0"/>
        <v>78</v>
      </c>
      <c r="F31">
        <f>_xlfn.XLOOKUP(A31, 'Transfers by Classification'!A$4:A$33, 'Transfers by Classification'!B$4:B$33, "NA", 0)</f>
        <v>12</v>
      </c>
      <c r="G31">
        <f>_xlfn.XLOOKUP(A31, 'Promos by Classification'!A$4:A$33, 'Promos by Classification'!B$4:B$33, "NA", 0)</f>
        <v>12</v>
      </c>
      <c r="H31" s="3">
        <f t="shared" si="1"/>
        <v>0.19230769230769232</v>
      </c>
      <c r="I31" s="3">
        <f t="shared" si="2"/>
        <v>0.20689655172413793</v>
      </c>
    </row>
    <row r="35" spans="1:5" x14ac:dyDescent="0.2">
      <c r="A35" s="13" t="s">
        <v>2</v>
      </c>
      <c r="B35" s="17" t="s">
        <v>3915</v>
      </c>
      <c r="D35" s="13" t="s">
        <v>2</v>
      </c>
      <c r="E35" s="17" t="s">
        <v>3916</v>
      </c>
    </row>
    <row r="36" spans="1:5" x14ac:dyDescent="0.2">
      <c r="A36" s="14" t="s">
        <v>315</v>
      </c>
      <c r="B36" s="10">
        <v>0.38</v>
      </c>
      <c r="D36" s="14" t="s">
        <v>521</v>
      </c>
      <c r="E36" s="10">
        <v>0.44827586206896552</v>
      </c>
    </row>
    <row r="37" spans="1:5" x14ac:dyDescent="0.2">
      <c r="A37" s="15" t="s">
        <v>32</v>
      </c>
      <c r="B37" s="11">
        <v>0.33846153846153848</v>
      </c>
      <c r="D37" s="15" t="s">
        <v>80</v>
      </c>
      <c r="E37" s="11">
        <v>0.375</v>
      </c>
    </row>
    <row r="38" spans="1:5" x14ac:dyDescent="0.2">
      <c r="A38" s="15" t="s">
        <v>287</v>
      </c>
      <c r="B38" s="11">
        <v>0.31182795698924731</v>
      </c>
      <c r="D38" s="15" t="s">
        <v>38</v>
      </c>
      <c r="E38" s="11">
        <v>0.37209302325581395</v>
      </c>
    </row>
    <row r="39" spans="1:5" x14ac:dyDescent="0.2">
      <c r="A39" s="15" t="s">
        <v>18</v>
      </c>
      <c r="B39" s="11">
        <v>0.30769230769230771</v>
      </c>
      <c r="D39" s="15" t="s">
        <v>93</v>
      </c>
      <c r="E39" s="11">
        <v>0.35087719298245612</v>
      </c>
    </row>
    <row r="40" spans="1:5" x14ac:dyDescent="0.2">
      <c r="A40" s="15" t="s">
        <v>521</v>
      </c>
      <c r="B40" s="11">
        <v>0.29166666666666669</v>
      </c>
      <c r="D40" s="15" t="s">
        <v>720</v>
      </c>
      <c r="E40" s="11">
        <v>0.32467532467532467</v>
      </c>
    </row>
    <row r="41" spans="1:5" x14ac:dyDescent="0.2">
      <c r="A41" s="15" t="s">
        <v>240</v>
      </c>
      <c r="B41" s="11">
        <v>0.27272727272727271</v>
      </c>
      <c r="D41" s="15" t="s">
        <v>32</v>
      </c>
      <c r="E41" s="11">
        <v>0.30769230769230771</v>
      </c>
    </row>
    <row r="42" spans="1:5" x14ac:dyDescent="0.2">
      <c r="A42" s="15" t="s">
        <v>80</v>
      </c>
      <c r="B42" s="11">
        <v>0.26666666666666666</v>
      </c>
      <c r="D42" s="15" t="s">
        <v>363</v>
      </c>
      <c r="E42" s="11">
        <v>0.2857142857142857</v>
      </c>
    </row>
    <row r="43" spans="1:5" x14ac:dyDescent="0.2">
      <c r="A43" s="15" t="s">
        <v>76</v>
      </c>
      <c r="B43" s="11">
        <v>0.25396825396825395</v>
      </c>
      <c r="D43" s="15" t="s">
        <v>131</v>
      </c>
      <c r="E43" s="11">
        <v>0.28301886792452829</v>
      </c>
    </row>
    <row r="44" spans="1:5" x14ac:dyDescent="0.2">
      <c r="A44" s="15" t="s">
        <v>59</v>
      </c>
      <c r="B44" s="11">
        <v>0.25</v>
      </c>
      <c r="D44" s="15" t="s">
        <v>240</v>
      </c>
      <c r="E44" s="11">
        <v>0.27906976744186046</v>
      </c>
    </row>
    <row r="45" spans="1:5" x14ac:dyDescent="0.2">
      <c r="A45" s="15" t="s">
        <v>131</v>
      </c>
      <c r="B45" s="11">
        <v>0.24675324675324675</v>
      </c>
      <c r="D45" s="15" t="s">
        <v>150</v>
      </c>
      <c r="E45" s="11">
        <v>0.27450980392156865</v>
      </c>
    </row>
    <row r="46" spans="1:5" x14ac:dyDescent="0.2">
      <c r="A46" s="15" t="s">
        <v>93</v>
      </c>
      <c r="B46" s="11">
        <v>0.23809523809523808</v>
      </c>
      <c r="D46" s="15" t="s">
        <v>47</v>
      </c>
      <c r="E46" s="11">
        <v>0.26829268292682928</v>
      </c>
    </row>
    <row r="47" spans="1:5" x14ac:dyDescent="0.2">
      <c r="A47" s="15" t="s">
        <v>363</v>
      </c>
      <c r="B47" s="11">
        <v>0.23469387755102042</v>
      </c>
      <c r="D47" s="15" t="s">
        <v>167</v>
      </c>
      <c r="E47" s="11">
        <v>0.26829268292682928</v>
      </c>
    </row>
    <row r="48" spans="1:5" x14ac:dyDescent="0.2">
      <c r="A48" s="15" t="s">
        <v>282</v>
      </c>
      <c r="B48" s="11">
        <v>0.23333333333333334</v>
      </c>
      <c r="D48" s="15" t="s">
        <v>71</v>
      </c>
      <c r="E48" s="11">
        <v>0.26530612244897961</v>
      </c>
    </row>
    <row r="49" spans="1:5" x14ac:dyDescent="0.2">
      <c r="A49" s="15" t="s">
        <v>542</v>
      </c>
      <c r="B49" s="11">
        <v>0.22988505747126436</v>
      </c>
      <c r="D49" s="15" t="s">
        <v>176</v>
      </c>
      <c r="E49" s="11">
        <v>0.24615384615384617</v>
      </c>
    </row>
    <row r="50" spans="1:5" x14ac:dyDescent="0.2">
      <c r="A50" s="15" t="s">
        <v>176</v>
      </c>
      <c r="B50" s="11">
        <v>0.22680412371134021</v>
      </c>
      <c r="D50" s="15" t="s">
        <v>59</v>
      </c>
      <c r="E50" s="11">
        <v>0.24390243902439024</v>
      </c>
    </row>
    <row r="51" spans="1:5" x14ac:dyDescent="0.2">
      <c r="A51" s="15" t="s">
        <v>71</v>
      </c>
      <c r="B51" s="11">
        <v>0.22666666666666666</v>
      </c>
      <c r="D51" s="15" t="s">
        <v>315</v>
      </c>
      <c r="E51" s="11">
        <v>0.2413793103448276</v>
      </c>
    </row>
    <row r="52" spans="1:5" x14ac:dyDescent="0.2">
      <c r="A52" s="15" t="s">
        <v>454</v>
      </c>
      <c r="B52" s="11">
        <v>0.22619047619047619</v>
      </c>
      <c r="D52" s="15" t="s">
        <v>76</v>
      </c>
      <c r="E52" s="11">
        <v>0.23809523809523808</v>
      </c>
    </row>
    <row r="53" spans="1:5" x14ac:dyDescent="0.2">
      <c r="A53" s="15" t="s">
        <v>150</v>
      </c>
      <c r="B53" s="11">
        <v>0.22368421052631579</v>
      </c>
      <c r="D53" s="15" t="s">
        <v>454</v>
      </c>
      <c r="E53" s="11">
        <v>0.23529411764705882</v>
      </c>
    </row>
    <row r="54" spans="1:5" x14ac:dyDescent="0.2">
      <c r="A54" s="15" t="s">
        <v>38</v>
      </c>
      <c r="B54" s="11">
        <v>0.22222222222222221</v>
      </c>
      <c r="D54" s="15" t="s">
        <v>18</v>
      </c>
      <c r="E54" s="11">
        <v>0.22580645161290322</v>
      </c>
    </row>
    <row r="55" spans="1:5" x14ac:dyDescent="0.2">
      <c r="A55" s="15" t="s">
        <v>90</v>
      </c>
      <c r="B55" s="11">
        <v>0.21666666666666667</v>
      </c>
      <c r="D55" s="15" t="s">
        <v>287</v>
      </c>
      <c r="E55" s="11">
        <v>0.22413793103448276</v>
      </c>
    </row>
    <row r="56" spans="1:5" x14ac:dyDescent="0.2">
      <c r="A56" s="15" t="s">
        <v>35</v>
      </c>
      <c r="B56" s="11">
        <v>0.19491525423728814</v>
      </c>
      <c r="D56" s="15" t="s">
        <v>110</v>
      </c>
      <c r="E56" s="11">
        <v>0.21739130434782608</v>
      </c>
    </row>
    <row r="57" spans="1:5" x14ac:dyDescent="0.2">
      <c r="A57" s="15" t="s">
        <v>47</v>
      </c>
      <c r="B57" s="11">
        <v>0.19298245614035087</v>
      </c>
      <c r="D57" s="15" t="s">
        <v>138</v>
      </c>
      <c r="E57" s="11">
        <v>0.21276595744680851</v>
      </c>
    </row>
    <row r="58" spans="1:5" x14ac:dyDescent="0.2">
      <c r="A58" s="15" t="s">
        <v>265</v>
      </c>
      <c r="B58" s="11">
        <v>0.19230769230769232</v>
      </c>
      <c r="D58" s="15" t="s">
        <v>265</v>
      </c>
      <c r="E58" s="11">
        <v>0.20689655172413793</v>
      </c>
    </row>
    <row r="59" spans="1:5" x14ac:dyDescent="0.2">
      <c r="A59" s="15" t="s">
        <v>310</v>
      </c>
      <c r="B59" s="11">
        <v>0.18571428571428572</v>
      </c>
      <c r="D59" s="15" t="s">
        <v>10</v>
      </c>
      <c r="E59" s="11">
        <v>0.18181818181818182</v>
      </c>
    </row>
    <row r="60" spans="1:5" x14ac:dyDescent="0.2">
      <c r="A60" s="15" t="s">
        <v>110</v>
      </c>
      <c r="B60" s="11">
        <v>0.18571428571428572</v>
      </c>
      <c r="D60" s="15" t="s">
        <v>542</v>
      </c>
      <c r="E60" s="11">
        <v>0.17241379310344829</v>
      </c>
    </row>
    <row r="61" spans="1:5" x14ac:dyDescent="0.2">
      <c r="A61" s="15" t="s">
        <v>121</v>
      </c>
      <c r="B61" s="11">
        <v>0.1744186046511628</v>
      </c>
      <c r="D61" s="15" t="s">
        <v>35</v>
      </c>
      <c r="E61" s="11">
        <v>0.16455696202531644</v>
      </c>
    </row>
    <row r="62" spans="1:5" x14ac:dyDescent="0.2">
      <c r="A62" s="15" t="s">
        <v>138</v>
      </c>
      <c r="B62" s="11">
        <v>0.17391304347826086</v>
      </c>
      <c r="D62" s="15" t="s">
        <v>310</v>
      </c>
      <c r="E62" s="11">
        <v>0.15384615384615385</v>
      </c>
    </row>
    <row r="63" spans="1:5" x14ac:dyDescent="0.2">
      <c r="A63" s="15" t="s">
        <v>720</v>
      </c>
      <c r="B63" s="11">
        <v>0.16326530612244897</v>
      </c>
      <c r="D63" s="15" t="s">
        <v>282</v>
      </c>
      <c r="E63" s="11">
        <v>0.14285714285714285</v>
      </c>
    </row>
    <row r="64" spans="1:5" x14ac:dyDescent="0.2">
      <c r="A64" s="15" t="s">
        <v>10</v>
      </c>
      <c r="B64" s="11">
        <v>0.15853658536585366</v>
      </c>
      <c r="D64" s="15" t="s">
        <v>90</v>
      </c>
      <c r="E64" s="11">
        <v>0.13513513513513514</v>
      </c>
    </row>
    <row r="65" spans="1:5" x14ac:dyDescent="0.2">
      <c r="A65" s="16" t="s">
        <v>167</v>
      </c>
      <c r="B65" s="12">
        <v>0.12280701754385964</v>
      </c>
      <c r="D65" s="16" t="s">
        <v>121</v>
      </c>
      <c r="E65" s="12">
        <v>0.12698412698412698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CC0F-1CCF-8246-A76A-F85D924D365D}">
  <dimension ref="A1:P1460"/>
  <sheetViews>
    <sheetView workbookViewId="0">
      <selection activeCell="C5" sqref="C5"/>
    </sheetView>
  </sheetViews>
  <sheetFormatPr baseColWidth="10" defaultRowHeight="16" x14ac:dyDescent="0.2"/>
  <cols>
    <col min="1" max="1" width="21.1640625" bestFit="1" customWidth="1"/>
    <col min="2" max="2" width="17.5" bestFit="1" customWidth="1"/>
    <col min="3" max="3" width="19.5" bestFit="1" customWidth="1"/>
    <col min="4" max="4" width="23.6640625" bestFit="1" customWidth="1"/>
    <col min="5" max="5" width="15.5" bestFit="1" customWidth="1"/>
    <col min="6" max="6" width="19.1640625" bestFit="1" customWidth="1"/>
    <col min="7" max="8" width="15.33203125" bestFit="1" customWidth="1"/>
    <col min="9" max="9" width="13" bestFit="1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3893</v>
      </c>
      <c r="K1" s="20" t="s">
        <v>3894</v>
      </c>
      <c r="L1" s="20" t="s">
        <v>3895</v>
      </c>
      <c r="M1" s="20" t="s">
        <v>3896</v>
      </c>
      <c r="N1" s="20" t="s">
        <v>3897</v>
      </c>
      <c r="O1" s="20" t="s">
        <v>3899</v>
      </c>
      <c r="P1" s="20" t="s">
        <v>3898</v>
      </c>
    </row>
    <row r="2" spans="1:16" x14ac:dyDescent="0.2">
      <c r="A2" s="18">
        <v>2867825</v>
      </c>
      <c r="B2" s="18" t="s">
        <v>14</v>
      </c>
      <c r="C2" s="18" t="s">
        <v>10</v>
      </c>
      <c r="D2" s="18" t="s">
        <v>11</v>
      </c>
      <c r="E2" s="19">
        <v>44800</v>
      </c>
      <c r="F2" s="18" t="s">
        <v>15</v>
      </c>
      <c r="G2" s="19">
        <v>44817</v>
      </c>
      <c r="H2" s="19">
        <v>44856</v>
      </c>
      <c r="I2" s="18" t="s">
        <v>16</v>
      </c>
      <c r="J2" s="19" t="b">
        <v>1</v>
      </c>
      <c r="K2" s="19" t="b">
        <v>0</v>
      </c>
      <c r="L2" s="19" t="b">
        <v>0</v>
      </c>
      <c r="M2" s="19" t="b">
        <v>0</v>
      </c>
      <c r="N2" s="19" t="b">
        <v>1</v>
      </c>
      <c r="O2" s="19" t="b">
        <v>0</v>
      </c>
      <c r="P2" s="19" t="b">
        <v>0</v>
      </c>
    </row>
    <row r="3" spans="1:16" x14ac:dyDescent="0.2">
      <c r="A3" s="18">
        <v>1445199</v>
      </c>
      <c r="B3" s="18" t="s">
        <v>17</v>
      </c>
      <c r="C3" s="18" t="s">
        <v>18</v>
      </c>
      <c r="D3" s="18" t="s">
        <v>19</v>
      </c>
      <c r="E3" s="19">
        <v>44568</v>
      </c>
      <c r="F3" s="18" t="s">
        <v>20</v>
      </c>
      <c r="G3" s="19">
        <v>44593</v>
      </c>
      <c r="H3" s="19">
        <v>44645</v>
      </c>
      <c r="I3" s="18"/>
      <c r="J3" s="19" t="b">
        <v>1</v>
      </c>
      <c r="K3" s="19" t="b">
        <v>0</v>
      </c>
      <c r="L3" s="19" t="b">
        <v>0</v>
      </c>
      <c r="M3" s="19" t="b">
        <v>0</v>
      </c>
      <c r="N3" s="19" t="b">
        <v>0</v>
      </c>
      <c r="O3" s="19" t="b">
        <v>0</v>
      </c>
      <c r="P3" s="19" t="b">
        <v>0</v>
      </c>
    </row>
    <row r="4" spans="1:16" x14ac:dyDescent="0.2">
      <c r="A4" s="18">
        <v>1445199</v>
      </c>
      <c r="B4" s="18" t="s">
        <v>26</v>
      </c>
      <c r="C4" s="18" t="s">
        <v>18</v>
      </c>
      <c r="D4" s="18" t="s">
        <v>19</v>
      </c>
      <c r="E4" s="19">
        <v>44832</v>
      </c>
      <c r="F4" s="18" t="s">
        <v>27</v>
      </c>
      <c r="G4" s="19">
        <v>44858</v>
      </c>
      <c r="H4" s="19">
        <v>44861</v>
      </c>
      <c r="I4" s="18" t="s">
        <v>28</v>
      </c>
      <c r="J4" s="19" t="b">
        <v>1</v>
      </c>
      <c r="K4" s="19" t="b">
        <v>0</v>
      </c>
      <c r="L4" s="19" t="b">
        <v>0</v>
      </c>
      <c r="M4" s="19" t="b">
        <v>0</v>
      </c>
      <c r="N4" s="19" t="b">
        <v>0</v>
      </c>
      <c r="O4" s="19" t="b">
        <v>0</v>
      </c>
      <c r="P4" s="19" t="b">
        <v>1</v>
      </c>
    </row>
    <row r="5" spans="1:16" x14ac:dyDescent="0.2">
      <c r="A5" s="18">
        <v>1445199</v>
      </c>
      <c r="B5" s="18" t="s">
        <v>29</v>
      </c>
      <c r="C5" s="18" t="s">
        <v>18</v>
      </c>
      <c r="D5" s="18" t="s">
        <v>19</v>
      </c>
      <c r="E5" s="19">
        <v>44642</v>
      </c>
      <c r="F5" s="18" t="s">
        <v>30</v>
      </c>
      <c r="G5" s="19">
        <v>44660</v>
      </c>
      <c r="H5" s="19">
        <v>44679</v>
      </c>
      <c r="I5" s="18" t="s">
        <v>16</v>
      </c>
      <c r="J5" s="19" t="b">
        <v>1</v>
      </c>
      <c r="K5" s="19" t="b">
        <v>0</v>
      </c>
      <c r="L5" s="19" t="b">
        <v>0</v>
      </c>
      <c r="M5" s="19" t="b">
        <v>0</v>
      </c>
      <c r="N5" s="19" t="b">
        <v>1</v>
      </c>
      <c r="O5" s="19" t="b">
        <v>0</v>
      </c>
      <c r="P5" s="19" t="b">
        <v>0</v>
      </c>
    </row>
    <row r="6" spans="1:16" x14ac:dyDescent="0.2">
      <c r="A6" s="18">
        <v>4823498</v>
      </c>
      <c r="B6" s="18" t="s">
        <v>34</v>
      </c>
      <c r="C6" s="18" t="s">
        <v>35</v>
      </c>
      <c r="D6" s="18" t="s">
        <v>11</v>
      </c>
      <c r="E6" s="19">
        <v>45026</v>
      </c>
      <c r="F6" s="18" t="s">
        <v>36</v>
      </c>
      <c r="G6" s="19">
        <v>45047</v>
      </c>
      <c r="H6" s="19">
        <v>45101</v>
      </c>
      <c r="I6" s="18" t="s">
        <v>16</v>
      </c>
      <c r="J6" s="19" t="b">
        <v>1</v>
      </c>
      <c r="K6" s="19" t="b">
        <v>0</v>
      </c>
      <c r="L6" s="19" t="b">
        <v>0</v>
      </c>
      <c r="M6" s="19" t="b">
        <v>0</v>
      </c>
      <c r="N6" s="19" t="b">
        <v>1</v>
      </c>
      <c r="O6" s="19" t="b">
        <v>0</v>
      </c>
      <c r="P6" s="19" t="b">
        <v>0</v>
      </c>
    </row>
    <row r="7" spans="1:16" x14ac:dyDescent="0.2">
      <c r="A7" s="18">
        <v>7120868</v>
      </c>
      <c r="B7" s="18" t="s">
        <v>41</v>
      </c>
      <c r="C7" s="18" t="s">
        <v>38</v>
      </c>
      <c r="D7" s="18" t="s">
        <v>39</v>
      </c>
      <c r="E7" s="19">
        <v>44950</v>
      </c>
      <c r="F7" s="18" t="s">
        <v>42</v>
      </c>
      <c r="G7" s="19">
        <v>44959</v>
      </c>
      <c r="H7" s="19">
        <v>45019</v>
      </c>
      <c r="I7" s="18" t="s">
        <v>43</v>
      </c>
      <c r="J7" s="19" t="b">
        <v>1</v>
      </c>
      <c r="K7" s="19" t="b">
        <v>0</v>
      </c>
      <c r="L7" s="19" t="b">
        <v>0</v>
      </c>
      <c r="M7" s="19" t="b">
        <v>0</v>
      </c>
      <c r="N7" s="19" t="b">
        <v>0</v>
      </c>
      <c r="O7" s="19" t="b">
        <v>1</v>
      </c>
      <c r="P7" s="19" t="b">
        <v>0</v>
      </c>
    </row>
    <row r="8" spans="1:16" x14ac:dyDescent="0.2">
      <c r="A8" s="18">
        <v>7120868</v>
      </c>
      <c r="B8" s="18" t="s">
        <v>44</v>
      </c>
      <c r="C8" s="18" t="s">
        <v>38</v>
      </c>
      <c r="D8" s="18" t="s">
        <v>39</v>
      </c>
      <c r="E8" s="19">
        <v>44619</v>
      </c>
      <c r="F8" s="18" t="s">
        <v>45</v>
      </c>
      <c r="G8" s="19">
        <v>44627</v>
      </c>
      <c r="H8" s="19">
        <v>44680</v>
      </c>
      <c r="I8" s="18" t="s">
        <v>43</v>
      </c>
      <c r="J8" s="19" t="b">
        <v>1</v>
      </c>
      <c r="K8" s="19" t="b">
        <v>0</v>
      </c>
      <c r="L8" s="19" t="b">
        <v>0</v>
      </c>
      <c r="M8" s="19" t="b">
        <v>0</v>
      </c>
      <c r="N8" s="19" t="b">
        <v>0</v>
      </c>
      <c r="O8" s="19" t="b">
        <v>1</v>
      </c>
      <c r="P8" s="19" t="b">
        <v>0</v>
      </c>
    </row>
    <row r="9" spans="1:16" x14ac:dyDescent="0.2">
      <c r="A9" s="18">
        <v>1538552</v>
      </c>
      <c r="B9" s="18" t="s">
        <v>49</v>
      </c>
      <c r="C9" s="18" t="s">
        <v>47</v>
      </c>
      <c r="D9" s="18" t="s">
        <v>39</v>
      </c>
      <c r="E9" s="19">
        <v>45031</v>
      </c>
      <c r="F9" s="18" t="s">
        <v>50</v>
      </c>
      <c r="G9" s="19">
        <v>45036</v>
      </c>
      <c r="H9" s="19">
        <v>45053</v>
      </c>
      <c r="I9" s="18"/>
      <c r="J9" s="19" t="b">
        <v>1</v>
      </c>
      <c r="K9" s="19" t="b">
        <v>0</v>
      </c>
      <c r="L9" s="19" t="b">
        <v>0</v>
      </c>
      <c r="M9" s="19" t="b">
        <v>0</v>
      </c>
      <c r="N9" s="19" t="b">
        <v>0</v>
      </c>
      <c r="O9" s="19" t="b">
        <v>0</v>
      </c>
      <c r="P9" s="19" t="b">
        <v>0</v>
      </c>
    </row>
    <row r="10" spans="1:16" x14ac:dyDescent="0.2">
      <c r="A10" s="18">
        <v>1538552</v>
      </c>
      <c r="B10" s="18" t="s">
        <v>53</v>
      </c>
      <c r="C10" s="18" t="s">
        <v>47</v>
      </c>
      <c r="D10" s="18" t="s">
        <v>39</v>
      </c>
      <c r="E10" s="19">
        <v>44703</v>
      </c>
      <c r="F10" s="18" t="s">
        <v>54</v>
      </c>
      <c r="G10" s="19">
        <v>44720</v>
      </c>
      <c r="H10" s="19">
        <v>44752</v>
      </c>
      <c r="I10" s="18"/>
      <c r="J10" s="19" t="b">
        <v>1</v>
      </c>
      <c r="K10" s="19" t="b">
        <v>0</v>
      </c>
      <c r="L10" s="19" t="b">
        <v>0</v>
      </c>
      <c r="M10" s="19" t="b">
        <v>0</v>
      </c>
      <c r="N10" s="19" t="b">
        <v>0</v>
      </c>
      <c r="O10" s="19" t="b">
        <v>0</v>
      </c>
      <c r="P10" s="19" t="b">
        <v>0</v>
      </c>
    </row>
    <row r="11" spans="1:16" x14ac:dyDescent="0.2">
      <c r="A11" s="18">
        <v>2065818</v>
      </c>
      <c r="B11" s="18" t="s">
        <v>58</v>
      </c>
      <c r="C11" s="18" t="s">
        <v>59</v>
      </c>
      <c r="D11" s="18" t="s">
        <v>60</v>
      </c>
      <c r="E11" s="19">
        <v>44573</v>
      </c>
      <c r="F11" s="18" t="s">
        <v>61</v>
      </c>
      <c r="G11" s="19">
        <v>44595</v>
      </c>
      <c r="H11" s="19">
        <v>44642</v>
      </c>
      <c r="I11" s="18" t="s">
        <v>28</v>
      </c>
      <c r="J11" s="19" t="b">
        <v>1</v>
      </c>
      <c r="K11" s="19" t="b">
        <v>0</v>
      </c>
      <c r="L11" s="19" t="b">
        <v>0</v>
      </c>
      <c r="M11" s="19" t="b">
        <v>0</v>
      </c>
      <c r="N11" s="19" t="b">
        <v>0</v>
      </c>
      <c r="O11" s="19" t="b">
        <v>0</v>
      </c>
      <c r="P11" s="19" t="b">
        <v>1</v>
      </c>
    </row>
    <row r="12" spans="1:16" x14ac:dyDescent="0.2">
      <c r="A12" s="18">
        <v>2065818</v>
      </c>
      <c r="B12" s="18" t="s">
        <v>64</v>
      </c>
      <c r="C12" s="18" t="s">
        <v>59</v>
      </c>
      <c r="D12" s="18" t="s">
        <v>60</v>
      </c>
      <c r="E12" s="19">
        <v>44723</v>
      </c>
      <c r="F12" s="18" t="s">
        <v>65</v>
      </c>
      <c r="G12" s="19">
        <v>44738</v>
      </c>
      <c r="H12" s="19">
        <v>44739</v>
      </c>
      <c r="I12" s="18" t="s">
        <v>16</v>
      </c>
      <c r="J12" s="19" t="b">
        <v>1</v>
      </c>
      <c r="K12" s="19" t="b">
        <v>0</v>
      </c>
      <c r="L12" s="19" t="b">
        <v>0</v>
      </c>
      <c r="M12" s="19" t="b">
        <v>0</v>
      </c>
      <c r="N12" s="19" t="b">
        <v>1</v>
      </c>
      <c r="O12" s="19" t="b">
        <v>0</v>
      </c>
      <c r="P12" s="19" t="b">
        <v>0</v>
      </c>
    </row>
    <row r="13" spans="1:16" x14ac:dyDescent="0.2">
      <c r="A13" s="18">
        <v>2065818</v>
      </c>
      <c r="B13" s="18" t="s">
        <v>66</v>
      </c>
      <c r="C13" s="18" t="s">
        <v>59</v>
      </c>
      <c r="D13" s="18" t="s">
        <v>60</v>
      </c>
      <c r="E13" s="19">
        <v>44744</v>
      </c>
      <c r="F13" s="18" t="s">
        <v>67</v>
      </c>
      <c r="G13" s="19">
        <v>44761</v>
      </c>
      <c r="H13" s="19">
        <v>44820</v>
      </c>
      <c r="I13" s="18" t="s">
        <v>28</v>
      </c>
      <c r="J13" s="19" t="b">
        <v>1</v>
      </c>
      <c r="K13" s="19" t="b">
        <v>0</v>
      </c>
      <c r="L13" s="19" t="b">
        <v>0</v>
      </c>
      <c r="M13" s="19" t="b">
        <v>0</v>
      </c>
      <c r="N13" s="19" t="b">
        <v>0</v>
      </c>
      <c r="O13" s="19" t="b">
        <v>0</v>
      </c>
      <c r="P13" s="19" t="b">
        <v>1</v>
      </c>
    </row>
    <row r="14" spans="1:16" x14ac:dyDescent="0.2">
      <c r="A14" s="18">
        <v>4337174</v>
      </c>
      <c r="B14" s="18" t="s">
        <v>70</v>
      </c>
      <c r="C14" s="18" t="s">
        <v>71</v>
      </c>
      <c r="D14" s="18" t="s">
        <v>39</v>
      </c>
      <c r="E14" s="19">
        <v>45062</v>
      </c>
      <c r="F14" s="18" t="s">
        <v>72</v>
      </c>
      <c r="G14" s="19">
        <v>45063</v>
      </c>
      <c r="H14" s="19">
        <v>45071</v>
      </c>
      <c r="I14" s="18" t="s">
        <v>16</v>
      </c>
      <c r="J14" s="19" t="b">
        <v>1</v>
      </c>
      <c r="K14" s="19" t="b">
        <v>0</v>
      </c>
      <c r="L14" s="19" t="b">
        <v>0</v>
      </c>
      <c r="M14" s="19" t="b">
        <v>0</v>
      </c>
      <c r="N14" s="19" t="b">
        <v>1</v>
      </c>
      <c r="O14" s="19" t="b">
        <v>0</v>
      </c>
      <c r="P14" s="19" t="b">
        <v>0</v>
      </c>
    </row>
    <row r="15" spans="1:16" x14ac:dyDescent="0.2">
      <c r="A15" s="18">
        <v>4337174</v>
      </c>
      <c r="B15" s="18" t="s">
        <v>73</v>
      </c>
      <c r="C15" s="18" t="s">
        <v>71</v>
      </c>
      <c r="D15" s="18" t="s">
        <v>39</v>
      </c>
      <c r="E15" s="19">
        <v>44808</v>
      </c>
      <c r="F15" s="18" t="s">
        <v>74</v>
      </c>
      <c r="G15" s="19">
        <v>44837</v>
      </c>
      <c r="H15" s="19">
        <v>44874</v>
      </c>
      <c r="I15" s="18" t="s">
        <v>28</v>
      </c>
      <c r="J15" s="19" t="b">
        <v>1</v>
      </c>
      <c r="K15" s="19" t="b">
        <v>0</v>
      </c>
      <c r="L15" s="19" t="b">
        <v>0</v>
      </c>
      <c r="M15" s="19" t="b">
        <v>0</v>
      </c>
      <c r="N15" s="19" t="b">
        <v>0</v>
      </c>
      <c r="O15" s="19" t="b">
        <v>0</v>
      </c>
      <c r="P15" s="19" t="b">
        <v>1</v>
      </c>
    </row>
    <row r="16" spans="1:16" x14ac:dyDescent="0.2">
      <c r="A16" s="18">
        <v>2321324</v>
      </c>
      <c r="B16" s="18" t="s">
        <v>75</v>
      </c>
      <c r="C16" s="18" t="s">
        <v>76</v>
      </c>
      <c r="D16" s="18" t="s">
        <v>77</v>
      </c>
      <c r="E16" s="19">
        <v>45048</v>
      </c>
      <c r="F16" s="18" t="s">
        <v>78</v>
      </c>
      <c r="G16" s="19">
        <v>45066</v>
      </c>
      <c r="H16" s="19">
        <v>45077</v>
      </c>
      <c r="I16" s="18" t="s">
        <v>43</v>
      </c>
      <c r="J16" s="19" t="b">
        <v>1</v>
      </c>
      <c r="K16" s="19" t="b">
        <v>0</v>
      </c>
      <c r="L16" s="19" t="b">
        <v>0</v>
      </c>
      <c r="M16" s="19" t="b">
        <v>0</v>
      </c>
      <c r="N16" s="19" t="b">
        <v>0</v>
      </c>
      <c r="O16" s="19" t="b">
        <v>1</v>
      </c>
      <c r="P16" s="19" t="b">
        <v>0</v>
      </c>
    </row>
    <row r="17" spans="1:16" x14ac:dyDescent="0.2">
      <c r="A17" s="18">
        <v>5446912</v>
      </c>
      <c r="B17" s="18" t="s">
        <v>79</v>
      </c>
      <c r="C17" s="18" t="s">
        <v>80</v>
      </c>
      <c r="D17" s="18" t="s">
        <v>81</v>
      </c>
      <c r="E17" s="19">
        <v>44970</v>
      </c>
      <c r="F17" s="18" t="s">
        <v>82</v>
      </c>
      <c r="G17" s="19">
        <v>44992</v>
      </c>
      <c r="H17" s="19">
        <v>45034</v>
      </c>
      <c r="I17" s="18" t="s">
        <v>43</v>
      </c>
      <c r="J17" s="19" t="b">
        <v>1</v>
      </c>
      <c r="K17" s="19" t="b">
        <v>0</v>
      </c>
      <c r="L17" s="19" t="b">
        <v>0</v>
      </c>
      <c r="M17" s="19" t="b">
        <v>0</v>
      </c>
      <c r="N17" s="19" t="b">
        <v>0</v>
      </c>
      <c r="O17" s="19" t="b">
        <v>1</v>
      </c>
      <c r="P17" s="19" t="b">
        <v>0</v>
      </c>
    </row>
    <row r="18" spans="1:16" x14ac:dyDescent="0.2">
      <c r="A18" s="18">
        <v>5446912</v>
      </c>
      <c r="B18" s="18" t="s">
        <v>83</v>
      </c>
      <c r="C18" s="18" t="s">
        <v>80</v>
      </c>
      <c r="D18" s="18" t="s">
        <v>81</v>
      </c>
      <c r="E18" s="19">
        <v>44792</v>
      </c>
      <c r="F18" s="18" t="s">
        <v>84</v>
      </c>
      <c r="G18" s="19">
        <v>44795</v>
      </c>
      <c r="H18" s="19">
        <v>44817</v>
      </c>
      <c r="I18" s="18"/>
      <c r="J18" s="19" t="b">
        <v>1</v>
      </c>
      <c r="K18" s="19" t="b">
        <v>0</v>
      </c>
      <c r="L18" s="19" t="b">
        <v>0</v>
      </c>
      <c r="M18" s="19" t="b">
        <v>0</v>
      </c>
      <c r="N18" s="19" t="b">
        <v>0</v>
      </c>
      <c r="O18" s="19" t="b">
        <v>0</v>
      </c>
      <c r="P18" s="19" t="b">
        <v>0</v>
      </c>
    </row>
    <row r="19" spans="1:16" x14ac:dyDescent="0.2">
      <c r="A19" s="18">
        <v>1527021</v>
      </c>
      <c r="B19" s="18" t="s">
        <v>89</v>
      </c>
      <c r="C19" s="18" t="s">
        <v>90</v>
      </c>
      <c r="D19" s="18" t="s">
        <v>39</v>
      </c>
      <c r="E19" s="19">
        <v>44781</v>
      </c>
      <c r="F19" s="18" t="s">
        <v>91</v>
      </c>
      <c r="G19" s="19">
        <v>44799</v>
      </c>
      <c r="H19" s="19">
        <v>44808</v>
      </c>
      <c r="I19" s="18" t="s">
        <v>28</v>
      </c>
      <c r="J19" s="19" t="b">
        <v>1</v>
      </c>
      <c r="K19" s="19" t="b">
        <v>0</v>
      </c>
      <c r="L19" s="19" t="b">
        <v>0</v>
      </c>
      <c r="M19" s="19" t="b">
        <v>0</v>
      </c>
      <c r="N19" s="19" t="b">
        <v>0</v>
      </c>
      <c r="O19" s="19" t="b">
        <v>0</v>
      </c>
      <c r="P19" s="19" t="b">
        <v>1</v>
      </c>
    </row>
    <row r="20" spans="1:16" x14ac:dyDescent="0.2">
      <c r="A20" s="18">
        <v>8930103</v>
      </c>
      <c r="B20" s="18" t="s">
        <v>95</v>
      </c>
      <c r="C20" s="18" t="s">
        <v>93</v>
      </c>
      <c r="D20" s="18" t="s">
        <v>77</v>
      </c>
      <c r="E20" s="19">
        <v>44617</v>
      </c>
      <c r="F20" s="18" t="s">
        <v>96</v>
      </c>
      <c r="G20" s="19">
        <v>44639</v>
      </c>
      <c r="H20" s="19">
        <v>44681</v>
      </c>
      <c r="I20" s="18"/>
      <c r="J20" s="19" t="b">
        <v>1</v>
      </c>
      <c r="K20" s="19" t="b">
        <v>0</v>
      </c>
      <c r="L20" s="19" t="b">
        <v>0</v>
      </c>
      <c r="M20" s="19" t="b">
        <v>0</v>
      </c>
      <c r="N20" s="19" t="b">
        <v>0</v>
      </c>
      <c r="O20" s="19" t="b">
        <v>0</v>
      </c>
      <c r="P20" s="19" t="b">
        <v>0</v>
      </c>
    </row>
    <row r="21" spans="1:16" x14ac:dyDescent="0.2">
      <c r="A21" s="18">
        <v>8930103</v>
      </c>
      <c r="B21" s="18" t="s">
        <v>97</v>
      </c>
      <c r="C21" s="18" t="s">
        <v>93</v>
      </c>
      <c r="D21" s="18" t="s">
        <v>77</v>
      </c>
      <c r="E21" s="19">
        <v>44909</v>
      </c>
      <c r="F21" s="18" t="s">
        <v>98</v>
      </c>
      <c r="G21" s="19">
        <v>44935</v>
      </c>
      <c r="H21" s="19">
        <v>44991</v>
      </c>
      <c r="I21" s="18" t="s">
        <v>16</v>
      </c>
      <c r="J21" s="19" t="b">
        <v>1</v>
      </c>
      <c r="K21" s="19" t="b">
        <v>0</v>
      </c>
      <c r="L21" s="19" t="b">
        <v>0</v>
      </c>
      <c r="M21" s="19" t="b">
        <v>0</v>
      </c>
      <c r="N21" s="19" t="b">
        <v>1</v>
      </c>
      <c r="O21" s="19" t="b">
        <v>0</v>
      </c>
      <c r="P21" s="19" t="b">
        <v>0</v>
      </c>
    </row>
    <row r="22" spans="1:16" x14ac:dyDescent="0.2">
      <c r="A22" s="18">
        <v>8077999</v>
      </c>
      <c r="B22" s="18" t="s">
        <v>103</v>
      </c>
      <c r="C22" s="18" t="s">
        <v>38</v>
      </c>
      <c r="D22" s="18" t="s">
        <v>11</v>
      </c>
      <c r="E22" s="19">
        <v>44577</v>
      </c>
      <c r="F22" s="18" t="s">
        <v>104</v>
      </c>
      <c r="G22" s="19">
        <v>44580</v>
      </c>
      <c r="H22" s="19">
        <v>44640</v>
      </c>
      <c r="I22" s="18" t="s">
        <v>16</v>
      </c>
      <c r="J22" s="19" t="b">
        <v>1</v>
      </c>
      <c r="K22" s="19" t="b">
        <v>0</v>
      </c>
      <c r="L22" s="19" t="b">
        <v>0</v>
      </c>
      <c r="M22" s="19" t="b">
        <v>0</v>
      </c>
      <c r="N22" s="19" t="b">
        <v>1</v>
      </c>
      <c r="O22" s="19" t="b">
        <v>0</v>
      </c>
      <c r="P22" s="19" t="b">
        <v>0</v>
      </c>
    </row>
    <row r="23" spans="1:16" x14ac:dyDescent="0.2">
      <c r="A23" s="18">
        <v>8077999</v>
      </c>
      <c r="B23" s="18" t="s">
        <v>105</v>
      </c>
      <c r="C23" s="18" t="s">
        <v>38</v>
      </c>
      <c r="D23" s="18" t="s">
        <v>11</v>
      </c>
      <c r="E23" s="19">
        <v>45059</v>
      </c>
      <c r="F23" s="18" t="s">
        <v>106</v>
      </c>
      <c r="G23" s="19">
        <v>45075</v>
      </c>
      <c r="H23" s="19">
        <v>45089</v>
      </c>
      <c r="I23" s="18" t="s">
        <v>43</v>
      </c>
      <c r="J23" s="19" t="b">
        <v>1</v>
      </c>
      <c r="K23" s="19" t="b">
        <v>0</v>
      </c>
      <c r="L23" s="19" t="b">
        <v>0</v>
      </c>
      <c r="M23" s="19" t="b">
        <v>0</v>
      </c>
      <c r="N23" s="19" t="b">
        <v>0</v>
      </c>
      <c r="O23" s="19" t="b">
        <v>1</v>
      </c>
      <c r="P23" s="19" t="b">
        <v>0</v>
      </c>
    </row>
    <row r="24" spans="1:16" x14ac:dyDescent="0.2">
      <c r="A24" s="18">
        <v>8077999</v>
      </c>
      <c r="B24" s="18" t="s">
        <v>107</v>
      </c>
      <c r="C24" s="18" t="s">
        <v>38</v>
      </c>
      <c r="D24" s="18" t="s">
        <v>11</v>
      </c>
      <c r="E24" s="19">
        <v>44564</v>
      </c>
      <c r="F24" s="18" t="s">
        <v>108</v>
      </c>
      <c r="G24" s="19">
        <v>44577</v>
      </c>
      <c r="H24" s="19">
        <v>44594</v>
      </c>
      <c r="I24" s="18" t="s">
        <v>16</v>
      </c>
      <c r="J24" s="19" t="b">
        <v>1</v>
      </c>
      <c r="K24" s="19" t="b">
        <v>0</v>
      </c>
      <c r="L24" s="19" t="b">
        <v>0</v>
      </c>
      <c r="M24" s="19" t="b">
        <v>0</v>
      </c>
      <c r="N24" s="19" t="b">
        <v>1</v>
      </c>
      <c r="O24" s="19" t="b">
        <v>0</v>
      </c>
      <c r="P24" s="19" t="b">
        <v>0</v>
      </c>
    </row>
    <row r="25" spans="1:16" x14ac:dyDescent="0.2">
      <c r="A25" s="18">
        <v>8633773</v>
      </c>
      <c r="B25" s="18" t="s">
        <v>109</v>
      </c>
      <c r="C25" s="18" t="s">
        <v>110</v>
      </c>
      <c r="D25" s="18" t="s">
        <v>60</v>
      </c>
      <c r="E25" s="19">
        <v>44865</v>
      </c>
      <c r="F25" s="18" t="s">
        <v>111</v>
      </c>
      <c r="G25" s="19">
        <v>44872</v>
      </c>
      <c r="H25" s="19">
        <v>44876</v>
      </c>
      <c r="I25" s="18"/>
      <c r="J25" s="19" t="b">
        <v>1</v>
      </c>
      <c r="K25" s="19" t="b">
        <v>0</v>
      </c>
      <c r="L25" s="19" t="b">
        <v>0</v>
      </c>
      <c r="M25" s="19" t="b">
        <v>0</v>
      </c>
      <c r="N25" s="19" t="b">
        <v>0</v>
      </c>
      <c r="O25" s="19" t="b">
        <v>0</v>
      </c>
      <c r="P25" s="19" t="b">
        <v>0</v>
      </c>
    </row>
    <row r="26" spans="1:16" x14ac:dyDescent="0.2">
      <c r="A26" s="18">
        <v>8633773</v>
      </c>
      <c r="B26" s="18" t="s">
        <v>112</v>
      </c>
      <c r="C26" s="18" t="s">
        <v>110</v>
      </c>
      <c r="D26" s="18" t="s">
        <v>60</v>
      </c>
      <c r="E26" s="19">
        <v>44620</v>
      </c>
      <c r="F26" s="18" t="s">
        <v>113</v>
      </c>
      <c r="G26" s="19">
        <v>44622</v>
      </c>
      <c r="H26" s="19">
        <v>44660</v>
      </c>
      <c r="I26" s="18" t="s">
        <v>16</v>
      </c>
      <c r="J26" s="19" t="b">
        <v>1</v>
      </c>
      <c r="K26" s="19" t="b">
        <v>0</v>
      </c>
      <c r="L26" s="19" t="b">
        <v>0</v>
      </c>
      <c r="M26" s="19" t="b">
        <v>0</v>
      </c>
      <c r="N26" s="19" t="b">
        <v>1</v>
      </c>
      <c r="O26" s="19" t="b">
        <v>0</v>
      </c>
      <c r="P26" s="19" t="b">
        <v>0</v>
      </c>
    </row>
    <row r="27" spans="1:16" x14ac:dyDescent="0.2">
      <c r="A27" s="18">
        <v>8633773</v>
      </c>
      <c r="B27" s="18" t="s">
        <v>114</v>
      </c>
      <c r="C27" s="18" t="s">
        <v>110</v>
      </c>
      <c r="D27" s="18" t="s">
        <v>60</v>
      </c>
      <c r="E27" s="19">
        <v>44644</v>
      </c>
      <c r="F27" s="18" t="s">
        <v>115</v>
      </c>
      <c r="G27" s="19">
        <v>44672</v>
      </c>
      <c r="H27" s="19">
        <v>44684</v>
      </c>
      <c r="I27" s="18" t="s">
        <v>43</v>
      </c>
      <c r="J27" s="19" t="b">
        <v>1</v>
      </c>
      <c r="K27" s="19" t="b">
        <v>0</v>
      </c>
      <c r="L27" s="19" t="b">
        <v>0</v>
      </c>
      <c r="M27" s="19" t="b">
        <v>0</v>
      </c>
      <c r="N27" s="19" t="b">
        <v>0</v>
      </c>
      <c r="O27" s="19" t="b">
        <v>1</v>
      </c>
      <c r="P27" s="19" t="b">
        <v>0</v>
      </c>
    </row>
    <row r="28" spans="1:16" x14ac:dyDescent="0.2">
      <c r="A28" s="18">
        <v>1666754</v>
      </c>
      <c r="B28" s="18" t="s">
        <v>120</v>
      </c>
      <c r="C28" s="18" t="s">
        <v>121</v>
      </c>
      <c r="D28" s="18" t="s">
        <v>122</v>
      </c>
      <c r="E28" s="19">
        <v>44771</v>
      </c>
      <c r="F28" s="18" t="s">
        <v>123</v>
      </c>
      <c r="G28" s="19">
        <v>44793</v>
      </c>
      <c r="H28" s="19">
        <v>44839</v>
      </c>
      <c r="I28" s="18" t="s">
        <v>28</v>
      </c>
      <c r="J28" s="19" t="b">
        <v>1</v>
      </c>
      <c r="K28" s="19" t="b">
        <v>0</v>
      </c>
      <c r="L28" s="19" t="b">
        <v>0</v>
      </c>
      <c r="M28" s="19" t="b">
        <v>0</v>
      </c>
      <c r="N28" s="19" t="b">
        <v>0</v>
      </c>
      <c r="O28" s="19" t="b">
        <v>0</v>
      </c>
      <c r="P28" s="19" t="b">
        <v>1</v>
      </c>
    </row>
    <row r="29" spans="1:16" x14ac:dyDescent="0.2">
      <c r="A29" s="18">
        <v>1666754</v>
      </c>
      <c r="B29" s="18" t="s">
        <v>124</v>
      </c>
      <c r="C29" s="18" t="s">
        <v>121</v>
      </c>
      <c r="D29" s="18" t="s">
        <v>122</v>
      </c>
      <c r="E29" s="19">
        <v>44869</v>
      </c>
      <c r="F29" s="18" t="s">
        <v>125</v>
      </c>
      <c r="G29" s="19">
        <v>44884</v>
      </c>
      <c r="H29" s="19">
        <v>44905</v>
      </c>
      <c r="I29" s="18" t="s">
        <v>28</v>
      </c>
      <c r="J29" s="19" t="b">
        <v>1</v>
      </c>
      <c r="K29" s="19" t="b">
        <v>0</v>
      </c>
      <c r="L29" s="19" t="b">
        <v>0</v>
      </c>
      <c r="M29" s="19" t="b">
        <v>0</v>
      </c>
      <c r="N29" s="19" t="b">
        <v>0</v>
      </c>
      <c r="O29" s="19" t="b">
        <v>0</v>
      </c>
      <c r="P29" s="19" t="b">
        <v>1</v>
      </c>
    </row>
    <row r="30" spans="1:16" x14ac:dyDescent="0.2">
      <c r="A30" s="18">
        <v>1666754</v>
      </c>
      <c r="B30" s="18" t="s">
        <v>126</v>
      </c>
      <c r="C30" s="18" t="s">
        <v>121</v>
      </c>
      <c r="D30" s="18" t="s">
        <v>122</v>
      </c>
      <c r="E30" s="19">
        <v>44664</v>
      </c>
      <c r="F30" s="18" t="s">
        <v>127</v>
      </c>
      <c r="G30" s="19">
        <v>44667</v>
      </c>
      <c r="H30" s="19">
        <v>44702</v>
      </c>
      <c r="I30" s="18" t="s">
        <v>16</v>
      </c>
      <c r="J30" s="19" t="b">
        <v>1</v>
      </c>
      <c r="K30" s="19" t="b">
        <v>0</v>
      </c>
      <c r="L30" s="19" t="b">
        <v>0</v>
      </c>
      <c r="M30" s="19" t="b">
        <v>0</v>
      </c>
      <c r="N30" s="19" t="b">
        <v>1</v>
      </c>
      <c r="O30" s="19" t="b">
        <v>0</v>
      </c>
      <c r="P30" s="19" t="b">
        <v>0</v>
      </c>
    </row>
    <row r="31" spans="1:16" x14ac:dyDescent="0.2">
      <c r="A31" s="18">
        <v>2154126</v>
      </c>
      <c r="B31" s="18" t="s">
        <v>133</v>
      </c>
      <c r="C31" s="18" t="s">
        <v>131</v>
      </c>
      <c r="D31" s="18" t="s">
        <v>19</v>
      </c>
      <c r="E31" s="19">
        <v>44868</v>
      </c>
      <c r="F31" s="18" t="s">
        <v>134</v>
      </c>
      <c r="G31" s="19">
        <v>44898</v>
      </c>
      <c r="H31" s="19">
        <v>44941</v>
      </c>
      <c r="I31" s="18" t="s">
        <v>16</v>
      </c>
      <c r="J31" s="19" t="b">
        <v>1</v>
      </c>
      <c r="K31" s="19" t="b">
        <v>0</v>
      </c>
      <c r="L31" s="19" t="b">
        <v>0</v>
      </c>
      <c r="M31" s="19" t="b">
        <v>0</v>
      </c>
      <c r="N31" s="19" t="b">
        <v>1</v>
      </c>
      <c r="O31" s="19" t="b">
        <v>0</v>
      </c>
      <c r="P31" s="19" t="b">
        <v>0</v>
      </c>
    </row>
    <row r="32" spans="1:16" x14ac:dyDescent="0.2">
      <c r="A32" s="18">
        <v>2795765</v>
      </c>
      <c r="B32" s="18" t="s">
        <v>141</v>
      </c>
      <c r="C32" s="18" t="s">
        <v>138</v>
      </c>
      <c r="D32" s="18" t="s">
        <v>139</v>
      </c>
      <c r="E32" s="19">
        <v>44819</v>
      </c>
      <c r="F32" s="18" t="s">
        <v>142</v>
      </c>
      <c r="G32" s="19">
        <v>44848</v>
      </c>
      <c r="H32" s="19">
        <v>44907</v>
      </c>
      <c r="I32" s="18" t="s">
        <v>28</v>
      </c>
      <c r="J32" s="19" t="b">
        <v>1</v>
      </c>
      <c r="K32" s="19" t="b">
        <v>0</v>
      </c>
      <c r="L32" s="19" t="b">
        <v>0</v>
      </c>
      <c r="M32" s="19" t="b">
        <v>0</v>
      </c>
      <c r="N32" s="19" t="b">
        <v>0</v>
      </c>
      <c r="O32" s="19" t="b">
        <v>0</v>
      </c>
      <c r="P32" s="19" t="b">
        <v>1</v>
      </c>
    </row>
    <row r="33" spans="1:16" x14ac:dyDescent="0.2">
      <c r="A33" s="18">
        <v>1852264</v>
      </c>
      <c r="B33" s="18" t="s">
        <v>147</v>
      </c>
      <c r="C33" s="18" t="s">
        <v>76</v>
      </c>
      <c r="D33" s="18" t="s">
        <v>60</v>
      </c>
      <c r="E33" s="19">
        <v>44676</v>
      </c>
      <c r="F33" s="18" t="s">
        <v>148</v>
      </c>
      <c r="G33" s="19">
        <v>44679</v>
      </c>
      <c r="H33" s="19">
        <v>44736</v>
      </c>
      <c r="I33" s="18"/>
      <c r="J33" s="19" t="b">
        <v>1</v>
      </c>
      <c r="K33" s="19" t="b">
        <v>0</v>
      </c>
      <c r="L33" s="19" t="b">
        <v>0</v>
      </c>
      <c r="M33" s="19" t="b">
        <v>0</v>
      </c>
      <c r="N33" s="19" t="b">
        <v>0</v>
      </c>
      <c r="O33" s="19" t="b">
        <v>0</v>
      </c>
      <c r="P33" s="19" t="b">
        <v>0</v>
      </c>
    </row>
    <row r="34" spans="1:16" x14ac:dyDescent="0.2">
      <c r="A34" s="18">
        <v>1604451</v>
      </c>
      <c r="B34" s="18" t="s">
        <v>149</v>
      </c>
      <c r="C34" s="18" t="s">
        <v>150</v>
      </c>
      <c r="D34" s="18" t="s">
        <v>39</v>
      </c>
      <c r="E34" s="19">
        <v>44877</v>
      </c>
      <c r="F34" s="18" t="s">
        <v>151</v>
      </c>
      <c r="G34" s="19">
        <v>44889</v>
      </c>
      <c r="H34" s="19">
        <v>44947</v>
      </c>
      <c r="I34" s="18"/>
      <c r="J34" s="19" t="b">
        <v>1</v>
      </c>
      <c r="K34" s="19" t="b">
        <v>0</v>
      </c>
      <c r="L34" s="19" t="b">
        <v>0</v>
      </c>
      <c r="M34" s="19" t="b">
        <v>0</v>
      </c>
      <c r="N34" s="19" t="b">
        <v>0</v>
      </c>
      <c r="O34" s="19" t="b">
        <v>0</v>
      </c>
      <c r="P34" s="19" t="b">
        <v>0</v>
      </c>
    </row>
    <row r="35" spans="1:16" x14ac:dyDescent="0.2">
      <c r="A35" s="18">
        <v>1604451</v>
      </c>
      <c r="B35" s="18" t="s">
        <v>152</v>
      </c>
      <c r="C35" s="18" t="s">
        <v>150</v>
      </c>
      <c r="D35" s="18" t="s">
        <v>39</v>
      </c>
      <c r="E35" s="19">
        <v>44777</v>
      </c>
      <c r="F35" s="18" t="s">
        <v>153</v>
      </c>
      <c r="G35" s="19">
        <v>44799</v>
      </c>
      <c r="H35" s="19">
        <v>44815</v>
      </c>
      <c r="I35" s="18" t="s">
        <v>16</v>
      </c>
      <c r="J35" s="19" t="b">
        <v>1</v>
      </c>
      <c r="K35" s="19" t="b">
        <v>0</v>
      </c>
      <c r="L35" s="19" t="b">
        <v>0</v>
      </c>
      <c r="M35" s="19" t="b">
        <v>0</v>
      </c>
      <c r="N35" s="19" t="b">
        <v>1</v>
      </c>
      <c r="O35" s="19" t="b">
        <v>0</v>
      </c>
      <c r="P35" s="19" t="b">
        <v>0</v>
      </c>
    </row>
    <row r="36" spans="1:16" x14ac:dyDescent="0.2">
      <c r="A36" s="18">
        <v>1604451</v>
      </c>
      <c r="B36" s="18" t="s">
        <v>154</v>
      </c>
      <c r="C36" s="18" t="s">
        <v>150</v>
      </c>
      <c r="D36" s="18" t="s">
        <v>39</v>
      </c>
      <c r="E36" s="19">
        <v>44978</v>
      </c>
      <c r="F36" s="18" t="s">
        <v>155</v>
      </c>
      <c r="G36" s="19">
        <v>44998</v>
      </c>
      <c r="H36" s="19">
        <v>45046</v>
      </c>
      <c r="I36" s="18" t="s">
        <v>28</v>
      </c>
      <c r="J36" s="19" t="b">
        <v>1</v>
      </c>
      <c r="K36" s="19" t="b">
        <v>0</v>
      </c>
      <c r="L36" s="19" t="b">
        <v>0</v>
      </c>
      <c r="M36" s="19" t="b">
        <v>0</v>
      </c>
      <c r="N36" s="19" t="b">
        <v>0</v>
      </c>
      <c r="O36" s="19" t="b">
        <v>0</v>
      </c>
      <c r="P36" s="19" t="b">
        <v>1</v>
      </c>
    </row>
    <row r="37" spans="1:16" x14ac:dyDescent="0.2">
      <c r="A37" s="18">
        <v>1604451</v>
      </c>
      <c r="B37" s="18" t="s">
        <v>158</v>
      </c>
      <c r="C37" s="18" t="s">
        <v>150</v>
      </c>
      <c r="D37" s="18" t="s">
        <v>39</v>
      </c>
      <c r="E37" s="19">
        <v>44902</v>
      </c>
      <c r="F37" s="18" t="s">
        <v>159</v>
      </c>
      <c r="G37" s="19">
        <v>44928</v>
      </c>
      <c r="H37" s="19">
        <v>44988</v>
      </c>
      <c r="I37" s="18"/>
      <c r="J37" s="19" t="b">
        <v>1</v>
      </c>
      <c r="K37" s="19" t="b">
        <v>0</v>
      </c>
      <c r="L37" s="19" t="b">
        <v>0</v>
      </c>
      <c r="M37" s="19" t="b">
        <v>0</v>
      </c>
      <c r="N37" s="19" t="b">
        <v>0</v>
      </c>
      <c r="O37" s="19" t="b">
        <v>0</v>
      </c>
      <c r="P37" s="19" t="b">
        <v>0</v>
      </c>
    </row>
    <row r="38" spans="1:16" x14ac:dyDescent="0.2">
      <c r="A38" s="18">
        <v>7907400</v>
      </c>
      <c r="B38" s="18" t="s">
        <v>164</v>
      </c>
      <c r="C38" s="18" t="s">
        <v>47</v>
      </c>
      <c r="D38" s="18" t="s">
        <v>19</v>
      </c>
      <c r="E38" s="19">
        <v>45033</v>
      </c>
      <c r="F38" s="18" t="s">
        <v>165</v>
      </c>
      <c r="G38" s="19">
        <v>45045</v>
      </c>
      <c r="H38" s="19">
        <v>45065</v>
      </c>
      <c r="I38" s="18" t="s">
        <v>43</v>
      </c>
      <c r="J38" s="19" t="b">
        <v>1</v>
      </c>
      <c r="K38" s="19" t="b">
        <v>0</v>
      </c>
      <c r="L38" s="19" t="b">
        <v>0</v>
      </c>
      <c r="M38" s="19" t="b">
        <v>0</v>
      </c>
      <c r="N38" s="19" t="b">
        <v>0</v>
      </c>
      <c r="O38" s="19" t="b">
        <v>1</v>
      </c>
      <c r="P38" s="19" t="b">
        <v>0</v>
      </c>
    </row>
    <row r="39" spans="1:16" x14ac:dyDescent="0.2">
      <c r="A39" s="18">
        <v>1397023</v>
      </c>
      <c r="B39" s="18" t="s">
        <v>169</v>
      </c>
      <c r="C39" s="18" t="s">
        <v>167</v>
      </c>
      <c r="D39" s="18" t="s">
        <v>19</v>
      </c>
      <c r="E39" s="19">
        <v>44901</v>
      </c>
      <c r="F39" s="18" t="s">
        <v>170</v>
      </c>
      <c r="G39" s="19">
        <v>44902</v>
      </c>
      <c r="H39" s="19">
        <v>44910</v>
      </c>
      <c r="I39" s="18"/>
      <c r="J39" s="19" t="b">
        <v>1</v>
      </c>
      <c r="K39" s="19" t="b">
        <v>0</v>
      </c>
      <c r="L39" s="19" t="b">
        <v>0</v>
      </c>
      <c r="M39" s="19" t="b">
        <v>0</v>
      </c>
      <c r="N39" s="19" t="b">
        <v>0</v>
      </c>
      <c r="O39" s="19" t="b">
        <v>0</v>
      </c>
      <c r="P39" s="19" t="b">
        <v>0</v>
      </c>
    </row>
    <row r="40" spans="1:16" x14ac:dyDescent="0.2">
      <c r="A40" s="18">
        <v>1397023</v>
      </c>
      <c r="B40" s="18" t="s">
        <v>171</v>
      </c>
      <c r="C40" s="18" t="s">
        <v>167</v>
      </c>
      <c r="D40" s="18" t="s">
        <v>19</v>
      </c>
      <c r="E40" s="19">
        <v>44833</v>
      </c>
      <c r="F40" s="18" t="s">
        <v>172</v>
      </c>
      <c r="G40" s="19">
        <v>44835</v>
      </c>
      <c r="H40" s="19">
        <v>44842</v>
      </c>
      <c r="I40" s="18" t="s">
        <v>28</v>
      </c>
      <c r="J40" s="19" t="b">
        <v>1</v>
      </c>
      <c r="K40" s="19" t="b">
        <v>0</v>
      </c>
      <c r="L40" s="19" t="b">
        <v>0</v>
      </c>
      <c r="M40" s="19" t="b">
        <v>0</v>
      </c>
      <c r="N40" s="19" t="b">
        <v>0</v>
      </c>
      <c r="O40" s="19" t="b">
        <v>0</v>
      </c>
      <c r="P40" s="19" t="b">
        <v>1</v>
      </c>
    </row>
    <row r="41" spans="1:16" x14ac:dyDescent="0.2">
      <c r="A41" s="18">
        <v>1397023</v>
      </c>
      <c r="B41" s="18" t="s">
        <v>173</v>
      </c>
      <c r="C41" s="18" t="s">
        <v>167</v>
      </c>
      <c r="D41" s="18" t="s">
        <v>19</v>
      </c>
      <c r="E41" s="19">
        <v>44883</v>
      </c>
      <c r="F41" s="18" t="s">
        <v>174</v>
      </c>
      <c r="G41" s="19">
        <v>44897</v>
      </c>
      <c r="H41" s="19">
        <v>44936</v>
      </c>
      <c r="I41" s="18" t="s">
        <v>28</v>
      </c>
      <c r="J41" s="19" t="b">
        <v>1</v>
      </c>
      <c r="K41" s="19" t="b">
        <v>0</v>
      </c>
      <c r="L41" s="19" t="b">
        <v>0</v>
      </c>
      <c r="M41" s="19" t="b">
        <v>0</v>
      </c>
      <c r="N41" s="19" t="b">
        <v>0</v>
      </c>
      <c r="O41" s="19" t="b">
        <v>0</v>
      </c>
      <c r="P41" s="19" t="b">
        <v>1</v>
      </c>
    </row>
    <row r="42" spans="1:16" x14ac:dyDescent="0.2">
      <c r="A42" s="18">
        <v>9580255</v>
      </c>
      <c r="B42" s="18" t="s">
        <v>178</v>
      </c>
      <c r="C42" s="18" t="s">
        <v>176</v>
      </c>
      <c r="D42" s="18" t="s">
        <v>60</v>
      </c>
      <c r="E42" s="19">
        <v>44633</v>
      </c>
      <c r="F42" s="18" t="s">
        <v>179</v>
      </c>
      <c r="G42" s="19">
        <v>44655</v>
      </c>
      <c r="H42" s="19">
        <v>44714</v>
      </c>
      <c r="I42" s="18" t="s">
        <v>43</v>
      </c>
      <c r="J42" s="19" t="b">
        <v>1</v>
      </c>
      <c r="K42" s="19" t="b">
        <v>0</v>
      </c>
      <c r="L42" s="19" t="b">
        <v>0</v>
      </c>
      <c r="M42" s="19" t="b">
        <v>0</v>
      </c>
      <c r="N42" s="19" t="b">
        <v>0</v>
      </c>
      <c r="O42" s="19" t="b">
        <v>1</v>
      </c>
      <c r="P42" s="19" t="b">
        <v>0</v>
      </c>
    </row>
    <row r="43" spans="1:16" x14ac:dyDescent="0.2">
      <c r="A43" s="18">
        <v>9580255</v>
      </c>
      <c r="B43" s="18" t="s">
        <v>180</v>
      </c>
      <c r="C43" s="18" t="s">
        <v>176</v>
      </c>
      <c r="D43" s="18" t="s">
        <v>60</v>
      </c>
      <c r="E43" s="19">
        <v>44689</v>
      </c>
      <c r="F43" s="18" t="s">
        <v>181</v>
      </c>
      <c r="G43" s="19">
        <v>44713</v>
      </c>
      <c r="H43" s="19">
        <v>44771</v>
      </c>
      <c r="I43" s="18" t="s">
        <v>28</v>
      </c>
      <c r="J43" s="19" t="b">
        <v>1</v>
      </c>
      <c r="K43" s="19" t="b">
        <v>0</v>
      </c>
      <c r="L43" s="19" t="b">
        <v>0</v>
      </c>
      <c r="M43" s="19" t="b">
        <v>0</v>
      </c>
      <c r="N43" s="19" t="b">
        <v>0</v>
      </c>
      <c r="O43" s="19" t="b">
        <v>0</v>
      </c>
      <c r="P43" s="19" t="b">
        <v>1</v>
      </c>
    </row>
    <row r="44" spans="1:16" x14ac:dyDescent="0.2">
      <c r="A44" s="18">
        <v>9580255</v>
      </c>
      <c r="B44" s="18" t="s">
        <v>182</v>
      </c>
      <c r="C44" s="18" t="s">
        <v>176</v>
      </c>
      <c r="D44" s="18" t="s">
        <v>60</v>
      </c>
      <c r="E44" s="19">
        <v>44896</v>
      </c>
      <c r="F44" s="18" t="s">
        <v>183</v>
      </c>
      <c r="G44" s="19">
        <v>44909</v>
      </c>
      <c r="H44" s="19">
        <v>44954</v>
      </c>
      <c r="I44" s="18" t="s">
        <v>28</v>
      </c>
      <c r="J44" s="19" t="b">
        <v>1</v>
      </c>
      <c r="K44" s="19" t="b">
        <v>0</v>
      </c>
      <c r="L44" s="19" t="b">
        <v>0</v>
      </c>
      <c r="M44" s="19" t="b">
        <v>0</v>
      </c>
      <c r="N44" s="19" t="b">
        <v>0</v>
      </c>
      <c r="O44" s="19" t="b">
        <v>0</v>
      </c>
      <c r="P44" s="19" t="b">
        <v>1</v>
      </c>
    </row>
    <row r="45" spans="1:16" x14ac:dyDescent="0.2">
      <c r="A45" s="18">
        <v>7361002</v>
      </c>
      <c r="B45" s="18" t="s">
        <v>186</v>
      </c>
      <c r="C45" s="18" t="s">
        <v>167</v>
      </c>
      <c r="D45" s="18" t="s">
        <v>187</v>
      </c>
      <c r="E45" s="19">
        <v>44562</v>
      </c>
      <c r="F45" s="18" t="s">
        <v>188</v>
      </c>
      <c r="G45" s="19">
        <v>44572</v>
      </c>
      <c r="H45" s="19">
        <v>44591</v>
      </c>
      <c r="I45" s="18"/>
      <c r="J45" s="19" t="b">
        <v>1</v>
      </c>
      <c r="K45" s="19" t="b">
        <v>0</v>
      </c>
      <c r="L45" s="19" t="b">
        <v>0</v>
      </c>
      <c r="M45" s="19" t="b">
        <v>0</v>
      </c>
      <c r="N45" s="19" t="b">
        <v>0</v>
      </c>
      <c r="O45" s="19" t="b">
        <v>0</v>
      </c>
      <c r="P45" s="19" t="b">
        <v>0</v>
      </c>
    </row>
    <row r="46" spans="1:16" x14ac:dyDescent="0.2">
      <c r="A46" s="18">
        <v>7361002</v>
      </c>
      <c r="B46" s="18" t="s">
        <v>191</v>
      </c>
      <c r="C46" s="18" t="s">
        <v>167</v>
      </c>
      <c r="D46" s="18" t="s">
        <v>187</v>
      </c>
      <c r="E46" s="19">
        <v>44735</v>
      </c>
      <c r="F46" s="18" t="s">
        <v>192</v>
      </c>
      <c r="G46" s="19">
        <v>44757</v>
      </c>
      <c r="H46" s="19">
        <v>44763</v>
      </c>
      <c r="I46" s="18" t="s">
        <v>43</v>
      </c>
      <c r="J46" s="19" t="b">
        <v>1</v>
      </c>
      <c r="K46" s="19" t="b">
        <v>0</v>
      </c>
      <c r="L46" s="19" t="b">
        <v>0</v>
      </c>
      <c r="M46" s="19" t="b">
        <v>0</v>
      </c>
      <c r="N46" s="19" t="b">
        <v>0</v>
      </c>
      <c r="O46" s="19" t="b">
        <v>1</v>
      </c>
      <c r="P46" s="19" t="b">
        <v>0</v>
      </c>
    </row>
    <row r="47" spans="1:16" x14ac:dyDescent="0.2">
      <c r="A47" s="18">
        <v>7361002</v>
      </c>
      <c r="B47" s="18" t="s">
        <v>195</v>
      </c>
      <c r="C47" s="18" t="s">
        <v>167</v>
      </c>
      <c r="D47" s="18" t="s">
        <v>187</v>
      </c>
      <c r="E47" s="19">
        <v>44792</v>
      </c>
      <c r="F47" s="18" t="s">
        <v>196</v>
      </c>
      <c r="G47" s="19">
        <v>44818</v>
      </c>
      <c r="H47" s="19">
        <v>44831</v>
      </c>
      <c r="I47" s="18" t="s">
        <v>43</v>
      </c>
      <c r="J47" s="19" t="b">
        <v>1</v>
      </c>
      <c r="K47" s="19" t="b">
        <v>0</v>
      </c>
      <c r="L47" s="19" t="b">
        <v>0</v>
      </c>
      <c r="M47" s="19" t="b">
        <v>0</v>
      </c>
      <c r="N47" s="19" t="b">
        <v>0</v>
      </c>
      <c r="O47" s="19" t="b">
        <v>1</v>
      </c>
      <c r="P47" s="19" t="b">
        <v>0</v>
      </c>
    </row>
    <row r="48" spans="1:16" x14ac:dyDescent="0.2">
      <c r="A48" s="18">
        <v>3472189</v>
      </c>
      <c r="B48" s="18" t="s">
        <v>197</v>
      </c>
      <c r="C48" s="18" t="s">
        <v>10</v>
      </c>
      <c r="D48" s="18" t="s">
        <v>56</v>
      </c>
      <c r="E48" s="19">
        <v>44761</v>
      </c>
      <c r="F48" s="18" t="s">
        <v>198</v>
      </c>
      <c r="G48" s="19">
        <v>44784</v>
      </c>
      <c r="H48" s="19">
        <v>44829</v>
      </c>
      <c r="I48" s="18" t="s">
        <v>16</v>
      </c>
      <c r="J48" s="19" t="b">
        <v>1</v>
      </c>
      <c r="K48" s="19" t="b">
        <v>0</v>
      </c>
      <c r="L48" s="19" t="b">
        <v>0</v>
      </c>
      <c r="M48" s="19" t="b">
        <v>0</v>
      </c>
      <c r="N48" s="19" t="b">
        <v>1</v>
      </c>
      <c r="O48" s="19" t="b">
        <v>0</v>
      </c>
      <c r="P48" s="19" t="b">
        <v>0</v>
      </c>
    </row>
    <row r="49" spans="1:16" x14ac:dyDescent="0.2">
      <c r="A49" s="18">
        <v>3472189</v>
      </c>
      <c r="B49" s="18" t="s">
        <v>199</v>
      </c>
      <c r="C49" s="18" t="s">
        <v>10</v>
      </c>
      <c r="D49" s="18" t="s">
        <v>56</v>
      </c>
      <c r="E49" s="19">
        <v>44567</v>
      </c>
      <c r="F49" s="18" t="s">
        <v>200</v>
      </c>
      <c r="G49" s="19">
        <v>44596</v>
      </c>
      <c r="H49" s="19">
        <v>44645</v>
      </c>
      <c r="I49" s="18"/>
      <c r="J49" s="19" t="b">
        <v>1</v>
      </c>
      <c r="K49" s="19" t="b">
        <v>0</v>
      </c>
      <c r="L49" s="19" t="b">
        <v>0</v>
      </c>
      <c r="M49" s="19" t="b">
        <v>0</v>
      </c>
      <c r="N49" s="19" t="b">
        <v>0</v>
      </c>
      <c r="O49" s="19" t="b">
        <v>0</v>
      </c>
      <c r="P49" s="19" t="b">
        <v>0</v>
      </c>
    </row>
    <row r="50" spans="1:16" x14ac:dyDescent="0.2">
      <c r="A50" s="18">
        <v>2788238</v>
      </c>
      <c r="B50" s="18" t="s">
        <v>203</v>
      </c>
      <c r="C50" s="18" t="s">
        <v>35</v>
      </c>
      <c r="D50" s="18" t="s">
        <v>60</v>
      </c>
      <c r="E50" s="19">
        <v>45037</v>
      </c>
      <c r="F50" s="18" t="s">
        <v>204</v>
      </c>
      <c r="G50" s="19">
        <v>45059</v>
      </c>
      <c r="H50" s="19">
        <v>45093</v>
      </c>
      <c r="I50" s="18" t="s">
        <v>16</v>
      </c>
      <c r="J50" s="19" t="b">
        <v>1</v>
      </c>
      <c r="K50" s="19" t="b">
        <v>0</v>
      </c>
      <c r="L50" s="19" t="b">
        <v>0</v>
      </c>
      <c r="M50" s="19" t="b">
        <v>0</v>
      </c>
      <c r="N50" s="19" t="b">
        <v>1</v>
      </c>
      <c r="O50" s="19" t="b">
        <v>0</v>
      </c>
      <c r="P50" s="19" t="b">
        <v>0</v>
      </c>
    </row>
    <row r="51" spans="1:16" x14ac:dyDescent="0.2">
      <c r="A51" s="18">
        <v>6323376</v>
      </c>
      <c r="B51" s="18" t="s">
        <v>205</v>
      </c>
      <c r="C51" s="18" t="s">
        <v>35</v>
      </c>
      <c r="D51" s="18" t="s">
        <v>77</v>
      </c>
      <c r="E51" s="19">
        <v>45018</v>
      </c>
      <c r="F51" s="18" t="s">
        <v>206</v>
      </c>
      <c r="G51" s="19">
        <v>45047</v>
      </c>
      <c r="H51" s="19">
        <v>45058</v>
      </c>
      <c r="I51" s="18"/>
      <c r="J51" s="19" t="b">
        <v>1</v>
      </c>
      <c r="K51" s="19" t="b">
        <v>0</v>
      </c>
      <c r="L51" s="19" t="b">
        <v>0</v>
      </c>
      <c r="M51" s="19" t="b">
        <v>0</v>
      </c>
      <c r="N51" s="19" t="b">
        <v>0</v>
      </c>
      <c r="O51" s="19" t="b">
        <v>0</v>
      </c>
      <c r="P51" s="19" t="b">
        <v>0</v>
      </c>
    </row>
    <row r="52" spans="1:16" x14ac:dyDescent="0.2">
      <c r="A52" s="18">
        <v>6323376</v>
      </c>
      <c r="B52" s="18" t="s">
        <v>207</v>
      </c>
      <c r="C52" s="18" t="s">
        <v>35</v>
      </c>
      <c r="D52" s="18" t="s">
        <v>77</v>
      </c>
      <c r="E52" s="19">
        <v>44815</v>
      </c>
      <c r="F52" s="18" t="s">
        <v>208</v>
      </c>
      <c r="G52" s="19">
        <v>44842</v>
      </c>
      <c r="H52" s="19">
        <v>44883</v>
      </c>
      <c r="I52" s="18"/>
      <c r="J52" s="19" t="b">
        <v>1</v>
      </c>
      <c r="K52" s="19" t="b">
        <v>0</v>
      </c>
      <c r="L52" s="19" t="b">
        <v>0</v>
      </c>
      <c r="M52" s="19" t="b">
        <v>0</v>
      </c>
      <c r="N52" s="19" t="b">
        <v>0</v>
      </c>
      <c r="O52" s="19" t="b">
        <v>0</v>
      </c>
      <c r="P52" s="19" t="b">
        <v>0</v>
      </c>
    </row>
    <row r="53" spans="1:16" x14ac:dyDescent="0.2">
      <c r="A53" s="18">
        <v>3530518</v>
      </c>
      <c r="B53" s="18" t="s">
        <v>215</v>
      </c>
      <c r="C53" s="18" t="s">
        <v>93</v>
      </c>
      <c r="D53" s="18" t="s">
        <v>60</v>
      </c>
      <c r="E53" s="19">
        <v>44900</v>
      </c>
      <c r="F53" s="18" t="s">
        <v>216</v>
      </c>
      <c r="G53" s="19">
        <v>44918</v>
      </c>
      <c r="H53" s="19">
        <v>44948</v>
      </c>
      <c r="I53" s="18" t="s">
        <v>16</v>
      </c>
      <c r="J53" s="19" t="b">
        <v>1</v>
      </c>
      <c r="K53" s="19" t="b">
        <v>0</v>
      </c>
      <c r="L53" s="19" t="b">
        <v>0</v>
      </c>
      <c r="M53" s="19" t="b">
        <v>0</v>
      </c>
      <c r="N53" s="19" t="b">
        <v>1</v>
      </c>
      <c r="O53" s="19" t="b">
        <v>0</v>
      </c>
      <c r="P53" s="19" t="b">
        <v>0</v>
      </c>
    </row>
    <row r="54" spans="1:16" x14ac:dyDescent="0.2">
      <c r="A54" s="18">
        <v>3530518</v>
      </c>
      <c r="B54" s="18" t="s">
        <v>217</v>
      </c>
      <c r="C54" s="18" t="s">
        <v>93</v>
      </c>
      <c r="D54" s="18" t="s">
        <v>60</v>
      </c>
      <c r="E54" s="19">
        <v>44960</v>
      </c>
      <c r="F54" s="18" t="s">
        <v>218</v>
      </c>
      <c r="G54" s="19">
        <v>44989</v>
      </c>
      <c r="H54" s="19">
        <v>45039</v>
      </c>
      <c r="I54" s="18" t="s">
        <v>43</v>
      </c>
      <c r="J54" s="19" t="b">
        <v>1</v>
      </c>
      <c r="K54" s="19" t="b">
        <v>0</v>
      </c>
      <c r="L54" s="19" t="b">
        <v>0</v>
      </c>
      <c r="M54" s="19" t="b">
        <v>0</v>
      </c>
      <c r="N54" s="19" t="b">
        <v>0</v>
      </c>
      <c r="O54" s="19" t="b">
        <v>1</v>
      </c>
      <c r="P54" s="19" t="b">
        <v>0</v>
      </c>
    </row>
    <row r="55" spans="1:16" x14ac:dyDescent="0.2">
      <c r="A55" s="18">
        <v>1327691</v>
      </c>
      <c r="B55" s="18" t="s">
        <v>219</v>
      </c>
      <c r="C55" s="18" t="s">
        <v>90</v>
      </c>
      <c r="D55" s="18" t="s">
        <v>81</v>
      </c>
      <c r="E55" s="19">
        <v>44961</v>
      </c>
      <c r="F55" s="18" t="s">
        <v>220</v>
      </c>
      <c r="G55" s="19">
        <v>44989</v>
      </c>
      <c r="H55" s="19">
        <v>45047</v>
      </c>
      <c r="I55" s="18" t="s">
        <v>28</v>
      </c>
      <c r="J55" s="19" t="b">
        <v>1</v>
      </c>
      <c r="K55" s="19" t="b">
        <v>0</v>
      </c>
      <c r="L55" s="19" t="b">
        <v>0</v>
      </c>
      <c r="M55" s="19" t="b">
        <v>0</v>
      </c>
      <c r="N55" s="19" t="b">
        <v>0</v>
      </c>
      <c r="O55" s="19" t="b">
        <v>0</v>
      </c>
      <c r="P55" s="19" t="b">
        <v>1</v>
      </c>
    </row>
    <row r="56" spans="1:16" x14ac:dyDescent="0.2">
      <c r="A56" s="18">
        <v>1327691</v>
      </c>
      <c r="B56" s="18" t="s">
        <v>221</v>
      </c>
      <c r="C56" s="18" t="s">
        <v>90</v>
      </c>
      <c r="D56" s="18" t="s">
        <v>81</v>
      </c>
      <c r="E56" s="19">
        <v>44787</v>
      </c>
      <c r="F56" s="18" t="s">
        <v>222</v>
      </c>
      <c r="G56" s="19">
        <v>44803</v>
      </c>
      <c r="H56" s="19">
        <v>44818</v>
      </c>
      <c r="I56" s="18"/>
      <c r="J56" s="19" t="b">
        <v>1</v>
      </c>
      <c r="K56" s="19" t="b">
        <v>0</v>
      </c>
      <c r="L56" s="19" t="b">
        <v>0</v>
      </c>
      <c r="M56" s="19" t="b">
        <v>0</v>
      </c>
      <c r="N56" s="19" t="b">
        <v>0</v>
      </c>
      <c r="O56" s="19" t="b">
        <v>0</v>
      </c>
      <c r="P56" s="19" t="b">
        <v>0</v>
      </c>
    </row>
    <row r="57" spans="1:16" x14ac:dyDescent="0.2">
      <c r="A57" s="18">
        <v>1327691</v>
      </c>
      <c r="B57" s="18" t="s">
        <v>225</v>
      </c>
      <c r="C57" s="18" t="s">
        <v>90</v>
      </c>
      <c r="D57" s="18" t="s">
        <v>81</v>
      </c>
      <c r="E57" s="19">
        <v>45040</v>
      </c>
      <c r="F57" s="18" t="s">
        <v>226</v>
      </c>
      <c r="G57" s="19">
        <v>45070</v>
      </c>
      <c r="H57" s="19">
        <v>45079</v>
      </c>
      <c r="I57" s="18"/>
      <c r="J57" s="19" t="b">
        <v>1</v>
      </c>
      <c r="K57" s="19" t="b">
        <v>0</v>
      </c>
      <c r="L57" s="19" t="b">
        <v>0</v>
      </c>
      <c r="M57" s="19" t="b">
        <v>0</v>
      </c>
      <c r="N57" s="19" t="b">
        <v>0</v>
      </c>
      <c r="O57" s="19" t="b">
        <v>0</v>
      </c>
      <c r="P57" s="19" t="b">
        <v>0</v>
      </c>
    </row>
    <row r="58" spans="1:16" x14ac:dyDescent="0.2">
      <c r="A58" s="18">
        <v>9961107</v>
      </c>
      <c r="B58" s="18" t="s">
        <v>227</v>
      </c>
      <c r="C58" s="18" t="s">
        <v>10</v>
      </c>
      <c r="D58" s="18" t="s">
        <v>60</v>
      </c>
      <c r="E58" s="19">
        <v>45000</v>
      </c>
      <c r="F58" s="18" t="s">
        <v>228</v>
      </c>
      <c r="G58" s="19">
        <v>45005</v>
      </c>
      <c r="H58" s="19">
        <v>45061</v>
      </c>
      <c r="I58" s="18" t="s">
        <v>16</v>
      </c>
      <c r="J58" s="19" t="b">
        <v>1</v>
      </c>
      <c r="K58" s="19" t="b">
        <v>0</v>
      </c>
      <c r="L58" s="19" t="b">
        <v>0</v>
      </c>
      <c r="M58" s="19" t="b">
        <v>0</v>
      </c>
      <c r="N58" s="19" t="b">
        <v>1</v>
      </c>
      <c r="O58" s="19" t="b">
        <v>0</v>
      </c>
      <c r="P58" s="19" t="b">
        <v>0</v>
      </c>
    </row>
    <row r="59" spans="1:16" x14ac:dyDescent="0.2">
      <c r="A59" s="18">
        <v>9961107</v>
      </c>
      <c r="B59" s="18" t="s">
        <v>229</v>
      </c>
      <c r="C59" s="18" t="s">
        <v>10</v>
      </c>
      <c r="D59" s="18" t="s">
        <v>60</v>
      </c>
      <c r="E59" s="19">
        <v>44897</v>
      </c>
      <c r="F59" s="18" t="s">
        <v>230</v>
      </c>
      <c r="G59" s="19">
        <v>44904</v>
      </c>
      <c r="H59" s="19">
        <v>44934</v>
      </c>
      <c r="I59" s="18" t="s">
        <v>16</v>
      </c>
      <c r="J59" s="19" t="b">
        <v>1</v>
      </c>
      <c r="K59" s="19" t="b">
        <v>0</v>
      </c>
      <c r="L59" s="19" t="b">
        <v>0</v>
      </c>
      <c r="M59" s="19" t="b">
        <v>0</v>
      </c>
      <c r="N59" s="19" t="b">
        <v>1</v>
      </c>
      <c r="O59" s="19" t="b">
        <v>0</v>
      </c>
      <c r="P59" s="19" t="b">
        <v>0</v>
      </c>
    </row>
    <row r="60" spans="1:16" x14ac:dyDescent="0.2">
      <c r="A60" s="18">
        <v>9961107</v>
      </c>
      <c r="B60" s="18" t="s">
        <v>231</v>
      </c>
      <c r="C60" s="18" t="s">
        <v>10</v>
      </c>
      <c r="D60" s="18" t="s">
        <v>60</v>
      </c>
      <c r="E60" s="19">
        <v>44993</v>
      </c>
      <c r="F60" s="18" t="s">
        <v>232</v>
      </c>
      <c r="G60" s="19">
        <v>45002</v>
      </c>
      <c r="H60" s="19">
        <v>45056</v>
      </c>
      <c r="I60" s="18"/>
      <c r="J60" s="19" t="b">
        <v>1</v>
      </c>
      <c r="K60" s="19" t="b">
        <v>0</v>
      </c>
      <c r="L60" s="19" t="b">
        <v>0</v>
      </c>
      <c r="M60" s="19" t="b">
        <v>0</v>
      </c>
      <c r="N60" s="19" t="b">
        <v>0</v>
      </c>
      <c r="O60" s="19" t="b">
        <v>0</v>
      </c>
      <c r="P60" s="19" t="b">
        <v>0</v>
      </c>
    </row>
    <row r="61" spans="1:16" x14ac:dyDescent="0.2">
      <c r="A61" s="18">
        <v>1520596</v>
      </c>
      <c r="B61" s="18" t="s">
        <v>237</v>
      </c>
      <c r="C61" s="18" t="s">
        <v>93</v>
      </c>
      <c r="D61" s="18" t="s">
        <v>19</v>
      </c>
      <c r="E61" s="19">
        <v>44679</v>
      </c>
      <c r="F61" s="18" t="s">
        <v>238</v>
      </c>
      <c r="G61" s="19">
        <v>44698</v>
      </c>
      <c r="H61" s="19">
        <v>44712</v>
      </c>
      <c r="I61" s="18" t="s">
        <v>43</v>
      </c>
      <c r="J61" s="19" t="b">
        <v>1</v>
      </c>
      <c r="K61" s="19" t="b">
        <v>0</v>
      </c>
      <c r="L61" s="19" t="b">
        <v>0</v>
      </c>
      <c r="M61" s="19" t="b">
        <v>0</v>
      </c>
      <c r="N61" s="19" t="b">
        <v>0</v>
      </c>
      <c r="O61" s="19" t="b">
        <v>1</v>
      </c>
      <c r="P61" s="19" t="b">
        <v>0</v>
      </c>
    </row>
    <row r="62" spans="1:16" x14ac:dyDescent="0.2">
      <c r="A62" s="18">
        <v>8801975</v>
      </c>
      <c r="B62" s="18" t="s">
        <v>242</v>
      </c>
      <c r="C62" s="18" t="s">
        <v>240</v>
      </c>
      <c r="D62" s="18" t="s">
        <v>11</v>
      </c>
      <c r="E62" s="19">
        <v>44588</v>
      </c>
      <c r="F62" s="18" t="s">
        <v>243</v>
      </c>
      <c r="G62" s="19">
        <v>44618</v>
      </c>
      <c r="H62" s="19">
        <v>44638</v>
      </c>
      <c r="I62" s="18" t="s">
        <v>28</v>
      </c>
      <c r="J62" s="19" t="b">
        <v>1</v>
      </c>
      <c r="K62" s="19" t="b">
        <v>0</v>
      </c>
      <c r="L62" s="19" t="b">
        <v>0</v>
      </c>
      <c r="M62" s="19" t="b">
        <v>0</v>
      </c>
      <c r="N62" s="19" t="b">
        <v>0</v>
      </c>
      <c r="O62" s="19" t="b">
        <v>0</v>
      </c>
      <c r="P62" s="19" t="b">
        <v>1</v>
      </c>
    </row>
    <row r="63" spans="1:16" x14ac:dyDescent="0.2">
      <c r="A63" s="18">
        <v>8801975</v>
      </c>
      <c r="B63" s="18" t="s">
        <v>244</v>
      </c>
      <c r="C63" s="18" t="s">
        <v>240</v>
      </c>
      <c r="D63" s="18" t="s">
        <v>11</v>
      </c>
      <c r="E63" s="19">
        <v>44765</v>
      </c>
      <c r="F63" s="18" t="s">
        <v>245</v>
      </c>
      <c r="G63" s="19">
        <v>44768</v>
      </c>
      <c r="H63" s="19">
        <v>44806</v>
      </c>
      <c r="I63" s="18"/>
      <c r="J63" s="19" t="b">
        <v>1</v>
      </c>
      <c r="K63" s="19" t="b">
        <v>0</v>
      </c>
      <c r="L63" s="19" t="b">
        <v>0</v>
      </c>
      <c r="M63" s="19" t="b">
        <v>0</v>
      </c>
      <c r="N63" s="19" t="b">
        <v>0</v>
      </c>
      <c r="O63" s="19" t="b">
        <v>0</v>
      </c>
      <c r="P63" s="19" t="b">
        <v>0</v>
      </c>
    </row>
    <row r="64" spans="1:16" x14ac:dyDescent="0.2">
      <c r="A64" s="18">
        <v>5074336</v>
      </c>
      <c r="B64" s="18" t="s">
        <v>246</v>
      </c>
      <c r="C64" s="18" t="s">
        <v>176</v>
      </c>
      <c r="D64" s="18" t="s">
        <v>11</v>
      </c>
      <c r="E64" s="19">
        <v>45000</v>
      </c>
      <c r="F64" s="18" t="s">
        <v>247</v>
      </c>
      <c r="G64" s="19">
        <v>45022</v>
      </c>
      <c r="H64" s="19">
        <v>45046</v>
      </c>
      <c r="I64" s="18" t="s">
        <v>16</v>
      </c>
      <c r="J64" s="19" t="b">
        <v>1</v>
      </c>
      <c r="K64" s="19" t="b">
        <v>0</v>
      </c>
      <c r="L64" s="19" t="b">
        <v>0</v>
      </c>
      <c r="M64" s="19" t="b">
        <v>0</v>
      </c>
      <c r="N64" s="19" t="b">
        <v>1</v>
      </c>
      <c r="O64" s="19" t="b">
        <v>0</v>
      </c>
      <c r="P64" s="19" t="b">
        <v>0</v>
      </c>
    </row>
    <row r="65" spans="1:16" x14ac:dyDescent="0.2">
      <c r="A65" s="18">
        <v>5074336</v>
      </c>
      <c r="B65" s="18" t="s">
        <v>250</v>
      </c>
      <c r="C65" s="18" t="s">
        <v>176</v>
      </c>
      <c r="D65" s="18" t="s">
        <v>11</v>
      </c>
      <c r="E65" s="19">
        <v>44932</v>
      </c>
      <c r="F65" s="18" t="s">
        <v>251</v>
      </c>
      <c r="G65" s="19">
        <v>44953</v>
      </c>
      <c r="H65" s="19">
        <v>45011</v>
      </c>
      <c r="I65" s="18"/>
      <c r="J65" s="19" t="b">
        <v>1</v>
      </c>
      <c r="K65" s="19" t="b">
        <v>0</v>
      </c>
      <c r="L65" s="19" t="b">
        <v>0</v>
      </c>
      <c r="M65" s="19" t="b">
        <v>0</v>
      </c>
      <c r="N65" s="19" t="b">
        <v>0</v>
      </c>
      <c r="O65" s="19" t="b">
        <v>0</v>
      </c>
      <c r="P65" s="19" t="b">
        <v>0</v>
      </c>
    </row>
    <row r="66" spans="1:16" x14ac:dyDescent="0.2">
      <c r="A66" s="18">
        <v>5074336</v>
      </c>
      <c r="B66" s="18" t="s">
        <v>252</v>
      </c>
      <c r="C66" s="18" t="s">
        <v>176</v>
      </c>
      <c r="D66" s="18" t="s">
        <v>11</v>
      </c>
      <c r="E66" s="19">
        <v>45096</v>
      </c>
      <c r="F66" s="18" t="s">
        <v>253</v>
      </c>
      <c r="G66" s="19">
        <v>45117</v>
      </c>
      <c r="H66" s="19">
        <v>45135</v>
      </c>
      <c r="I66" s="18" t="s">
        <v>43</v>
      </c>
      <c r="J66" s="19" t="b">
        <v>1</v>
      </c>
      <c r="K66" s="19" t="b">
        <v>0</v>
      </c>
      <c r="L66" s="19" t="b">
        <v>0</v>
      </c>
      <c r="M66" s="19" t="b">
        <v>0</v>
      </c>
      <c r="N66" s="19" t="b">
        <v>0</v>
      </c>
      <c r="O66" s="19" t="b">
        <v>1</v>
      </c>
      <c r="P66" s="19" t="b">
        <v>0</v>
      </c>
    </row>
    <row r="67" spans="1:16" x14ac:dyDescent="0.2">
      <c r="A67" s="18">
        <v>5074336</v>
      </c>
      <c r="B67" s="18" t="s">
        <v>254</v>
      </c>
      <c r="C67" s="18" t="s">
        <v>176</v>
      </c>
      <c r="D67" s="18" t="s">
        <v>11</v>
      </c>
      <c r="E67" s="19">
        <v>44836</v>
      </c>
      <c r="F67" s="18" t="s">
        <v>255</v>
      </c>
      <c r="G67" s="19">
        <v>44847</v>
      </c>
      <c r="H67" s="19">
        <v>44902</v>
      </c>
      <c r="I67" s="18"/>
      <c r="J67" s="19" t="b">
        <v>1</v>
      </c>
      <c r="K67" s="19" t="b">
        <v>0</v>
      </c>
      <c r="L67" s="19" t="b">
        <v>0</v>
      </c>
      <c r="M67" s="19" t="b">
        <v>0</v>
      </c>
      <c r="N67" s="19" t="b">
        <v>0</v>
      </c>
      <c r="O67" s="19" t="b">
        <v>0</v>
      </c>
      <c r="P67" s="19" t="b">
        <v>0</v>
      </c>
    </row>
    <row r="68" spans="1:16" x14ac:dyDescent="0.2">
      <c r="A68" s="18">
        <v>5118725</v>
      </c>
      <c r="B68" s="18" t="s">
        <v>256</v>
      </c>
      <c r="C68" s="18" t="s">
        <v>150</v>
      </c>
      <c r="D68" s="18" t="s">
        <v>122</v>
      </c>
      <c r="E68" s="19">
        <v>44950</v>
      </c>
      <c r="F68" s="18" t="s">
        <v>257</v>
      </c>
      <c r="G68" s="19">
        <v>44961</v>
      </c>
      <c r="H68" s="19">
        <v>44963</v>
      </c>
      <c r="I68" s="18" t="s">
        <v>43</v>
      </c>
      <c r="J68" s="19" t="b">
        <v>1</v>
      </c>
      <c r="K68" s="19" t="b">
        <v>0</v>
      </c>
      <c r="L68" s="19" t="b">
        <v>0</v>
      </c>
      <c r="M68" s="19" t="b">
        <v>0</v>
      </c>
      <c r="N68" s="19" t="b">
        <v>0</v>
      </c>
      <c r="O68" s="19" t="b">
        <v>1</v>
      </c>
      <c r="P68" s="19" t="b">
        <v>0</v>
      </c>
    </row>
    <row r="69" spans="1:16" x14ac:dyDescent="0.2">
      <c r="A69" s="18">
        <v>5118725</v>
      </c>
      <c r="B69" s="18" t="s">
        <v>258</v>
      </c>
      <c r="C69" s="18" t="s">
        <v>150</v>
      </c>
      <c r="D69" s="18" t="s">
        <v>122</v>
      </c>
      <c r="E69" s="19">
        <v>44779</v>
      </c>
      <c r="F69" s="18" t="s">
        <v>259</v>
      </c>
      <c r="G69" s="19">
        <v>44791</v>
      </c>
      <c r="H69" s="19">
        <v>44843</v>
      </c>
      <c r="I69" s="18" t="s">
        <v>28</v>
      </c>
      <c r="J69" s="19" t="b">
        <v>1</v>
      </c>
      <c r="K69" s="19" t="b">
        <v>0</v>
      </c>
      <c r="L69" s="19" t="b">
        <v>0</v>
      </c>
      <c r="M69" s="19" t="b">
        <v>0</v>
      </c>
      <c r="N69" s="19" t="b">
        <v>0</v>
      </c>
      <c r="O69" s="19" t="b">
        <v>0</v>
      </c>
      <c r="P69" s="19" t="b">
        <v>1</v>
      </c>
    </row>
    <row r="70" spans="1:16" x14ac:dyDescent="0.2">
      <c r="A70" s="18">
        <v>8987516</v>
      </c>
      <c r="B70" s="18" t="s">
        <v>264</v>
      </c>
      <c r="C70" s="18" t="s">
        <v>265</v>
      </c>
      <c r="D70" s="18" t="s">
        <v>77</v>
      </c>
      <c r="E70" s="19">
        <v>44976</v>
      </c>
      <c r="F70" s="18" t="s">
        <v>266</v>
      </c>
      <c r="G70" s="19">
        <v>44999</v>
      </c>
      <c r="H70" s="19">
        <v>45015</v>
      </c>
      <c r="I70" s="18" t="s">
        <v>16</v>
      </c>
      <c r="J70" s="19" t="b">
        <v>1</v>
      </c>
      <c r="K70" s="19" t="b">
        <v>0</v>
      </c>
      <c r="L70" s="19" t="b">
        <v>0</v>
      </c>
      <c r="M70" s="19" t="b">
        <v>0</v>
      </c>
      <c r="N70" s="19" t="b">
        <v>1</v>
      </c>
      <c r="O70" s="19" t="b">
        <v>0</v>
      </c>
      <c r="P70" s="19" t="b">
        <v>0</v>
      </c>
    </row>
    <row r="71" spans="1:16" x14ac:dyDescent="0.2">
      <c r="A71" s="18">
        <v>8987516</v>
      </c>
      <c r="B71" s="18" t="s">
        <v>267</v>
      </c>
      <c r="C71" s="18" t="s">
        <v>265</v>
      </c>
      <c r="D71" s="18" t="s">
        <v>77</v>
      </c>
      <c r="E71" s="19">
        <v>45105</v>
      </c>
      <c r="F71" s="18" t="s">
        <v>268</v>
      </c>
      <c r="G71" s="19">
        <v>45117</v>
      </c>
      <c r="H71" s="19">
        <v>45145</v>
      </c>
      <c r="I71" s="18" t="s">
        <v>28</v>
      </c>
      <c r="J71" s="19" t="b">
        <v>1</v>
      </c>
      <c r="K71" s="19" t="b">
        <v>0</v>
      </c>
      <c r="L71" s="19" t="b">
        <v>0</v>
      </c>
      <c r="M71" s="19" t="b">
        <v>0</v>
      </c>
      <c r="N71" s="19" t="b">
        <v>0</v>
      </c>
      <c r="O71" s="19" t="b">
        <v>0</v>
      </c>
      <c r="P71" s="19" t="b">
        <v>1</v>
      </c>
    </row>
    <row r="72" spans="1:16" x14ac:dyDescent="0.2">
      <c r="A72" s="18">
        <v>8987516</v>
      </c>
      <c r="B72" s="18" t="s">
        <v>269</v>
      </c>
      <c r="C72" s="18" t="s">
        <v>265</v>
      </c>
      <c r="D72" s="18" t="s">
        <v>77</v>
      </c>
      <c r="E72" s="19">
        <v>45026</v>
      </c>
      <c r="F72" s="18" t="s">
        <v>270</v>
      </c>
      <c r="G72" s="19">
        <v>45035</v>
      </c>
      <c r="H72" s="19">
        <v>45055</v>
      </c>
      <c r="I72" s="18" t="s">
        <v>28</v>
      </c>
      <c r="J72" s="19" t="b">
        <v>1</v>
      </c>
      <c r="K72" s="19" t="b">
        <v>0</v>
      </c>
      <c r="L72" s="19" t="b">
        <v>0</v>
      </c>
      <c r="M72" s="19" t="b">
        <v>0</v>
      </c>
      <c r="N72" s="19" t="b">
        <v>0</v>
      </c>
      <c r="O72" s="19" t="b">
        <v>0</v>
      </c>
      <c r="P72" s="19" t="b">
        <v>1</v>
      </c>
    </row>
    <row r="73" spans="1:16" x14ac:dyDescent="0.2">
      <c r="A73" s="18">
        <v>3005795</v>
      </c>
      <c r="B73" s="18" t="s">
        <v>275</v>
      </c>
      <c r="C73" s="18" t="s">
        <v>138</v>
      </c>
      <c r="D73" s="18" t="s">
        <v>139</v>
      </c>
      <c r="E73" s="19">
        <v>44760</v>
      </c>
      <c r="F73" s="18" t="s">
        <v>276</v>
      </c>
      <c r="G73" s="19">
        <v>44770</v>
      </c>
      <c r="H73" s="19">
        <v>44785</v>
      </c>
      <c r="I73" s="18" t="s">
        <v>28</v>
      </c>
      <c r="J73" s="19" t="b">
        <v>1</v>
      </c>
      <c r="K73" s="19" t="b">
        <v>0</v>
      </c>
      <c r="L73" s="19" t="b">
        <v>0</v>
      </c>
      <c r="M73" s="19" t="b">
        <v>0</v>
      </c>
      <c r="N73" s="19" t="b">
        <v>0</v>
      </c>
      <c r="O73" s="19" t="b">
        <v>0</v>
      </c>
      <c r="P73" s="19" t="b">
        <v>1</v>
      </c>
    </row>
    <row r="74" spans="1:16" x14ac:dyDescent="0.2">
      <c r="A74" s="18">
        <v>7054579</v>
      </c>
      <c r="B74" s="18" t="s">
        <v>277</v>
      </c>
      <c r="C74" s="18" t="s">
        <v>38</v>
      </c>
      <c r="D74" s="18" t="s">
        <v>11</v>
      </c>
      <c r="E74" s="19">
        <v>44617</v>
      </c>
      <c r="F74" s="18" t="s">
        <v>278</v>
      </c>
      <c r="G74" s="19">
        <v>44635</v>
      </c>
      <c r="H74" s="19">
        <v>44654</v>
      </c>
      <c r="I74" s="18" t="s">
        <v>43</v>
      </c>
      <c r="J74" s="19" t="b">
        <v>1</v>
      </c>
      <c r="K74" s="19" t="b">
        <v>0</v>
      </c>
      <c r="L74" s="19" t="b">
        <v>0</v>
      </c>
      <c r="M74" s="19" t="b">
        <v>0</v>
      </c>
      <c r="N74" s="19" t="b">
        <v>0</v>
      </c>
      <c r="O74" s="19" t="b">
        <v>1</v>
      </c>
      <c r="P74" s="19" t="b">
        <v>0</v>
      </c>
    </row>
    <row r="75" spans="1:16" x14ac:dyDescent="0.2">
      <c r="A75" s="18">
        <v>3118618</v>
      </c>
      <c r="B75" s="18" t="s">
        <v>279</v>
      </c>
      <c r="C75" s="18" t="s">
        <v>265</v>
      </c>
      <c r="D75" s="18" t="s">
        <v>77</v>
      </c>
      <c r="E75" s="19">
        <v>45013</v>
      </c>
      <c r="F75" s="18" t="s">
        <v>280</v>
      </c>
      <c r="G75" s="19">
        <v>45024</v>
      </c>
      <c r="H75" s="19">
        <v>45036</v>
      </c>
      <c r="I75" s="18" t="s">
        <v>28</v>
      </c>
      <c r="J75" s="19" t="b">
        <v>1</v>
      </c>
      <c r="K75" s="19" t="b">
        <v>0</v>
      </c>
      <c r="L75" s="19" t="b">
        <v>0</v>
      </c>
      <c r="M75" s="19" t="b">
        <v>0</v>
      </c>
      <c r="N75" s="19" t="b">
        <v>0</v>
      </c>
      <c r="O75" s="19" t="b">
        <v>0</v>
      </c>
      <c r="P75" s="19" t="b">
        <v>1</v>
      </c>
    </row>
    <row r="76" spans="1:16" x14ac:dyDescent="0.2">
      <c r="A76" s="18">
        <v>1861958</v>
      </c>
      <c r="B76" s="18" t="s">
        <v>281</v>
      </c>
      <c r="C76" s="18" t="s">
        <v>282</v>
      </c>
      <c r="D76" s="18" t="s">
        <v>77</v>
      </c>
      <c r="E76" s="19">
        <v>44616</v>
      </c>
      <c r="F76" s="18" t="s">
        <v>283</v>
      </c>
      <c r="G76" s="19">
        <v>44621</v>
      </c>
      <c r="H76" s="19">
        <v>44631</v>
      </c>
      <c r="I76" s="18"/>
      <c r="J76" s="19" t="b">
        <v>1</v>
      </c>
      <c r="K76" s="19" t="b">
        <v>0</v>
      </c>
      <c r="L76" s="19" t="b">
        <v>0</v>
      </c>
      <c r="M76" s="19" t="b">
        <v>0</v>
      </c>
      <c r="N76" s="19" t="b">
        <v>0</v>
      </c>
      <c r="O76" s="19" t="b">
        <v>0</v>
      </c>
      <c r="P76" s="19" t="b">
        <v>0</v>
      </c>
    </row>
    <row r="77" spans="1:16" x14ac:dyDescent="0.2">
      <c r="A77" s="18">
        <v>6097514</v>
      </c>
      <c r="B77" s="18" t="s">
        <v>284</v>
      </c>
      <c r="C77" s="18" t="s">
        <v>76</v>
      </c>
      <c r="D77" s="18" t="s">
        <v>19</v>
      </c>
      <c r="E77" s="19">
        <v>44793</v>
      </c>
      <c r="F77" s="18" t="s">
        <v>285</v>
      </c>
      <c r="G77" s="19">
        <v>44818</v>
      </c>
      <c r="H77" s="19">
        <v>44852</v>
      </c>
      <c r="I77" s="18"/>
      <c r="J77" s="19" t="b">
        <v>1</v>
      </c>
      <c r="K77" s="19" t="b">
        <v>0</v>
      </c>
      <c r="L77" s="19" t="b">
        <v>0</v>
      </c>
      <c r="M77" s="19" t="b">
        <v>0</v>
      </c>
      <c r="N77" s="19" t="b">
        <v>0</v>
      </c>
      <c r="O77" s="19" t="b">
        <v>0</v>
      </c>
      <c r="P77" s="19" t="b">
        <v>0</v>
      </c>
    </row>
    <row r="78" spans="1:16" x14ac:dyDescent="0.2">
      <c r="A78" s="18">
        <v>7381684</v>
      </c>
      <c r="B78" s="18" t="s">
        <v>286</v>
      </c>
      <c r="C78" s="18" t="s">
        <v>287</v>
      </c>
      <c r="D78" s="18" t="s">
        <v>77</v>
      </c>
      <c r="E78" s="19">
        <v>44623</v>
      </c>
      <c r="F78" s="18" t="s">
        <v>288</v>
      </c>
      <c r="G78" s="19">
        <v>44643</v>
      </c>
      <c r="H78" s="19">
        <v>44691</v>
      </c>
      <c r="I78" s="18"/>
      <c r="J78" s="19" t="b">
        <v>1</v>
      </c>
      <c r="K78" s="19" t="b">
        <v>0</v>
      </c>
      <c r="L78" s="19" t="b">
        <v>0</v>
      </c>
      <c r="M78" s="19" t="b">
        <v>0</v>
      </c>
      <c r="N78" s="19" t="b">
        <v>0</v>
      </c>
      <c r="O78" s="19" t="b">
        <v>0</v>
      </c>
      <c r="P78" s="19" t="b">
        <v>0</v>
      </c>
    </row>
    <row r="79" spans="1:16" x14ac:dyDescent="0.2">
      <c r="A79" s="18">
        <v>7381684</v>
      </c>
      <c r="B79" s="18" t="s">
        <v>291</v>
      </c>
      <c r="C79" s="18" t="s">
        <v>287</v>
      </c>
      <c r="D79" s="18" t="s">
        <v>77</v>
      </c>
      <c r="E79" s="19">
        <v>44638</v>
      </c>
      <c r="F79" s="18" t="s">
        <v>292</v>
      </c>
      <c r="G79" s="19">
        <v>44644</v>
      </c>
      <c r="H79" s="19">
        <v>44645</v>
      </c>
      <c r="I79" s="18" t="s">
        <v>43</v>
      </c>
      <c r="J79" s="19" t="b">
        <v>1</v>
      </c>
      <c r="K79" s="19" t="b">
        <v>0</v>
      </c>
      <c r="L79" s="19" t="b">
        <v>0</v>
      </c>
      <c r="M79" s="19" t="b">
        <v>0</v>
      </c>
      <c r="N79" s="19" t="b">
        <v>0</v>
      </c>
      <c r="O79" s="19" t="b">
        <v>1</v>
      </c>
      <c r="P79" s="19" t="b">
        <v>0</v>
      </c>
    </row>
    <row r="80" spans="1:16" x14ac:dyDescent="0.2">
      <c r="A80" s="18">
        <v>7853787</v>
      </c>
      <c r="B80" s="18" t="s">
        <v>295</v>
      </c>
      <c r="C80" s="18" t="s">
        <v>287</v>
      </c>
      <c r="D80" s="18" t="s">
        <v>81</v>
      </c>
      <c r="E80" s="19">
        <v>44832</v>
      </c>
      <c r="F80" s="18" t="s">
        <v>296</v>
      </c>
      <c r="G80" s="19">
        <v>44858</v>
      </c>
      <c r="H80" s="19">
        <v>44909</v>
      </c>
      <c r="I80" s="18" t="s">
        <v>16</v>
      </c>
      <c r="J80" s="19" t="b">
        <v>1</v>
      </c>
      <c r="K80" s="19" t="b">
        <v>0</v>
      </c>
      <c r="L80" s="19" t="b">
        <v>0</v>
      </c>
      <c r="M80" s="19" t="b">
        <v>0</v>
      </c>
      <c r="N80" s="19" t="b">
        <v>1</v>
      </c>
      <c r="O80" s="19" t="b">
        <v>0</v>
      </c>
      <c r="P80" s="19" t="b">
        <v>0</v>
      </c>
    </row>
    <row r="81" spans="1:16" x14ac:dyDescent="0.2">
      <c r="A81" s="18">
        <v>7853787</v>
      </c>
      <c r="B81" s="18" t="s">
        <v>297</v>
      </c>
      <c r="C81" s="18" t="s">
        <v>287</v>
      </c>
      <c r="D81" s="18" t="s">
        <v>81</v>
      </c>
      <c r="E81" s="19">
        <v>44792</v>
      </c>
      <c r="F81" s="18" t="s">
        <v>298</v>
      </c>
      <c r="G81" s="19">
        <v>44813</v>
      </c>
      <c r="H81" s="19">
        <v>44823</v>
      </c>
      <c r="I81" s="18" t="s">
        <v>43</v>
      </c>
      <c r="J81" s="19" t="b">
        <v>1</v>
      </c>
      <c r="K81" s="19" t="b">
        <v>0</v>
      </c>
      <c r="L81" s="19" t="b">
        <v>0</v>
      </c>
      <c r="M81" s="19" t="b">
        <v>0</v>
      </c>
      <c r="N81" s="19" t="b">
        <v>0</v>
      </c>
      <c r="O81" s="19" t="b">
        <v>1</v>
      </c>
      <c r="P81" s="19" t="b">
        <v>0</v>
      </c>
    </row>
    <row r="82" spans="1:16" x14ac:dyDescent="0.2">
      <c r="A82" s="18">
        <v>7853787</v>
      </c>
      <c r="B82" s="18" t="s">
        <v>299</v>
      </c>
      <c r="C82" s="18" t="s">
        <v>287</v>
      </c>
      <c r="D82" s="18" t="s">
        <v>81</v>
      </c>
      <c r="E82" s="19">
        <v>44731</v>
      </c>
      <c r="F82" s="18" t="s">
        <v>300</v>
      </c>
      <c r="G82" s="19">
        <v>44757</v>
      </c>
      <c r="H82" s="19">
        <v>44777</v>
      </c>
      <c r="I82" s="18" t="s">
        <v>43</v>
      </c>
      <c r="J82" s="19" t="b">
        <v>1</v>
      </c>
      <c r="K82" s="19" t="b">
        <v>0</v>
      </c>
      <c r="L82" s="19" t="b">
        <v>0</v>
      </c>
      <c r="M82" s="19" t="b">
        <v>0</v>
      </c>
      <c r="N82" s="19" t="b">
        <v>0</v>
      </c>
      <c r="O82" s="19" t="b">
        <v>1</v>
      </c>
      <c r="P82" s="19" t="b">
        <v>0</v>
      </c>
    </row>
    <row r="83" spans="1:16" x14ac:dyDescent="0.2">
      <c r="A83" s="18">
        <v>5842082</v>
      </c>
      <c r="B83" s="18" t="s">
        <v>301</v>
      </c>
      <c r="C83" s="18" t="s">
        <v>287</v>
      </c>
      <c r="D83" s="18" t="s">
        <v>122</v>
      </c>
      <c r="E83" s="19">
        <v>45074</v>
      </c>
      <c r="F83" s="18" t="s">
        <v>302</v>
      </c>
      <c r="G83" s="19">
        <v>45092</v>
      </c>
      <c r="H83" s="19">
        <v>45124</v>
      </c>
      <c r="I83" s="18"/>
      <c r="J83" s="19" t="b">
        <v>1</v>
      </c>
      <c r="K83" s="19" t="b">
        <v>0</v>
      </c>
      <c r="L83" s="19" t="b">
        <v>0</v>
      </c>
      <c r="M83" s="19" t="b">
        <v>0</v>
      </c>
      <c r="N83" s="19" t="b">
        <v>0</v>
      </c>
      <c r="O83" s="19" t="b">
        <v>0</v>
      </c>
      <c r="P83" s="19" t="b">
        <v>0</v>
      </c>
    </row>
    <row r="84" spans="1:16" x14ac:dyDescent="0.2">
      <c r="A84" s="18">
        <v>5842082</v>
      </c>
      <c r="B84" s="18" t="s">
        <v>303</v>
      </c>
      <c r="C84" s="18" t="s">
        <v>287</v>
      </c>
      <c r="D84" s="18" t="s">
        <v>122</v>
      </c>
      <c r="E84" s="19">
        <v>44892</v>
      </c>
      <c r="F84" s="18" t="s">
        <v>304</v>
      </c>
      <c r="G84" s="19">
        <v>44912</v>
      </c>
      <c r="H84" s="19">
        <v>44929</v>
      </c>
      <c r="I84" s="18" t="s">
        <v>16</v>
      </c>
      <c r="J84" s="19" t="b">
        <v>1</v>
      </c>
      <c r="K84" s="19" t="b">
        <v>0</v>
      </c>
      <c r="L84" s="19" t="b">
        <v>0</v>
      </c>
      <c r="M84" s="19" t="b">
        <v>0</v>
      </c>
      <c r="N84" s="19" t="b">
        <v>1</v>
      </c>
      <c r="O84" s="19" t="b">
        <v>0</v>
      </c>
      <c r="P84" s="19" t="b">
        <v>0</v>
      </c>
    </row>
    <row r="85" spans="1:16" x14ac:dyDescent="0.2">
      <c r="A85" s="18">
        <v>5842082</v>
      </c>
      <c r="B85" s="18" t="s">
        <v>307</v>
      </c>
      <c r="C85" s="18" t="s">
        <v>287</v>
      </c>
      <c r="D85" s="18" t="s">
        <v>122</v>
      </c>
      <c r="E85" s="19">
        <v>44741</v>
      </c>
      <c r="F85" s="18" t="s">
        <v>308</v>
      </c>
      <c r="G85" s="19">
        <v>44757</v>
      </c>
      <c r="H85" s="19">
        <v>44791</v>
      </c>
      <c r="I85" s="18" t="s">
        <v>28</v>
      </c>
      <c r="J85" s="19" t="b">
        <v>1</v>
      </c>
      <c r="K85" s="19" t="b">
        <v>0</v>
      </c>
      <c r="L85" s="19" t="b">
        <v>0</v>
      </c>
      <c r="M85" s="19" t="b">
        <v>0</v>
      </c>
      <c r="N85" s="19" t="b">
        <v>0</v>
      </c>
      <c r="O85" s="19" t="b">
        <v>0</v>
      </c>
      <c r="P85" s="19" t="b">
        <v>1</v>
      </c>
    </row>
    <row r="86" spans="1:16" x14ac:dyDescent="0.2">
      <c r="A86" s="18">
        <v>8419378</v>
      </c>
      <c r="B86" s="18" t="s">
        <v>309</v>
      </c>
      <c r="C86" s="18" t="s">
        <v>310</v>
      </c>
      <c r="D86" s="18" t="s">
        <v>11</v>
      </c>
      <c r="E86" s="19">
        <v>45065</v>
      </c>
      <c r="F86" s="18" t="s">
        <v>311</v>
      </c>
      <c r="G86" s="19">
        <v>45068</v>
      </c>
      <c r="H86" s="19">
        <v>45099</v>
      </c>
      <c r="I86" s="18"/>
      <c r="J86" s="19" t="b">
        <v>1</v>
      </c>
      <c r="K86" s="19" t="b">
        <v>0</v>
      </c>
      <c r="L86" s="19" t="b">
        <v>0</v>
      </c>
      <c r="M86" s="19" t="b">
        <v>0</v>
      </c>
      <c r="N86" s="19" t="b">
        <v>0</v>
      </c>
      <c r="O86" s="19" t="b">
        <v>0</v>
      </c>
      <c r="P86" s="19" t="b">
        <v>0</v>
      </c>
    </row>
    <row r="87" spans="1:16" x14ac:dyDescent="0.2">
      <c r="A87" s="18">
        <v>8419378</v>
      </c>
      <c r="B87" s="18" t="s">
        <v>312</v>
      </c>
      <c r="C87" s="18" t="s">
        <v>310</v>
      </c>
      <c r="D87" s="18" t="s">
        <v>11</v>
      </c>
      <c r="E87" s="19">
        <v>44669</v>
      </c>
      <c r="F87" s="18" t="s">
        <v>313</v>
      </c>
      <c r="G87" s="19">
        <v>44697</v>
      </c>
      <c r="H87" s="19">
        <v>44708</v>
      </c>
      <c r="I87" s="18" t="s">
        <v>28</v>
      </c>
      <c r="J87" s="19" t="b">
        <v>1</v>
      </c>
      <c r="K87" s="19" t="b">
        <v>0</v>
      </c>
      <c r="L87" s="19" t="b">
        <v>0</v>
      </c>
      <c r="M87" s="19" t="b">
        <v>0</v>
      </c>
      <c r="N87" s="19" t="b">
        <v>0</v>
      </c>
      <c r="O87" s="19" t="b">
        <v>0</v>
      </c>
      <c r="P87" s="19" t="b">
        <v>1</v>
      </c>
    </row>
    <row r="88" spans="1:16" x14ac:dyDescent="0.2">
      <c r="A88" s="18">
        <v>6533187</v>
      </c>
      <c r="B88" s="18" t="s">
        <v>314</v>
      </c>
      <c r="C88" s="18" t="s">
        <v>315</v>
      </c>
      <c r="D88" s="18" t="s">
        <v>77</v>
      </c>
      <c r="E88" s="19">
        <v>44599</v>
      </c>
      <c r="F88" s="18" t="s">
        <v>316</v>
      </c>
      <c r="G88" s="19">
        <v>44614</v>
      </c>
      <c r="H88" s="19">
        <v>44620</v>
      </c>
      <c r="I88" s="18"/>
      <c r="J88" s="19" t="b">
        <v>1</v>
      </c>
      <c r="K88" s="19" t="b">
        <v>0</v>
      </c>
      <c r="L88" s="19" t="b">
        <v>0</v>
      </c>
      <c r="M88" s="19" t="b">
        <v>0</v>
      </c>
      <c r="N88" s="19" t="b">
        <v>0</v>
      </c>
      <c r="O88" s="19" t="b">
        <v>0</v>
      </c>
      <c r="P88" s="19" t="b">
        <v>0</v>
      </c>
    </row>
    <row r="89" spans="1:16" x14ac:dyDescent="0.2">
      <c r="A89" s="18">
        <v>6533187</v>
      </c>
      <c r="B89" s="18" t="s">
        <v>317</v>
      </c>
      <c r="C89" s="18" t="s">
        <v>315</v>
      </c>
      <c r="D89" s="18" t="s">
        <v>77</v>
      </c>
      <c r="E89" s="19">
        <v>44975</v>
      </c>
      <c r="F89" s="18" t="s">
        <v>318</v>
      </c>
      <c r="G89" s="19">
        <v>45003</v>
      </c>
      <c r="H89" s="19">
        <v>45036</v>
      </c>
      <c r="I89" s="18" t="s">
        <v>28</v>
      </c>
      <c r="J89" s="19" t="b">
        <v>1</v>
      </c>
      <c r="K89" s="19" t="b">
        <v>0</v>
      </c>
      <c r="L89" s="19" t="b">
        <v>0</v>
      </c>
      <c r="M89" s="19" t="b">
        <v>0</v>
      </c>
      <c r="N89" s="19" t="b">
        <v>0</v>
      </c>
      <c r="O89" s="19" t="b">
        <v>0</v>
      </c>
      <c r="P89" s="19" t="b">
        <v>1</v>
      </c>
    </row>
    <row r="90" spans="1:16" x14ac:dyDescent="0.2">
      <c r="A90" s="18">
        <v>6533187</v>
      </c>
      <c r="B90" s="18" t="s">
        <v>319</v>
      </c>
      <c r="C90" s="18" t="s">
        <v>315</v>
      </c>
      <c r="D90" s="18" t="s">
        <v>77</v>
      </c>
      <c r="E90" s="19">
        <v>45035</v>
      </c>
      <c r="F90" s="18" t="s">
        <v>320</v>
      </c>
      <c r="G90" s="19">
        <v>45049</v>
      </c>
      <c r="H90" s="19">
        <v>45053</v>
      </c>
      <c r="I90" s="18" t="s">
        <v>16</v>
      </c>
      <c r="J90" s="19" t="b">
        <v>1</v>
      </c>
      <c r="K90" s="19" t="b">
        <v>0</v>
      </c>
      <c r="L90" s="19" t="b">
        <v>0</v>
      </c>
      <c r="M90" s="19" t="b">
        <v>0</v>
      </c>
      <c r="N90" s="19" t="b">
        <v>1</v>
      </c>
      <c r="O90" s="19" t="b">
        <v>0</v>
      </c>
      <c r="P90" s="19" t="b">
        <v>0</v>
      </c>
    </row>
    <row r="91" spans="1:16" x14ac:dyDescent="0.2">
      <c r="A91" s="18">
        <v>4147112</v>
      </c>
      <c r="B91" s="18" t="s">
        <v>321</v>
      </c>
      <c r="C91" s="18" t="s">
        <v>80</v>
      </c>
      <c r="D91" s="18" t="s">
        <v>39</v>
      </c>
      <c r="E91" s="19">
        <v>44770</v>
      </c>
      <c r="F91" s="18" t="s">
        <v>322</v>
      </c>
      <c r="G91" s="19">
        <v>44779</v>
      </c>
      <c r="H91" s="19">
        <v>44815</v>
      </c>
      <c r="I91" s="18"/>
      <c r="J91" s="19" t="b">
        <v>1</v>
      </c>
      <c r="K91" s="19" t="b">
        <v>0</v>
      </c>
      <c r="L91" s="19" t="b">
        <v>0</v>
      </c>
      <c r="M91" s="19" t="b">
        <v>0</v>
      </c>
      <c r="N91" s="19" t="b">
        <v>0</v>
      </c>
      <c r="O91" s="19" t="b">
        <v>0</v>
      </c>
      <c r="P91" s="19" t="b">
        <v>0</v>
      </c>
    </row>
    <row r="92" spans="1:16" x14ac:dyDescent="0.2">
      <c r="A92" s="18">
        <v>2970754</v>
      </c>
      <c r="B92" s="18" t="s">
        <v>329</v>
      </c>
      <c r="C92" s="18" t="s">
        <v>265</v>
      </c>
      <c r="D92" s="18" t="s">
        <v>187</v>
      </c>
      <c r="E92" s="19">
        <v>44841</v>
      </c>
      <c r="F92" s="18" t="s">
        <v>330</v>
      </c>
      <c r="G92" s="19">
        <v>44855</v>
      </c>
      <c r="H92" s="19">
        <v>44909</v>
      </c>
      <c r="I92" s="18" t="s">
        <v>28</v>
      </c>
      <c r="J92" s="19" t="b">
        <v>1</v>
      </c>
      <c r="K92" s="19" t="b">
        <v>0</v>
      </c>
      <c r="L92" s="19" t="b">
        <v>0</v>
      </c>
      <c r="M92" s="19" t="b">
        <v>0</v>
      </c>
      <c r="N92" s="19" t="b">
        <v>0</v>
      </c>
      <c r="O92" s="19" t="b">
        <v>0</v>
      </c>
      <c r="P92" s="19" t="b">
        <v>1</v>
      </c>
    </row>
    <row r="93" spans="1:16" x14ac:dyDescent="0.2">
      <c r="A93" s="18">
        <v>2970754</v>
      </c>
      <c r="B93" s="18" t="s">
        <v>331</v>
      </c>
      <c r="C93" s="18" t="s">
        <v>265</v>
      </c>
      <c r="D93" s="18" t="s">
        <v>187</v>
      </c>
      <c r="E93" s="19">
        <v>44710</v>
      </c>
      <c r="F93" s="18" t="s">
        <v>332</v>
      </c>
      <c r="G93" s="19">
        <v>44723</v>
      </c>
      <c r="H93" s="19">
        <v>44736</v>
      </c>
      <c r="I93" s="18"/>
      <c r="J93" s="19" t="b">
        <v>1</v>
      </c>
      <c r="K93" s="19" t="b">
        <v>0</v>
      </c>
      <c r="L93" s="19" t="b">
        <v>0</v>
      </c>
      <c r="M93" s="19" t="b">
        <v>0</v>
      </c>
      <c r="N93" s="19" t="b">
        <v>0</v>
      </c>
      <c r="O93" s="19" t="b">
        <v>0</v>
      </c>
      <c r="P93" s="19" t="b">
        <v>0</v>
      </c>
    </row>
    <row r="94" spans="1:16" x14ac:dyDescent="0.2">
      <c r="A94" s="18">
        <v>2970754</v>
      </c>
      <c r="B94" s="18" t="s">
        <v>333</v>
      </c>
      <c r="C94" s="18" t="s">
        <v>265</v>
      </c>
      <c r="D94" s="18" t="s">
        <v>187</v>
      </c>
      <c r="E94" s="19">
        <v>44844</v>
      </c>
      <c r="F94" s="18" t="s">
        <v>168</v>
      </c>
      <c r="G94" s="19">
        <v>44869</v>
      </c>
      <c r="H94" s="19">
        <v>44920</v>
      </c>
      <c r="I94" s="18" t="s">
        <v>43</v>
      </c>
      <c r="J94" s="19" t="b">
        <v>1</v>
      </c>
      <c r="K94" s="19" t="b">
        <v>0</v>
      </c>
      <c r="L94" s="19" t="b">
        <v>0</v>
      </c>
      <c r="M94" s="19" t="b">
        <v>0</v>
      </c>
      <c r="N94" s="19" t="b">
        <v>0</v>
      </c>
      <c r="O94" s="19" t="b">
        <v>1</v>
      </c>
      <c r="P94" s="19" t="b">
        <v>0</v>
      </c>
    </row>
    <row r="95" spans="1:16" x14ac:dyDescent="0.2">
      <c r="A95" s="18">
        <v>2970754</v>
      </c>
      <c r="B95" s="18" t="s">
        <v>334</v>
      </c>
      <c r="C95" s="18" t="s">
        <v>265</v>
      </c>
      <c r="D95" s="18" t="s">
        <v>187</v>
      </c>
      <c r="E95" s="19">
        <v>45081</v>
      </c>
      <c r="F95" s="18" t="s">
        <v>335</v>
      </c>
      <c r="G95" s="19">
        <v>45090</v>
      </c>
      <c r="H95" s="19">
        <v>45143</v>
      </c>
      <c r="I95" s="18" t="s">
        <v>28</v>
      </c>
      <c r="J95" s="19" t="b">
        <v>1</v>
      </c>
      <c r="K95" s="19" t="b">
        <v>0</v>
      </c>
      <c r="L95" s="19" t="b">
        <v>0</v>
      </c>
      <c r="M95" s="19" t="b">
        <v>0</v>
      </c>
      <c r="N95" s="19" t="b">
        <v>0</v>
      </c>
      <c r="O95" s="19" t="b">
        <v>0</v>
      </c>
      <c r="P95" s="19" t="b">
        <v>1</v>
      </c>
    </row>
    <row r="96" spans="1:16" x14ac:dyDescent="0.2">
      <c r="A96" s="18">
        <v>1043037</v>
      </c>
      <c r="B96" s="18" t="s">
        <v>336</v>
      </c>
      <c r="C96" s="18" t="s">
        <v>110</v>
      </c>
      <c r="D96" s="18" t="s">
        <v>11</v>
      </c>
      <c r="E96" s="19">
        <v>45019</v>
      </c>
      <c r="F96" s="18" t="s">
        <v>337</v>
      </c>
      <c r="G96" s="19">
        <v>45037</v>
      </c>
      <c r="H96" s="19">
        <v>45068</v>
      </c>
      <c r="I96" s="18"/>
      <c r="J96" s="19" t="b">
        <v>1</v>
      </c>
      <c r="K96" s="19" t="b">
        <v>0</v>
      </c>
      <c r="L96" s="19" t="b">
        <v>0</v>
      </c>
      <c r="M96" s="19" t="b">
        <v>0</v>
      </c>
      <c r="N96" s="19" t="b">
        <v>0</v>
      </c>
      <c r="O96" s="19" t="b">
        <v>0</v>
      </c>
      <c r="P96" s="19" t="b">
        <v>0</v>
      </c>
    </row>
    <row r="97" spans="1:16" x14ac:dyDescent="0.2">
      <c r="A97" s="18">
        <v>1043037</v>
      </c>
      <c r="B97" s="18" t="s">
        <v>338</v>
      </c>
      <c r="C97" s="18" t="s">
        <v>110</v>
      </c>
      <c r="D97" s="18" t="s">
        <v>11</v>
      </c>
      <c r="E97" s="19">
        <v>44755</v>
      </c>
      <c r="F97" s="18" t="s">
        <v>339</v>
      </c>
      <c r="G97" s="19">
        <v>44778</v>
      </c>
      <c r="H97" s="19">
        <v>44794</v>
      </c>
      <c r="I97" s="18"/>
      <c r="J97" s="19" t="b">
        <v>1</v>
      </c>
      <c r="K97" s="19" t="b">
        <v>0</v>
      </c>
      <c r="L97" s="19" t="b">
        <v>0</v>
      </c>
      <c r="M97" s="19" t="b">
        <v>0</v>
      </c>
      <c r="N97" s="19" t="b">
        <v>0</v>
      </c>
      <c r="O97" s="19" t="b">
        <v>0</v>
      </c>
      <c r="P97" s="19" t="b">
        <v>0</v>
      </c>
    </row>
    <row r="98" spans="1:16" x14ac:dyDescent="0.2">
      <c r="A98" s="18">
        <v>1043037</v>
      </c>
      <c r="B98" s="18" t="s">
        <v>340</v>
      </c>
      <c r="C98" s="18" t="s">
        <v>110</v>
      </c>
      <c r="D98" s="18" t="s">
        <v>11</v>
      </c>
      <c r="E98" s="19">
        <v>44982</v>
      </c>
      <c r="F98" s="18" t="s">
        <v>341</v>
      </c>
      <c r="G98" s="19">
        <v>44984</v>
      </c>
      <c r="H98" s="19">
        <v>45005</v>
      </c>
      <c r="I98" s="18" t="s">
        <v>43</v>
      </c>
      <c r="J98" s="19" t="b">
        <v>1</v>
      </c>
      <c r="K98" s="19" t="b">
        <v>0</v>
      </c>
      <c r="L98" s="19" t="b">
        <v>0</v>
      </c>
      <c r="M98" s="19" t="b">
        <v>0</v>
      </c>
      <c r="N98" s="19" t="b">
        <v>0</v>
      </c>
      <c r="O98" s="19" t="b">
        <v>1</v>
      </c>
      <c r="P98" s="19" t="b">
        <v>0</v>
      </c>
    </row>
    <row r="99" spans="1:16" x14ac:dyDescent="0.2">
      <c r="A99" s="18">
        <v>1043037</v>
      </c>
      <c r="B99" s="18" t="s">
        <v>342</v>
      </c>
      <c r="C99" s="18" t="s">
        <v>110</v>
      </c>
      <c r="D99" s="18" t="s">
        <v>11</v>
      </c>
      <c r="E99" s="19">
        <v>44717</v>
      </c>
      <c r="F99" s="18" t="s">
        <v>343</v>
      </c>
      <c r="G99" s="19">
        <v>44733</v>
      </c>
      <c r="H99" s="19">
        <v>44736</v>
      </c>
      <c r="I99" s="18"/>
      <c r="J99" s="19" t="b">
        <v>1</v>
      </c>
      <c r="K99" s="19" t="b">
        <v>0</v>
      </c>
      <c r="L99" s="19" t="b">
        <v>0</v>
      </c>
      <c r="M99" s="19" t="b">
        <v>0</v>
      </c>
      <c r="N99" s="19" t="b">
        <v>0</v>
      </c>
      <c r="O99" s="19" t="b">
        <v>0</v>
      </c>
      <c r="P99" s="19" t="b">
        <v>0</v>
      </c>
    </row>
    <row r="100" spans="1:16" x14ac:dyDescent="0.2">
      <c r="A100" s="18">
        <v>8387112</v>
      </c>
      <c r="B100" s="18" t="s">
        <v>350</v>
      </c>
      <c r="C100" s="18" t="s">
        <v>176</v>
      </c>
      <c r="D100" s="18" t="s">
        <v>139</v>
      </c>
      <c r="E100" s="19">
        <v>44969</v>
      </c>
      <c r="F100" s="18" t="s">
        <v>351</v>
      </c>
      <c r="G100" s="19">
        <v>44990</v>
      </c>
      <c r="H100" s="19">
        <v>44996</v>
      </c>
      <c r="I100" s="18" t="s">
        <v>28</v>
      </c>
      <c r="J100" s="19" t="b">
        <v>1</v>
      </c>
      <c r="K100" s="19" t="b">
        <v>0</v>
      </c>
      <c r="L100" s="19" t="b">
        <v>0</v>
      </c>
      <c r="M100" s="19" t="b">
        <v>0</v>
      </c>
      <c r="N100" s="19" t="b">
        <v>0</v>
      </c>
      <c r="O100" s="19" t="b">
        <v>0</v>
      </c>
      <c r="P100" s="19" t="b">
        <v>1</v>
      </c>
    </row>
    <row r="101" spans="1:16" x14ac:dyDescent="0.2">
      <c r="A101" s="18">
        <v>8387112</v>
      </c>
      <c r="B101" s="18" t="s">
        <v>352</v>
      </c>
      <c r="C101" s="18" t="s">
        <v>176</v>
      </c>
      <c r="D101" s="18" t="s">
        <v>139</v>
      </c>
      <c r="E101" s="19">
        <v>45061</v>
      </c>
      <c r="F101" s="18" t="s">
        <v>353</v>
      </c>
      <c r="G101" s="19">
        <v>45089</v>
      </c>
      <c r="H101" s="19">
        <v>45124</v>
      </c>
      <c r="I101" s="18"/>
      <c r="J101" s="19" t="b">
        <v>1</v>
      </c>
      <c r="K101" s="19" t="b">
        <v>0</v>
      </c>
      <c r="L101" s="19" t="b">
        <v>0</v>
      </c>
      <c r="M101" s="19" t="b">
        <v>0</v>
      </c>
      <c r="N101" s="19" t="b">
        <v>0</v>
      </c>
      <c r="O101" s="19" t="b">
        <v>0</v>
      </c>
      <c r="P101" s="19" t="b">
        <v>0</v>
      </c>
    </row>
    <row r="102" spans="1:16" x14ac:dyDescent="0.2">
      <c r="A102" s="18">
        <v>5821419</v>
      </c>
      <c r="B102" s="18" t="s">
        <v>354</v>
      </c>
      <c r="C102" s="18" t="s">
        <v>93</v>
      </c>
      <c r="D102" s="18" t="s">
        <v>122</v>
      </c>
      <c r="E102" s="19">
        <v>44868</v>
      </c>
      <c r="F102" s="18" t="s">
        <v>355</v>
      </c>
      <c r="G102" s="19">
        <v>44897</v>
      </c>
      <c r="H102" s="19">
        <v>44899</v>
      </c>
      <c r="I102" s="18" t="s">
        <v>16</v>
      </c>
      <c r="J102" s="19" t="b">
        <v>1</v>
      </c>
      <c r="K102" s="19" t="b">
        <v>0</v>
      </c>
      <c r="L102" s="19" t="b">
        <v>0</v>
      </c>
      <c r="M102" s="19" t="b">
        <v>0</v>
      </c>
      <c r="N102" s="19" t="b">
        <v>1</v>
      </c>
      <c r="O102" s="19" t="b">
        <v>0</v>
      </c>
      <c r="P102" s="19" t="b">
        <v>0</v>
      </c>
    </row>
    <row r="103" spans="1:16" x14ac:dyDescent="0.2">
      <c r="A103" s="18">
        <v>5821419</v>
      </c>
      <c r="B103" s="18" t="s">
        <v>358</v>
      </c>
      <c r="C103" s="18" t="s">
        <v>93</v>
      </c>
      <c r="D103" s="18" t="s">
        <v>122</v>
      </c>
      <c r="E103" s="19">
        <v>44983</v>
      </c>
      <c r="F103" s="18" t="s">
        <v>359</v>
      </c>
      <c r="G103" s="19">
        <v>45002</v>
      </c>
      <c r="H103" s="19">
        <v>45046</v>
      </c>
      <c r="I103" s="18" t="s">
        <v>43</v>
      </c>
      <c r="J103" s="19" t="b">
        <v>1</v>
      </c>
      <c r="K103" s="19" t="b">
        <v>0</v>
      </c>
      <c r="L103" s="19" t="b">
        <v>0</v>
      </c>
      <c r="M103" s="19" t="b">
        <v>0</v>
      </c>
      <c r="N103" s="19" t="b">
        <v>0</v>
      </c>
      <c r="O103" s="19" t="b">
        <v>1</v>
      </c>
      <c r="P103" s="19" t="b">
        <v>0</v>
      </c>
    </row>
    <row r="104" spans="1:16" x14ac:dyDescent="0.2">
      <c r="A104" s="18">
        <v>5821419</v>
      </c>
      <c r="B104" s="18" t="s">
        <v>360</v>
      </c>
      <c r="C104" s="18" t="s">
        <v>93</v>
      </c>
      <c r="D104" s="18" t="s">
        <v>122</v>
      </c>
      <c r="E104" s="19">
        <v>44953</v>
      </c>
      <c r="F104" s="18" t="s">
        <v>361</v>
      </c>
      <c r="G104" s="19">
        <v>44973</v>
      </c>
      <c r="H104" s="19">
        <v>45017</v>
      </c>
      <c r="I104" s="18" t="s">
        <v>43</v>
      </c>
      <c r="J104" s="19" t="b">
        <v>1</v>
      </c>
      <c r="K104" s="19" t="b">
        <v>0</v>
      </c>
      <c r="L104" s="19" t="b">
        <v>0</v>
      </c>
      <c r="M104" s="19" t="b">
        <v>0</v>
      </c>
      <c r="N104" s="19" t="b">
        <v>0</v>
      </c>
      <c r="O104" s="19" t="b">
        <v>1</v>
      </c>
      <c r="P104" s="19" t="b">
        <v>0</v>
      </c>
    </row>
    <row r="105" spans="1:16" x14ac:dyDescent="0.2">
      <c r="A105" s="18">
        <v>5040453</v>
      </c>
      <c r="B105" s="18" t="s">
        <v>365</v>
      </c>
      <c r="C105" s="18" t="s">
        <v>363</v>
      </c>
      <c r="D105" s="18" t="s">
        <v>81</v>
      </c>
      <c r="E105" s="19">
        <v>44723</v>
      </c>
      <c r="F105" s="18" t="s">
        <v>366</v>
      </c>
      <c r="G105" s="19">
        <v>44726</v>
      </c>
      <c r="H105" s="19">
        <v>44755</v>
      </c>
      <c r="I105" s="18"/>
      <c r="J105" s="19" t="b">
        <v>1</v>
      </c>
      <c r="K105" s="19" t="b">
        <v>0</v>
      </c>
      <c r="L105" s="19" t="b">
        <v>0</v>
      </c>
      <c r="M105" s="19" t="b">
        <v>0</v>
      </c>
      <c r="N105" s="19" t="b">
        <v>0</v>
      </c>
      <c r="O105" s="19" t="b">
        <v>0</v>
      </c>
      <c r="P105" s="19" t="b">
        <v>0</v>
      </c>
    </row>
    <row r="106" spans="1:16" x14ac:dyDescent="0.2">
      <c r="A106" s="18">
        <v>6797629</v>
      </c>
      <c r="B106" s="18" t="s">
        <v>367</v>
      </c>
      <c r="C106" s="18" t="s">
        <v>32</v>
      </c>
      <c r="D106" s="18" t="s">
        <v>11</v>
      </c>
      <c r="E106" s="19">
        <v>44765</v>
      </c>
      <c r="F106" s="18" t="s">
        <v>368</v>
      </c>
      <c r="G106" s="19">
        <v>44778</v>
      </c>
      <c r="H106" s="19">
        <v>44833</v>
      </c>
      <c r="I106" s="18"/>
      <c r="J106" s="19" t="b">
        <v>1</v>
      </c>
      <c r="K106" s="19" t="b">
        <v>0</v>
      </c>
      <c r="L106" s="19" t="b">
        <v>0</v>
      </c>
      <c r="M106" s="19" t="b">
        <v>0</v>
      </c>
      <c r="N106" s="19" t="b">
        <v>0</v>
      </c>
      <c r="O106" s="19" t="b">
        <v>0</v>
      </c>
      <c r="P106" s="19" t="b">
        <v>0</v>
      </c>
    </row>
    <row r="107" spans="1:16" x14ac:dyDescent="0.2">
      <c r="A107" s="18">
        <v>6797629</v>
      </c>
      <c r="B107" s="18" t="s">
        <v>369</v>
      </c>
      <c r="C107" s="18" t="s">
        <v>32</v>
      </c>
      <c r="D107" s="18" t="s">
        <v>11</v>
      </c>
      <c r="E107" s="19">
        <v>44929</v>
      </c>
      <c r="F107" s="18" t="s">
        <v>370</v>
      </c>
      <c r="G107" s="19">
        <v>44948</v>
      </c>
      <c r="H107" s="19">
        <v>44967</v>
      </c>
      <c r="I107" s="18" t="s">
        <v>43</v>
      </c>
      <c r="J107" s="19" t="b">
        <v>1</v>
      </c>
      <c r="K107" s="19" t="b">
        <v>0</v>
      </c>
      <c r="L107" s="19" t="b">
        <v>0</v>
      </c>
      <c r="M107" s="19" t="b">
        <v>0</v>
      </c>
      <c r="N107" s="19" t="b">
        <v>0</v>
      </c>
      <c r="O107" s="19" t="b">
        <v>1</v>
      </c>
      <c r="P107" s="19" t="b">
        <v>0</v>
      </c>
    </row>
    <row r="108" spans="1:16" x14ac:dyDescent="0.2">
      <c r="A108" s="18">
        <v>6797629</v>
      </c>
      <c r="B108" s="18" t="s">
        <v>371</v>
      </c>
      <c r="C108" s="18" t="s">
        <v>32</v>
      </c>
      <c r="D108" s="18" t="s">
        <v>11</v>
      </c>
      <c r="E108" s="19">
        <v>44967</v>
      </c>
      <c r="F108" s="18" t="s">
        <v>372</v>
      </c>
      <c r="G108" s="19">
        <v>44976</v>
      </c>
      <c r="H108" s="19">
        <v>44977</v>
      </c>
      <c r="I108" s="18" t="s">
        <v>28</v>
      </c>
      <c r="J108" s="19" t="b">
        <v>1</v>
      </c>
      <c r="K108" s="19" t="b">
        <v>0</v>
      </c>
      <c r="L108" s="19" t="b">
        <v>0</v>
      </c>
      <c r="M108" s="19" t="b">
        <v>0</v>
      </c>
      <c r="N108" s="19" t="b">
        <v>0</v>
      </c>
      <c r="O108" s="19" t="b">
        <v>0</v>
      </c>
      <c r="P108" s="19" t="b">
        <v>1</v>
      </c>
    </row>
    <row r="109" spans="1:16" x14ac:dyDescent="0.2">
      <c r="A109" s="18">
        <v>6797629</v>
      </c>
      <c r="B109" s="18" t="s">
        <v>373</v>
      </c>
      <c r="C109" s="18" t="s">
        <v>32</v>
      </c>
      <c r="D109" s="18" t="s">
        <v>11</v>
      </c>
      <c r="E109" s="19">
        <v>45070</v>
      </c>
      <c r="F109" s="18" t="s">
        <v>374</v>
      </c>
      <c r="G109" s="19">
        <v>45097</v>
      </c>
      <c r="H109" s="19">
        <v>45155</v>
      </c>
      <c r="I109" s="18" t="s">
        <v>16</v>
      </c>
      <c r="J109" s="19" t="b">
        <v>1</v>
      </c>
      <c r="K109" s="19" t="b">
        <v>0</v>
      </c>
      <c r="L109" s="19" t="b">
        <v>0</v>
      </c>
      <c r="M109" s="19" t="b">
        <v>0</v>
      </c>
      <c r="N109" s="19" t="b">
        <v>1</v>
      </c>
      <c r="O109" s="19" t="b">
        <v>0</v>
      </c>
      <c r="P109" s="19" t="b">
        <v>0</v>
      </c>
    </row>
    <row r="110" spans="1:16" x14ac:dyDescent="0.2">
      <c r="A110" s="18">
        <v>5801541</v>
      </c>
      <c r="B110" s="18" t="s">
        <v>375</v>
      </c>
      <c r="C110" s="18" t="s">
        <v>35</v>
      </c>
      <c r="D110" s="18" t="s">
        <v>19</v>
      </c>
      <c r="E110" s="19">
        <v>44818</v>
      </c>
      <c r="F110" s="18" t="s">
        <v>376</v>
      </c>
      <c r="G110" s="19">
        <v>44840</v>
      </c>
      <c r="H110" s="19">
        <v>44889</v>
      </c>
      <c r="I110" s="18" t="s">
        <v>43</v>
      </c>
      <c r="J110" s="19" t="b">
        <v>1</v>
      </c>
      <c r="K110" s="19" t="b">
        <v>0</v>
      </c>
      <c r="L110" s="19" t="b">
        <v>0</v>
      </c>
      <c r="M110" s="19" t="b">
        <v>0</v>
      </c>
      <c r="N110" s="19" t="b">
        <v>0</v>
      </c>
      <c r="O110" s="19" t="b">
        <v>1</v>
      </c>
      <c r="P110" s="19" t="b">
        <v>0</v>
      </c>
    </row>
    <row r="111" spans="1:16" x14ac:dyDescent="0.2">
      <c r="A111" s="18">
        <v>5801541</v>
      </c>
      <c r="B111" s="18" t="s">
        <v>377</v>
      </c>
      <c r="C111" s="18" t="s">
        <v>35</v>
      </c>
      <c r="D111" s="18" t="s">
        <v>19</v>
      </c>
      <c r="E111" s="19">
        <v>44602</v>
      </c>
      <c r="F111" s="18" t="s">
        <v>378</v>
      </c>
      <c r="G111" s="19">
        <v>44612</v>
      </c>
      <c r="H111" s="19">
        <v>44663</v>
      </c>
      <c r="I111" s="18" t="s">
        <v>43</v>
      </c>
      <c r="J111" s="19" t="b">
        <v>1</v>
      </c>
      <c r="K111" s="19" t="b">
        <v>0</v>
      </c>
      <c r="L111" s="19" t="b">
        <v>0</v>
      </c>
      <c r="M111" s="19" t="b">
        <v>0</v>
      </c>
      <c r="N111" s="19" t="b">
        <v>0</v>
      </c>
      <c r="O111" s="19" t="b">
        <v>1</v>
      </c>
      <c r="P111" s="19" t="b">
        <v>0</v>
      </c>
    </row>
    <row r="112" spans="1:16" x14ac:dyDescent="0.2">
      <c r="A112" s="18">
        <v>5801541</v>
      </c>
      <c r="B112" s="18" t="s">
        <v>379</v>
      </c>
      <c r="C112" s="18" t="s">
        <v>35</v>
      </c>
      <c r="D112" s="18" t="s">
        <v>19</v>
      </c>
      <c r="E112" s="19">
        <v>44654</v>
      </c>
      <c r="F112" s="18" t="s">
        <v>380</v>
      </c>
      <c r="G112" s="19">
        <v>44684</v>
      </c>
      <c r="H112" s="19">
        <v>44703</v>
      </c>
      <c r="I112" s="18" t="s">
        <v>28</v>
      </c>
      <c r="J112" s="19" t="b">
        <v>1</v>
      </c>
      <c r="K112" s="19" t="b">
        <v>0</v>
      </c>
      <c r="L112" s="19" t="b">
        <v>0</v>
      </c>
      <c r="M112" s="19" t="b">
        <v>0</v>
      </c>
      <c r="N112" s="19" t="b">
        <v>0</v>
      </c>
      <c r="O112" s="19" t="b">
        <v>0</v>
      </c>
      <c r="P112" s="19" t="b">
        <v>1</v>
      </c>
    </row>
    <row r="113" spans="1:16" x14ac:dyDescent="0.2">
      <c r="A113" s="18">
        <v>5801541</v>
      </c>
      <c r="B113" s="18" t="s">
        <v>381</v>
      </c>
      <c r="C113" s="18" t="s">
        <v>35</v>
      </c>
      <c r="D113" s="18" t="s">
        <v>19</v>
      </c>
      <c r="E113" s="19">
        <v>44697</v>
      </c>
      <c r="F113" s="18" t="s">
        <v>382</v>
      </c>
      <c r="G113" s="19">
        <v>44723</v>
      </c>
      <c r="H113" s="19">
        <v>44758</v>
      </c>
      <c r="I113" s="18"/>
      <c r="J113" s="19" t="b">
        <v>1</v>
      </c>
      <c r="K113" s="19" t="b">
        <v>0</v>
      </c>
      <c r="L113" s="19" t="b">
        <v>0</v>
      </c>
      <c r="M113" s="19" t="b">
        <v>0</v>
      </c>
      <c r="N113" s="19" t="b">
        <v>0</v>
      </c>
      <c r="O113" s="19" t="b">
        <v>0</v>
      </c>
      <c r="P113" s="19" t="b">
        <v>0</v>
      </c>
    </row>
    <row r="114" spans="1:16" x14ac:dyDescent="0.2">
      <c r="A114" s="18">
        <v>5801541</v>
      </c>
      <c r="B114" s="18" t="s">
        <v>383</v>
      </c>
      <c r="C114" s="18" t="s">
        <v>35</v>
      </c>
      <c r="D114" s="18" t="s">
        <v>19</v>
      </c>
      <c r="E114" s="19">
        <v>44841</v>
      </c>
      <c r="F114" s="18" t="s">
        <v>384</v>
      </c>
      <c r="G114" s="19">
        <v>44868</v>
      </c>
      <c r="H114" s="19">
        <v>44879</v>
      </c>
      <c r="I114" s="18" t="s">
        <v>28</v>
      </c>
      <c r="J114" s="19" t="b">
        <v>1</v>
      </c>
      <c r="K114" s="19" t="b">
        <v>0</v>
      </c>
      <c r="L114" s="19" t="b">
        <v>0</v>
      </c>
      <c r="M114" s="19" t="b">
        <v>0</v>
      </c>
      <c r="N114" s="19" t="b">
        <v>0</v>
      </c>
      <c r="O114" s="19" t="b">
        <v>0</v>
      </c>
      <c r="P114" s="19" t="b">
        <v>1</v>
      </c>
    </row>
    <row r="115" spans="1:16" x14ac:dyDescent="0.2">
      <c r="A115" s="18">
        <v>5311242</v>
      </c>
      <c r="B115" s="18" t="s">
        <v>385</v>
      </c>
      <c r="C115" s="18" t="s">
        <v>310</v>
      </c>
      <c r="D115" s="18" t="s">
        <v>77</v>
      </c>
      <c r="E115" s="19">
        <v>45041</v>
      </c>
      <c r="F115" s="18" t="s">
        <v>386</v>
      </c>
      <c r="G115" s="19">
        <v>45044</v>
      </c>
      <c r="H115" s="19">
        <v>45054</v>
      </c>
      <c r="I115" s="18" t="s">
        <v>28</v>
      </c>
      <c r="J115" s="19" t="b">
        <v>1</v>
      </c>
      <c r="K115" s="19" t="b">
        <v>0</v>
      </c>
      <c r="L115" s="19" t="b">
        <v>0</v>
      </c>
      <c r="M115" s="19" t="b">
        <v>0</v>
      </c>
      <c r="N115" s="19" t="b">
        <v>0</v>
      </c>
      <c r="O115" s="19" t="b">
        <v>0</v>
      </c>
      <c r="P115" s="19" t="b">
        <v>1</v>
      </c>
    </row>
    <row r="116" spans="1:16" x14ac:dyDescent="0.2">
      <c r="A116" s="18">
        <v>5311242</v>
      </c>
      <c r="B116" s="18" t="s">
        <v>387</v>
      </c>
      <c r="C116" s="18" t="s">
        <v>310</v>
      </c>
      <c r="D116" s="18" t="s">
        <v>77</v>
      </c>
      <c r="E116" s="19">
        <v>44968</v>
      </c>
      <c r="F116" s="18" t="s">
        <v>388</v>
      </c>
      <c r="G116" s="19">
        <v>44996</v>
      </c>
      <c r="H116" s="19">
        <v>45048</v>
      </c>
      <c r="I116" s="18" t="s">
        <v>43</v>
      </c>
      <c r="J116" s="19" t="b">
        <v>1</v>
      </c>
      <c r="K116" s="19" t="b">
        <v>0</v>
      </c>
      <c r="L116" s="19" t="b">
        <v>0</v>
      </c>
      <c r="M116" s="19" t="b">
        <v>0</v>
      </c>
      <c r="N116" s="19" t="b">
        <v>0</v>
      </c>
      <c r="O116" s="19" t="b">
        <v>1</v>
      </c>
      <c r="P116" s="19" t="b">
        <v>0</v>
      </c>
    </row>
    <row r="117" spans="1:16" x14ac:dyDescent="0.2">
      <c r="A117" s="18">
        <v>5311242</v>
      </c>
      <c r="B117" s="18" t="s">
        <v>389</v>
      </c>
      <c r="C117" s="18" t="s">
        <v>310</v>
      </c>
      <c r="D117" s="18" t="s">
        <v>77</v>
      </c>
      <c r="E117" s="19">
        <v>44576</v>
      </c>
      <c r="F117" s="18" t="s">
        <v>390</v>
      </c>
      <c r="G117" s="19">
        <v>44585</v>
      </c>
      <c r="H117" s="19">
        <v>44620</v>
      </c>
      <c r="I117" s="18" t="s">
        <v>16</v>
      </c>
      <c r="J117" s="19" t="b">
        <v>1</v>
      </c>
      <c r="K117" s="19" t="b">
        <v>0</v>
      </c>
      <c r="L117" s="19" t="b">
        <v>0</v>
      </c>
      <c r="M117" s="19" t="b">
        <v>0</v>
      </c>
      <c r="N117" s="19" t="b">
        <v>1</v>
      </c>
      <c r="O117" s="19" t="b">
        <v>0</v>
      </c>
      <c r="P117" s="19" t="b">
        <v>0</v>
      </c>
    </row>
    <row r="118" spans="1:16" x14ac:dyDescent="0.2">
      <c r="A118" s="18">
        <v>3073474</v>
      </c>
      <c r="B118" s="18" t="s">
        <v>391</v>
      </c>
      <c r="C118" s="18" t="s">
        <v>287</v>
      </c>
      <c r="D118" s="18" t="s">
        <v>39</v>
      </c>
      <c r="E118" s="19">
        <v>44801</v>
      </c>
      <c r="F118" s="18" t="s">
        <v>392</v>
      </c>
      <c r="G118" s="19">
        <v>44817</v>
      </c>
      <c r="H118" s="19">
        <v>44819</v>
      </c>
      <c r="I118" s="18" t="s">
        <v>28</v>
      </c>
      <c r="J118" s="19" t="b">
        <v>1</v>
      </c>
      <c r="K118" s="19" t="b">
        <v>0</v>
      </c>
      <c r="L118" s="19" t="b">
        <v>0</v>
      </c>
      <c r="M118" s="19" t="b">
        <v>0</v>
      </c>
      <c r="N118" s="19" t="b">
        <v>0</v>
      </c>
      <c r="O118" s="19" t="b">
        <v>0</v>
      </c>
      <c r="P118" s="19" t="b">
        <v>1</v>
      </c>
    </row>
    <row r="119" spans="1:16" x14ac:dyDescent="0.2">
      <c r="A119" s="18">
        <v>3073474</v>
      </c>
      <c r="B119" s="18" t="s">
        <v>393</v>
      </c>
      <c r="C119" s="18" t="s">
        <v>287</v>
      </c>
      <c r="D119" s="18" t="s">
        <v>39</v>
      </c>
      <c r="E119" s="19">
        <v>44788</v>
      </c>
      <c r="F119" s="18" t="s">
        <v>394</v>
      </c>
      <c r="G119" s="19">
        <v>44809</v>
      </c>
      <c r="H119" s="19">
        <v>44814</v>
      </c>
      <c r="I119" s="18" t="s">
        <v>28</v>
      </c>
      <c r="J119" s="19" t="b">
        <v>1</v>
      </c>
      <c r="K119" s="19" t="b">
        <v>0</v>
      </c>
      <c r="L119" s="19" t="b">
        <v>0</v>
      </c>
      <c r="M119" s="19" t="b">
        <v>0</v>
      </c>
      <c r="N119" s="19" t="b">
        <v>0</v>
      </c>
      <c r="O119" s="19" t="b">
        <v>0</v>
      </c>
      <c r="P119" s="19" t="b">
        <v>1</v>
      </c>
    </row>
    <row r="120" spans="1:16" x14ac:dyDescent="0.2">
      <c r="A120" s="18">
        <v>3073474</v>
      </c>
      <c r="B120" s="18" t="s">
        <v>395</v>
      </c>
      <c r="C120" s="18" t="s">
        <v>287</v>
      </c>
      <c r="D120" s="18" t="s">
        <v>39</v>
      </c>
      <c r="E120" s="19">
        <v>44871</v>
      </c>
      <c r="F120" s="18" t="s">
        <v>396</v>
      </c>
      <c r="G120" s="19">
        <v>44892</v>
      </c>
      <c r="H120" s="19">
        <v>44919</v>
      </c>
      <c r="I120" s="18"/>
      <c r="J120" s="19" t="b">
        <v>1</v>
      </c>
      <c r="K120" s="19" t="b">
        <v>0</v>
      </c>
      <c r="L120" s="19" t="b">
        <v>0</v>
      </c>
      <c r="M120" s="19" t="b">
        <v>0</v>
      </c>
      <c r="N120" s="19" t="b">
        <v>0</v>
      </c>
      <c r="O120" s="19" t="b">
        <v>0</v>
      </c>
      <c r="P120" s="19" t="b">
        <v>0</v>
      </c>
    </row>
    <row r="121" spans="1:16" x14ac:dyDescent="0.2">
      <c r="A121" s="18">
        <v>3276065</v>
      </c>
      <c r="B121" s="18" t="s">
        <v>399</v>
      </c>
      <c r="C121" s="18" t="s">
        <v>59</v>
      </c>
      <c r="D121" s="18" t="s">
        <v>77</v>
      </c>
      <c r="E121" s="19">
        <v>44720</v>
      </c>
      <c r="F121" s="18" t="s">
        <v>400</v>
      </c>
      <c r="G121" s="19">
        <v>44749</v>
      </c>
      <c r="H121" s="19">
        <v>44776</v>
      </c>
      <c r="I121" s="18"/>
      <c r="J121" s="19" t="b">
        <v>1</v>
      </c>
      <c r="K121" s="19" t="b">
        <v>0</v>
      </c>
      <c r="L121" s="19" t="b">
        <v>0</v>
      </c>
      <c r="M121" s="19" t="b">
        <v>0</v>
      </c>
      <c r="N121" s="19" t="b">
        <v>0</v>
      </c>
      <c r="O121" s="19" t="b">
        <v>0</v>
      </c>
      <c r="P121" s="19" t="b">
        <v>0</v>
      </c>
    </row>
    <row r="122" spans="1:16" x14ac:dyDescent="0.2">
      <c r="A122" s="18">
        <v>3276065</v>
      </c>
      <c r="B122" s="18" t="s">
        <v>401</v>
      </c>
      <c r="C122" s="18" t="s">
        <v>59</v>
      </c>
      <c r="D122" s="18" t="s">
        <v>77</v>
      </c>
      <c r="E122" s="19">
        <v>44848</v>
      </c>
      <c r="F122" s="18" t="s">
        <v>402</v>
      </c>
      <c r="G122" s="19">
        <v>44850</v>
      </c>
      <c r="H122" s="19">
        <v>44895</v>
      </c>
      <c r="I122" s="18"/>
      <c r="J122" s="19" t="b">
        <v>1</v>
      </c>
      <c r="K122" s="19" t="b">
        <v>0</v>
      </c>
      <c r="L122" s="19" t="b">
        <v>0</v>
      </c>
      <c r="M122" s="19" t="b">
        <v>0</v>
      </c>
      <c r="N122" s="19" t="b">
        <v>0</v>
      </c>
      <c r="O122" s="19" t="b">
        <v>0</v>
      </c>
      <c r="P122" s="19" t="b">
        <v>0</v>
      </c>
    </row>
    <row r="123" spans="1:16" x14ac:dyDescent="0.2">
      <c r="A123" s="18">
        <v>3276065</v>
      </c>
      <c r="B123" s="18" t="s">
        <v>403</v>
      </c>
      <c r="C123" s="18" t="s">
        <v>59</v>
      </c>
      <c r="D123" s="18" t="s">
        <v>77</v>
      </c>
      <c r="E123" s="19">
        <v>44933</v>
      </c>
      <c r="F123" s="18" t="s">
        <v>404</v>
      </c>
      <c r="G123" s="19">
        <v>44937</v>
      </c>
      <c r="H123" s="19">
        <v>44981</v>
      </c>
      <c r="I123" s="18"/>
      <c r="J123" s="19" t="b">
        <v>1</v>
      </c>
      <c r="K123" s="19" t="b">
        <v>0</v>
      </c>
      <c r="L123" s="19" t="b">
        <v>0</v>
      </c>
      <c r="M123" s="19" t="b">
        <v>0</v>
      </c>
      <c r="N123" s="19" t="b">
        <v>0</v>
      </c>
      <c r="O123" s="19" t="b">
        <v>0</v>
      </c>
      <c r="P123" s="19" t="b">
        <v>0</v>
      </c>
    </row>
    <row r="124" spans="1:16" x14ac:dyDescent="0.2">
      <c r="A124" s="18">
        <v>6595355</v>
      </c>
      <c r="B124" s="18" t="s">
        <v>414</v>
      </c>
      <c r="C124" s="18" t="s">
        <v>93</v>
      </c>
      <c r="D124" s="18" t="s">
        <v>187</v>
      </c>
      <c r="E124" s="19">
        <v>44818</v>
      </c>
      <c r="F124" s="18" t="s">
        <v>415</v>
      </c>
      <c r="G124" s="19">
        <v>44844</v>
      </c>
      <c r="H124" s="19">
        <v>44856</v>
      </c>
      <c r="I124" s="18" t="s">
        <v>43</v>
      </c>
      <c r="J124" s="19" t="b">
        <v>1</v>
      </c>
      <c r="K124" s="19" t="b">
        <v>0</v>
      </c>
      <c r="L124" s="19" t="b">
        <v>0</v>
      </c>
      <c r="M124" s="19" t="b">
        <v>0</v>
      </c>
      <c r="N124" s="19" t="b">
        <v>0</v>
      </c>
      <c r="O124" s="19" t="b">
        <v>1</v>
      </c>
      <c r="P124" s="19" t="b">
        <v>0</v>
      </c>
    </row>
    <row r="125" spans="1:16" x14ac:dyDescent="0.2">
      <c r="A125" s="18">
        <v>7010308</v>
      </c>
      <c r="B125" s="18" t="s">
        <v>420</v>
      </c>
      <c r="C125" s="18" t="s">
        <v>47</v>
      </c>
      <c r="D125" s="18" t="s">
        <v>19</v>
      </c>
      <c r="E125" s="19">
        <v>45049</v>
      </c>
      <c r="F125" s="18" t="s">
        <v>421</v>
      </c>
      <c r="G125" s="19">
        <v>45064</v>
      </c>
      <c r="H125" s="19">
        <v>45114</v>
      </c>
      <c r="I125" s="18" t="s">
        <v>16</v>
      </c>
      <c r="J125" s="19" t="b">
        <v>1</v>
      </c>
      <c r="K125" s="19" t="b">
        <v>0</v>
      </c>
      <c r="L125" s="19" t="b">
        <v>0</v>
      </c>
      <c r="M125" s="19" t="b">
        <v>0</v>
      </c>
      <c r="N125" s="19" t="b">
        <v>1</v>
      </c>
      <c r="O125" s="19" t="b">
        <v>0</v>
      </c>
      <c r="P125" s="19" t="b">
        <v>0</v>
      </c>
    </row>
    <row r="126" spans="1:16" x14ac:dyDescent="0.2">
      <c r="A126" s="18">
        <v>7010308</v>
      </c>
      <c r="B126" s="18" t="s">
        <v>422</v>
      </c>
      <c r="C126" s="18" t="s">
        <v>47</v>
      </c>
      <c r="D126" s="18" t="s">
        <v>19</v>
      </c>
      <c r="E126" s="19">
        <v>44788</v>
      </c>
      <c r="F126" s="18" t="s">
        <v>423</v>
      </c>
      <c r="G126" s="19">
        <v>44808</v>
      </c>
      <c r="H126" s="19">
        <v>44811</v>
      </c>
      <c r="I126" s="18" t="s">
        <v>16</v>
      </c>
      <c r="J126" s="19" t="b">
        <v>1</v>
      </c>
      <c r="K126" s="19" t="b">
        <v>0</v>
      </c>
      <c r="L126" s="19" t="b">
        <v>0</v>
      </c>
      <c r="M126" s="19" t="b">
        <v>0</v>
      </c>
      <c r="N126" s="19" t="b">
        <v>1</v>
      </c>
      <c r="O126" s="19" t="b">
        <v>0</v>
      </c>
      <c r="P126" s="19" t="b">
        <v>0</v>
      </c>
    </row>
    <row r="127" spans="1:16" x14ac:dyDescent="0.2">
      <c r="A127" s="18">
        <v>7010308</v>
      </c>
      <c r="B127" s="18" t="s">
        <v>424</v>
      </c>
      <c r="C127" s="18" t="s">
        <v>47</v>
      </c>
      <c r="D127" s="18" t="s">
        <v>19</v>
      </c>
      <c r="E127" s="19">
        <v>44593</v>
      </c>
      <c r="F127" s="18" t="s">
        <v>425</v>
      </c>
      <c r="G127" s="19">
        <v>44595</v>
      </c>
      <c r="H127" s="19">
        <v>44626</v>
      </c>
      <c r="I127" s="18" t="s">
        <v>28</v>
      </c>
      <c r="J127" s="19" t="b">
        <v>1</v>
      </c>
      <c r="K127" s="19" t="b">
        <v>0</v>
      </c>
      <c r="L127" s="19" t="b">
        <v>0</v>
      </c>
      <c r="M127" s="19" t="b">
        <v>0</v>
      </c>
      <c r="N127" s="19" t="b">
        <v>0</v>
      </c>
      <c r="O127" s="19" t="b">
        <v>0</v>
      </c>
      <c r="P127" s="19" t="b">
        <v>1</v>
      </c>
    </row>
    <row r="128" spans="1:16" x14ac:dyDescent="0.2">
      <c r="A128" s="18">
        <v>7010308</v>
      </c>
      <c r="B128" s="18" t="s">
        <v>426</v>
      </c>
      <c r="C128" s="18" t="s">
        <v>47</v>
      </c>
      <c r="D128" s="18" t="s">
        <v>19</v>
      </c>
      <c r="E128" s="19">
        <v>45064</v>
      </c>
      <c r="F128" s="18" t="s">
        <v>427</v>
      </c>
      <c r="G128" s="19">
        <v>45087</v>
      </c>
      <c r="H128" s="19">
        <v>45146</v>
      </c>
      <c r="I128" s="18"/>
      <c r="J128" s="19" t="b">
        <v>1</v>
      </c>
      <c r="K128" s="19" t="b">
        <v>0</v>
      </c>
      <c r="L128" s="19" t="b">
        <v>0</v>
      </c>
      <c r="M128" s="19" t="b">
        <v>0</v>
      </c>
      <c r="N128" s="19" t="b">
        <v>0</v>
      </c>
      <c r="O128" s="19" t="b">
        <v>0</v>
      </c>
      <c r="P128" s="19" t="b">
        <v>0</v>
      </c>
    </row>
    <row r="129" spans="1:16" x14ac:dyDescent="0.2">
      <c r="A129" s="18">
        <v>8441741</v>
      </c>
      <c r="B129" s="18" t="s">
        <v>428</v>
      </c>
      <c r="C129" s="18" t="s">
        <v>76</v>
      </c>
      <c r="D129" s="18" t="s">
        <v>122</v>
      </c>
      <c r="E129" s="19">
        <v>44894</v>
      </c>
      <c r="F129" s="18" t="s">
        <v>429</v>
      </c>
      <c r="G129" s="19">
        <v>44907</v>
      </c>
      <c r="H129" s="19">
        <v>44946</v>
      </c>
      <c r="I129" s="18" t="s">
        <v>16</v>
      </c>
      <c r="J129" s="19" t="b">
        <v>1</v>
      </c>
      <c r="K129" s="19" t="b">
        <v>0</v>
      </c>
      <c r="L129" s="19" t="b">
        <v>0</v>
      </c>
      <c r="M129" s="19" t="b">
        <v>0</v>
      </c>
      <c r="N129" s="19" t="b">
        <v>1</v>
      </c>
      <c r="O129" s="19" t="b">
        <v>0</v>
      </c>
      <c r="P129" s="19" t="b">
        <v>0</v>
      </c>
    </row>
    <row r="130" spans="1:16" x14ac:dyDescent="0.2">
      <c r="A130" s="18">
        <v>8441741</v>
      </c>
      <c r="B130" s="18" t="s">
        <v>430</v>
      </c>
      <c r="C130" s="18" t="s">
        <v>76</v>
      </c>
      <c r="D130" s="18" t="s">
        <v>122</v>
      </c>
      <c r="E130" s="19">
        <v>45002</v>
      </c>
      <c r="F130" s="18" t="s">
        <v>431</v>
      </c>
      <c r="G130" s="19">
        <v>45006</v>
      </c>
      <c r="H130" s="19">
        <v>45057</v>
      </c>
      <c r="I130" s="18"/>
      <c r="J130" s="19" t="b">
        <v>1</v>
      </c>
      <c r="K130" s="19" t="b">
        <v>0</v>
      </c>
      <c r="L130" s="19" t="b">
        <v>0</v>
      </c>
      <c r="M130" s="19" t="b">
        <v>0</v>
      </c>
      <c r="N130" s="19" t="b">
        <v>0</v>
      </c>
      <c r="O130" s="19" t="b">
        <v>0</v>
      </c>
      <c r="P130" s="19" t="b">
        <v>0</v>
      </c>
    </row>
    <row r="131" spans="1:16" x14ac:dyDescent="0.2">
      <c r="A131" s="18">
        <v>8441741</v>
      </c>
      <c r="B131" s="18" t="s">
        <v>432</v>
      </c>
      <c r="C131" s="18" t="s">
        <v>76</v>
      </c>
      <c r="D131" s="18" t="s">
        <v>122</v>
      </c>
      <c r="E131" s="19">
        <v>44795</v>
      </c>
      <c r="F131" s="18" t="s">
        <v>433</v>
      </c>
      <c r="G131" s="19">
        <v>44809</v>
      </c>
      <c r="H131" s="19">
        <v>44831</v>
      </c>
      <c r="I131" s="18" t="s">
        <v>43</v>
      </c>
      <c r="J131" s="19" t="b">
        <v>1</v>
      </c>
      <c r="K131" s="19" t="b">
        <v>0</v>
      </c>
      <c r="L131" s="19" t="b">
        <v>0</v>
      </c>
      <c r="M131" s="19" t="b">
        <v>0</v>
      </c>
      <c r="N131" s="19" t="b">
        <v>0</v>
      </c>
      <c r="O131" s="19" t="b">
        <v>1</v>
      </c>
      <c r="P131" s="19" t="b">
        <v>0</v>
      </c>
    </row>
    <row r="132" spans="1:16" x14ac:dyDescent="0.2">
      <c r="A132" s="18">
        <v>2432176</v>
      </c>
      <c r="B132" s="18" t="s">
        <v>436</v>
      </c>
      <c r="C132" s="18" t="s">
        <v>76</v>
      </c>
      <c r="D132" s="18" t="s">
        <v>60</v>
      </c>
      <c r="E132" s="19">
        <v>44623</v>
      </c>
      <c r="F132" s="18" t="s">
        <v>437</v>
      </c>
      <c r="G132" s="19">
        <v>44642</v>
      </c>
      <c r="H132" s="19">
        <v>44678</v>
      </c>
      <c r="I132" s="18" t="s">
        <v>28</v>
      </c>
      <c r="J132" s="19" t="b">
        <v>1</v>
      </c>
      <c r="K132" s="19" t="b">
        <v>0</v>
      </c>
      <c r="L132" s="19" t="b">
        <v>0</v>
      </c>
      <c r="M132" s="19" t="b">
        <v>0</v>
      </c>
      <c r="N132" s="19" t="b">
        <v>0</v>
      </c>
      <c r="O132" s="19" t="b">
        <v>0</v>
      </c>
      <c r="P132" s="19" t="b">
        <v>1</v>
      </c>
    </row>
    <row r="133" spans="1:16" x14ac:dyDescent="0.2">
      <c r="A133" s="18">
        <v>6530541</v>
      </c>
      <c r="B133" s="18" t="s">
        <v>440</v>
      </c>
      <c r="C133" s="18" t="s">
        <v>167</v>
      </c>
      <c r="D133" s="18" t="s">
        <v>122</v>
      </c>
      <c r="E133" s="19">
        <v>44881</v>
      </c>
      <c r="F133" s="18" t="s">
        <v>441</v>
      </c>
      <c r="G133" s="19">
        <v>44893</v>
      </c>
      <c r="H133" s="19">
        <v>44900</v>
      </c>
      <c r="I133" s="18" t="s">
        <v>16</v>
      </c>
      <c r="J133" s="19" t="b">
        <v>1</v>
      </c>
      <c r="K133" s="19" t="b">
        <v>0</v>
      </c>
      <c r="L133" s="19" t="b">
        <v>0</v>
      </c>
      <c r="M133" s="19" t="b">
        <v>0</v>
      </c>
      <c r="N133" s="19" t="b">
        <v>1</v>
      </c>
      <c r="O133" s="19" t="b">
        <v>0</v>
      </c>
      <c r="P133" s="19" t="b">
        <v>0</v>
      </c>
    </row>
    <row r="134" spans="1:16" x14ac:dyDescent="0.2">
      <c r="A134" s="18">
        <v>6530541</v>
      </c>
      <c r="B134" s="18" t="s">
        <v>442</v>
      </c>
      <c r="C134" s="18" t="s">
        <v>167</v>
      </c>
      <c r="D134" s="18" t="s">
        <v>122</v>
      </c>
      <c r="E134" s="19">
        <v>45055</v>
      </c>
      <c r="F134" s="18" t="s">
        <v>443</v>
      </c>
      <c r="G134" s="19">
        <v>45063</v>
      </c>
      <c r="H134" s="19">
        <v>45118</v>
      </c>
      <c r="I134" s="18" t="s">
        <v>43</v>
      </c>
      <c r="J134" s="19" t="b">
        <v>1</v>
      </c>
      <c r="K134" s="19" t="b">
        <v>0</v>
      </c>
      <c r="L134" s="19" t="b">
        <v>0</v>
      </c>
      <c r="M134" s="19" t="b">
        <v>0</v>
      </c>
      <c r="N134" s="19" t="b">
        <v>0</v>
      </c>
      <c r="O134" s="19" t="b">
        <v>1</v>
      </c>
      <c r="P134" s="19" t="b">
        <v>0</v>
      </c>
    </row>
    <row r="135" spans="1:16" x14ac:dyDescent="0.2">
      <c r="A135" s="18">
        <v>5673599</v>
      </c>
      <c r="B135" s="18" t="s">
        <v>446</v>
      </c>
      <c r="C135" s="18" t="s">
        <v>32</v>
      </c>
      <c r="D135" s="18" t="s">
        <v>19</v>
      </c>
      <c r="E135" s="19">
        <v>44835</v>
      </c>
      <c r="F135" s="18" t="s">
        <v>447</v>
      </c>
      <c r="G135" s="19">
        <v>44836</v>
      </c>
      <c r="H135" s="19">
        <v>44848</v>
      </c>
      <c r="I135" s="18" t="s">
        <v>16</v>
      </c>
      <c r="J135" s="19" t="b">
        <v>1</v>
      </c>
      <c r="K135" s="19" t="b">
        <v>0</v>
      </c>
      <c r="L135" s="19" t="b">
        <v>0</v>
      </c>
      <c r="M135" s="19" t="b">
        <v>0</v>
      </c>
      <c r="N135" s="19" t="b">
        <v>1</v>
      </c>
      <c r="O135" s="19" t="b">
        <v>0</v>
      </c>
      <c r="P135" s="19" t="b">
        <v>0</v>
      </c>
    </row>
    <row r="136" spans="1:16" x14ac:dyDescent="0.2">
      <c r="A136" s="18">
        <v>9900022</v>
      </c>
      <c r="B136" s="18" t="s">
        <v>453</v>
      </c>
      <c r="C136" s="18" t="s">
        <v>454</v>
      </c>
      <c r="D136" s="18" t="s">
        <v>60</v>
      </c>
      <c r="E136" s="19">
        <v>44894</v>
      </c>
      <c r="F136" s="18" t="s">
        <v>455</v>
      </c>
      <c r="G136" s="19">
        <v>44919</v>
      </c>
      <c r="H136" s="19">
        <v>44956</v>
      </c>
      <c r="I136" s="18" t="s">
        <v>43</v>
      </c>
      <c r="J136" s="19" t="b">
        <v>1</v>
      </c>
      <c r="K136" s="19" t="b">
        <v>0</v>
      </c>
      <c r="L136" s="19" t="b">
        <v>0</v>
      </c>
      <c r="M136" s="19" t="b">
        <v>0</v>
      </c>
      <c r="N136" s="19" t="b">
        <v>0</v>
      </c>
      <c r="O136" s="19" t="b">
        <v>1</v>
      </c>
      <c r="P136" s="19" t="b">
        <v>0</v>
      </c>
    </row>
    <row r="137" spans="1:16" x14ac:dyDescent="0.2">
      <c r="A137" s="18">
        <v>9900022</v>
      </c>
      <c r="B137" s="18" t="s">
        <v>456</v>
      </c>
      <c r="C137" s="18" t="s">
        <v>454</v>
      </c>
      <c r="D137" s="18" t="s">
        <v>60</v>
      </c>
      <c r="E137" s="19">
        <v>44612</v>
      </c>
      <c r="F137" s="18" t="s">
        <v>457</v>
      </c>
      <c r="G137" s="19">
        <v>44634</v>
      </c>
      <c r="H137" s="19">
        <v>44640</v>
      </c>
      <c r="I137" s="18" t="s">
        <v>16</v>
      </c>
      <c r="J137" s="19" t="b">
        <v>1</v>
      </c>
      <c r="K137" s="19" t="b">
        <v>0</v>
      </c>
      <c r="L137" s="19" t="b">
        <v>0</v>
      </c>
      <c r="M137" s="19" t="b">
        <v>0</v>
      </c>
      <c r="N137" s="19" t="b">
        <v>1</v>
      </c>
      <c r="O137" s="19" t="b">
        <v>0</v>
      </c>
      <c r="P137" s="19" t="b">
        <v>0</v>
      </c>
    </row>
    <row r="138" spans="1:16" x14ac:dyDescent="0.2">
      <c r="A138" s="18">
        <v>9900022</v>
      </c>
      <c r="B138" s="18" t="s">
        <v>460</v>
      </c>
      <c r="C138" s="18" t="s">
        <v>454</v>
      </c>
      <c r="D138" s="18" t="s">
        <v>60</v>
      </c>
      <c r="E138" s="19">
        <v>45086</v>
      </c>
      <c r="F138" s="18" t="s">
        <v>461</v>
      </c>
      <c r="G138" s="19">
        <v>45090</v>
      </c>
      <c r="H138" s="19">
        <v>45113</v>
      </c>
      <c r="I138" s="18" t="s">
        <v>28</v>
      </c>
      <c r="J138" s="19" t="b">
        <v>1</v>
      </c>
      <c r="K138" s="19" t="b">
        <v>0</v>
      </c>
      <c r="L138" s="19" t="b">
        <v>0</v>
      </c>
      <c r="M138" s="19" t="b">
        <v>0</v>
      </c>
      <c r="N138" s="19" t="b">
        <v>0</v>
      </c>
      <c r="O138" s="19" t="b">
        <v>0</v>
      </c>
      <c r="P138" s="19" t="b">
        <v>1</v>
      </c>
    </row>
    <row r="139" spans="1:16" x14ac:dyDescent="0.2">
      <c r="A139" s="18">
        <v>8212753</v>
      </c>
      <c r="B139" s="18" t="s">
        <v>462</v>
      </c>
      <c r="C139" s="18" t="s">
        <v>176</v>
      </c>
      <c r="D139" s="18" t="s">
        <v>11</v>
      </c>
      <c r="E139" s="19">
        <v>44966</v>
      </c>
      <c r="F139" s="18" t="s">
        <v>463</v>
      </c>
      <c r="G139" s="19">
        <v>44986</v>
      </c>
      <c r="H139" s="19">
        <v>44990</v>
      </c>
      <c r="I139" s="18" t="s">
        <v>28</v>
      </c>
      <c r="J139" s="19" t="b">
        <v>1</v>
      </c>
      <c r="K139" s="19" t="b">
        <v>0</v>
      </c>
      <c r="L139" s="19" t="b">
        <v>0</v>
      </c>
      <c r="M139" s="19" t="b">
        <v>0</v>
      </c>
      <c r="N139" s="19" t="b">
        <v>0</v>
      </c>
      <c r="O139" s="19" t="b">
        <v>0</v>
      </c>
      <c r="P139" s="19" t="b">
        <v>1</v>
      </c>
    </row>
    <row r="140" spans="1:16" x14ac:dyDescent="0.2">
      <c r="A140" s="18">
        <v>8212753</v>
      </c>
      <c r="B140" s="18" t="s">
        <v>468</v>
      </c>
      <c r="C140" s="18" t="s">
        <v>176</v>
      </c>
      <c r="D140" s="18" t="s">
        <v>11</v>
      </c>
      <c r="E140" s="19">
        <v>45107</v>
      </c>
      <c r="F140" s="18" t="s">
        <v>469</v>
      </c>
      <c r="G140" s="19">
        <v>45130</v>
      </c>
      <c r="H140" s="19">
        <v>45145</v>
      </c>
      <c r="I140" s="18" t="s">
        <v>43</v>
      </c>
      <c r="J140" s="19" t="b">
        <v>1</v>
      </c>
      <c r="K140" s="19" t="b">
        <v>0</v>
      </c>
      <c r="L140" s="19" t="b">
        <v>0</v>
      </c>
      <c r="M140" s="19" t="b">
        <v>0</v>
      </c>
      <c r="N140" s="19" t="b">
        <v>0</v>
      </c>
      <c r="O140" s="19" t="b">
        <v>1</v>
      </c>
      <c r="P140" s="19" t="b">
        <v>0</v>
      </c>
    </row>
    <row r="141" spans="1:16" x14ac:dyDescent="0.2">
      <c r="A141" s="18">
        <v>8212753</v>
      </c>
      <c r="B141" s="18" t="s">
        <v>470</v>
      </c>
      <c r="C141" s="18" t="s">
        <v>176</v>
      </c>
      <c r="D141" s="18" t="s">
        <v>11</v>
      </c>
      <c r="E141" s="19">
        <v>44605</v>
      </c>
      <c r="F141" s="18" t="s">
        <v>471</v>
      </c>
      <c r="G141" s="19">
        <v>44619</v>
      </c>
      <c r="H141" s="19">
        <v>44621</v>
      </c>
      <c r="I141" s="18" t="s">
        <v>28</v>
      </c>
      <c r="J141" s="19" t="b">
        <v>1</v>
      </c>
      <c r="K141" s="19" t="b">
        <v>0</v>
      </c>
      <c r="L141" s="19" t="b">
        <v>0</v>
      </c>
      <c r="M141" s="19" t="b">
        <v>0</v>
      </c>
      <c r="N141" s="19" t="b">
        <v>0</v>
      </c>
      <c r="O141" s="19" t="b">
        <v>0</v>
      </c>
      <c r="P141" s="19" t="b">
        <v>1</v>
      </c>
    </row>
    <row r="142" spans="1:16" x14ac:dyDescent="0.2">
      <c r="A142" s="18">
        <v>8713396</v>
      </c>
      <c r="B142" s="18" t="s">
        <v>472</v>
      </c>
      <c r="C142" s="18" t="s">
        <v>310</v>
      </c>
      <c r="D142" s="18" t="s">
        <v>122</v>
      </c>
      <c r="E142" s="19">
        <v>44989</v>
      </c>
      <c r="F142" s="18" t="s">
        <v>473</v>
      </c>
      <c r="G142" s="19">
        <v>44999</v>
      </c>
      <c r="H142" s="19">
        <v>45007</v>
      </c>
      <c r="I142" s="18"/>
      <c r="J142" s="19" t="b">
        <v>1</v>
      </c>
      <c r="K142" s="19" t="b">
        <v>0</v>
      </c>
      <c r="L142" s="19" t="b">
        <v>0</v>
      </c>
      <c r="M142" s="19" t="b">
        <v>0</v>
      </c>
      <c r="N142" s="19" t="b">
        <v>0</v>
      </c>
      <c r="O142" s="19" t="b">
        <v>0</v>
      </c>
      <c r="P142" s="19" t="b">
        <v>0</v>
      </c>
    </row>
    <row r="143" spans="1:16" x14ac:dyDescent="0.2">
      <c r="A143" s="18">
        <v>8713396</v>
      </c>
      <c r="B143" s="18" t="s">
        <v>474</v>
      </c>
      <c r="C143" s="18" t="s">
        <v>310</v>
      </c>
      <c r="D143" s="18" t="s">
        <v>122</v>
      </c>
      <c r="E143" s="19">
        <v>45033</v>
      </c>
      <c r="F143" s="18" t="s">
        <v>475</v>
      </c>
      <c r="G143" s="19">
        <v>45060</v>
      </c>
      <c r="H143" s="19">
        <v>45105</v>
      </c>
      <c r="I143" s="18" t="s">
        <v>28</v>
      </c>
      <c r="J143" s="19" t="b">
        <v>1</v>
      </c>
      <c r="K143" s="19" t="b">
        <v>0</v>
      </c>
      <c r="L143" s="19" t="b">
        <v>0</v>
      </c>
      <c r="M143" s="19" t="b">
        <v>0</v>
      </c>
      <c r="N143" s="19" t="b">
        <v>0</v>
      </c>
      <c r="O143" s="19" t="b">
        <v>0</v>
      </c>
      <c r="P143" s="19" t="b">
        <v>1</v>
      </c>
    </row>
    <row r="144" spans="1:16" x14ac:dyDescent="0.2">
      <c r="A144" s="18">
        <v>8713396</v>
      </c>
      <c r="B144" s="18" t="s">
        <v>476</v>
      </c>
      <c r="C144" s="18" t="s">
        <v>310</v>
      </c>
      <c r="D144" s="18" t="s">
        <v>122</v>
      </c>
      <c r="E144" s="19">
        <v>44670</v>
      </c>
      <c r="F144" s="18" t="s">
        <v>477</v>
      </c>
      <c r="G144" s="19">
        <v>44678</v>
      </c>
      <c r="H144" s="19">
        <v>44706</v>
      </c>
      <c r="I144" s="18" t="s">
        <v>16</v>
      </c>
      <c r="J144" s="19" t="b">
        <v>1</v>
      </c>
      <c r="K144" s="19" t="b">
        <v>0</v>
      </c>
      <c r="L144" s="19" t="b">
        <v>0</v>
      </c>
      <c r="M144" s="19" t="b">
        <v>0</v>
      </c>
      <c r="N144" s="19" t="b">
        <v>1</v>
      </c>
      <c r="O144" s="19" t="b">
        <v>0</v>
      </c>
      <c r="P144" s="19" t="b">
        <v>0</v>
      </c>
    </row>
    <row r="145" spans="1:16" x14ac:dyDescent="0.2">
      <c r="A145" s="18">
        <v>7718433</v>
      </c>
      <c r="B145" s="18" t="s">
        <v>478</v>
      </c>
      <c r="C145" s="18" t="s">
        <v>80</v>
      </c>
      <c r="D145" s="18" t="s">
        <v>122</v>
      </c>
      <c r="E145" s="19">
        <v>44734</v>
      </c>
      <c r="F145" s="18" t="s">
        <v>479</v>
      </c>
      <c r="G145" s="19">
        <v>44737</v>
      </c>
      <c r="H145" s="19">
        <v>44770</v>
      </c>
      <c r="I145" s="18" t="s">
        <v>28</v>
      </c>
      <c r="J145" s="19" t="b">
        <v>1</v>
      </c>
      <c r="K145" s="19" t="b">
        <v>0</v>
      </c>
      <c r="L145" s="19" t="b">
        <v>0</v>
      </c>
      <c r="M145" s="19" t="b">
        <v>0</v>
      </c>
      <c r="N145" s="19" t="b">
        <v>0</v>
      </c>
      <c r="O145" s="19" t="b">
        <v>0</v>
      </c>
      <c r="P145" s="19" t="b">
        <v>1</v>
      </c>
    </row>
    <row r="146" spans="1:16" x14ac:dyDescent="0.2">
      <c r="A146" s="18">
        <v>7718433</v>
      </c>
      <c r="B146" s="18" t="s">
        <v>480</v>
      </c>
      <c r="C146" s="18" t="s">
        <v>80</v>
      </c>
      <c r="D146" s="18" t="s">
        <v>122</v>
      </c>
      <c r="E146" s="19">
        <v>44919</v>
      </c>
      <c r="F146" s="18" t="s">
        <v>481</v>
      </c>
      <c r="G146" s="19">
        <v>44931</v>
      </c>
      <c r="H146" s="19">
        <v>44978</v>
      </c>
      <c r="I146" s="18" t="s">
        <v>43</v>
      </c>
      <c r="J146" s="19" t="b">
        <v>1</v>
      </c>
      <c r="K146" s="19" t="b">
        <v>0</v>
      </c>
      <c r="L146" s="19" t="b">
        <v>0</v>
      </c>
      <c r="M146" s="19" t="b">
        <v>0</v>
      </c>
      <c r="N146" s="19" t="b">
        <v>0</v>
      </c>
      <c r="O146" s="19" t="b">
        <v>1</v>
      </c>
      <c r="P146" s="19" t="b">
        <v>0</v>
      </c>
    </row>
    <row r="147" spans="1:16" x14ac:dyDescent="0.2">
      <c r="A147" s="18">
        <v>7718433</v>
      </c>
      <c r="B147" s="18" t="s">
        <v>482</v>
      </c>
      <c r="C147" s="18" t="s">
        <v>80</v>
      </c>
      <c r="D147" s="18" t="s">
        <v>122</v>
      </c>
      <c r="E147" s="19">
        <v>44711</v>
      </c>
      <c r="F147" s="18" t="s">
        <v>483</v>
      </c>
      <c r="G147" s="19">
        <v>44720</v>
      </c>
      <c r="H147" s="19">
        <v>44733</v>
      </c>
      <c r="I147" s="18" t="s">
        <v>43</v>
      </c>
      <c r="J147" s="19" t="b">
        <v>1</v>
      </c>
      <c r="K147" s="19" t="b">
        <v>0</v>
      </c>
      <c r="L147" s="19" t="b">
        <v>0</v>
      </c>
      <c r="M147" s="19" t="b">
        <v>0</v>
      </c>
      <c r="N147" s="19" t="b">
        <v>0</v>
      </c>
      <c r="O147" s="19" t="b">
        <v>1</v>
      </c>
      <c r="P147" s="19" t="b">
        <v>0</v>
      </c>
    </row>
    <row r="148" spans="1:16" x14ac:dyDescent="0.2">
      <c r="A148" s="18">
        <v>9289908</v>
      </c>
      <c r="B148" s="18" t="s">
        <v>486</v>
      </c>
      <c r="C148" s="18" t="s">
        <v>287</v>
      </c>
      <c r="D148" s="18" t="s">
        <v>81</v>
      </c>
      <c r="E148" s="19">
        <v>44885</v>
      </c>
      <c r="F148" s="18" t="s">
        <v>487</v>
      </c>
      <c r="G148" s="19">
        <v>44890</v>
      </c>
      <c r="H148" s="19">
        <v>44919</v>
      </c>
      <c r="I148" s="18" t="s">
        <v>28</v>
      </c>
      <c r="J148" s="19" t="b">
        <v>1</v>
      </c>
      <c r="K148" s="19" t="b">
        <v>0</v>
      </c>
      <c r="L148" s="19" t="b">
        <v>0</v>
      </c>
      <c r="M148" s="19" t="b">
        <v>0</v>
      </c>
      <c r="N148" s="19" t="b">
        <v>0</v>
      </c>
      <c r="O148" s="19" t="b">
        <v>0</v>
      </c>
      <c r="P148" s="19" t="b">
        <v>1</v>
      </c>
    </row>
    <row r="149" spans="1:16" x14ac:dyDescent="0.2">
      <c r="A149" s="18">
        <v>9289908</v>
      </c>
      <c r="B149" s="18" t="s">
        <v>492</v>
      </c>
      <c r="C149" s="18" t="s">
        <v>287</v>
      </c>
      <c r="D149" s="18" t="s">
        <v>81</v>
      </c>
      <c r="E149" s="19">
        <v>44939</v>
      </c>
      <c r="F149" s="18" t="s">
        <v>493</v>
      </c>
      <c r="G149" s="19">
        <v>44966</v>
      </c>
      <c r="H149" s="19">
        <v>44985</v>
      </c>
      <c r="I149" s="18"/>
      <c r="J149" s="19" t="b">
        <v>1</v>
      </c>
      <c r="K149" s="19" t="b">
        <v>0</v>
      </c>
      <c r="L149" s="19" t="b">
        <v>0</v>
      </c>
      <c r="M149" s="19" t="b">
        <v>0</v>
      </c>
      <c r="N149" s="19" t="b">
        <v>0</v>
      </c>
      <c r="O149" s="19" t="b">
        <v>0</v>
      </c>
      <c r="P149" s="19" t="b">
        <v>0</v>
      </c>
    </row>
    <row r="150" spans="1:16" x14ac:dyDescent="0.2">
      <c r="A150" s="18">
        <v>9507186</v>
      </c>
      <c r="B150" s="18" t="s">
        <v>496</v>
      </c>
      <c r="C150" s="18" t="s">
        <v>59</v>
      </c>
      <c r="D150" s="18" t="s">
        <v>77</v>
      </c>
      <c r="E150" s="19">
        <v>44754</v>
      </c>
      <c r="F150" s="18" t="s">
        <v>497</v>
      </c>
      <c r="G150" s="19">
        <v>44765</v>
      </c>
      <c r="H150" s="19">
        <v>44804</v>
      </c>
      <c r="I150" s="18" t="s">
        <v>16</v>
      </c>
      <c r="J150" s="19" t="b">
        <v>1</v>
      </c>
      <c r="K150" s="19" t="b">
        <v>0</v>
      </c>
      <c r="L150" s="19" t="b">
        <v>0</v>
      </c>
      <c r="M150" s="19" t="b">
        <v>0</v>
      </c>
      <c r="N150" s="19" t="b">
        <v>1</v>
      </c>
      <c r="O150" s="19" t="b">
        <v>0</v>
      </c>
      <c r="P150" s="19" t="b">
        <v>0</v>
      </c>
    </row>
    <row r="151" spans="1:16" x14ac:dyDescent="0.2">
      <c r="A151" s="18">
        <v>9507186</v>
      </c>
      <c r="B151" s="18" t="s">
        <v>498</v>
      </c>
      <c r="C151" s="18" t="s">
        <v>59</v>
      </c>
      <c r="D151" s="18" t="s">
        <v>77</v>
      </c>
      <c r="E151" s="19">
        <v>44667</v>
      </c>
      <c r="F151" s="18" t="s">
        <v>499</v>
      </c>
      <c r="G151" s="19">
        <v>44693</v>
      </c>
      <c r="H151" s="19">
        <v>44751</v>
      </c>
      <c r="I151" s="18" t="s">
        <v>43</v>
      </c>
      <c r="J151" s="19" t="b">
        <v>1</v>
      </c>
      <c r="K151" s="19" t="b">
        <v>0</v>
      </c>
      <c r="L151" s="19" t="b">
        <v>0</v>
      </c>
      <c r="M151" s="19" t="b">
        <v>0</v>
      </c>
      <c r="N151" s="19" t="b">
        <v>0</v>
      </c>
      <c r="O151" s="19" t="b">
        <v>1</v>
      </c>
      <c r="P151" s="19" t="b">
        <v>0</v>
      </c>
    </row>
    <row r="152" spans="1:16" x14ac:dyDescent="0.2">
      <c r="A152" s="18">
        <v>9507186</v>
      </c>
      <c r="B152" s="18" t="s">
        <v>500</v>
      </c>
      <c r="C152" s="18" t="s">
        <v>59</v>
      </c>
      <c r="D152" s="18" t="s">
        <v>77</v>
      </c>
      <c r="E152" s="19">
        <v>44738</v>
      </c>
      <c r="F152" s="18" t="s">
        <v>501</v>
      </c>
      <c r="G152" s="19">
        <v>44740</v>
      </c>
      <c r="H152" s="19">
        <v>44756</v>
      </c>
      <c r="I152" s="18" t="s">
        <v>16</v>
      </c>
      <c r="J152" s="19" t="b">
        <v>1</v>
      </c>
      <c r="K152" s="19" t="b">
        <v>0</v>
      </c>
      <c r="L152" s="19" t="b">
        <v>0</v>
      </c>
      <c r="M152" s="19" t="b">
        <v>0</v>
      </c>
      <c r="N152" s="19" t="b">
        <v>1</v>
      </c>
      <c r="O152" s="19" t="b">
        <v>0</v>
      </c>
      <c r="P152" s="19" t="b">
        <v>0</v>
      </c>
    </row>
    <row r="153" spans="1:16" x14ac:dyDescent="0.2">
      <c r="A153" s="18">
        <v>9507186</v>
      </c>
      <c r="B153" s="18" t="s">
        <v>502</v>
      </c>
      <c r="C153" s="18" t="s">
        <v>59</v>
      </c>
      <c r="D153" s="18" t="s">
        <v>77</v>
      </c>
      <c r="E153" s="19">
        <v>44724</v>
      </c>
      <c r="F153" s="18" t="s">
        <v>503</v>
      </c>
      <c r="G153" s="19">
        <v>44736</v>
      </c>
      <c r="H153" s="19">
        <v>44760</v>
      </c>
      <c r="I153" s="18"/>
      <c r="J153" s="19" t="b">
        <v>1</v>
      </c>
      <c r="K153" s="19" t="b">
        <v>0</v>
      </c>
      <c r="L153" s="19" t="b">
        <v>0</v>
      </c>
      <c r="M153" s="19" t="b">
        <v>0</v>
      </c>
      <c r="N153" s="19" t="b">
        <v>0</v>
      </c>
      <c r="O153" s="19" t="b">
        <v>0</v>
      </c>
      <c r="P153" s="19" t="b">
        <v>0</v>
      </c>
    </row>
    <row r="154" spans="1:16" x14ac:dyDescent="0.2">
      <c r="A154" s="18">
        <v>9507186</v>
      </c>
      <c r="B154" s="18" t="s">
        <v>504</v>
      </c>
      <c r="C154" s="18" t="s">
        <v>59</v>
      </c>
      <c r="D154" s="18" t="s">
        <v>77</v>
      </c>
      <c r="E154" s="19">
        <v>44908</v>
      </c>
      <c r="F154" s="18" t="s">
        <v>505</v>
      </c>
      <c r="G154" s="19">
        <v>44930</v>
      </c>
      <c r="H154" s="19">
        <v>44969</v>
      </c>
      <c r="I154" s="18"/>
      <c r="J154" s="19" t="b">
        <v>1</v>
      </c>
      <c r="K154" s="19" t="b">
        <v>0</v>
      </c>
      <c r="L154" s="19" t="b">
        <v>0</v>
      </c>
      <c r="M154" s="19" t="b">
        <v>0</v>
      </c>
      <c r="N154" s="19" t="b">
        <v>0</v>
      </c>
      <c r="O154" s="19" t="b">
        <v>0</v>
      </c>
      <c r="P154" s="19" t="b">
        <v>0</v>
      </c>
    </row>
    <row r="155" spans="1:16" x14ac:dyDescent="0.2">
      <c r="A155" s="18">
        <v>2421349</v>
      </c>
      <c r="B155" s="18" t="s">
        <v>512</v>
      </c>
      <c r="C155" s="18" t="s">
        <v>110</v>
      </c>
      <c r="D155" s="18" t="s">
        <v>139</v>
      </c>
      <c r="E155" s="19">
        <v>45101</v>
      </c>
      <c r="F155" s="18" t="s">
        <v>513</v>
      </c>
      <c r="G155" s="19">
        <v>45104</v>
      </c>
      <c r="H155" s="19">
        <v>45146</v>
      </c>
      <c r="I155" s="18" t="s">
        <v>28</v>
      </c>
      <c r="J155" s="19" t="b">
        <v>1</v>
      </c>
      <c r="K155" s="19" t="b">
        <v>0</v>
      </c>
      <c r="L155" s="19" t="b">
        <v>0</v>
      </c>
      <c r="M155" s="19" t="b">
        <v>0</v>
      </c>
      <c r="N155" s="19" t="b">
        <v>0</v>
      </c>
      <c r="O155" s="19" t="b">
        <v>0</v>
      </c>
      <c r="P155" s="19" t="b">
        <v>1</v>
      </c>
    </row>
    <row r="156" spans="1:16" x14ac:dyDescent="0.2">
      <c r="A156" s="18">
        <v>2421349</v>
      </c>
      <c r="B156" s="18" t="s">
        <v>514</v>
      </c>
      <c r="C156" s="18" t="s">
        <v>110</v>
      </c>
      <c r="D156" s="18" t="s">
        <v>139</v>
      </c>
      <c r="E156" s="19">
        <v>44878</v>
      </c>
      <c r="F156" s="18" t="s">
        <v>515</v>
      </c>
      <c r="G156" s="19">
        <v>44884</v>
      </c>
      <c r="H156" s="19">
        <v>44898</v>
      </c>
      <c r="I156" s="18" t="s">
        <v>28</v>
      </c>
      <c r="J156" s="19" t="b">
        <v>1</v>
      </c>
      <c r="K156" s="19" t="b">
        <v>0</v>
      </c>
      <c r="L156" s="19" t="b">
        <v>0</v>
      </c>
      <c r="M156" s="19" t="b">
        <v>0</v>
      </c>
      <c r="N156" s="19" t="b">
        <v>0</v>
      </c>
      <c r="O156" s="19" t="b">
        <v>0</v>
      </c>
      <c r="P156" s="19" t="b">
        <v>1</v>
      </c>
    </row>
    <row r="157" spans="1:16" x14ac:dyDescent="0.2">
      <c r="A157" s="18">
        <v>2421349</v>
      </c>
      <c r="B157" s="18" t="s">
        <v>516</v>
      </c>
      <c r="C157" s="18" t="s">
        <v>110</v>
      </c>
      <c r="D157" s="18" t="s">
        <v>139</v>
      </c>
      <c r="E157" s="19">
        <v>44702</v>
      </c>
      <c r="F157" s="18" t="s">
        <v>517</v>
      </c>
      <c r="G157" s="19">
        <v>44707</v>
      </c>
      <c r="H157" s="19">
        <v>44712</v>
      </c>
      <c r="I157" s="18"/>
      <c r="J157" s="19" t="b">
        <v>1</v>
      </c>
      <c r="K157" s="19" t="b">
        <v>0</v>
      </c>
      <c r="L157" s="19" t="b">
        <v>0</v>
      </c>
      <c r="M157" s="19" t="b">
        <v>0</v>
      </c>
      <c r="N157" s="19" t="b">
        <v>0</v>
      </c>
      <c r="O157" s="19" t="b">
        <v>0</v>
      </c>
      <c r="P157" s="19" t="b">
        <v>0</v>
      </c>
    </row>
    <row r="158" spans="1:16" x14ac:dyDescent="0.2">
      <c r="A158" s="18">
        <v>9833734</v>
      </c>
      <c r="B158" s="18" t="s">
        <v>523</v>
      </c>
      <c r="C158" s="18" t="s">
        <v>521</v>
      </c>
      <c r="D158" s="18" t="s">
        <v>39</v>
      </c>
      <c r="E158" s="19">
        <v>44606</v>
      </c>
      <c r="F158" s="18" t="s">
        <v>524</v>
      </c>
      <c r="G158" s="19">
        <v>44620</v>
      </c>
      <c r="H158" s="19">
        <v>44644</v>
      </c>
      <c r="I158" s="18" t="s">
        <v>43</v>
      </c>
      <c r="J158" s="19" t="b">
        <v>1</v>
      </c>
      <c r="K158" s="19" t="b">
        <v>0</v>
      </c>
      <c r="L158" s="19" t="b">
        <v>0</v>
      </c>
      <c r="M158" s="19" t="b">
        <v>0</v>
      </c>
      <c r="N158" s="19" t="b">
        <v>0</v>
      </c>
      <c r="O158" s="19" t="b">
        <v>1</v>
      </c>
      <c r="P158" s="19" t="b">
        <v>0</v>
      </c>
    </row>
    <row r="159" spans="1:16" x14ac:dyDescent="0.2">
      <c r="A159" s="18">
        <v>9833734</v>
      </c>
      <c r="B159" s="18" t="s">
        <v>525</v>
      </c>
      <c r="C159" s="18" t="s">
        <v>521</v>
      </c>
      <c r="D159" s="18" t="s">
        <v>39</v>
      </c>
      <c r="E159" s="19">
        <v>44853</v>
      </c>
      <c r="F159" s="18" t="s">
        <v>526</v>
      </c>
      <c r="G159" s="19">
        <v>44878</v>
      </c>
      <c r="H159" s="19">
        <v>44926</v>
      </c>
      <c r="I159" s="18" t="s">
        <v>43</v>
      </c>
      <c r="J159" s="19" t="b">
        <v>1</v>
      </c>
      <c r="K159" s="19" t="b">
        <v>0</v>
      </c>
      <c r="L159" s="19" t="b">
        <v>0</v>
      </c>
      <c r="M159" s="19" t="b">
        <v>0</v>
      </c>
      <c r="N159" s="19" t="b">
        <v>0</v>
      </c>
      <c r="O159" s="19" t="b">
        <v>1</v>
      </c>
      <c r="P159" s="19" t="b">
        <v>0</v>
      </c>
    </row>
    <row r="160" spans="1:16" x14ac:dyDescent="0.2">
      <c r="A160" s="18">
        <v>9833734</v>
      </c>
      <c r="B160" s="18" t="s">
        <v>527</v>
      </c>
      <c r="C160" s="18" t="s">
        <v>521</v>
      </c>
      <c r="D160" s="18" t="s">
        <v>39</v>
      </c>
      <c r="E160" s="19">
        <v>44878</v>
      </c>
      <c r="F160" s="18" t="s">
        <v>528</v>
      </c>
      <c r="G160" s="19">
        <v>44904</v>
      </c>
      <c r="H160" s="19">
        <v>44955</v>
      </c>
      <c r="I160" s="18" t="s">
        <v>43</v>
      </c>
      <c r="J160" s="19" t="b">
        <v>1</v>
      </c>
      <c r="K160" s="19" t="b">
        <v>0</v>
      </c>
      <c r="L160" s="19" t="b">
        <v>0</v>
      </c>
      <c r="M160" s="19" t="b">
        <v>0</v>
      </c>
      <c r="N160" s="19" t="b">
        <v>0</v>
      </c>
      <c r="O160" s="19" t="b">
        <v>1</v>
      </c>
      <c r="P160" s="19" t="b">
        <v>0</v>
      </c>
    </row>
    <row r="161" spans="1:16" x14ac:dyDescent="0.2">
      <c r="A161" s="18">
        <v>9833734</v>
      </c>
      <c r="B161" s="18" t="s">
        <v>529</v>
      </c>
      <c r="C161" s="18" t="s">
        <v>521</v>
      </c>
      <c r="D161" s="18" t="s">
        <v>39</v>
      </c>
      <c r="E161" s="19">
        <v>45013</v>
      </c>
      <c r="F161" s="18" t="s">
        <v>530</v>
      </c>
      <c r="G161" s="19">
        <v>45028</v>
      </c>
      <c r="H161" s="19">
        <v>45078</v>
      </c>
      <c r="I161" s="18" t="s">
        <v>43</v>
      </c>
      <c r="J161" s="19" t="b">
        <v>1</v>
      </c>
      <c r="K161" s="19" t="b">
        <v>0</v>
      </c>
      <c r="L161" s="19" t="b">
        <v>0</v>
      </c>
      <c r="M161" s="19" t="b">
        <v>0</v>
      </c>
      <c r="N161" s="19" t="b">
        <v>0</v>
      </c>
      <c r="O161" s="19" t="b">
        <v>1</v>
      </c>
      <c r="P161" s="19" t="b">
        <v>0</v>
      </c>
    </row>
    <row r="162" spans="1:16" x14ac:dyDescent="0.2">
      <c r="A162" s="18">
        <v>5727345</v>
      </c>
      <c r="B162" s="18" t="s">
        <v>531</v>
      </c>
      <c r="C162" s="18" t="s">
        <v>35</v>
      </c>
      <c r="D162" s="18" t="s">
        <v>60</v>
      </c>
      <c r="E162" s="19">
        <v>44703</v>
      </c>
      <c r="F162" s="18" t="s">
        <v>532</v>
      </c>
      <c r="G162" s="19">
        <v>44731</v>
      </c>
      <c r="H162" s="19">
        <v>44748</v>
      </c>
      <c r="I162" s="18" t="s">
        <v>43</v>
      </c>
      <c r="J162" s="19" t="b">
        <v>1</v>
      </c>
      <c r="K162" s="19" t="b">
        <v>0</v>
      </c>
      <c r="L162" s="19" t="b">
        <v>0</v>
      </c>
      <c r="M162" s="19" t="b">
        <v>0</v>
      </c>
      <c r="N162" s="19" t="b">
        <v>0</v>
      </c>
      <c r="O162" s="19" t="b">
        <v>1</v>
      </c>
      <c r="P162" s="19" t="b">
        <v>0</v>
      </c>
    </row>
    <row r="163" spans="1:16" x14ac:dyDescent="0.2">
      <c r="A163" s="18">
        <v>5727345</v>
      </c>
      <c r="B163" s="18" t="s">
        <v>535</v>
      </c>
      <c r="C163" s="18" t="s">
        <v>35</v>
      </c>
      <c r="D163" s="18" t="s">
        <v>60</v>
      </c>
      <c r="E163" s="19">
        <v>44726</v>
      </c>
      <c r="F163" s="18" t="s">
        <v>536</v>
      </c>
      <c r="G163" s="19">
        <v>44735</v>
      </c>
      <c r="H163" s="19">
        <v>44764</v>
      </c>
      <c r="I163" s="18" t="s">
        <v>16</v>
      </c>
      <c r="J163" s="19" t="b">
        <v>1</v>
      </c>
      <c r="K163" s="19" t="b">
        <v>0</v>
      </c>
      <c r="L163" s="19" t="b">
        <v>0</v>
      </c>
      <c r="M163" s="19" t="b">
        <v>0</v>
      </c>
      <c r="N163" s="19" t="b">
        <v>1</v>
      </c>
      <c r="O163" s="19" t="b">
        <v>0</v>
      </c>
      <c r="P163" s="19" t="b">
        <v>0</v>
      </c>
    </row>
    <row r="164" spans="1:16" x14ac:dyDescent="0.2">
      <c r="A164" s="18">
        <v>5727345</v>
      </c>
      <c r="B164" s="18" t="s">
        <v>537</v>
      </c>
      <c r="C164" s="18" t="s">
        <v>35</v>
      </c>
      <c r="D164" s="18" t="s">
        <v>60</v>
      </c>
      <c r="E164" s="19">
        <v>44655</v>
      </c>
      <c r="F164" s="18" t="s">
        <v>538</v>
      </c>
      <c r="G164" s="19">
        <v>44685</v>
      </c>
      <c r="H164" s="19">
        <v>44700</v>
      </c>
      <c r="I164" s="18" t="s">
        <v>43</v>
      </c>
      <c r="J164" s="19" t="b">
        <v>1</v>
      </c>
      <c r="K164" s="19" t="b">
        <v>0</v>
      </c>
      <c r="L164" s="19" t="b">
        <v>0</v>
      </c>
      <c r="M164" s="19" t="b">
        <v>0</v>
      </c>
      <c r="N164" s="19" t="b">
        <v>0</v>
      </c>
      <c r="O164" s="19" t="b">
        <v>1</v>
      </c>
      <c r="P164" s="19" t="b">
        <v>0</v>
      </c>
    </row>
    <row r="165" spans="1:16" x14ac:dyDescent="0.2">
      <c r="A165" s="18">
        <v>5727345</v>
      </c>
      <c r="B165" s="18" t="s">
        <v>539</v>
      </c>
      <c r="C165" s="18" t="s">
        <v>35</v>
      </c>
      <c r="D165" s="18" t="s">
        <v>60</v>
      </c>
      <c r="E165" s="19">
        <v>44986</v>
      </c>
      <c r="F165" s="18" t="s">
        <v>540</v>
      </c>
      <c r="G165" s="19">
        <v>44988</v>
      </c>
      <c r="H165" s="19">
        <v>45014</v>
      </c>
      <c r="I165" s="18" t="s">
        <v>28</v>
      </c>
      <c r="J165" s="19" t="b">
        <v>1</v>
      </c>
      <c r="K165" s="19" t="b">
        <v>0</v>
      </c>
      <c r="L165" s="19" t="b">
        <v>0</v>
      </c>
      <c r="M165" s="19" t="b">
        <v>0</v>
      </c>
      <c r="N165" s="19" t="b">
        <v>0</v>
      </c>
      <c r="O165" s="19" t="b">
        <v>0</v>
      </c>
      <c r="P165" s="19" t="b">
        <v>1</v>
      </c>
    </row>
    <row r="166" spans="1:16" x14ac:dyDescent="0.2">
      <c r="A166" s="18">
        <v>9422281</v>
      </c>
      <c r="B166" s="18" t="s">
        <v>541</v>
      </c>
      <c r="C166" s="18" t="s">
        <v>542</v>
      </c>
      <c r="D166" s="18" t="s">
        <v>19</v>
      </c>
      <c r="E166" s="19">
        <v>44888</v>
      </c>
      <c r="F166" s="18" t="s">
        <v>543</v>
      </c>
      <c r="G166" s="19">
        <v>44918</v>
      </c>
      <c r="H166" s="19">
        <v>44925</v>
      </c>
      <c r="I166" s="18" t="s">
        <v>28</v>
      </c>
      <c r="J166" s="19" t="b">
        <v>1</v>
      </c>
      <c r="K166" s="19" t="b">
        <v>0</v>
      </c>
      <c r="L166" s="19" t="b">
        <v>0</v>
      </c>
      <c r="M166" s="19" t="b">
        <v>0</v>
      </c>
      <c r="N166" s="19" t="b">
        <v>0</v>
      </c>
      <c r="O166" s="19" t="b">
        <v>0</v>
      </c>
      <c r="P166" s="19" t="b">
        <v>1</v>
      </c>
    </row>
    <row r="167" spans="1:16" x14ac:dyDescent="0.2">
      <c r="A167" s="18">
        <v>9422281</v>
      </c>
      <c r="B167" s="18" t="s">
        <v>544</v>
      </c>
      <c r="C167" s="18" t="s">
        <v>542</v>
      </c>
      <c r="D167" s="18" t="s">
        <v>19</v>
      </c>
      <c r="E167" s="19">
        <v>44702</v>
      </c>
      <c r="F167" s="18" t="s">
        <v>545</v>
      </c>
      <c r="G167" s="19">
        <v>44704</v>
      </c>
      <c r="H167" s="19">
        <v>44723</v>
      </c>
      <c r="I167" s="18" t="s">
        <v>28</v>
      </c>
      <c r="J167" s="19" t="b">
        <v>1</v>
      </c>
      <c r="K167" s="19" t="b">
        <v>0</v>
      </c>
      <c r="L167" s="19" t="b">
        <v>0</v>
      </c>
      <c r="M167" s="19" t="b">
        <v>0</v>
      </c>
      <c r="N167" s="19" t="b">
        <v>0</v>
      </c>
      <c r="O167" s="19" t="b">
        <v>0</v>
      </c>
      <c r="P167" s="19" t="b">
        <v>1</v>
      </c>
    </row>
    <row r="168" spans="1:16" x14ac:dyDescent="0.2">
      <c r="A168" s="18">
        <v>9422281</v>
      </c>
      <c r="B168" s="18" t="s">
        <v>546</v>
      </c>
      <c r="C168" s="18" t="s">
        <v>542</v>
      </c>
      <c r="D168" s="18" t="s">
        <v>19</v>
      </c>
      <c r="E168" s="19">
        <v>44704</v>
      </c>
      <c r="F168" s="18" t="s">
        <v>547</v>
      </c>
      <c r="G168" s="19">
        <v>44729</v>
      </c>
      <c r="H168" s="19">
        <v>44775</v>
      </c>
      <c r="I168" s="18"/>
      <c r="J168" s="19" t="b">
        <v>1</v>
      </c>
      <c r="K168" s="19" t="b">
        <v>0</v>
      </c>
      <c r="L168" s="19" t="b">
        <v>0</v>
      </c>
      <c r="M168" s="19" t="b">
        <v>0</v>
      </c>
      <c r="N168" s="19" t="b">
        <v>0</v>
      </c>
      <c r="O168" s="19" t="b">
        <v>0</v>
      </c>
      <c r="P168" s="19" t="b">
        <v>0</v>
      </c>
    </row>
    <row r="169" spans="1:16" x14ac:dyDescent="0.2">
      <c r="A169" s="18">
        <v>9422281</v>
      </c>
      <c r="B169" s="18" t="s">
        <v>548</v>
      </c>
      <c r="C169" s="18" t="s">
        <v>542</v>
      </c>
      <c r="D169" s="18" t="s">
        <v>19</v>
      </c>
      <c r="E169" s="19">
        <v>44581</v>
      </c>
      <c r="F169" s="18" t="s">
        <v>549</v>
      </c>
      <c r="G169" s="19">
        <v>44590</v>
      </c>
      <c r="H169" s="19">
        <v>44604</v>
      </c>
      <c r="I169" s="18" t="s">
        <v>16</v>
      </c>
      <c r="J169" s="19" t="b">
        <v>1</v>
      </c>
      <c r="K169" s="19" t="b">
        <v>0</v>
      </c>
      <c r="L169" s="19" t="b">
        <v>0</v>
      </c>
      <c r="M169" s="19" t="b">
        <v>0</v>
      </c>
      <c r="N169" s="19" t="b">
        <v>1</v>
      </c>
      <c r="O169" s="19" t="b">
        <v>0</v>
      </c>
      <c r="P169" s="19" t="b">
        <v>0</v>
      </c>
    </row>
    <row r="170" spans="1:16" x14ac:dyDescent="0.2">
      <c r="A170" s="18">
        <v>3508522</v>
      </c>
      <c r="B170" s="18" t="s">
        <v>550</v>
      </c>
      <c r="C170" s="18" t="s">
        <v>18</v>
      </c>
      <c r="D170" s="18" t="s">
        <v>81</v>
      </c>
      <c r="E170" s="19">
        <v>44686</v>
      </c>
      <c r="F170" s="18" t="s">
        <v>551</v>
      </c>
      <c r="G170" s="19">
        <v>44688</v>
      </c>
      <c r="H170" s="19">
        <v>44704</v>
      </c>
      <c r="I170" s="18" t="s">
        <v>28</v>
      </c>
      <c r="J170" s="19" t="b">
        <v>1</v>
      </c>
      <c r="K170" s="19" t="b">
        <v>0</v>
      </c>
      <c r="L170" s="19" t="b">
        <v>0</v>
      </c>
      <c r="M170" s="19" t="b">
        <v>0</v>
      </c>
      <c r="N170" s="19" t="b">
        <v>0</v>
      </c>
      <c r="O170" s="19" t="b">
        <v>0</v>
      </c>
      <c r="P170" s="19" t="b">
        <v>1</v>
      </c>
    </row>
    <row r="171" spans="1:16" x14ac:dyDescent="0.2">
      <c r="A171" s="18">
        <v>3508522</v>
      </c>
      <c r="B171" s="18" t="s">
        <v>552</v>
      </c>
      <c r="C171" s="18" t="s">
        <v>18</v>
      </c>
      <c r="D171" s="18" t="s">
        <v>81</v>
      </c>
      <c r="E171" s="19">
        <v>45073</v>
      </c>
      <c r="F171" s="18" t="s">
        <v>553</v>
      </c>
      <c r="G171" s="19">
        <v>45093</v>
      </c>
      <c r="H171" s="19">
        <v>45128</v>
      </c>
      <c r="I171" s="18"/>
      <c r="J171" s="19" t="b">
        <v>1</v>
      </c>
      <c r="K171" s="19" t="b">
        <v>0</v>
      </c>
      <c r="L171" s="19" t="b">
        <v>0</v>
      </c>
      <c r="M171" s="19" t="b">
        <v>0</v>
      </c>
      <c r="N171" s="19" t="b">
        <v>0</v>
      </c>
      <c r="O171" s="19" t="b">
        <v>0</v>
      </c>
      <c r="P171" s="19" t="b">
        <v>0</v>
      </c>
    </row>
    <row r="172" spans="1:16" x14ac:dyDescent="0.2">
      <c r="A172" s="18">
        <v>3508522</v>
      </c>
      <c r="B172" s="18" t="s">
        <v>558</v>
      </c>
      <c r="C172" s="18" t="s">
        <v>18</v>
      </c>
      <c r="D172" s="18" t="s">
        <v>81</v>
      </c>
      <c r="E172" s="19">
        <v>44649</v>
      </c>
      <c r="F172" s="18" t="s">
        <v>559</v>
      </c>
      <c r="G172" s="19">
        <v>44666</v>
      </c>
      <c r="H172" s="19">
        <v>44690</v>
      </c>
      <c r="I172" s="18" t="s">
        <v>43</v>
      </c>
      <c r="J172" s="19" t="b">
        <v>1</v>
      </c>
      <c r="K172" s="19" t="b">
        <v>0</v>
      </c>
      <c r="L172" s="19" t="b">
        <v>0</v>
      </c>
      <c r="M172" s="19" t="b">
        <v>0</v>
      </c>
      <c r="N172" s="19" t="b">
        <v>0</v>
      </c>
      <c r="O172" s="19" t="b">
        <v>1</v>
      </c>
      <c r="P172" s="19" t="b">
        <v>0</v>
      </c>
    </row>
    <row r="173" spans="1:16" x14ac:dyDescent="0.2">
      <c r="A173" s="18">
        <v>2135470</v>
      </c>
      <c r="B173" s="18" t="s">
        <v>560</v>
      </c>
      <c r="C173" s="18" t="s">
        <v>80</v>
      </c>
      <c r="D173" s="18" t="s">
        <v>139</v>
      </c>
      <c r="E173" s="19">
        <v>45043</v>
      </c>
      <c r="F173" s="18" t="s">
        <v>561</v>
      </c>
      <c r="G173" s="19">
        <v>45045</v>
      </c>
      <c r="H173" s="19">
        <v>45086</v>
      </c>
      <c r="I173" s="18" t="s">
        <v>16</v>
      </c>
      <c r="J173" s="19" t="b">
        <v>1</v>
      </c>
      <c r="K173" s="19" t="b">
        <v>0</v>
      </c>
      <c r="L173" s="19" t="b">
        <v>0</v>
      </c>
      <c r="M173" s="19" t="b">
        <v>0</v>
      </c>
      <c r="N173" s="19" t="b">
        <v>1</v>
      </c>
      <c r="O173" s="19" t="b">
        <v>0</v>
      </c>
      <c r="P173" s="19" t="b">
        <v>0</v>
      </c>
    </row>
    <row r="174" spans="1:16" x14ac:dyDescent="0.2">
      <c r="A174" s="18">
        <v>2135470</v>
      </c>
      <c r="B174" s="18" t="s">
        <v>562</v>
      </c>
      <c r="C174" s="18" t="s">
        <v>80</v>
      </c>
      <c r="D174" s="18" t="s">
        <v>139</v>
      </c>
      <c r="E174" s="19">
        <v>44578</v>
      </c>
      <c r="F174" s="18" t="s">
        <v>563</v>
      </c>
      <c r="G174" s="19">
        <v>44590</v>
      </c>
      <c r="H174" s="19">
        <v>44641</v>
      </c>
      <c r="I174" s="18" t="s">
        <v>28</v>
      </c>
      <c r="J174" s="19" t="b">
        <v>1</v>
      </c>
      <c r="K174" s="19" t="b">
        <v>0</v>
      </c>
      <c r="L174" s="19" t="b">
        <v>0</v>
      </c>
      <c r="M174" s="19" t="b">
        <v>0</v>
      </c>
      <c r="N174" s="19" t="b">
        <v>0</v>
      </c>
      <c r="O174" s="19" t="b">
        <v>0</v>
      </c>
      <c r="P174" s="19" t="b">
        <v>1</v>
      </c>
    </row>
    <row r="175" spans="1:16" x14ac:dyDescent="0.2">
      <c r="A175" s="18">
        <v>2135470</v>
      </c>
      <c r="B175" s="18" t="s">
        <v>566</v>
      </c>
      <c r="C175" s="18" t="s">
        <v>80</v>
      </c>
      <c r="D175" s="18" t="s">
        <v>139</v>
      </c>
      <c r="E175" s="19">
        <v>44922</v>
      </c>
      <c r="F175" s="18" t="s">
        <v>151</v>
      </c>
      <c r="G175" s="19">
        <v>44940</v>
      </c>
      <c r="H175" s="19">
        <v>44962</v>
      </c>
      <c r="I175" s="18" t="s">
        <v>28</v>
      </c>
      <c r="J175" s="19" t="b">
        <v>1</v>
      </c>
      <c r="K175" s="19" t="b">
        <v>0</v>
      </c>
      <c r="L175" s="19" t="b">
        <v>0</v>
      </c>
      <c r="M175" s="19" t="b">
        <v>0</v>
      </c>
      <c r="N175" s="19" t="b">
        <v>0</v>
      </c>
      <c r="O175" s="19" t="b">
        <v>0</v>
      </c>
      <c r="P175" s="19" t="b">
        <v>1</v>
      </c>
    </row>
    <row r="176" spans="1:16" x14ac:dyDescent="0.2">
      <c r="A176" s="18">
        <v>2135470</v>
      </c>
      <c r="B176" s="18" t="s">
        <v>567</v>
      </c>
      <c r="C176" s="18" t="s">
        <v>80</v>
      </c>
      <c r="D176" s="18" t="s">
        <v>139</v>
      </c>
      <c r="E176" s="19">
        <v>45037</v>
      </c>
      <c r="F176" s="18" t="s">
        <v>568</v>
      </c>
      <c r="G176" s="19">
        <v>45060</v>
      </c>
      <c r="H176" s="19">
        <v>45091</v>
      </c>
      <c r="I176" s="18" t="s">
        <v>43</v>
      </c>
      <c r="J176" s="19" t="b">
        <v>1</v>
      </c>
      <c r="K176" s="19" t="b">
        <v>0</v>
      </c>
      <c r="L176" s="19" t="b">
        <v>0</v>
      </c>
      <c r="M176" s="19" t="b">
        <v>0</v>
      </c>
      <c r="N176" s="19" t="b">
        <v>0</v>
      </c>
      <c r="O176" s="19" t="b">
        <v>1</v>
      </c>
      <c r="P176" s="19" t="b">
        <v>0</v>
      </c>
    </row>
    <row r="177" spans="1:16" x14ac:dyDescent="0.2">
      <c r="A177" s="18">
        <v>4058117</v>
      </c>
      <c r="B177" s="18" t="s">
        <v>569</v>
      </c>
      <c r="C177" s="18" t="s">
        <v>47</v>
      </c>
      <c r="D177" s="18" t="s">
        <v>187</v>
      </c>
      <c r="E177" s="19">
        <v>44768</v>
      </c>
      <c r="F177" s="18" t="s">
        <v>570</v>
      </c>
      <c r="G177" s="19">
        <v>44770</v>
      </c>
      <c r="H177" s="19">
        <v>44821</v>
      </c>
      <c r="I177" s="18"/>
      <c r="J177" s="19" t="b">
        <v>1</v>
      </c>
      <c r="K177" s="19" t="b">
        <v>0</v>
      </c>
      <c r="L177" s="19" t="b">
        <v>0</v>
      </c>
      <c r="M177" s="19" t="b">
        <v>0</v>
      </c>
      <c r="N177" s="19" t="b">
        <v>0</v>
      </c>
      <c r="O177" s="19" t="b">
        <v>0</v>
      </c>
      <c r="P177" s="19" t="b">
        <v>0</v>
      </c>
    </row>
    <row r="178" spans="1:16" x14ac:dyDescent="0.2">
      <c r="A178" s="18">
        <v>4346548</v>
      </c>
      <c r="B178" s="18" t="s">
        <v>571</v>
      </c>
      <c r="C178" s="18" t="s">
        <v>131</v>
      </c>
      <c r="D178" s="18" t="s">
        <v>56</v>
      </c>
      <c r="E178" s="19">
        <v>45046</v>
      </c>
      <c r="F178" s="18" t="s">
        <v>572</v>
      </c>
      <c r="G178" s="19">
        <v>45055</v>
      </c>
      <c r="H178" s="19">
        <v>45058</v>
      </c>
      <c r="I178" s="18"/>
      <c r="J178" s="19" t="b">
        <v>1</v>
      </c>
      <c r="K178" s="19" t="b">
        <v>0</v>
      </c>
      <c r="L178" s="19" t="b">
        <v>0</v>
      </c>
      <c r="M178" s="19" t="b">
        <v>0</v>
      </c>
      <c r="N178" s="19" t="b">
        <v>0</v>
      </c>
      <c r="O178" s="19" t="b">
        <v>0</v>
      </c>
      <c r="P178" s="19" t="b">
        <v>0</v>
      </c>
    </row>
    <row r="179" spans="1:16" x14ac:dyDescent="0.2">
      <c r="A179" s="18">
        <v>4346548</v>
      </c>
      <c r="B179" s="18" t="s">
        <v>573</v>
      </c>
      <c r="C179" s="18" t="s">
        <v>131</v>
      </c>
      <c r="D179" s="18" t="s">
        <v>56</v>
      </c>
      <c r="E179" s="19">
        <v>44610</v>
      </c>
      <c r="F179" s="18" t="s">
        <v>574</v>
      </c>
      <c r="G179" s="19">
        <v>44638</v>
      </c>
      <c r="H179" s="19">
        <v>44680</v>
      </c>
      <c r="I179" s="18" t="s">
        <v>43</v>
      </c>
      <c r="J179" s="19" t="b">
        <v>1</v>
      </c>
      <c r="K179" s="19" t="b">
        <v>0</v>
      </c>
      <c r="L179" s="19" t="b">
        <v>0</v>
      </c>
      <c r="M179" s="19" t="b">
        <v>0</v>
      </c>
      <c r="N179" s="19" t="b">
        <v>0</v>
      </c>
      <c r="O179" s="19" t="b">
        <v>1</v>
      </c>
      <c r="P179" s="19" t="b">
        <v>0</v>
      </c>
    </row>
    <row r="180" spans="1:16" x14ac:dyDescent="0.2">
      <c r="A180" s="18">
        <v>4346548</v>
      </c>
      <c r="B180" s="18" t="s">
        <v>575</v>
      </c>
      <c r="C180" s="18" t="s">
        <v>131</v>
      </c>
      <c r="D180" s="18" t="s">
        <v>56</v>
      </c>
      <c r="E180" s="19">
        <v>45009</v>
      </c>
      <c r="F180" s="18" t="s">
        <v>576</v>
      </c>
      <c r="G180" s="19">
        <v>45038</v>
      </c>
      <c r="H180" s="19">
        <v>45064</v>
      </c>
      <c r="I180" s="18" t="s">
        <v>16</v>
      </c>
      <c r="J180" s="19" t="b">
        <v>1</v>
      </c>
      <c r="K180" s="19" t="b">
        <v>0</v>
      </c>
      <c r="L180" s="19" t="b">
        <v>0</v>
      </c>
      <c r="M180" s="19" t="b">
        <v>0</v>
      </c>
      <c r="N180" s="19" t="b">
        <v>1</v>
      </c>
      <c r="O180" s="19" t="b">
        <v>0</v>
      </c>
      <c r="P180" s="19" t="b">
        <v>0</v>
      </c>
    </row>
    <row r="181" spans="1:16" x14ac:dyDescent="0.2">
      <c r="A181" s="18">
        <v>8377556</v>
      </c>
      <c r="B181" s="18" t="s">
        <v>577</v>
      </c>
      <c r="C181" s="18" t="s">
        <v>131</v>
      </c>
      <c r="D181" s="18" t="s">
        <v>60</v>
      </c>
      <c r="E181" s="19">
        <v>44938</v>
      </c>
      <c r="F181" s="18" t="s">
        <v>578</v>
      </c>
      <c r="G181" s="19">
        <v>44968</v>
      </c>
      <c r="H181" s="19">
        <v>45020</v>
      </c>
      <c r="I181" s="18"/>
      <c r="J181" s="19" t="b">
        <v>1</v>
      </c>
      <c r="K181" s="19" t="b">
        <v>0</v>
      </c>
      <c r="L181" s="19" t="b">
        <v>0</v>
      </c>
      <c r="M181" s="19" t="b">
        <v>0</v>
      </c>
      <c r="N181" s="19" t="b">
        <v>0</v>
      </c>
      <c r="O181" s="19" t="b">
        <v>0</v>
      </c>
      <c r="P181" s="19" t="b">
        <v>0</v>
      </c>
    </row>
    <row r="182" spans="1:16" x14ac:dyDescent="0.2">
      <c r="A182" s="18">
        <v>8377556</v>
      </c>
      <c r="B182" s="18" t="s">
        <v>579</v>
      </c>
      <c r="C182" s="18" t="s">
        <v>131</v>
      </c>
      <c r="D182" s="18" t="s">
        <v>60</v>
      </c>
      <c r="E182" s="19">
        <v>44642</v>
      </c>
      <c r="F182" s="18" t="s">
        <v>580</v>
      </c>
      <c r="G182" s="19">
        <v>44656</v>
      </c>
      <c r="H182" s="19">
        <v>44695</v>
      </c>
      <c r="I182" s="18" t="s">
        <v>16</v>
      </c>
      <c r="J182" s="19" t="b">
        <v>1</v>
      </c>
      <c r="K182" s="19" t="b">
        <v>0</v>
      </c>
      <c r="L182" s="19" t="b">
        <v>0</v>
      </c>
      <c r="M182" s="19" t="b">
        <v>0</v>
      </c>
      <c r="N182" s="19" t="b">
        <v>1</v>
      </c>
      <c r="O182" s="19" t="b">
        <v>0</v>
      </c>
      <c r="P182" s="19" t="b">
        <v>0</v>
      </c>
    </row>
    <row r="183" spans="1:16" x14ac:dyDescent="0.2">
      <c r="A183" s="18">
        <v>8377556</v>
      </c>
      <c r="B183" s="18" t="s">
        <v>581</v>
      </c>
      <c r="C183" s="18" t="s">
        <v>131</v>
      </c>
      <c r="D183" s="18" t="s">
        <v>60</v>
      </c>
      <c r="E183" s="19">
        <v>44890</v>
      </c>
      <c r="F183" s="18" t="s">
        <v>582</v>
      </c>
      <c r="G183" s="19">
        <v>44894</v>
      </c>
      <c r="H183" s="19">
        <v>44900</v>
      </c>
      <c r="I183" s="18" t="s">
        <v>43</v>
      </c>
      <c r="J183" s="19" t="b">
        <v>1</v>
      </c>
      <c r="K183" s="19" t="b">
        <v>0</v>
      </c>
      <c r="L183" s="19" t="b">
        <v>0</v>
      </c>
      <c r="M183" s="19" t="b">
        <v>0</v>
      </c>
      <c r="N183" s="19" t="b">
        <v>0</v>
      </c>
      <c r="O183" s="19" t="b">
        <v>1</v>
      </c>
      <c r="P183" s="19" t="b">
        <v>0</v>
      </c>
    </row>
    <row r="184" spans="1:16" x14ac:dyDescent="0.2">
      <c r="A184" s="18">
        <v>6501583</v>
      </c>
      <c r="B184" s="18" t="s">
        <v>583</v>
      </c>
      <c r="C184" s="18" t="s">
        <v>167</v>
      </c>
      <c r="D184" s="18" t="s">
        <v>11</v>
      </c>
      <c r="E184" s="19">
        <v>45016</v>
      </c>
      <c r="F184" s="18" t="s">
        <v>584</v>
      </c>
      <c r="G184" s="19">
        <v>45028</v>
      </c>
      <c r="H184" s="19">
        <v>45057</v>
      </c>
      <c r="I184" s="18"/>
      <c r="J184" s="19" t="b">
        <v>1</v>
      </c>
      <c r="K184" s="19" t="b">
        <v>0</v>
      </c>
      <c r="L184" s="19" t="b">
        <v>0</v>
      </c>
      <c r="M184" s="19" t="b">
        <v>0</v>
      </c>
      <c r="N184" s="19" t="b">
        <v>0</v>
      </c>
      <c r="O184" s="19" t="b">
        <v>0</v>
      </c>
      <c r="P184" s="19" t="b">
        <v>0</v>
      </c>
    </row>
    <row r="185" spans="1:16" x14ac:dyDescent="0.2">
      <c r="A185" s="18">
        <v>6501583</v>
      </c>
      <c r="B185" s="18" t="s">
        <v>587</v>
      </c>
      <c r="C185" s="18" t="s">
        <v>167</v>
      </c>
      <c r="D185" s="18" t="s">
        <v>11</v>
      </c>
      <c r="E185" s="19">
        <v>44620</v>
      </c>
      <c r="F185" s="18" t="s">
        <v>588</v>
      </c>
      <c r="G185" s="19">
        <v>44623</v>
      </c>
      <c r="H185" s="19">
        <v>44666</v>
      </c>
      <c r="I185" s="18" t="s">
        <v>28</v>
      </c>
      <c r="J185" s="19" t="b">
        <v>1</v>
      </c>
      <c r="K185" s="19" t="b">
        <v>0</v>
      </c>
      <c r="L185" s="19" t="b">
        <v>0</v>
      </c>
      <c r="M185" s="19" t="b">
        <v>0</v>
      </c>
      <c r="N185" s="19" t="b">
        <v>0</v>
      </c>
      <c r="O185" s="19" t="b">
        <v>0</v>
      </c>
      <c r="P185" s="19" t="b">
        <v>1</v>
      </c>
    </row>
    <row r="186" spans="1:16" x14ac:dyDescent="0.2">
      <c r="A186" s="18">
        <v>7815076</v>
      </c>
      <c r="B186" s="18" t="s">
        <v>589</v>
      </c>
      <c r="C186" s="18" t="s">
        <v>542</v>
      </c>
      <c r="D186" s="18" t="s">
        <v>139</v>
      </c>
      <c r="E186" s="19">
        <v>45010</v>
      </c>
      <c r="F186" s="18" t="s">
        <v>590</v>
      </c>
      <c r="G186" s="19">
        <v>45012</v>
      </c>
      <c r="H186" s="19">
        <v>45021</v>
      </c>
      <c r="I186" s="18" t="s">
        <v>43</v>
      </c>
      <c r="J186" s="19" t="b">
        <v>1</v>
      </c>
      <c r="K186" s="19" t="b">
        <v>0</v>
      </c>
      <c r="L186" s="19" t="b">
        <v>0</v>
      </c>
      <c r="M186" s="19" t="b">
        <v>0</v>
      </c>
      <c r="N186" s="19" t="b">
        <v>0</v>
      </c>
      <c r="O186" s="19" t="b">
        <v>1</v>
      </c>
      <c r="P186" s="19" t="b">
        <v>0</v>
      </c>
    </row>
    <row r="187" spans="1:16" x14ac:dyDescent="0.2">
      <c r="A187" s="18">
        <v>7423230</v>
      </c>
      <c r="B187" s="18" t="s">
        <v>595</v>
      </c>
      <c r="C187" s="18" t="s">
        <v>32</v>
      </c>
      <c r="D187" s="18" t="s">
        <v>56</v>
      </c>
      <c r="E187" s="19">
        <v>44969</v>
      </c>
      <c r="F187" s="18" t="s">
        <v>596</v>
      </c>
      <c r="G187" s="19">
        <v>44980</v>
      </c>
      <c r="H187" s="19">
        <v>45022</v>
      </c>
      <c r="I187" s="18" t="s">
        <v>43</v>
      </c>
      <c r="J187" s="19" t="b">
        <v>1</v>
      </c>
      <c r="K187" s="19" t="b">
        <v>0</v>
      </c>
      <c r="L187" s="19" t="b">
        <v>0</v>
      </c>
      <c r="M187" s="19" t="b">
        <v>0</v>
      </c>
      <c r="N187" s="19" t="b">
        <v>0</v>
      </c>
      <c r="O187" s="19" t="b">
        <v>1</v>
      </c>
      <c r="P187" s="19" t="b">
        <v>0</v>
      </c>
    </row>
    <row r="188" spans="1:16" x14ac:dyDescent="0.2">
      <c r="A188" s="18">
        <v>7423230</v>
      </c>
      <c r="B188" s="18" t="s">
        <v>599</v>
      </c>
      <c r="C188" s="18" t="s">
        <v>32</v>
      </c>
      <c r="D188" s="18" t="s">
        <v>56</v>
      </c>
      <c r="E188" s="19">
        <v>44828</v>
      </c>
      <c r="F188" s="18" t="s">
        <v>600</v>
      </c>
      <c r="G188" s="19">
        <v>44851</v>
      </c>
      <c r="H188" s="19">
        <v>44880</v>
      </c>
      <c r="I188" s="18" t="s">
        <v>16</v>
      </c>
      <c r="J188" s="19" t="b">
        <v>1</v>
      </c>
      <c r="K188" s="19" t="b">
        <v>0</v>
      </c>
      <c r="L188" s="19" t="b">
        <v>0</v>
      </c>
      <c r="M188" s="19" t="b">
        <v>0</v>
      </c>
      <c r="N188" s="19" t="b">
        <v>1</v>
      </c>
      <c r="O188" s="19" t="b">
        <v>0</v>
      </c>
      <c r="P188" s="19" t="b">
        <v>0</v>
      </c>
    </row>
    <row r="189" spans="1:16" x14ac:dyDescent="0.2">
      <c r="A189" s="18">
        <v>3057514</v>
      </c>
      <c r="B189" s="18" t="s">
        <v>605</v>
      </c>
      <c r="C189" s="18" t="s">
        <v>71</v>
      </c>
      <c r="D189" s="18" t="s">
        <v>122</v>
      </c>
      <c r="E189" s="19">
        <v>44628</v>
      </c>
      <c r="F189" s="18" t="s">
        <v>606</v>
      </c>
      <c r="G189" s="19">
        <v>44646</v>
      </c>
      <c r="H189" s="19">
        <v>44681</v>
      </c>
      <c r="I189" s="18" t="s">
        <v>28</v>
      </c>
      <c r="J189" s="19" t="b">
        <v>1</v>
      </c>
      <c r="K189" s="19" t="b">
        <v>0</v>
      </c>
      <c r="L189" s="19" t="b">
        <v>0</v>
      </c>
      <c r="M189" s="19" t="b">
        <v>0</v>
      </c>
      <c r="N189" s="19" t="b">
        <v>0</v>
      </c>
      <c r="O189" s="19" t="b">
        <v>0</v>
      </c>
      <c r="P189" s="19" t="b">
        <v>1</v>
      </c>
    </row>
    <row r="190" spans="1:16" x14ac:dyDescent="0.2">
      <c r="A190" s="18">
        <v>3057514</v>
      </c>
      <c r="B190" s="18" t="s">
        <v>609</v>
      </c>
      <c r="C190" s="18" t="s">
        <v>71</v>
      </c>
      <c r="D190" s="18" t="s">
        <v>122</v>
      </c>
      <c r="E190" s="19">
        <v>45082</v>
      </c>
      <c r="F190" s="18" t="s">
        <v>610</v>
      </c>
      <c r="G190" s="19">
        <v>45090</v>
      </c>
      <c r="H190" s="19">
        <v>45098</v>
      </c>
      <c r="I190" s="18" t="s">
        <v>43</v>
      </c>
      <c r="J190" s="19" t="b">
        <v>1</v>
      </c>
      <c r="K190" s="19" t="b">
        <v>0</v>
      </c>
      <c r="L190" s="19" t="b">
        <v>0</v>
      </c>
      <c r="M190" s="19" t="b">
        <v>0</v>
      </c>
      <c r="N190" s="19" t="b">
        <v>0</v>
      </c>
      <c r="O190" s="19" t="b">
        <v>1</v>
      </c>
      <c r="P190" s="19" t="b">
        <v>0</v>
      </c>
    </row>
    <row r="191" spans="1:16" x14ac:dyDescent="0.2">
      <c r="A191" s="18">
        <v>4371891</v>
      </c>
      <c r="B191" s="18" t="s">
        <v>611</v>
      </c>
      <c r="C191" s="18" t="s">
        <v>47</v>
      </c>
      <c r="D191" s="18" t="s">
        <v>187</v>
      </c>
      <c r="E191" s="19">
        <v>44939</v>
      </c>
      <c r="F191" s="18" t="s">
        <v>612</v>
      </c>
      <c r="G191" s="19">
        <v>44954</v>
      </c>
      <c r="H191" s="19">
        <v>45006</v>
      </c>
      <c r="I191" s="18" t="s">
        <v>16</v>
      </c>
      <c r="J191" s="19" t="b">
        <v>1</v>
      </c>
      <c r="K191" s="19" t="b">
        <v>0</v>
      </c>
      <c r="L191" s="19" t="b">
        <v>0</v>
      </c>
      <c r="M191" s="19" t="b">
        <v>0</v>
      </c>
      <c r="N191" s="19" t="b">
        <v>1</v>
      </c>
      <c r="O191" s="19" t="b">
        <v>0</v>
      </c>
      <c r="P191" s="19" t="b">
        <v>0</v>
      </c>
    </row>
    <row r="192" spans="1:16" x14ac:dyDescent="0.2">
      <c r="A192" s="18">
        <v>4371891</v>
      </c>
      <c r="B192" s="18" t="s">
        <v>613</v>
      </c>
      <c r="C192" s="18" t="s">
        <v>47</v>
      </c>
      <c r="D192" s="18" t="s">
        <v>187</v>
      </c>
      <c r="E192" s="19">
        <v>44650</v>
      </c>
      <c r="F192" s="18" t="s">
        <v>614</v>
      </c>
      <c r="G192" s="19">
        <v>44653</v>
      </c>
      <c r="H192" s="19">
        <v>44673</v>
      </c>
      <c r="I192" s="18" t="s">
        <v>43</v>
      </c>
      <c r="J192" s="19" t="b">
        <v>1</v>
      </c>
      <c r="K192" s="19" t="b">
        <v>0</v>
      </c>
      <c r="L192" s="19" t="b">
        <v>0</v>
      </c>
      <c r="M192" s="19" t="b">
        <v>0</v>
      </c>
      <c r="N192" s="19" t="b">
        <v>0</v>
      </c>
      <c r="O192" s="19" t="b">
        <v>1</v>
      </c>
      <c r="P192" s="19" t="b">
        <v>0</v>
      </c>
    </row>
    <row r="193" spans="1:16" x14ac:dyDescent="0.2">
      <c r="A193" s="18">
        <v>7680015</v>
      </c>
      <c r="B193" s="18" t="s">
        <v>615</v>
      </c>
      <c r="C193" s="18" t="s">
        <v>240</v>
      </c>
      <c r="D193" s="18" t="s">
        <v>77</v>
      </c>
      <c r="E193" s="19">
        <v>44637</v>
      </c>
      <c r="F193" s="18" t="s">
        <v>616</v>
      </c>
      <c r="G193" s="19">
        <v>44642</v>
      </c>
      <c r="H193" s="19">
        <v>44663</v>
      </c>
      <c r="I193" s="18"/>
      <c r="J193" s="19" t="b">
        <v>1</v>
      </c>
      <c r="K193" s="19" t="b">
        <v>0</v>
      </c>
      <c r="L193" s="19" t="b">
        <v>0</v>
      </c>
      <c r="M193" s="19" t="b">
        <v>0</v>
      </c>
      <c r="N193" s="19" t="b">
        <v>0</v>
      </c>
      <c r="O193" s="19" t="b">
        <v>0</v>
      </c>
      <c r="P193" s="19" t="b">
        <v>0</v>
      </c>
    </row>
    <row r="194" spans="1:16" x14ac:dyDescent="0.2">
      <c r="A194" s="18">
        <v>7680015</v>
      </c>
      <c r="B194" s="18" t="s">
        <v>617</v>
      </c>
      <c r="C194" s="18" t="s">
        <v>240</v>
      </c>
      <c r="D194" s="18" t="s">
        <v>77</v>
      </c>
      <c r="E194" s="19">
        <v>45091</v>
      </c>
      <c r="F194" s="18" t="s">
        <v>618</v>
      </c>
      <c r="G194" s="19">
        <v>45103</v>
      </c>
      <c r="H194" s="19">
        <v>45112</v>
      </c>
      <c r="I194" s="18"/>
      <c r="J194" s="19" t="b">
        <v>1</v>
      </c>
      <c r="K194" s="19" t="b">
        <v>0</v>
      </c>
      <c r="L194" s="19" t="b">
        <v>0</v>
      </c>
      <c r="M194" s="19" t="b">
        <v>0</v>
      </c>
      <c r="N194" s="19" t="b">
        <v>0</v>
      </c>
      <c r="O194" s="19" t="b">
        <v>0</v>
      </c>
      <c r="P194" s="19" t="b">
        <v>0</v>
      </c>
    </row>
    <row r="195" spans="1:16" x14ac:dyDescent="0.2">
      <c r="A195" s="18">
        <v>7680015</v>
      </c>
      <c r="B195" s="18" t="s">
        <v>619</v>
      </c>
      <c r="C195" s="18" t="s">
        <v>240</v>
      </c>
      <c r="D195" s="18" t="s">
        <v>77</v>
      </c>
      <c r="E195" s="19">
        <v>45005</v>
      </c>
      <c r="F195" s="18" t="s">
        <v>620</v>
      </c>
      <c r="G195" s="19">
        <v>45022</v>
      </c>
      <c r="H195" s="19">
        <v>45081</v>
      </c>
      <c r="I195" s="18" t="s">
        <v>43</v>
      </c>
      <c r="J195" s="19" t="b">
        <v>1</v>
      </c>
      <c r="K195" s="19" t="b">
        <v>0</v>
      </c>
      <c r="L195" s="19" t="b">
        <v>0</v>
      </c>
      <c r="M195" s="19" t="b">
        <v>0</v>
      </c>
      <c r="N195" s="19" t="b">
        <v>0</v>
      </c>
      <c r="O195" s="19" t="b">
        <v>1</v>
      </c>
      <c r="P195" s="19" t="b">
        <v>0</v>
      </c>
    </row>
    <row r="196" spans="1:16" x14ac:dyDescent="0.2">
      <c r="A196" s="18">
        <v>7680015</v>
      </c>
      <c r="B196" s="18" t="s">
        <v>621</v>
      </c>
      <c r="C196" s="18" t="s">
        <v>240</v>
      </c>
      <c r="D196" s="18" t="s">
        <v>77</v>
      </c>
      <c r="E196" s="19">
        <v>44873</v>
      </c>
      <c r="F196" s="18" t="s">
        <v>622</v>
      </c>
      <c r="G196" s="19">
        <v>44879</v>
      </c>
      <c r="H196" s="19">
        <v>44890</v>
      </c>
      <c r="I196" s="18" t="s">
        <v>16</v>
      </c>
      <c r="J196" s="19" t="b">
        <v>1</v>
      </c>
      <c r="K196" s="19" t="b">
        <v>0</v>
      </c>
      <c r="L196" s="19" t="b">
        <v>0</v>
      </c>
      <c r="M196" s="19" t="b">
        <v>0</v>
      </c>
      <c r="N196" s="19" t="b">
        <v>1</v>
      </c>
      <c r="O196" s="19" t="b">
        <v>0</v>
      </c>
      <c r="P196" s="19" t="b">
        <v>0</v>
      </c>
    </row>
    <row r="197" spans="1:16" x14ac:dyDescent="0.2">
      <c r="A197" s="18">
        <v>7680015</v>
      </c>
      <c r="B197" s="18" t="s">
        <v>623</v>
      </c>
      <c r="C197" s="18" t="s">
        <v>240</v>
      </c>
      <c r="D197" s="18" t="s">
        <v>77</v>
      </c>
      <c r="E197" s="19">
        <v>44852</v>
      </c>
      <c r="F197" s="18" t="s">
        <v>624</v>
      </c>
      <c r="G197" s="19">
        <v>44880</v>
      </c>
      <c r="H197" s="19">
        <v>44886</v>
      </c>
      <c r="I197" s="18" t="s">
        <v>43</v>
      </c>
      <c r="J197" s="19" t="b">
        <v>1</v>
      </c>
      <c r="K197" s="19" t="b">
        <v>0</v>
      </c>
      <c r="L197" s="19" t="b">
        <v>0</v>
      </c>
      <c r="M197" s="19" t="b">
        <v>0</v>
      </c>
      <c r="N197" s="19" t="b">
        <v>0</v>
      </c>
      <c r="O197" s="19" t="b">
        <v>1</v>
      </c>
      <c r="P197" s="19" t="b">
        <v>0</v>
      </c>
    </row>
    <row r="198" spans="1:16" x14ac:dyDescent="0.2">
      <c r="A198" s="18">
        <v>5204459</v>
      </c>
      <c r="B198" s="18" t="s">
        <v>627</v>
      </c>
      <c r="C198" s="18" t="s">
        <v>454</v>
      </c>
      <c r="D198" s="18" t="s">
        <v>139</v>
      </c>
      <c r="E198" s="19">
        <v>44907</v>
      </c>
      <c r="F198" s="18" t="s">
        <v>628</v>
      </c>
      <c r="G198" s="19">
        <v>44934</v>
      </c>
      <c r="H198" s="19">
        <v>44994</v>
      </c>
      <c r="I198" s="18" t="s">
        <v>43</v>
      </c>
      <c r="J198" s="19" t="b">
        <v>1</v>
      </c>
      <c r="K198" s="19" t="b">
        <v>0</v>
      </c>
      <c r="L198" s="19" t="b">
        <v>0</v>
      </c>
      <c r="M198" s="19" t="b">
        <v>0</v>
      </c>
      <c r="N198" s="19" t="b">
        <v>0</v>
      </c>
      <c r="O198" s="19" t="b">
        <v>1</v>
      </c>
      <c r="P198" s="19" t="b">
        <v>0</v>
      </c>
    </row>
    <row r="199" spans="1:16" x14ac:dyDescent="0.2">
      <c r="A199" s="18">
        <v>5204459</v>
      </c>
      <c r="B199" s="18" t="s">
        <v>629</v>
      </c>
      <c r="C199" s="18" t="s">
        <v>454</v>
      </c>
      <c r="D199" s="18" t="s">
        <v>139</v>
      </c>
      <c r="E199" s="19">
        <v>44833</v>
      </c>
      <c r="F199" s="18" t="s">
        <v>630</v>
      </c>
      <c r="G199" s="19">
        <v>44854</v>
      </c>
      <c r="H199" s="19">
        <v>44868</v>
      </c>
      <c r="I199" s="18" t="s">
        <v>16</v>
      </c>
      <c r="J199" s="19" t="b">
        <v>1</v>
      </c>
      <c r="K199" s="19" t="b">
        <v>0</v>
      </c>
      <c r="L199" s="19" t="b">
        <v>0</v>
      </c>
      <c r="M199" s="19" t="b">
        <v>0</v>
      </c>
      <c r="N199" s="19" t="b">
        <v>1</v>
      </c>
      <c r="O199" s="19" t="b">
        <v>0</v>
      </c>
      <c r="P199" s="19" t="b">
        <v>0</v>
      </c>
    </row>
    <row r="200" spans="1:16" x14ac:dyDescent="0.2">
      <c r="A200" s="18">
        <v>7989166</v>
      </c>
      <c r="B200" s="18" t="s">
        <v>631</v>
      </c>
      <c r="C200" s="18" t="s">
        <v>121</v>
      </c>
      <c r="D200" s="18" t="s">
        <v>56</v>
      </c>
      <c r="E200" s="19">
        <v>45056</v>
      </c>
      <c r="F200" s="18" t="s">
        <v>632</v>
      </c>
      <c r="G200" s="19">
        <v>45064</v>
      </c>
      <c r="H200" s="19">
        <v>45116</v>
      </c>
      <c r="I200" s="18" t="s">
        <v>28</v>
      </c>
      <c r="J200" s="19" t="b">
        <v>1</v>
      </c>
      <c r="K200" s="19" t="b">
        <v>0</v>
      </c>
      <c r="L200" s="19" t="b">
        <v>0</v>
      </c>
      <c r="M200" s="19" t="b">
        <v>0</v>
      </c>
      <c r="N200" s="19" t="b">
        <v>0</v>
      </c>
      <c r="O200" s="19" t="b">
        <v>0</v>
      </c>
      <c r="P200" s="19" t="b">
        <v>1</v>
      </c>
    </row>
    <row r="201" spans="1:16" x14ac:dyDescent="0.2">
      <c r="A201" s="18">
        <v>7989166</v>
      </c>
      <c r="B201" s="18" t="s">
        <v>633</v>
      </c>
      <c r="C201" s="18" t="s">
        <v>121</v>
      </c>
      <c r="D201" s="18" t="s">
        <v>56</v>
      </c>
      <c r="E201" s="19">
        <v>44636</v>
      </c>
      <c r="F201" s="18" t="s">
        <v>634</v>
      </c>
      <c r="G201" s="19">
        <v>44659</v>
      </c>
      <c r="H201" s="19">
        <v>44663</v>
      </c>
      <c r="I201" s="18"/>
      <c r="J201" s="19" t="b">
        <v>1</v>
      </c>
      <c r="K201" s="19" t="b">
        <v>0</v>
      </c>
      <c r="L201" s="19" t="b">
        <v>0</v>
      </c>
      <c r="M201" s="19" t="b">
        <v>0</v>
      </c>
      <c r="N201" s="19" t="b">
        <v>0</v>
      </c>
      <c r="O201" s="19" t="b">
        <v>0</v>
      </c>
      <c r="P201" s="19" t="b">
        <v>0</v>
      </c>
    </row>
    <row r="202" spans="1:16" x14ac:dyDescent="0.2">
      <c r="A202" s="18">
        <v>7989166</v>
      </c>
      <c r="B202" s="18" t="s">
        <v>637</v>
      </c>
      <c r="C202" s="18" t="s">
        <v>121</v>
      </c>
      <c r="D202" s="18" t="s">
        <v>56</v>
      </c>
      <c r="E202" s="19">
        <v>44888</v>
      </c>
      <c r="F202" s="18" t="s">
        <v>638</v>
      </c>
      <c r="G202" s="19">
        <v>44912</v>
      </c>
      <c r="H202" s="19">
        <v>44968</v>
      </c>
      <c r="I202" s="18" t="s">
        <v>43</v>
      </c>
      <c r="J202" s="19" t="b">
        <v>1</v>
      </c>
      <c r="K202" s="19" t="b">
        <v>0</v>
      </c>
      <c r="L202" s="19" t="b">
        <v>0</v>
      </c>
      <c r="M202" s="19" t="b">
        <v>0</v>
      </c>
      <c r="N202" s="19" t="b">
        <v>0</v>
      </c>
      <c r="O202" s="19" t="b">
        <v>1</v>
      </c>
      <c r="P202" s="19" t="b">
        <v>0</v>
      </c>
    </row>
    <row r="203" spans="1:16" x14ac:dyDescent="0.2">
      <c r="A203" s="18">
        <v>6794356</v>
      </c>
      <c r="B203" s="18" t="s">
        <v>639</v>
      </c>
      <c r="C203" s="18" t="s">
        <v>59</v>
      </c>
      <c r="D203" s="18" t="s">
        <v>187</v>
      </c>
      <c r="E203" s="19">
        <v>45039</v>
      </c>
      <c r="F203" s="18" t="s">
        <v>640</v>
      </c>
      <c r="G203" s="19">
        <v>45043</v>
      </c>
      <c r="H203" s="19">
        <v>45061</v>
      </c>
      <c r="I203" s="18" t="s">
        <v>16</v>
      </c>
      <c r="J203" s="19" t="b">
        <v>1</v>
      </c>
      <c r="K203" s="19" t="b">
        <v>0</v>
      </c>
      <c r="L203" s="19" t="b">
        <v>0</v>
      </c>
      <c r="M203" s="19" t="b">
        <v>0</v>
      </c>
      <c r="N203" s="19" t="b">
        <v>1</v>
      </c>
      <c r="O203" s="19" t="b">
        <v>0</v>
      </c>
      <c r="P203" s="19" t="b">
        <v>0</v>
      </c>
    </row>
    <row r="204" spans="1:16" x14ac:dyDescent="0.2">
      <c r="A204" s="18">
        <v>6794356</v>
      </c>
      <c r="B204" s="18" t="s">
        <v>641</v>
      </c>
      <c r="C204" s="18" t="s">
        <v>59</v>
      </c>
      <c r="D204" s="18" t="s">
        <v>187</v>
      </c>
      <c r="E204" s="19">
        <v>44859</v>
      </c>
      <c r="F204" s="18" t="s">
        <v>642</v>
      </c>
      <c r="G204" s="19">
        <v>44872</v>
      </c>
      <c r="H204" s="19">
        <v>44928</v>
      </c>
      <c r="I204" s="18" t="s">
        <v>43</v>
      </c>
      <c r="J204" s="19" t="b">
        <v>1</v>
      </c>
      <c r="K204" s="19" t="b">
        <v>0</v>
      </c>
      <c r="L204" s="19" t="b">
        <v>0</v>
      </c>
      <c r="M204" s="19" t="b">
        <v>0</v>
      </c>
      <c r="N204" s="19" t="b">
        <v>0</v>
      </c>
      <c r="O204" s="19" t="b">
        <v>1</v>
      </c>
      <c r="P204" s="19" t="b">
        <v>0</v>
      </c>
    </row>
    <row r="205" spans="1:16" x14ac:dyDescent="0.2">
      <c r="A205" s="18">
        <v>6794356</v>
      </c>
      <c r="B205" s="18" t="s">
        <v>643</v>
      </c>
      <c r="C205" s="18" t="s">
        <v>59</v>
      </c>
      <c r="D205" s="18" t="s">
        <v>187</v>
      </c>
      <c r="E205" s="19">
        <v>44725</v>
      </c>
      <c r="F205" s="18" t="s">
        <v>644</v>
      </c>
      <c r="G205" s="19">
        <v>44752</v>
      </c>
      <c r="H205" s="19">
        <v>44773</v>
      </c>
      <c r="I205" s="18" t="s">
        <v>43</v>
      </c>
      <c r="J205" s="19" t="b">
        <v>1</v>
      </c>
      <c r="K205" s="19" t="b">
        <v>0</v>
      </c>
      <c r="L205" s="19" t="b">
        <v>0</v>
      </c>
      <c r="M205" s="19" t="b">
        <v>0</v>
      </c>
      <c r="N205" s="19" t="b">
        <v>0</v>
      </c>
      <c r="O205" s="19" t="b">
        <v>1</v>
      </c>
      <c r="P205" s="19" t="b">
        <v>0</v>
      </c>
    </row>
    <row r="206" spans="1:16" x14ac:dyDescent="0.2">
      <c r="A206" s="18">
        <v>6246485</v>
      </c>
      <c r="B206" s="18" t="s">
        <v>645</v>
      </c>
      <c r="C206" s="18" t="s">
        <v>454</v>
      </c>
      <c r="D206" s="18" t="s">
        <v>187</v>
      </c>
      <c r="E206" s="19">
        <v>44877</v>
      </c>
      <c r="F206" s="18" t="s">
        <v>646</v>
      </c>
      <c r="G206" s="19">
        <v>44893</v>
      </c>
      <c r="H206" s="19">
        <v>44895</v>
      </c>
      <c r="I206" s="18"/>
      <c r="J206" s="19" t="b">
        <v>1</v>
      </c>
      <c r="K206" s="19" t="b">
        <v>0</v>
      </c>
      <c r="L206" s="19" t="b">
        <v>0</v>
      </c>
      <c r="M206" s="19" t="b">
        <v>0</v>
      </c>
      <c r="N206" s="19" t="b">
        <v>0</v>
      </c>
      <c r="O206" s="19" t="b">
        <v>0</v>
      </c>
      <c r="P206" s="19" t="b">
        <v>0</v>
      </c>
    </row>
    <row r="207" spans="1:16" x14ac:dyDescent="0.2">
      <c r="A207" s="18">
        <v>6246485</v>
      </c>
      <c r="B207" s="18" t="s">
        <v>651</v>
      </c>
      <c r="C207" s="18" t="s">
        <v>454</v>
      </c>
      <c r="D207" s="18" t="s">
        <v>187</v>
      </c>
      <c r="E207" s="19">
        <v>44570</v>
      </c>
      <c r="F207" s="18" t="s">
        <v>652</v>
      </c>
      <c r="G207" s="19">
        <v>44598</v>
      </c>
      <c r="H207" s="19">
        <v>44605</v>
      </c>
      <c r="I207" s="18"/>
      <c r="J207" s="19" t="b">
        <v>1</v>
      </c>
      <c r="K207" s="19" t="b">
        <v>0</v>
      </c>
      <c r="L207" s="19" t="b">
        <v>0</v>
      </c>
      <c r="M207" s="19" t="b">
        <v>0</v>
      </c>
      <c r="N207" s="19" t="b">
        <v>0</v>
      </c>
      <c r="O207" s="19" t="b">
        <v>0</v>
      </c>
      <c r="P207" s="19" t="b">
        <v>0</v>
      </c>
    </row>
    <row r="208" spans="1:16" x14ac:dyDescent="0.2">
      <c r="A208" s="18">
        <v>8229768</v>
      </c>
      <c r="B208" s="18" t="s">
        <v>653</v>
      </c>
      <c r="C208" s="18" t="s">
        <v>71</v>
      </c>
      <c r="D208" s="18" t="s">
        <v>11</v>
      </c>
      <c r="E208" s="19">
        <v>44614</v>
      </c>
      <c r="F208" s="18" t="s">
        <v>654</v>
      </c>
      <c r="G208" s="19">
        <v>44633</v>
      </c>
      <c r="H208" s="19">
        <v>44669</v>
      </c>
      <c r="I208" s="18" t="s">
        <v>28</v>
      </c>
      <c r="J208" s="19" t="b">
        <v>1</v>
      </c>
      <c r="K208" s="19" t="b">
        <v>0</v>
      </c>
      <c r="L208" s="19" t="b">
        <v>0</v>
      </c>
      <c r="M208" s="19" t="b">
        <v>0</v>
      </c>
      <c r="N208" s="19" t="b">
        <v>0</v>
      </c>
      <c r="O208" s="19" t="b">
        <v>0</v>
      </c>
      <c r="P208" s="19" t="b">
        <v>1</v>
      </c>
    </row>
    <row r="209" spans="1:16" x14ac:dyDescent="0.2">
      <c r="A209" s="18">
        <v>8229768</v>
      </c>
      <c r="B209" s="18" t="s">
        <v>657</v>
      </c>
      <c r="C209" s="18" t="s">
        <v>71</v>
      </c>
      <c r="D209" s="18" t="s">
        <v>11</v>
      </c>
      <c r="E209" s="19">
        <v>44683</v>
      </c>
      <c r="F209" s="18" t="s">
        <v>658</v>
      </c>
      <c r="G209" s="19">
        <v>44688</v>
      </c>
      <c r="H209" s="19">
        <v>44695</v>
      </c>
      <c r="I209" s="18" t="s">
        <v>28</v>
      </c>
      <c r="J209" s="19" t="b">
        <v>1</v>
      </c>
      <c r="K209" s="19" t="b">
        <v>0</v>
      </c>
      <c r="L209" s="19" t="b">
        <v>0</v>
      </c>
      <c r="M209" s="19" t="b">
        <v>0</v>
      </c>
      <c r="N209" s="19" t="b">
        <v>0</v>
      </c>
      <c r="O209" s="19" t="b">
        <v>0</v>
      </c>
      <c r="P209" s="19" t="b">
        <v>1</v>
      </c>
    </row>
    <row r="210" spans="1:16" x14ac:dyDescent="0.2">
      <c r="A210" s="18">
        <v>7608607</v>
      </c>
      <c r="B210" s="18" t="s">
        <v>659</v>
      </c>
      <c r="C210" s="18" t="s">
        <v>542</v>
      </c>
      <c r="D210" s="18" t="s">
        <v>39</v>
      </c>
      <c r="E210" s="19">
        <v>45083</v>
      </c>
      <c r="F210" s="18" t="s">
        <v>660</v>
      </c>
      <c r="G210" s="19">
        <v>45096</v>
      </c>
      <c r="H210" s="19">
        <v>45129</v>
      </c>
      <c r="I210" s="18" t="s">
        <v>43</v>
      </c>
      <c r="J210" s="19" t="b">
        <v>1</v>
      </c>
      <c r="K210" s="19" t="b">
        <v>0</v>
      </c>
      <c r="L210" s="19" t="b">
        <v>0</v>
      </c>
      <c r="M210" s="19" t="b">
        <v>0</v>
      </c>
      <c r="N210" s="19" t="b">
        <v>0</v>
      </c>
      <c r="O210" s="19" t="b">
        <v>1</v>
      </c>
      <c r="P210" s="19" t="b">
        <v>0</v>
      </c>
    </row>
    <row r="211" spans="1:16" x14ac:dyDescent="0.2">
      <c r="A211" s="18">
        <v>7608607</v>
      </c>
      <c r="B211" s="18" t="s">
        <v>663</v>
      </c>
      <c r="C211" s="18" t="s">
        <v>542</v>
      </c>
      <c r="D211" s="18" t="s">
        <v>39</v>
      </c>
      <c r="E211" s="19">
        <v>45089</v>
      </c>
      <c r="F211" s="18" t="s">
        <v>664</v>
      </c>
      <c r="G211" s="19">
        <v>45094</v>
      </c>
      <c r="H211" s="19">
        <v>45115</v>
      </c>
      <c r="I211" s="18"/>
      <c r="J211" s="19" t="b">
        <v>1</v>
      </c>
      <c r="K211" s="19" t="b">
        <v>0</v>
      </c>
      <c r="L211" s="19" t="b">
        <v>0</v>
      </c>
      <c r="M211" s="19" t="b">
        <v>0</v>
      </c>
      <c r="N211" s="19" t="b">
        <v>0</v>
      </c>
      <c r="O211" s="19" t="b">
        <v>0</v>
      </c>
      <c r="P211" s="19" t="b">
        <v>0</v>
      </c>
    </row>
    <row r="212" spans="1:16" x14ac:dyDescent="0.2">
      <c r="A212" s="18">
        <v>7608607</v>
      </c>
      <c r="B212" s="18" t="s">
        <v>665</v>
      </c>
      <c r="C212" s="18" t="s">
        <v>542</v>
      </c>
      <c r="D212" s="18" t="s">
        <v>39</v>
      </c>
      <c r="E212" s="19">
        <v>44868</v>
      </c>
      <c r="F212" s="18" t="s">
        <v>666</v>
      </c>
      <c r="G212" s="19">
        <v>44887</v>
      </c>
      <c r="H212" s="19">
        <v>44909</v>
      </c>
      <c r="I212" s="18" t="s">
        <v>28</v>
      </c>
      <c r="J212" s="19" t="b">
        <v>1</v>
      </c>
      <c r="K212" s="19" t="b">
        <v>0</v>
      </c>
      <c r="L212" s="19" t="b">
        <v>0</v>
      </c>
      <c r="M212" s="19" t="b">
        <v>0</v>
      </c>
      <c r="N212" s="19" t="b">
        <v>0</v>
      </c>
      <c r="O212" s="19" t="b">
        <v>0</v>
      </c>
      <c r="P212" s="19" t="b">
        <v>1</v>
      </c>
    </row>
    <row r="213" spans="1:16" x14ac:dyDescent="0.2">
      <c r="A213" s="18">
        <v>7608607</v>
      </c>
      <c r="B213" s="18" t="s">
        <v>667</v>
      </c>
      <c r="C213" s="18" t="s">
        <v>542</v>
      </c>
      <c r="D213" s="18" t="s">
        <v>39</v>
      </c>
      <c r="E213" s="19">
        <v>44868</v>
      </c>
      <c r="F213" s="18" t="s">
        <v>668</v>
      </c>
      <c r="G213" s="19">
        <v>44884</v>
      </c>
      <c r="H213" s="19">
        <v>44937</v>
      </c>
      <c r="I213" s="18"/>
      <c r="J213" s="19" t="b">
        <v>1</v>
      </c>
      <c r="K213" s="19" t="b">
        <v>0</v>
      </c>
      <c r="L213" s="19" t="b">
        <v>0</v>
      </c>
      <c r="M213" s="19" t="b">
        <v>0</v>
      </c>
      <c r="N213" s="19" t="b">
        <v>0</v>
      </c>
      <c r="O213" s="19" t="b">
        <v>0</v>
      </c>
      <c r="P213" s="19" t="b">
        <v>0</v>
      </c>
    </row>
    <row r="214" spans="1:16" x14ac:dyDescent="0.2">
      <c r="A214" s="18">
        <v>1279121</v>
      </c>
      <c r="B214" s="18" t="s">
        <v>669</v>
      </c>
      <c r="C214" s="18" t="s">
        <v>542</v>
      </c>
      <c r="D214" s="18" t="s">
        <v>39</v>
      </c>
      <c r="E214" s="19">
        <v>44589</v>
      </c>
      <c r="F214" s="18" t="s">
        <v>670</v>
      </c>
      <c r="G214" s="19">
        <v>44609</v>
      </c>
      <c r="H214" s="19">
        <v>44640</v>
      </c>
      <c r="I214" s="18" t="s">
        <v>28</v>
      </c>
      <c r="J214" s="19" t="b">
        <v>1</v>
      </c>
      <c r="K214" s="19" t="b">
        <v>0</v>
      </c>
      <c r="L214" s="19" t="b">
        <v>0</v>
      </c>
      <c r="M214" s="19" t="b">
        <v>0</v>
      </c>
      <c r="N214" s="19" t="b">
        <v>0</v>
      </c>
      <c r="O214" s="19" t="b">
        <v>0</v>
      </c>
      <c r="P214" s="19" t="b">
        <v>1</v>
      </c>
    </row>
    <row r="215" spans="1:16" x14ac:dyDescent="0.2">
      <c r="A215" s="18">
        <v>5454861</v>
      </c>
      <c r="B215" s="18" t="s">
        <v>673</v>
      </c>
      <c r="C215" s="18" t="s">
        <v>265</v>
      </c>
      <c r="D215" s="18" t="s">
        <v>81</v>
      </c>
      <c r="E215" s="19">
        <v>44810</v>
      </c>
      <c r="F215" s="18" t="s">
        <v>674</v>
      </c>
      <c r="G215" s="19">
        <v>44812</v>
      </c>
      <c r="H215" s="19">
        <v>44849</v>
      </c>
      <c r="I215" s="18"/>
      <c r="J215" s="19" t="b">
        <v>1</v>
      </c>
      <c r="K215" s="19" t="b">
        <v>0</v>
      </c>
      <c r="L215" s="19" t="b">
        <v>0</v>
      </c>
      <c r="M215" s="19" t="b">
        <v>0</v>
      </c>
      <c r="N215" s="19" t="b">
        <v>0</v>
      </c>
      <c r="O215" s="19" t="b">
        <v>0</v>
      </c>
      <c r="P215" s="19" t="b">
        <v>0</v>
      </c>
    </row>
    <row r="216" spans="1:16" x14ac:dyDescent="0.2">
      <c r="A216" s="18">
        <v>5454861</v>
      </c>
      <c r="B216" s="18" t="s">
        <v>675</v>
      </c>
      <c r="C216" s="18" t="s">
        <v>265</v>
      </c>
      <c r="D216" s="18" t="s">
        <v>81</v>
      </c>
      <c r="E216" s="19">
        <v>45013</v>
      </c>
      <c r="F216" s="18" t="s">
        <v>676</v>
      </c>
      <c r="G216" s="19">
        <v>45024</v>
      </c>
      <c r="H216" s="19">
        <v>45051</v>
      </c>
      <c r="I216" s="18" t="s">
        <v>16</v>
      </c>
      <c r="J216" s="19" t="b">
        <v>1</v>
      </c>
      <c r="K216" s="19" t="b">
        <v>0</v>
      </c>
      <c r="L216" s="19" t="b">
        <v>0</v>
      </c>
      <c r="M216" s="19" t="b">
        <v>0</v>
      </c>
      <c r="N216" s="19" t="b">
        <v>1</v>
      </c>
      <c r="O216" s="19" t="b">
        <v>0</v>
      </c>
      <c r="P216" s="19" t="b">
        <v>0</v>
      </c>
    </row>
    <row r="217" spans="1:16" x14ac:dyDescent="0.2">
      <c r="A217" s="18">
        <v>5454861</v>
      </c>
      <c r="B217" s="18" t="s">
        <v>679</v>
      </c>
      <c r="C217" s="18" t="s">
        <v>265</v>
      </c>
      <c r="D217" s="18" t="s">
        <v>81</v>
      </c>
      <c r="E217" s="19">
        <v>44625</v>
      </c>
      <c r="F217" s="18" t="s">
        <v>495</v>
      </c>
      <c r="G217" s="19">
        <v>44648</v>
      </c>
      <c r="H217" s="19">
        <v>44657</v>
      </c>
      <c r="I217" s="18"/>
      <c r="J217" s="19" t="b">
        <v>1</v>
      </c>
      <c r="K217" s="19" t="b">
        <v>0</v>
      </c>
      <c r="L217" s="19" t="b">
        <v>0</v>
      </c>
      <c r="M217" s="19" t="b">
        <v>0</v>
      </c>
      <c r="N217" s="19" t="b">
        <v>0</v>
      </c>
      <c r="O217" s="19" t="b">
        <v>0</v>
      </c>
      <c r="P217" s="19" t="b">
        <v>0</v>
      </c>
    </row>
    <row r="218" spans="1:16" x14ac:dyDescent="0.2">
      <c r="A218" s="18">
        <v>9702060</v>
      </c>
      <c r="B218" s="18" t="s">
        <v>680</v>
      </c>
      <c r="C218" s="18" t="s">
        <v>454</v>
      </c>
      <c r="D218" s="18" t="s">
        <v>139</v>
      </c>
      <c r="E218" s="19">
        <v>44883</v>
      </c>
      <c r="F218" s="18" t="s">
        <v>681</v>
      </c>
      <c r="G218" s="19">
        <v>44889</v>
      </c>
      <c r="H218" s="19">
        <v>44919</v>
      </c>
      <c r="I218" s="18"/>
      <c r="J218" s="19" t="b">
        <v>1</v>
      </c>
      <c r="K218" s="19" t="b">
        <v>0</v>
      </c>
      <c r="L218" s="19" t="b">
        <v>0</v>
      </c>
      <c r="M218" s="19" t="b">
        <v>0</v>
      </c>
      <c r="N218" s="19" t="b">
        <v>0</v>
      </c>
      <c r="O218" s="19" t="b">
        <v>0</v>
      </c>
      <c r="P218" s="19" t="b">
        <v>0</v>
      </c>
    </row>
    <row r="219" spans="1:16" x14ac:dyDescent="0.2">
      <c r="A219" s="18">
        <v>9702060</v>
      </c>
      <c r="B219" s="18" t="s">
        <v>682</v>
      </c>
      <c r="C219" s="18" t="s">
        <v>454</v>
      </c>
      <c r="D219" s="18" t="s">
        <v>139</v>
      </c>
      <c r="E219" s="19">
        <v>44832</v>
      </c>
      <c r="F219" s="18" t="s">
        <v>683</v>
      </c>
      <c r="G219" s="19">
        <v>44852</v>
      </c>
      <c r="H219" s="19">
        <v>44883</v>
      </c>
      <c r="I219" s="18" t="s">
        <v>28</v>
      </c>
      <c r="J219" s="19" t="b">
        <v>1</v>
      </c>
      <c r="K219" s="19" t="b">
        <v>0</v>
      </c>
      <c r="L219" s="19" t="b">
        <v>0</v>
      </c>
      <c r="M219" s="19" t="b">
        <v>0</v>
      </c>
      <c r="N219" s="19" t="b">
        <v>0</v>
      </c>
      <c r="O219" s="19" t="b">
        <v>0</v>
      </c>
      <c r="P219" s="19" t="b">
        <v>1</v>
      </c>
    </row>
    <row r="220" spans="1:16" x14ac:dyDescent="0.2">
      <c r="A220" s="18">
        <v>5993143</v>
      </c>
      <c r="B220" s="18" t="s">
        <v>686</v>
      </c>
      <c r="C220" s="18" t="s">
        <v>35</v>
      </c>
      <c r="D220" s="18" t="s">
        <v>11</v>
      </c>
      <c r="E220" s="19">
        <v>44919</v>
      </c>
      <c r="F220" s="18" t="s">
        <v>687</v>
      </c>
      <c r="G220" s="19">
        <v>44937</v>
      </c>
      <c r="H220" s="19">
        <v>44997</v>
      </c>
      <c r="I220" s="18"/>
      <c r="J220" s="19" t="b">
        <v>1</v>
      </c>
      <c r="K220" s="19" t="b">
        <v>0</v>
      </c>
      <c r="L220" s="19" t="b">
        <v>0</v>
      </c>
      <c r="M220" s="19" t="b">
        <v>0</v>
      </c>
      <c r="N220" s="19" t="b">
        <v>0</v>
      </c>
      <c r="O220" s="19" t="b">
        <v>0</v>
      </c>
      <c r="P220" s="19" t="b">
        <v>0</v>
      </c>
    </row>
    <row r="221" spans="1:16" x14ac:dyDescent="0.2">
      <c r="A221" s="18">
        <v>5993143</v>
      </c>
      <c r="B221" s="18" t="s">
        <v>688</v>
      </c>
      <c r="C221" s="18" t="s">
        <v>35</v>
      </c>
      <c r="D221" s="18" t="s">
        <v>11</v>
      </c>
      <c r="E221" s="19">
        <v>44950</v>
      </c>
      <c r="F221" s="18" t="s">
        <v>689</v>
      </c>
      <c r="G221" s="19">
        <v>44979</v>
      </c>
      <c r="H221" s="19">
        <v>45005</v>
      </c>
      <c r="I221" s="18" t="s">
        <v>28</v>
      </c>
      <c r="J221" s="19" t="b">
        <v>1</v>
      </c>
      <c r="K221" s="19" t="b">
        <v>0</v>
      </c>
      <c r="L221" s="19" t="b">
        <v>0</v>
      </c>
      <c r="M221" s="19" t="b">
        <v>0</v>
      </c>
      <c r="N221" s="19" t="b">
        <v>0</v>
      </c>
      <c r="O221" s="19" t="b">
        <v>0</v>
      </c>
      <c r="P221" s="19" t="b">
        <v>1</v>
      </c>
    </row>
    <row r="222" spans="1:16" x14ac:dyDescent="0.2">
      <c r="A222" s="18">
        <v>6790398</v>
      </c>
      <c r="B222" s="18" t="s">
        <v>692</v>
      </c>
      <c r="C222" s="18" t="s">
        <v>35</v>
      </c>
      <c r="D222" s="18" t="s">
        <v>187</v>
      </c>
      <c r="E222" s="19">
        <v>44824</v>
      </c>
      <c r="F222" s="18" t="s">
        <v>693</v>
      </c>
      <c r="G222" s="19">
        <v>44848</v>
      </c>
      <c r="H222" s="19">
        <v>44879</v>
      </c>
      <c r="I222" s="18" t="s">
        <v>16</v>
      </c>
      <c r="J222" s="19" t="b">
        <v>1</v>
      </c>
      <c r="K222" s="19" t="b">
        <v>0</v>
      </c>
      <c r="L222" s="19" t="b">
        <v>0</v>
      </c>
      <c r="M222" s="19" t="b">
        <v>0</v>
      </c>
      <c r="N222" s="19" t="b">
        <v>1</v>
      </c>
      <c r="O222" s="19" t="b">
        <v>0</v>
      </c>
      <c r="P222" s="19" t="b">
        <v>0</v>
      </c>
    </row>
    <row r="223" spans="1:16" x14ac:dyDescent="0.2">
      <c r="A223" s="18">
        <v>2832517</v>
      </c>
      <c r="B223" s="18" t="s">
        <v>697</v>
      </c>
      <c r="C223" s="18" t="s">
        <v>121</v>
      </c>
      <c r="D223" s="18" t="s">
        <v>81</v>
      </c>
      <c r="E223" s="19">
        <v>44900</v>
      </c>
      <c r="F223" s="18" t="s">
        <v>698</v>
      </c>
      <c r="G223" s="19">
        <v>44923</v>
      </c>
      <c r="H223" s="19">
        <v>44954</v>
      </c>
      <c r="I223" s="18" t="s">
        <v>16</v>
      </c>
      <c r="J223" s="19" t="b">
        <v>1</v>
      </c>
      <c r="K223" s="19" t="b">
        <v>0</v>
      </c>
      <c r="L223" s="19" t="b">
        <v>0</v>
      </c>
      <c r="M223" s="19" t="b">
        <v>0</v>
      </c>
      <c r="N223" s="19" t="b">
        <v>1</v>
      </c>
      <c r="O223" s="19" t="b">
        <v>0</v>
      </c>
      <c r="P223" s="19" t="b">
        <v>0</v>
      </c>
    </row>
    <row r="224" spans="1:16" x14ac:dyDescent="0.2">
      <c r="A224" s="18">
        <v>2686863</v>
      </c>
      <c r="B224" s="18" t="s">
        <v>699</v>
      </c>
      <c r="C224" s="18" t="s">
        <v>167</v>
      </c>
      <c r="D224" s="18" t="s">
        <v>187</v>
      </c>
      <c r="E224" s="19">
        <v>45049</v>
      </c>
      <c r="F224" s="18" t="s">
        <v>700</v>
      </c>
      <c r="G224" s="19">
        <v>45065</v>
      </c>
      <c r="H224" s="19">
        <v>45107</v>
      </c>
      <c r="I224" s="18" t="s">
        <v>43</v>
      </c>
      <c r="J224" s="19" t="b">
        <v>1</v>
      </c>
      <c r="K224" s="19" t="b">
        <v>0</v>
      </c>
      <c r="L224" s="19" t="b">
        <v>0</v>
      </c>
      <c r="M224" s="19" t="b">
        <v>0</v>
      </c>
      <c r="N224" s="19" t="b">
        <v>0</v>
      </c>
      <c r="O224" s="19" t="b">
        <v>1</v>
      </c>
      <c r="P224" s="19" t="b">
        <v>0</v>
      </c>
    </row>
    <row r="225" spans="1:16" x14ac:dyDescent="0.2">
      <c r="A225" s="18">
        <v>4346315</v>
      </c>
      <c r="B225" s="18" t="s">
        <v>703</v>
      </c>
      <c r="C225" s="18" t="s">
        <v>35</v>
      </c>
      <c r="D225" s="18" t="s">
        <v>11</v>
      </c>
      <c r="E225" s="19">
        <v>44741</v>
      </c>
      <c r="F225" s="18" t="s">
        <v>704</v>
      </c>
      <c r="G225" s="19">
        <v>44755</v>
      </c>
      <c r="H225" s="19">
        <v>44812</v>
      </c>
      <c r="I225" s="18" t="s">
        <v>16</v>
      </c>
      <c r="J225" s="19" t="b">
        <v>1</v>
      </c>
      <c r="K225" s="19" t="b">
        <v>0</v>
      </c>
      <c r="L225" s="19" t="b">
        <v>0</v>
      </c>
      <c r="M225" s="19" t="b">
        <v>0</v>
      </c>
      <c r="N225" s="19" t="b">
        <v>1</v>
      </c>
      <c r="O225" s="19" t="b">
        <v>0</v>
      </c>
      <c r="P225" s="19" t="b">
        <v>0</v>
      </c>
    </row>
    <row r="226" spans="1:16" x14ac:dyDescent="0.2">
      <c r="A226" s="18">
        <v>4346315</v>
      </c>
      <c r="B226" s="18" t="s">
        <v>705</v>
      </c>
      <c r="C226" s="18" t="s">
        <v>35</v>
      </c>
      <c r="D226" s="18" t="s">
        <v>11</v>
      </c>
      <c r="E226" s="19">
        <v>45069</v>
      </c>
      <c r="F226" s="18" t="s">
        <v>706</v>
      </c>
      <c r="G226" s="19">
        <v>45075</v>
      </c>
      <c r="H226" s="19">
        <v>45135</v>
      </c>
      <c r="I226" s="18" t="s">
        <v>16</v>
      </c>
      <c r="J226" s="19" t="b">
        <v>1</v>
      </c>
      <c r="K226" s="19" t="b">
        <v>0</v>
      </c>
      <c r="L226" s="19" t="b">
        <v>0</v>
      </c>
      <c r="M226" s="19" t="b">
        <v>0</v>
      </c>
      <c r="N226" s="19" t="b">
        <v>1</v>
      </c>
      <c r="O226" s="19" t="b">
        <v>0</v>
      </c>
      <c r="P226" s="19" t="b">
        <v>0</v>
      </c>
    </row>
    <row r="227" spans="1:16" x14ac:dyDescent="0.2">
      <c r="A227" s="18">
        <v>8622712</v>
      </c>
      <c r="B227" s="18" t="s">
        <v>709</v>
      </c>
      <c r="C227" s="18" t="s">
        <v>265</v>
      </c>
      <c r="D227" s="18" t="s">
        <v>139</v>
      </c>
      <c r="E227" s="19">
        <v>45041</v>
      </c>
      <c r="F227" s="18" t="s">
        <v>710</v>
      </c>
      <c r="G227" s="19">
        <v>45050</v>
      </c>
      <c r="H227" s="19">
        <v>45063</v>
      </c>
      <c r="I227" s="18" t="s">
        <v>43</v>
      </c>
      <c r="J227" s="19" t="b">
        <v>1</v>
      </c>
      <c r="K227" s="19" t="b">
        <v>0</v>
      </c>
      <c r="L227" s="19" t="b">
        <v>0</v>
      </c>
      <c r="M227" s="19" t="b">
        <v>0</v>
      </c>
      <c r="N227" s="19" t="b">
        <v>0</v>
      </c>
      <c r="O227" s="19" t="b">
        <v>1</v>
      </c>
      <c r="P227" s="19" t="b">
        <v>0</v>
      </c>
    </row>
    <row r="228" spans="1:16" x14ac:dyDescent="0.2">
      <c r="A228" s="18">
        <v>8622712</v>
      </c>
      <c r="B228" s="18" t="s">
        <v>711</v>
      </c>
      <c r="C228" s="18" t="s">
        <v>265</v>
      </c>
      <c r="D228" s="18" t="s">
        <v>139</v>
      </c>
      <c r="E228" s="19">
        <v>45031</v>
      </c>
      <c r="F228" s="18" t="s">
        <v>712</v>
      </c>
      <c r="G228" s="19">
        <v>45052</v>
      </c>
      <c r="H228" s="19">
        <v>45069</v>
      </c>
      <c r="I228" s="18" t="s">
        <v>28</v>
      </c>
      <c r="J228" s="19" t="b">
        <v>1</v>
      </c>
      <c r="K228" s="19" t="b">
        <v>0</v>
      </c>
      <c r="L228" s="19" t="b">
        <v>0</v>
      </c>
      <c r="M228" s="19" t="b">
        <v>0</v>
      </c>
      <c r="N228" s="19" t="b">
        <v>0</v>
      </c>
      <c r="O228" s="19" t="b">
        <v>0</v>
      </c>
      <c r="P228" s="19" t="b">
        <v>1</v>
      </c>
    </row>
    <row r="229" spans="1:16" x14ac:dyDescent="0.2">
      <c r="A229" s="18">
        <v>8622712</v>
      </c>
      <c r="B229" s="18" t="s">
        <v>713</v>
      </c>
      <c r="C229" s="18" t="s">
        <v>265</v>
      </c>
      <c r="D229" s="18" t="s">
        <v>139</v>
      </c>
      <c r="E229" s="19">
        <v>44864</v>
      </c>
      <c r="F229" s="18" t="s">
        <v>714</v>
      </c>
      <c r="G229" s="19">
        <v>44883</v>
      </c>
      <c r="H229" s="19">
        <v>44927</v>
      </c>
      <c r="I229" s="18" t="s">
        <v>16</v>
      </c>
      <c r="J229" s="19" t="b">
        <v>1</v>
      </c>
      <c r="K229" s="19" t="b">
        <v>0</v>
      </c>
      <c r="L229" s="19" t="b">
        <v>0</v>
      </c>
      <c r="M229" s="19" t="b">
        <v>0</v>
      </c>
      <c r="N229" s="19" t="b">
        <v>1</v>
      </c>
      <c r="O229" s="19" t="b">
        <v>0</v>
      </c>
      <c r="P229" s="19" t="b">
        <v>0</v>
      </c>
    </row>
    <row r="230" spans="1:16" x14ac:dyDescent="0.2">
      <c r="A230" s="18">
        <v>8622712</v>
      </c>
      <c r="B230" s="18" t="s">
        <v>715</v>
      </c>
      <c r="C230" s="18" t="s">
        <v>265</v>
      </c>
      <c r="D230" s="18" t="s">
        <v>139</v>
      </c>
      <c r="E230" s="19">
        <v>44977</v>
      </c>
      <c r="F230" s="18" t="s">
        <v>716</v>
      </c>
      <c r="G230" s="19">
        <v>45004</v>
      </c>
      <c r="H230" s="19">
        <v>45032</v>
      </c>
      <c r="I230" s="18" t="s">
        <v>43</v>
      </c>
      <c r="J230" s="19" t="b">
        <v>1</v>
      </c>
      <c r="K230" s="19" t="b">
        <v>0</v>
      </c>
      <c r="L230" s="19" t="b">
        <v>0</v>
      </c>
      <c r="M230" s="19" t="b">
        <v>0</v>
      </c>
      <c r="N230" s="19" t="b">
        <v>0</v>
      </c>
      <c r="O230" s="19" t="b">
        <v>1</v>
      </c>
      <c r="P230" s="19" t="b">
        <v>0</v>
      </c>
    </row>
    <row r="231" spans="1:16" x14ac:dyDescent="0.2">
      <c r="A231" s="18">
        <v>8622712</v>
      </c>
      <c r="B231" s="18" t="s">
        <v>717</v>
      </c>
      <c r="C231" s="18" t="s">
        <v>265</v>
      </c>
      <c r="D231" s="18" t="s">
        <v>139</v>
      </c>
      <c r="E231" s="19">
        <v>44659</v>
      </c>
      <c r="F231" s="18" t="s">
        <v>718</v>
      </c>
      <c r="G231" s="19">
        <v>44665</v>
      </c>
      <c r="H231" s="19">
        <v>44674</v>
      </c>
      <c r="I231" s="18" t="s">
        <v>16</v>
      </c>
      <c r="J231" s="19" t="b">
        <v>1</v>
      </c>
      <c r="K231" s="19" t="b">
        <v>0</v>
      </c>
      <c r="L231" s="19" t="b">
        <v>0</v>
      </c>
      <c r="M231" s="19" t="b">
        <v>0</v>
      </c>
      <c r="N231" s="19" t="b">
        <v>1</v>
      </c>
      <c r="O231" s="19" t="b">
        <v>0</v>
      </c>
      <c r="P231" s="19" t="b">
        <v>0</v>
      </c>
    </row>
    <row r="232" spans="1:16" x14ac:dyDescent="0.2">
      <c r="A232" s="18">
        <v>2983483</v>
      </c>
      <c r="B232" s="18" t="s">
        <v>724</v>
      </c>
      <c r="C232" s="18" t="s">
        <v>287</v>
      </c>
      <c r="D232" s="18" t="s">
        <v>11</v>
      </c>
      <c r="E232" s="19">
        <v>44864</v>
      </c>
      <c r="F232" s="18" t="s">
        <v>725</v>
      </c>
      <c r="G232" s="19">
        <v>44876</v>
      </c>
      <c r="H232" s="19">
        <v>44916</v>
      </c>
      <c r="I232" s="18" t="s">
        <v>28</v>
      </c>
      <c r="J232" s="19" t="b">
        <v>1</v>
      </c>
      <c r="K232" s="19" t="b">
        <v>0</v>
      </c>
      <c r="L232" s="19" t="b">
        <v>0</v>
      </c>
      <c r="M232" s="19" t="b">
        <v>0</v>
      </c>
      <c r="N232" s="19" t="b">
        <v>0</v>
      </c>
      <c r="O232" s="19" t="b">
        <v>0</v>
      </c>
      <c r="P232" s="19" t="b">
        <v>1</v>
      </c>
    </row>
    <row r="233" spans="1:16" x14ac:dyDescent="0.2">
      <c r="A233" s="18">
        <v>7268384</v>
      </c>
      <c r="B233" s="18" t="s">
        <v>727</v>
      </c>
      <c r="C233" s="18" t="s">
        <v>315</v>
      </c>
      <c r="D233" s="18" t="s">
        <v>139</v>
      </c>
      <c r="E233" s="19">
        <v>44645</v>
      </c>
      <c r="F233" s="18" t="s">
        <v>728</v>
      </c>
      <c r="G233" s="19">
        <v>44662</v>
      </c>
      <c r="H233" s="19">
        <v>44691</v>
      </c>
      <c r="I233" s="18" t="s">
        <v>43</v>
      </c>
      <c r="J233" s="19" t="b">
        <v>1</v>
      </c>
      <c r="K233" s="19" t="b">
        <v>0</v>
      </c>
      <c r="L233" s="19" t="b">
        <v>0</v>
      </c>
      <c r="M233" s="19" t="b">
        <v>0</v>
      </c>
      <c r="N233" s="19" t="b">
        <v>0</v>
      </c>
      <c r="O233" s="19" t="b">
        <v>1</v>
      </c>
      <c r="P233" s="19" t="b">
        <v>0</v>
      </c>
    </row>
    <row r="234" spans="1:16" x14ac:dyDescent="0.2">
      <c r="A234" s="18">
        <v>7268384</v>
      </c>
      <c r="B234" s="18" t="s">
        <v>729</v>
      </c>
      <c r="C234" s="18" t="s">
        <v>315</v>
      </c>
      <c r="D234" s="18" t="s">
        <v>139</v>
      </c>
      <c r="E234" s="19">
        <v>44676</v>
      </c>
      <c r="F234" s="18" t="s">
        <v>730</v>
      </c>
      <c r="G234" s="19">
        <v>44678</v>
      </c>
      <c r="H234" s="19">
        <v>44732</v>
      </c>
      <c r="I234" s="18" t="s">
        <v>28</v>
      </c>
      <c r="J234" s="19" t="b">
        <v>1</v>
      </c>
      <c r="K234" s="19" t="b">
        <v>0</v>
      </c>
      <c r="L234" s="19" t="b">
        <v>0</v>
      </c>
      <c r="M234" s="19" t="b">
        <v>0</v>
      </c>
      <c r="N234" s="19" t="b">
        <v>0</v>
      </c>
      <c r="O234" s="19" t="b">
        <v>0</v>
      </c>
      <c r="P234" s="19" t="b">
        <v>1</v>
      </c>
    </row>
    <row r="235" spans="1:16" x14ac:dyDescent="0.2">
      <c r="A235" s="18">
        <v>7268384</v>
      </c>
      <c r="B235" s="18" t="s">
        <v>731</v>
      </c>
      <c r="C235" s="18" t="s">
        <v>315</v>
      </c>
      <c r="D235" s="18" t="s">
        <v>139</v>
      </c>
      <c r="E235" s="19">
        <v>44715</v>
      </c>
      <c r="F235" s="18" t="s">
        <v>732</v>
      </c>
      <c r="G235" s="19">
        <v>44721</v>
      </c>
      <c r="H235" s="19">
        <v>44742</v>
      </c>
      <c r="I235" s="18" t="s">
        <v>43</v>
      </c>
      <c r="J235" s="19" t="b">
        <v>1</v>
      </c>
      <c r="K235" s="19" t="b">
        <v>0</v>
      </c>
      <c r="L235" s="19" t="b">
        <v>0</v>
      </c>
      <c r="M235" s="19" t="b">
        <v>0</v>
      </c>
      <c r="N235" s="19" t="b">
        <v>0</v>
      </c>
      <c r="O235" s="19" t="b">
        <v>1</v>
      </c>
      <c r="P235" s="19" t="b">
        <v>0</v>
      </c>
    </row>
    <row r="236" spans="1:16" x14ac:dyDescent="0.2">
      <c r="A236" s="18">
        <v>7268384</v>
      </c>
      <c r="B236" s="18" t="s">
        <v>733</v>
      </c>
      <c r="C236" s="18" t="s">
        <v>315</v>
      </c>
      <c r="D236" s="18" t="s">
        <v>139</v>
      </c>
      <c r="E236" s="19">
        <v>44772</v>
      </c>
      <c r="F236" s="18" t="s">
        <v>734</v>
      </c>
      <c r="G236" s="19">
        <v>44795</v>
      </c>
      <c r="H236" s="19">
        <v>44833</v>
      </c>
      <c r="I236" s="18"/>
      <c r="J236" s="19" t="b">
        <v>1</v>
      </c>
      <c r="K236" s="19" t="b">
        <v>0</v>
      </c>
      <c r="L236" s="19" t="b">
        <v>0</v>
      </c>
      <c r="M236" s="19" t="b">
        <v>0</v>
      </c>
      <c r="N236" s="19" t="b">
        <v>0</v>
      </c>
      <c r="O236" s="19" t="b">
        <v>0</v>
      </c>
      <c r="P236" s="19" t="b">
        <v>0</v>
      </c>
    </row>
    <row r="237" spans="1:16" x14ac:dyDescent="0.2">
      <c r="A237" s="18">
        <v>9201172</v>
      </c>
      <c r="B237" s="18" t="s">
        <v>735</v>
      </c>
      <c r="C237" s="18" t="s">
        <v>76</v>
      </c>
      <c r="D237" s="18" t="s">
        <v>139</v>
      </c>
      <c r="E237" s="19">
        <v>44987</v>
      </c>
      <c r="F237" s="18" t="s">
        <v>736</v>
      </c>
      <c r="G237" s="19">
        <v>45002</v>
      </c>
      <c r="H237" s="19">
        <v>45039</v>
      </c>
      <c r="I237" s="18"/>
      <c r="J237" s="19" t="b">
        <v>1</v>
      </c>
      <c r="K237" s="19" t="b">
        <v>0</v>
      </c>
      <c r="L237" s="19" t="b">
        <v>0</v>
      </c>
      <c r="M237" s="19" t="b">
        <v>0</v>
      </c>
      <c r="N237" s="19" t="b">
        <v>0</v>
      </c>
      <c r="O237" s="19" t="b">
        <v>0</v>
      </c>
      <c r="P237" s="19" t="b">
        <v>0</v>
      </c>
    </row>
    <row r="238" spans="1:16" x14ac:dyDescent="0.2">
      <c r="A238" s="18">
        <v>2069713</v>
      </c>
      <c r="B238" s="18" t="s">
        <v>742</v>
      </c>
      <c r="C238" s="18" t="s">
        <v>18</v>
      </c>
      <c r="D238" s="18" t="s">
        <v>56</v>
      </c>
      <c r="E238" s="19">
        <v>44980</v>
      </c>
      <c r="F238" s="18" t="s">
        <v>570</v>
      </c>
      <c r="G238" s="19">
        <v>44986</v>
      </c>
      <c r="H238" s="19">
        <v>45036</v>
      </c>
      <c r="I238" s="18"/>
      <c r="J238" s="19" t="b">
        <v>1</v>
      </c>
      <c r="K238" s="19" t="b">
        <v>0</v>
      </c>
      <c r="L238" s="19" t="b">
        <v>0</v>
      </c>
      <c r="M238" s="19" t="b">
        <v>0</v>
      </c>
      <c r="N238" s="19" t="b">
        <v>0</v>
      </c>
      <c r="O238" s="19" t="b">
        <v>0</v>
      </c>
      <c r="P238" s="19" t="b">
        <v>0</v>
      </c>
    </row>
    <row r="239" spans="1:16" x14ac:dyDescent="0.2">
      <c r="A239" s="18">
        <v>3272119</v>
      </c>
      <c r="B239" s="18" t="s">
        <v>743</v>
      </c>
      <c r="C239" s="18" t="s">
        <v>35</v>
      </c>
      <c r="D239" s="18" t="s">
        <v>60</v>
      </c>
      <c r="E239" s="19">
        <v>44948</v>
      </c>
      <c r="F239" s="18" t="s">
        <v>744</v>
      </c>
      <c r="G239" s="19">
        <v>44961</v>
      </c>
      <c r="H239" s="19">
        <v>44967</v>
      </c>
      <c r="I239" s="18"/>
      <c r="J239" s="19" t="b">
        <v>1</v>
      </c>
      <c r="K239" s="19" t="b">
        <v>0</v>
      </c>
      <c r="L239" s="19" t="b">
        <v>0</v>
      </c>
      <c r="M239" s="19" t="b">
        <v>0</v>
      </c>
      <c r="N239" s="19" t="b">
        <v>0</v>
      </c>
      <c r="O239" s="19" t="b">
        <v>0</v>
      </c>
      <c r="P239" s="19" t="b">
        <v>0</v>
      </c>
    </row>
    <row r="240" spans="1:16" x14ac:dyDescent="0.2">
      <c r="A240" s="18">
        <v>3272119</v>
      </c>
      <c r="B240" s="18" t="s">
        <v>745</v>
      </c>
      <c r="C240" s="18" t="s">
        <v>35</v>
      </c>
      <c r="D240" s="18" t="s">
        <v>60</v>
      </c>
      <c r="E240" s="19">
        <v>44918</v>
      </c>
      <c r="F240" s="18" t="s">
        <v>746</v>
      </c>
      <c r="G240" s="19">
        <v>44922</v>
      </c>
      <c r="H240" s="19">
        <v>44934</v>
      </c>
      <c r="I240" s="18" t="s">
        <v>43</v>
      </c>
      <c r="J240" s="19" t="b">
        <v>1</v>
      </c>
      <c r="K240" s="19" t="b">
        <v>0</v>
      </c>
      <c r="L240" s="19" t="b">
        <v>0</v>
      </c>
      <c r="M240" s="19" t="b">
        <v>0</v>
      </c>
      <c r="N240" s="19" t="b">
        <v>0</v>
      </c>
      <c r="O240" s="19" t="b">
        <v>1</v>
      </c>
      <c r="P240" s="19" t="b">
        <v>0</v>
      </c>
    </row>
    <row r="241" spans="1:16" x14ac:dyDescent="0.2">
      <c r="A241" s="18">
        <v>3272119</v>
      </c>
      <c r="B241" s="18" t="s">
        <v>747</v>
      </c>
      <c r="C241" s="18" t="s">
        <v>35</v>
      </c>
      <c r="D241" s="18" t="s">
        <v>60</v>
      </c>
      <c r="E241" s="19">
        <v>44790</v>
      </c>
      <c r="F241" s="18" t="s">
        <v>748</v>
      </c>
      <c r="G241" s="19">
        <v>44817</v>
      </c>
      <c r="H241" s="19">
        <v>44818</v>
      </c>
      <c r="I241" s="18"/>
      <c r="J241" s="19" t="b">
        <v>1</v>
      </c>
      <c r="K241" s="19" t="b">
        <v>0</v>
      </c>
      <c r="L241" s="19" t="b">
        <v>0</v>
      </c>
      <c r="M241" s="19" t="b">
        <v>0</v>
      </c>
      <c r="N241" s="19" t="b">
        <v>0</v>
      </c>
      <c r="O241" s="19" t="b">
        <v>0</v>
      </c>
      <c r="P241" s="19" t="b">
        <v>0</v>
      </c>
    </row>
    <row r="242" spans="1:16" x14ac:dyDescent="0.2">
      <c r="A242" s="18">
        <v>1381435</v>
      </c>
      <c r="B242" s="18" t="s">
        <v>749</v>
      </c>
      <c r="C242" s="18" t="s">
        <v>110</v>
      </c>
      <c r="D242" s="18" t="s">
        <v>77</v>
      </c>
      <c r="E242" s="19">
        <v>44815</v>
      </c>
      <c r="F242" s="18" t="s">
        <v>750</v>
      </c>
      <c r="G242" s="19">
        <v>44830</v>
      </c>
      <c r="H242" s="19">
        <v>44853</v>
      </c>
      <c r="I242" s="18"/>
      <c r="J242" s="19" t="b">
        <v>1</v>
      </c>
      <c r="K242" s="19" t="b">
        <v>0</v>
      </c>
      <c r="L242" s="19" t="b">
        <v>0</v>
      </c>
      <c r="M242" s="19" t="b">
        <v>0</v>
      </c>
      <c r="N242" s="19" t="b">
        <v>0</v>
      </c>
      <c r="O242" s="19" t="b">
        <v>0</v>
      </c>
      <c r="P242" s="19" t="b">
        <v>0</v>
      </c>
    </row>
    <row r="243" spans="1:16" x14ac:dyDescent="0.2">
      <c r="A243" s="18">
        <v>1381435</v>
      </c>
      <c r="B243" s="18" t="s">
        <v>753</v>
      </c>
      <c r="C243" s="18" t="s">
        <v>110</v>
      </c>
      <c r="D243" s="18" t="s">
        <v>77</v>
      </c>
      <c r="E243" s="19">
        <v>44578</v>
      </c>
      <c r="F243" s="18" t="s">
        <v>754</v>
      </c>
      <c r="G243" s="19">
        <v>44586</v>
      </c>
      <c r="H243" s="19">
        <v>44600</v>
      </c>
      <c r="I243" s="18"/>
      <c r="J243" s="19" t="b">
        <v>1</v>
      </c>
      <c r="K243" s="19" t="b">
        <v>0</v>
      </c>
      <c r="L243" s="19" t="b">
        <v>0</v>
      </c>
      <c r="M243" s="19" t="b">
        <v>0</v>
      </c>
      <c r="N243" s="19" t="b">
        <v>0</v>
      </c>
      <c r="O243" s="19" t="b">
        <v>0</v>
      </c>
      <c r="P243" s="19" t="b">
        <v>0</v>
      </c>
    </row>
    <row r="244" spans="1:16" x14ac:dyDescent="0.2">
      <c r="A244" s="18">
        <v>1381435</v>
      </c>
      <c r="B244" s="18" t="s">
        <v>757</v>
      </c>
      <c r="C244" s="18" t="s">
        <v>110</v>
      </c>
      <c r="D244" s="18" t="s">
        <v>77</v>
      </c>
      <c r="E244" s="19">
        <v>44607</v>
      </c>
      <c r="F244" s="18" t="s">
        <v>758</v>
      </c>
      <c r="G244" s="19">
        <v>44620</v>
      </c>
      <c r="H244" s="19">
        <v>44649</v>
      </c>
      <c r="I244" s="18" t="s">
        <v>16</v>
      </c>
      <c r="J244" s="19" t="b">
        <v>1</v>
      </c>
      <c r="K244" s="19" t="b">
        <v>0</v>
      </c>
      <c r="L244" s="19" t="b">
        <v>0</v>
      </c>
      <c r="M244" s="19" t="b">
        <v>0</v>
      </c>
      <c r="N244" s="19" t="b">
        <v>1</v>
      </c>
      <c r="O244" s="19" t="b">
        <v>0</v>
      </c>
      <c r="P244" s="19" t="b">
        <v>0</v>
      </c>
    </row>
    <row r="245" spans="1:16" x14ac:dyDescent="0.2">
      <c r="A245" s="18">
        <v>6379867</v>
      </c>
      <c r="B245" s="18" t="s">
        <v>760</v>
      </c>
      <c r="C245" s="18" t="s">
        <v>93</v>
      </c>
      <c r="D245" s="18" t="s">
        <v>11</v>
      </c>
      <c r="E245" s="19">
        <v>44843</v>
      </c>
      <c r="F245" s="18" t="s">
        <v>761</v>
      </c>
      <c r="G245" s="19">
        <v>44845</v>
      </c>
      <c r="H245" s="19">
        <v>44881</v>
      </c>
      <c r="I245" s="18" t="s">
        <v>43</v>
      </c>
      <c r="J245" s="19" t="b">
        <v>1</v>
      </c>
      <c r="K245" s="19" t="b">
        <v>0</v>
      </c>
      <c r="L245" s="19" t="b">
        <v>0</v>
      </c>
      <c r="M245" s="19" t="b">
        <v>0</v>
      </c>
      <c r="N245" s="19" t="b">
        <v>0</v>
      </c>
      <c r="O245" s="19" t="b">
        <v>1</v>
      </c>
      <c r="P245" s="19" t="b">
        <v>0</v>
      </c>
    </row>
    <row r="246" spans="1:16" x14ac:dyDescent="0.2">
      <c r="A246" s="18">
        <v>6379867</v>
      </c>
      <c r="B246" s="18" t="s">
        <v>762</v>
      </c>
      <c r="C246" s="18" t="s">
        <v>93</v>
      </c>
      <c r="D246" s="18" t="s">
        <v>11</v>
      </c>
      <c r="E246" s="19">
        <v>44999</v>
      </c>
      <c r="F246" s="18" t="s">
        <v>763</v>
      </c>
      <c r="G246" s="19">
        <v>45017</v>
      </c>
      <c r="H246" s="19">
        <v>45049</v>
      </c>
      <c r="I246" s="18" t="s">
        <v>43</v>
      </c>
      <c r="J246" s="19" t="b">
        <v>1</v>
      </c>
      <c r="K246" s="19" t="b">
        <v>0</v>
      </c>
      <c r="L246" s="19" t="b">
        <v>0</v>
      </c>
      <c r="M246" s="19" t="b">
        <v>0</v>
      </c>
      <c r="N246" s="19" t="b">
        <v>0</v>
      </c>
      <c r="O246" s="19" t="b">
        <v>1</v>
      </c>
      <c r="P246" s="19" t="b">
        <v>0</v>
      </c>
    </row>
    <row r="247" spans="1:16" x14ac:dyDescent="0.2">
      <c r="A247" s="18">
        <v>1786584</v>
      </c>
      <c r="B247" s="18" t="s">
        <v>767</v>
      </c>
      <c r="C247" s="18" t="s">
        <v>542</v>
      </c>
      <c r="D247" s="18" t="s">
        <v>60</v>
      </c>
      <c r="E247" s="19">
        <v>44709</v>
      </c>
      <c r="F247" s="18" t="s">
        <v>768</v>
      </c>
      <c r="G247" s="19">
        <v>44735</v>
      </c>
      <c r="H247" s="19">
        <v>44765</v>
      </c>
      <c r="I247" s="18" t="s">
        <v>28</v>
      </c>
      <c r="J247" s="19" t="b">
        <v>1</v>
      </c>
      <c r="K247" s="19" t="b">
        <v>0</v>
      </c>
      <c r="L247" s="19" t="b">
        <v>0</v>
      </c>
      <c r="M247" s="19" t="b">
        <v>0</v>
      </c>
      <c r="N247" s="19" t="b">
        <v>0</v>
      </c>
      <c r="O247" s="19" t="b">
        <v>0</v>
      </c>
      <c r="P247" s="19" t="b">
        <v>1</v>
      </c>
    </row>
    <row r="248" spans="1:16" x14ac:dyDescent="0.2">
      <c r="A248" s="18">
        <v>1786584</v>
      </c>
      <c r="B248" s="18" t="s">
        <v>769</v>
      </c>
      <c r="C248" s="18" t="s">
        <v>542</v>
      </c>
      <c r="D248" s="18" t="s">
        <v>60</v>
      </c>
      <c r="E248" s="19">
        <v>45104</v>
      </c>
      <c r="F248" s="18" t="s">
        <v>770</v>
      </c>
      <c r="G248" s="19">
        <v>45109</v>
      </c>
      <c r="H248" s="19">
        <v>45134</v>
      </c>
      <c r="I248" s="18"/>
      <c r="J248" s="19" t="b">
        <v>1</v>
      </c>
      <c r="K248" s="19" t="b">
        <v>0</v>
      </c>
      <c r="L248" s="19" t="b">
        <v>0</v>
      </c>
      <c r="M248" s="19" t="b">
        <v>0</v>
      </c>
      <c r="N248" s="19" t="b">
        <v>0</v>
      </c>
      <c r="O248" s="19" t="b">
        <v>0</v>
      </c>
      <c r="P248" s="19" t="b">
        <v>0</v>
      </c>
    </row>
    <row r="249" spans="1:16" x14ac:dyDescent="0.2">
      <c r="A249" s="18">
        <v>8546170</v>
      </c>
      <c r="B249" s="18" t="s">
        <v>773</v>
      </c>
      <c r="C249" s="18" t="s">
        <v>90</v>
      </c>
      <c r="D249" s="18" t="s">
        <v>39</v>
      </c>
      <c r="E249" s="19">
        <v>44948</v>
      </c>
      <c r="F249" s="18" t="s">
        <v>774</v>
      </c>
      <c r="G249" s="19">
        <v>44970</v>
      </c>
      <c r="H249" s="19">
        <v>45009</v>
      </c>
      <c r="I249" s="18" t="s">
        <v>43</v>
      </c>
      <c r="J249" s="19" t="b">
        <v>1</v>
      </c>
      <c r="K249" s="19" t="b">
        <v>0</v>
      </c>
      <c r="L249" s="19" t="b">
        <v>0</v>
      </c>
      <c r="M249" s="19" t="b">
        <v>0</v>
      </c>
      <c r="N249" s="19" t="b">
        <v>0</v>
      </c>
      <c r="O249" s="19" t="b">
        <v>1</v>
      </c>
      <c r="P249" s="19" t="b">
        <v>0</v>
      </c>
    </row>
    <row r="250" spans="1:16" x14ac:dyDescent="0.2">
      <c r="A250" s="18">
        <v>1663497</v>
      </c>
      <c r="B250" s="18" t="s">
        <v>775</v>
      </c>
      <c r="C250" s="18" t="s">
        <v>90</v>
      </c>
      <c r="D250" s="18" t="s">
        <v>122</v>
      </c>
      <c r="E250" s="19">
        <v>44902</v>
      </c>
      <c r="F250" s="18" t="s">
        <v>776</v>
      </c>
      <c r="G250" s="19">
        <v>44912</v>
      </c>
      <c r="H250" s="19">
        <v>44971</v>
      </c>
      <c r="I250" s="18" t="s">
        <v>43</v>
      </c>
      <c r="J250" s="19" t="b">
        <v>1</v>
      </c>
      <c r="K250" s="19" t="b">
        <v>0</v>
      </c>
      <c r="L250" s="19" t="b">
        <v>0</v>
      </c>
      <c r="M250" s="19" t="b">
        <v>0</v>
      </c>
      <c r="N250" s="19" t="b">
        <v>0</v>
      </c>
      <c r="O250" s="19" t="b">
        <v>1</v>
      </c>
      <c r="P250" s="19" t="b">
        <v>0</v>
      </c>
    </row>
    <row r="251" spans="1:16" x14ac:dyDescent="0.2">
      <c r="A251" s="18">
        <v>9034958</v>
      </c>
      <c r="B251" s="18" t="s">
        <v>779</v>
      </c>
      <c r="C251" s="18" t="s">
        <v>310</v>
      </c>
      <c r="D251" s="18" t="s">
        <v>19</v>
      </c>
      <c r="E251" s="19">
        <v>44891</v>
      </c>
      <c r="F251" s="18" t="s">
        <v>780</v>
      </c>
      <c r="G251" s="19">
        <v>44916</v>
      </c>
      <c r="H251" s="19">
        <v>44935</v>
      </c>
      <c r="I251" s="18"/>
      <c r="J251" s="19" t="b">
        <v>1</v>
      </c>
      <c r="K251" s="19" t="b">
        <v>0</v>
      </c>
      <c r="L251" s="19" t="b">
        <v>0</v>
      </c>
      <c r="M251" s="19" t="b">
        <v>0</v>
      </c>
      <c r="N251" s="19" t="b">
        <v>0</v>
      </c>
      <c r="O251" s="19" t="b">
        <v>0</v>
      </c>
      <c r="P251" s="19" t="b">
        <v>0</v>
      </c>
    </row>
    <row r="252" spans="1:16" x14ac:dyDescent="0.2">
      <c r="A252" s="18">
        <v>9034958</v>
      </c>
      <c r="B252" s="18" t="s">
        <v>781</v>
      </c>
      <c r="C252" s="18" t="s">
        <v>310</v>
      </c>
      <c r="D252" s="18" t="s">
        <v>19</v>
      </c>
      <c r="E252" s="19">
        <v>44930</v>
      </c>
      <c r="F252" s="18" t="s">
        <v>782</v>
      </c>
      <c r="G252" s="19">
        <v>44947</v>
      </c>
      <c r="H252" s="19">
        <v>45004</v>
      </c>
      <c r="I252" s="18" t="s">
        <v>28</v>
      </c>
      <c r="J252" s="19" t="b">
        <v>1</v>
      </c>
      <c r="K252" s="19" t="b">
        <v>0</v>
      </c>
      <c r="L252" s="19" t="b">
        <v>0</v>
      </c>
      <c r="M252" s="19" t="b">
        <v>0</v>
      </c>
      <c r="N252" s="19" t="b">
        <v>0</v>
      </c>
      <c r="O252" s="19" t="b">
        <v>0</v>
      </c>
      <c r="P252" s="19" t="b">
        <v>1</v>
      </c>
    </row>
    <row r="253" spans="1:16" x14ac:dyDescent="0.2">
      <c r="A253" s="18">
        <v>9034958</v>
      </c>
      <c r="B253" s="18" t="s">
        <v>783</v>
      </c>
      <c r="C253" s="18" t="s">
        <v>310</v>
      </c>
      <c r="D253" s="18" t="s">
        <v>19</v>
      </c>
      <c r="E253" s="19">
        <v>45042</v>
      </c>
      <c r="F253" s="18" t="s">
        <v>784</v>
      </c>
      <c r="G253" s="19">
        <v>45067</v>
      </c>
      <c r="H253" s="19">
        <v>45121</v>
      </c>
      <c r="I253" s="18" t="s">
        <v>16</v>
      </c>
      <c r="J253" s="19" t="b">
        <v>1</v>
      </c>
      <c r="K253" s="19" t="b">
        <v>0</v>
      </c>
      <c r="L253" s="19" t="b">
        <v>0</v>
      </c>
      <c r="M253" s="19" t="b">
        <v>0</v>
      </c>
      <c r="N253" s="19" t="b">
        <v>1</v>
      </c>
      <c r="O253" s="19" t="b">
        <v>0</v>
      </c>
      <c r="P253" s="19" t="b">
        <v>0</v>
      </c>
    </row>
    <row r="254" spans="1:16" x14ac:dyDescent="0.2">
      <c r="A254" s="18">
        <v>9034958</v>
      </c>
      <c r="B254" s="18" t="s">
        <v>785</v>
      </c>
      <c r="C254" s="18" t="s">
        <v>310</v>
      </c>
      <c r="D254" s="18" t="s">
        <v>19</v>
      </c>
      <c r="E254" s="19">
        <v>44985</v>
      </c>
      <c r="F254" s="18" t="s">
        <v>786</v>
      </c>
      <c r="G254" s="19">
        <v>44987</v>
      </c>
      <c r="H254" s="19">
        <v>45024</v>
      </c>
      <c r="I254" s="18" t="s">
        <v>43</v>
      </c>
      <c r="J254" s="19" t="b">
        <v>1</v>
      </c>
      <c r="K254" s="19" t="b">
        <v>0</v>
      </c>
      <c r="L254" s="19" t="b">
        <v>0</v>
      </c>
      <c r="M254" s="19" t="b">
        <v>0</v>
      </c>
      <c r="N254" s="19" t="b">
        <v>0</v>
      </c>
      <c r="O254" s="19" t="b">
        <v>1</v>
      </c>
      <c r="P254" s="19" t="b">
        <v>0</v>
      </c>
    </row>
    <row r="255" spans="1:16" x14ac:dyDescent="0.2">
      <c r="A255" s="18">
        <v>9034958</v>
      </c>
      <c r="B255" s="18" t="s">
        <v>787</v>
      </c>
      <c r="C255" s="18" t="s">
        <v>310</v>
      </c>
      <c r="D255" s="18" t="s">
        <v>19</v>
      </c>
      <c r="E255" s="19">
        <v>44989</v>
      </c>
      <c r="F255" s="18" t="s">
        <v>788</v>
      </c>
      <c r="G255" s="19">
        <v>44999</v>
      </c>
      <c r="H255" s="19">
        <v>45009</v>
      </c>
      <c r="I255" s="18" t="s">
        <v>43</v>
      </c>
      <c r="J255" s="19" t="b">
        <v>1</v>
      </c>
      <c r="K255" s="19" t="b">
        <v>0</v>
      </c>
      <c r="L255" s="19" t="b">
        <v>0</v>
      </c>
      <c r="M255" s="19" t="b">
        <v>0</v>
      </c>
      <c r="N255" s="19" t="b">
        <v>0</v>
      </c>
      <c r="O255" s="19" t="b">
        <v>1</v>
      </c>
      <c r="P255" s="19" t="b">
        <v>0</v>
      </c>
    </row>
    <row r="256" spans="1:16" x14ac:dyDescent="0.2">
      <c r="A256" s="18">
        <v>4291551</v>
      </c>
      <c r="B256" s="18" t="s">
        <v>789</v>
      </c>
      <c r="C256" s="18" t="s">
        <v>720</v>
      </c>
      <c r="D256" s="18" t="s">
        <v>19</v>
      </c>
      <c r="E256" s="19">
        <v>44907</v>
      </c>
      <c r="F256" s="18" t="s">
        <v>790</v>
      </c>
      <c r="G256" s="19">
        <v>44916</v>
      </c>
      <c r="H256" s="19">
        <v>44965</v>
      </c>
      <c r="I256" s="18" t="s">
        <v>43</v>
      </c>
      <c r="J256" s="19" t="b">
        <v>1</v>
      </c>
      <c r="K256" s="19" t="b">
        <v>0</v>
      </c>
      <c r="L256" s="19" t="b">
        <v>0</v>
      </c>
      <c r="M256" s="19" t="b">
        <v>0</v>
      </c>
      <c r="N256" s="19" t="b">
        <v>0</v>
      </c>
      <c r="O256" s="19" t="b">
        <v>1</v>
      </c>
      <c r="P256" s="19" t="b">
        <v>0</v>
      </c>
    </row>
    <row r="257" spans="1:16" x14ac:dyDescent="0.2">
      <c r="A257" s="18">
        <v>4291551</v>
      </c>
      <c r="B257" s="18" t="s">
        <v>791</v>
      </c>
      <c r="C257" s="18" t="s">
        <v>720</v>
      </c>
      <c r="D257" s="18" t="s">
        <v>19</v>
      </c>
      <c r="E257" s="19">
        <v>44922</v>
      </c>
      <c r="F257" s="18" t="s">
        <v>792</v>
      </c>
      <c r="G257" s="19">
        <v>44928</v>
      </c>
      <c r="H257" s="19">
        <v>44937</v>
      </c>
      <c r="I257" s="18"/>
      <c r="J257" s="19" t="b">
        <v>1</v>
      </c>
      <c r="K257" s="19" t="b">
        <v>0</v>
      </c>
      <c r="L257" s="19" t="b">
        <v>0</v>
      </c>
      <c r="M257" s="19" t="b">
        <v>0</v>
      </c>
      <c r="N257" s="19" t="b">
        <v>0</v>
      </c>
      <c r="O257" s="19" t="b">
        <v>0</v>
      </c>
      <c r="P257" s="19" t="b">
        <v>0</v>
      </c>
    </row>
    <row r="258" spans="1:16" x14ac:dyDescent="0.2">
      <c r="A258" s="18">
        <v>4291551</v>
      </c>
      <c r="B258" s="18" t="s">
        <v>793</v>
      </c>
      <c r="C258" s="18" t="s">
        <v>720</v>
      </c>
      <c r="D258" s="18" t="s">
        <v>19</v>
      </c>
      <c r="E258" s="19">
        <v>44622</v>
      </c>
      <c r="F258" s="18" t="s">
        <v>794</v>
      </c>
      <c r="G258" s="19">
        <v>44639</v>
      </c>
      <c r="H258" s="19">
        <v>44642</v>
      </c>
      <c r="I258" s="18"/>
      <c r="J258" s="19" t="b">
        <v>1</v>
      </c>
      <c r="K258" s="19" t="b">
        <v>0</v>
      </c>
      <c r="L258" s="19" t="b">
        <v>0</v>
      </c>
      <c r="M258" s="19" t="b">
        <v>0</v>
      </c>
      <c r="N258" s="19" t="b">
        <v>0</v>
      </c>
      <c r="O258" s="19" t="b">
        <v>0</v>
      </c>
      <c r="P258" s="19" t="b">
        <v>0</v>
      </c>
    </row>
    <row r="259" spans="1:16" x14ac:dyDescent="0.2">
      <c r="A259" s="18">
        <v>4291551</v>
      </c>
      <c r="B259" s="18" t="s">
        <v>795</v>
      </c>
      <c r="C259" s="18" t="s">
        <v>720</v>
      </c>
      <c r="D259" s="18" t="s">
        <v>19</v>
      </c>
      <c r="E259" s="19">
        <v>44611</v>
      </c>
      <c r="F259" s="18" t="s">
        <v>796</v>
      </c>
      <c r="G259" s="19">
        <v>44636</v>
      </c>
      <c r="H259" s="19">
        <v>44637</v>
      </c>
      <c r="I259" s="18" t="s">
        <v>16</v>
      </c>
      <c r="J259" s="19" t="b">
        <v>1</v>
      </c>
      <c r="K259" s="19" t="b">
        <v>0</v>
      </c>
      <c r="L259" s="19" t="b">
        <v>0</v>
      </c>
      <c r="M259" s="19" t="b">
        <v>0</v>
      </c>
      <c r="N259" s="19" t="b">
        <v>1</v>
      </c>
      <c r="O259" s="19" t="b">
        <v>0</v>
      </c>
      <c r="P259" s="19" t="b">
        <v>0</v>
      </c>
    </row>
    <row r="260" spans="1:16" x14ac:dyDescent="0.2">
      <c r="A260" s="18">
        <v>7918793</v>
      </c>
      <c r="B260" s="18" t="s">
        <v>797</v>
      </c>
      <c r="C260" s="18" t="s">
        <v>71</v>
      </c>
      <c r="D260" s="18" t="s">
        <v>19</v>
      </c>
      <c r="E260" s="19">
        <v>45028</v>
      </c>
      <c r="F260" s="18" t="s">
        <v>798</v>
      </c>
      <c r="G260" s="19">
        <v>45040</v>
      </c>
      <c r="H260" s="19">
        <v>45044</v>
      </c>
      <c r="I260" s="18" t="s">
        <v>16</v>
      </c>
      <c r="J260" s="19" t="b">
        <v>1</v>
      </c>
      <c r="K260" s="19" t="b">
        <v>0</v>
      </c>
      <c r="L260" s="19" t="b">
        <v>0</v>
      </c>
      <c r="M260" s="19" t="b">
        <v>0</v>
      </c>
      <c r="N260" s="19" t="b">
        <v>1</v>
      </c>
      <c r="O260" s="19" t="b">
        <v>0</v>
      </c>
      <c r="P260" s="19" t="b">
        <v>0</v>
      </c>
    </row>
    <row r="261" spans="1:16" x14ac:dyDescent="0.2">
      <c r="A261" s="18">
        <v>7901115</v>
      </c>
      <c r="B261" s="18" t="s">
        <v>800</v>
      </c>
      <c r="C261" s="18" t="s">
        <v>10</v>
      </c>
      <c r="D261" s="18" t="s">
        <v>56</v>
      </c>
      <c r="E261" s="19">
        <v>45002</v>
      </c>
      <c r="F261" s="18" t="s">
        <v>801</v>
      </c>
      <c r="G261" s="19">
        <v>45028</v>
      </c>
      <c r="H261" s="19">
        <v>45087</v>
      </c>
      <c r="I261" s="18" t="s">
        <v>28</v>
      </c>
      <c r="J261" s="19" t="b">
        <v>1</v>
      </c>
      <c r="K261" s="19" t="b">
        <v>0</v>
      </c>
      <c r="L261" s="19" t="b">
        <v>0</v>
      </c>
      <c r="M261" s="19" t="b">
        <v>0</v>
      </c>
      <c r="N261" s="19" t="b">
        <v>0</v>
      </c>
      <c r="O261" s="19" t="b">
        <v>0</v>
      </c>
      <c r="P261" s="19" t="b">
        <v>1</v>
      </c>
    </row>
    <row r="262" spans="1:16" x14ac:dyDescent="0.2">
      <c r="A262" s="18">
        <v>7901115</v>
      </c>
      <c r="B262" s="18" t="s">
        <v>806</v>
      </c>
      <c r="C262" s="18" t="s">
        <v>10</v>
      </c>
      <c r="D262" s="18" t="s">
        <v>56</v>
      </c>
      <c r="E262" s="19">
        <v>44977</v>
      </c>
      <c r="F262" s="18" t="s">
        <v>807</v>
      </c>
      <c r="G262" s="19">
        <v>44992</v>
      </c>
      <c r="H262" s="19">
        <v>45029</v>
      </c>
      <c r="I262" s="18"/>
      <c r="J262" s="19" t="b">
        <v>1</v>
      </c>
      <c r="K262" s="19" t="b">
        <v>0</v>
      </c>
      <c r="L262" s="19" t="b">
        <v>0</v>
      </c>
      <c r="M262" s="19" t="b">
        <v>0</v>
      </c>
      <c r="N262" s="19" t="b">
        <v>0</v>
      </c>
      <c r="O262" s="19" t="b">
        <v>0</v>
      </c>
      <c r="P262" s="19" t="b">
        <v>0</v>
      </c>
    </row>
    <row r="263" spans="1:16" x14ac:dyDescent="0.2">
      <c r="A263" s="18">
        <v>2352527</v>
      </c>
      <c r="B263" s="18" t="s">
        <v>810</v>
      </c>
      <c r="C263" s="18" t="s">
        <v>265</v>
      </c>
      <c r="D263" s="18" t="s">
        <v>56</v>
      </c>
      <c r="E263" s="19">
        <v>44619</v>
      </c>
      <c r="F263" s="18" t="s">
        <v>811</v>
      </c>
      <c r="G263" s="19">
        <v>44640</v>
      </c>
      <c r="H263" s="19">
        <v>44641</v>
      </c>
      <c r="I263" s="18"/>
      <c r="J263" s="19" t="b">
        <v>1</v>
      </c>
      <c r="K263" s="19" t="b">
        <v>0</v>
      </c>
      <c r="L263" s="19" t="b">
        <v>0</v>
      </c>
      <c r="M263" s="19" t="b">
        <v>0</v>
      </c>
      <c r="N263" s="19" t="b">
        <v>0</v>
      </c>
      <c r="O263" s="19" t="b">
        <v>0</v>
      </c>
      <c r="P263" s="19" t="b">
        <v>0</v>
      </c>
    </row>
    <row r="264" spans="1:16" x14ac:dyDescent="0.2">
      <c r="A264" s="18">
        <v>3875339</v>
      </c>
      <c r="B264" s="18" t="s">
        <v>812</v>
      </c>
      <c r="C264" s="18" t="s">
        <v>76</v>
      </c>
      <c r="D264" s="18" t="s">
        <v>77</v>
      </c>
      <c r="E264" s="19">
        <v>44659</v>
      </c>
      <c r="F264" s="18" t="s">
        <v>813</v>
      </c>
      <c r="G264" s="19">
        <v>44688</v>
      </c>
      <c r="H264" s="19">
        <v>44722</v>
      </c>
      <c r="I264" s="18" t="s">
        <v>28</v>
      </c>
      <c r="J264" s="19" t="b">
        <v>1</v>
      </c>
      <c r="K264" s="19" t="b">
        <v>0</v>
      </c>
      <c r="L264" s="19" t="b">
        <v>0</v>
      </c>
      <c r="M264" s="19" t="b">
        <v>0</v>
      </c>
      <c r="N264" s="19" t="b">
        <v>0</v>
      </c>
      <c r="O264" s="19" t="b">
        <v>0</v>
      </c>
      <c r="P264" s="19" t="b">
        <v>1</v>
      </c>
    </row>
    <row r="265" spans="1:16" x14ac:dyDescent="0.2">
      <c r="A265" s="18">
        <v>3875339</v>
      </c>
      <c r="B265" s="18" t="s">
        <v>814</v>
      </c>
      <c r="C265" s="18" t="s">
        <v>76</v>
      </c>
      <c r="D265" s="18" t="s">
        <v>77</v>
      </c>
      <c r="E265" s="19">
        <v>45048</v>
      </c>
      <c r="F265" s="18" t="s">
        <v>815</v>
      </c>
      <c r="G265" s="19">
        <v>45057</v>
      </c>
      <c r="H265" s="19">
        <v>45060</v>
      </c>
      <c r="I265" s="18" t="s">
        <v>43</v>
      </c>
      <c r="J265" s="19" t="b">
        <v>1</v>
      </c>
      <c r="K265" s="19" t="b">
        <v>0</v>
      </c>
      <c r="L265" s="19" t="b">
        <v>0</v>
      </c>
      <c r="M265" s="19" t="b">
        <v>0</v>
      </c>
      <c r="N265" s="19" t="b">
        <v>0</v>
      </c>
      <c r="O265" s="19" t="b">
        <v>1</v>
      </c>
      <c r="P265" s="19" t="b">
        <v>0</v>
      </c>
    </row>
    <row r="266" spans="1:16" x14ac:dyDescent="0.2">
      <c r="A266" s="18">
        <v>3875339</v>
      </c>
      <c r="B266" s="18" t="s">
        <v>816</v>
      </c>
      <c r="C266" s="18" t="s">
        <v>76</v>
      </c>
      <c r="D266" s="18" t="s">
        <v>77</v>
      </c>
      <c r="E266" s="19">
        <v>44595</v>
      </c>
      <c r="F266" s="18" t="s">
        <v>817</v>
      </c>
      <c r="G266" s="19">
        <v>44601</v>
      </c>
      <c r="H266" s="19">
        <v>44661</v>
      </c>
      <c r="I266" s="18" t="s">
        <v>28</v>
      </c>
      <c r="J266" s="19" t="b">
        <v>1</v>
      </c>
      <c r="K266" s="19" t="b">
        <v>0</v>
      </c>
      <c r="L266" s="19" t="b">
        <v>0</v>
      </c>
      <c r="M266" s="19" t="b">
        <v>0</v>
      </c>
      <c r="N266" s="19" t="b">
        <v>0</v>
      </c>
      <c r="O266" s="19" t="b">
        <v>0</v>
      </c>
      <c r="P266" s="19" t="b">
        <v>1</v>
      </c>
    </row>
    <row r="267" spans="1:16" x14ac:dyDescent="0.2">
      <c r="A267" s="18">
        <v>3875339</v>
      </c>
      <c r="B267" s="18" t="s">
        <v>818</v>
      </c>
      <c r="C267" s="18" t="s">
        <v>76</v>
      </c>
      <c r="D267" s="18" t="s">
        <v>77</v>
      </c>
      <c r="E267" s="19">
        <v>44709</v>
      </c>
      <c r="F267" s="18" t="s">
        <v>819</v>
      </c>
      <c r="G267" s="19">
        <v>44734</v>
      </c>
      <c r="H267" s="19">
        <v>44787</v>
      </c>
      <c r="I267" s="18" t="s">
        <v>16</v>
      </c>
      <c r="J267" s="19" t="b">
        <v>1</v>
      </c>
      <c r="K267" s="19" t="b">
        <v>0</v>
      </c>
      <c r="L267" s="19" t="b">
        <v>0</v>
      </c>
      <c r="M267" s="19" t="b">
        <v>0</v>
      </c>
      <c r="N267" s="19" t="b">
        <v>1</v>
      </c>
      <c r="O267" s="19" t="b">
        <v>0</v>
      </c>
      <c r="P267" s="19" t="b">
        <v>0</v>
      </c>
    </row>
    <row r="268" spans="1:16" x14ac:dyDescent="0.2">
      <c r="A268" s="18">
        <v>7682298</v>
      </c>
      <c r="B268" s="18" t="s">
        <v>822</v>
      </c>
      <c r="C268" s="18" t="s">
        <v>310</v>
      </c>
      <c r="D268" s="18" t="s">
        <v>122</v>
      </c>
      <c r="E268" s="19">
        <v>44705</v>
      </c>
      <c r="F268" s="18" t="s">
        <v>823</v>
      </c>
      <c r="G268" s="19">
        <v>44731</v>
      </c>
      <c r="H268" s="19">
        <v>44776</v>
      </c>
      <c r="I268" s="18" t="s">
        <v>28</v>
      </c>
      <c r="J268" s="19" t="b">
        <v>1</v>
      </c>
      <c r="K268" s="19" t="b">
        <v>0</v>
      </c>
      <c r="L268" s="19" t="b">
        <v>0</v>
      </c>
      <c r="M268" s="19" t="b">
        <v>0</v>
      </c>
      <c r="N268" s="19" t="b">
        <v>0</v>
      </c>
      <c r="O268" s="19" t="b">
        <v>0</v>
      </c>
      <c r="P268" s="19" t="b">
        <v>1</v>
      </c>
    </row>
    <row r="269" spans="1:16" x14ac:dyDescent="0.2">
      <c r="A269" s="18">
        <v>7682298</v>
      </c>
      <c r="B269" s="18" t="s">
        <v>824</v>
      </c>
      <c r="C269" s="18" t="s">
        <v>310</v>
      </c>
      <c r="D269" s="18" t="s">
        <v>122</v>
      </c>
      <c r="E269" s="19">
        <v>45009</v>
      </c>
      <c r="F269" s="18" t="s">
        <v>825</v>
      </c>
      <c r="G269" s="19">
        <v>45017</v>
      </c>
      <c r="H269" s="19">
        <v>45071</v>
      </c>
      <c r="I269" s="18" t="s">
        <v>28</v>
      </c>
      <c r="J269" s="19" t="b">
        <v>1</v>
      </c>
      <c r="K269" s="19" t="b">
        <v>0</v>
      </c>
      <c r="L269" s="19" t="b">
        <v>0</v>
      </c>
      <c r="M269" s="19" t="b">
        <v>0</v>
      </c>
      <c r="N269" s="19" t="b">
        <v>0</v>
      </c>
      <c r="O269" s="19" t="b">
        <v>0</v>
      </c>
      <c r="P269" s="19" t="b">
        <v>1</v>
      </c>
    </row>
    <row r="270" spans="1:16" x14ac:dyDescent="0.2">
      <c r="A270" s="18">
        <v>2275374</v>
      </c>
      <c r="B270" s="18" t="s">
        <v>826</v>
      </c>
      <c r="C270" s="18" t="s">
        <v>720</v>
      </c>
      <c r="D270" s="18" t="s">
        <v>81</v>
      </c>
      <c r="E270" s="19">
        <v>44592</v>
      </c>
      <c r="F270" s="18" t="s">
        <v>827</v>
      </c>
      <c r="G270" s="19">
        <v>44613</v>
      </c>
      <c r="H270" s="19">
        <v>44631</v>
      </c>
      <c r="I270" s="18"/>
      <c r="J270" s="19" t="b">
        <v>1</v>
      </c>
      <c r="K270" s="19" t="b">
        <v>0</v>
      </c>
      <c r="L270" s="19" t="b">
        <v>0</v>
      </c>
      <c r="M270" s="19" t="b">
        <v>0</v>
      </c>
      <c r="N270" s="19" t="b">
        <v>0</v>
      </c>
      <c r="O270" s="19" t="b">
        <v>0</v>
      </c>
      <c r="P270" s="19" t="b">
        <v>0</v>
      </c>
    </row>
    <row r="271" spans="1:16" x14ac:dyDescent="0.2">
      <c r="A271" s="18">
        <v>2275374</v>
      </c>
      <c r="B271" s="18" t="s">
        <v>828</v>
      </c>
      <c r="C271" s="18" t="s">
        <v>720</v>
      </c>
      <c r="D271" s="18" t="s">
        <v>81</v>
      </c>
      <c r="E271" s="19">
        <v>44926</v>
      </c>
      <c r="F271" s="18" t="s">
        <v>829</v>
      </c>
      <c r="G271" s="19">
        <v>44944</v>
      </c>
      <c r="H271" s="19">
        <v>44969</v>
      </c>
      <c r="I271" s="18"/>
      <c r="J271" s="19" t="b">
        <v>1</v>
      </c>
      <c r="K271" s="19" t="b">
        <v>0</v>
      </c>
      <c r="L271" s="19" t="b">
        <v>0</v>
      </c>
      <c r="M271" s="19" t="b">
        <v>0</v>
      </c>
      <c r="N271" s="19" t="b">
        <v>0</v>
      </c>
      <c r="O271" s="19" t="b">
        <v>0</v>
      </c>
      <c r="P271" s="19" t="b">
        <v>0</v>
      </c>
    </row>
    <row r="272" spans="1:16" x14ac:dyDescent="0.2">
      <c r="A272" s="18">
        <v>2275374</v>
      </c>
      <c r="B272" s="18" t="s">
        <v>830</v>
      </c>
      <c r="C272" s="18" t="s">
        <v>720</v>
      </c>
      <c r="D272" s="18" t="s">
        <v>81</v>
      </c>
      <c r="E272" s="19">
        <v>44864</v>
      </c>
      <c r="F272" s="18" t="s">
        <v>831</v>
      </c>
      <c r="G272" s="19">
        <v>44890</v>
      </c>
      <c r="H272" s="19">
        <v>44906</v>
      </c>
      <c r="I272" s="18"/>
      <c r="J272" s="19" t="b">
        <v>1</v>
      </c>
      <c r="K272" s="19" t="b">
        <v>0</v>
      </c>
      <c r="L272" s="19" t="b">
        <v>0</v>
      </c>
      <c r="M272" s="19" t="b">
        <v>0</v>
      </c>
      <c r="N272" s="19" t="b">
        <v>0</v>
      </c>
      <c r="O272" s="19" t="b">
        <v>0</v>
      </c>
      <c r="P272" s="19" t="b">
        <v>0</v>
      </c>
    </row>
    <row r="273" spans="1:16" x14ac:dyDescent="0.2">
      <c r="A273" s="18">
        <v>2275374</v>
      </c>
      <c r="B273" s="18" t="s">
        <v>832</v>
      </c>
      <c r="C273" s="18" t="s">
        <v>720</v>
      </c>
      <c r="D273" s="18" t="s">
        <v>81</v>
      </c>
      <c r="E273" s="19">
        <v>44951</v>
      </c>
      <c r="F273" s="18" t="s">
        <v>833</v>
      </c>
      <c r="G273" s="19">
        <v>44974</v>
      </c>
      <c r="H273" s="19">
        <v>45025</v>
      </c>
      <c r="I273" s="18" t="s">
        <v>16</v>
      </c>
      <c r="J273" s="19" t="b">
        <v>1</v>
      </c>
      <c r="K273" s="19" t="b">
        <v>0</v>
      </c>
      <c r="L273" s="19" t="b">
        <v>0</v>
      </c>
      <c r="M273" s="19" t="b">
        <v>0</v>
      </c>
      <c r="N273" s="19" t="b">
        <v>1</v>
      </c>
      <c r="O273" s="19" t="b">
        <v>0</v>
      </c>
      <c r="P273" s="19" t="b">
        <v>0</v>
      </c>
    </row>
    <row r="274" spans="1:16" x14ac:dyDescent="0.2">
      <c r="A274" s="18">
        <v>2275374</v>
      </c>
      <c r="B274" s="18" t="s">
        <v>834</v>
      </c>
      <c r="C274" s="18" t="s">
        <v>720</v>
      </c>
      <c r="D274" s="18" t="s">
        <v>81</v>
      </c>
      <c r="E274" s="19">
        <v>44671</v>
      </c>
      <c r="F274" s="18" t="s">
        <v>835</v>
      </c>
      <c r="G274" s="19">
        <v>44674</v>
      </c>
      <c r="H274" s="19">
        <v>44675</v>
      </c>
      <c r="I274" s="18"/>
      <c r="J274" s="19" t="b">
        <v>1</v>
      </c>
      <c r="K274" s="19" t="b">
        <v>0</v>
      </c>
      <c r="L274" s="19" t="b">
        <v>0</v>
      </c>
      <c r="M274" s="19" t="b">
        <v>0</v>
      </c>
      <c r="N274" s="19" t="b">
        <v>0</v>
      </c>
      <c r="O274" s="19" t="b">
        <v>0</v>
      </c>
      <c r="P274" s="19" t="b">
        <v>0</v>
      </c>
    </row>
    <row r="275" spans="1:16" x14ac:dyDescent="0.2">
      <c r="A275" s="18">
        <v>6171869</v>
      </c>
      <c r="B275" s="18" t="s">
        <v>838</v>
      </c>
      <c r="C275" s="18" t="s">
        <v>287</v>
      </c>
      <c r="D275" s="18" t="s">
        <v>39</v>
      </c>
      <c r="E275" s="19">
        <v>44653</v>
      </c>
      <c r="F275" s="18" t="s">
        <v>839</v>
      </c>
      <c r="G275" s="19">
        <v>44665</v>
      </c>
      <c r="H275" s="19">
        <v>44701</v>
      </c>
      <c r="I275" s="18"/>
      <c r="J275" s="19" t="b">
        <v>1</v>
      </c>
      <c r="K275" s="19" t="b">
        <v>0</v>
      </c>
      <c r="L275" s="19" t="b">
        <v>0</v>
      </c>
      <c r="M275" s="19" t="b">
        <v>0</v>
      </c>
      <c r="N275" s="19" t="b">
        <v>0</v>
      </c>
      <c r="O275" s="19" t="b">
        <v>0</v>
      </c>
      <c r="P275" s="19" t="b">
        <v>0</v>
      </c>
    </row>
    <row r="276" spans="1:16" x14ac:dyDescent="0.2">
      <c r="A276" s="18">
        <v>7463219</v>
      </c>
      <c r="B276" s="18" t="s">
        <v>844</v>
      </c>
      <c r="C276" s="18" t="s">
        <v>10</v>
      </c>
      <c r="D276" s="18" t="s">
        <v>11</v>
      </c>
      <c r="E276" s="19">
        <v>44837</v>
      </c>
      <c r="F276" s="18" t="s">
        <v>845</v>
      </c>
      <c r="G276" s="19">
        <v>44847</v>
      </c>
      <c r="H276" s="19">
        <v>44865</v>
      </c>
      <c r="I276" s="18"/>
      <c r="J276" s="19" t="b">
        <v>1</v>
      </c>
      <c r="K276" s="19" t="b">
        <v>0</v>
      </c>
      <c r="L276" s="19" t="b">
        <v>0</v>
      </c>
      <c r="M276" s="19" t="b">
        <v>0</v>
      </c>
      <c r="N276" s="19" t="b">
        <v>0</v>
      </c>
      <c r="O276" s="19" t="b">
        <v>0</v>
      </c>
      <c r="P276" s="19" t="b">
        <v>0</v>
      </c>
    </row>
    <row r="277" spans="1:16" x14ac:dyDescent="0.2">
      <c r="A277" s="18">
        <v>7463219</v>
      </c>
      <c r="B277" s="18" t="s">
        <v>846</v>
      </c>
      <c r="C277" s="18" t="s">
        <v>10</v>
      </c>
      <c r="D277" s="18" t="s">
        <v>11</v>
      </c>
      <c r="E277" s="19">
        <v>44844</v>
      </c>
      <c r="F277" s="18" t="s">
        <v>847</v>
      </c>
      <c r="G277" s="19">
        <v>44858</v>
      </c>
      <c r="H277" s="19">
        <v>44878</v>
      </c>
      <c r="I277" s="18" t="s">
        <v>16</v>
      </c>
      <c r="J277" s="19" t="b">
        <v>1</v>
      </c>
      <c r="K277" s="19" t="b">
        <v>0</v>
      </c>
      <c r="L277" s="19" t="b">
        <v>0</v>
      </c>
      <c r="M277" s="19" t="b">
        <v>0</v>
      </c>
      <c r="N277" s="19" t="b">
        <v>1</v>
      </c>
      <c r="O277" s="19" t="b">
        <v>0</v>
      </c>
      <c r="P277" s="19" t="b">
        <v>0</v>
      </c>
    </row>
    <row r="278" spans="1:16" x14ac:dyDescent="0.2">
      <c r="A278" s="18">
        <v>7463219</v>
      </c>
      <c r="B278" s="18" t="s">
        <v>848</v>
      </c>
      <c r="C278" s="18" t="s">
        <v>10</v>
      </c>
      <c r="D278" s="18" t="s">
        <v>11</v>
      </c>
      <c r="E278" s="19">
        <v>44814</v>
      </c>
      <c r="F278" s="18" t="s">
        <v>849</v>
      </c>
      <c r="G278" s="19">
        <v>44838</v>
      </c>
      <c r="H278" s="19">
        <v>44879</v>
      </c>
      <c r="I278" s="18" t="s">
        <v>16</v>
      </c>
      <c r="J278" s="19" t="b">
        <v>1</v>
      </c>
      <c r="K278" s="19" t="b">
        <v>0</v>
      </c>
      <c r="L278" s="19" t="b">
        <v>0</v>
      </c>
      <c r="M278" s="19" t="b">
        <v>0</v>
      </c>
      <c r="N278" s="19" t="b">
        <v>1</v>
      </c>
      <c r="O278" s="19" t="b">
        <v>0</v>
      </c>
      <c r="P278" s="19" t="b">
        <v>0</v>
      </c>
    </row>
    <row r="279" spans="1:16" x14ac:dyDescent="0.2">
      <c r="A279" s="18">
        <v>9318184</v>
      </c>
      <c r="B279" s="18" t="s">
        <v>850</v>
      </c>
      <c r="C279" s="18" t="s">
        <v>121</v>
      </c>
      <c r="D279" s="18" t="s">
        <v>81</v>
      </c>
      <c r="E279" s="19">
        <v>44967</v>
      </c>
      <c r="F279" s="18" t="s">
        <v>851</v>
      </c>
      <c r="G279" s="19">
        <v>44978</v>
      </c>
      <c r="H279" s="19">
        <v>45032</v>
      </c>
      <c r="I279" s="18" t="s">
        <v>43</v>
      </c>
      <c r="J279" s="19" t="b">
        <v>1</v>
      </c>
      <c r="K279" s="19" t="b">
        <v>0</v>
      </c>
      <c r="L279" s="19" t="b">
        <v>0</v>
      </c>
      <c r="M279" s="19" t="b">
        <v>0</v>
      </c>
      <c r="N279" s="19" t="b">
        <v>0</v>
      </c>
      <c r="O279" s="19" t="b">
        <v>1</v>
      </c>
      <c r="P279" s="19" t="b">
        <v>0</v>
      </c>
    </row>
    <row r="280" spans="1:16" x14ac:dyDescent="0.2">
      <c r="A280" s="18">
        <v>9318184</v>
      </c>
      <c r="B280" s="18" t="s">
        <v>852</v>
      </c>
      <c r="C280" s="18" t="s">
        <v>121</v>
      </c>
      <c r="D280" s="18" t="s">
        <v>81</v>
      </c>
      <c r="E280" s="19">
        <v>45002</v>
      </c>
      <c r="F280" s="18" t="s">
        <v>853</v>
      </c>
      <c r="G280" s="19">
        <v>45029</v>
      </c>
      <c r="H280" s="19">
        <v>45082</v>
      </c>
      <c r="I280" s="18" t="s">
        <v>28</v>
      </c>
      <c r="J280" s="19" t="b">
        <v>1</v>
      </c>
      <c r="K280" s="19" t="b">
        <v>0</v>
      </c>
      <c r="L280" s="19" t="b">
        <v>0</v>
      </c>
      <c r="M280" s="19" t="b">
        <v>0</v>
      </c>
      <c r="N280" s="19" t="b">
        <v>0</v>
      </c>
      <c r="O280" s="19" t="b">
        <v>0</v>
      </c>
      <c r="P280" s="19" t="b">
        <v>1</v>
      </c>
    </row>
    <row r="281" spans="1:16" x14ac:dyDescent="0.2">
      <c r="A281" s="18">
        <v>3283789</v>
      </c>
      <c r="B281" s="18" t="s">
        <v>854</v>
      </c>
      <c r="C281" s="18" t="s">
        <v>110</v>
      </c>
      <c r="D281" s="18" t="s">
        <v>39</v>
      </c>
      <c r="E281" s="19">
        <v>44743</v>
      </c>
      <c r="F281" s="18" t="s">
        <v>855</v>
      </c>
      <c r="G281" s="19">
        <v>44756</v>
      </c>
      <c r="H281" s="19">
        <v>44777</v>
      </c>
      <c r="I281" s="18" t="s">
        <v>43</v>
      </c>
      <c r="J281" s="19" t="b">
        <v>1</v>
      </c>
      <c r="K281" s="19" t="b">
        <v>0</v>
      </c>
      <c r="L281" s="19" t="b">
        <v>0</v>
      </c>
      <c r="M281" s="19" t="b">
        <v>0</v>
      </c>
      <c r="N281" s="19" t="b">
        <v>0</v>
      </c>
      <c r="O281" s="19" t="b">
        <v>1</v>
      </c>
      <c r="P281" s="19" t="b">
        <v>0</v>
      </c>
    </row>
    <row r="282" spans="1:16" x14ac:dyDescent="0.2">
      <c r="A282" s="18">
        <v>3283789</v>
      </c>
      <c r="B282" s="18" t="s">
        <v>858</v>
      </c>
      <c r="C282" s="18" t="s">
        <v>110</v>
      </c>
      <c r="D282" s="18" t="s">
        <v>39</v>
      </c>
      <c r="E282" s="19">
        <v>44964</v>
      </c>
      <c r="F282" s="18" t="s">
        <v>36</v>
      </c>
      <c r="G282" s="19">
        <v>44976</v>
      </c>
      <c r="H282" s="19">
        <v>44984</v>
      </c>
      <c r="I282" s="18" t="s">
        <v>28</v>
      </c>
      <c r="J282" s="19" t="b">
        <v>1</v>
      </c>
      <c r="K282" s="19" t="b">
        <v>0</v>
      </c>
      <c r="L282" s="19" t="b">
        <v>0</v>
      </c>
      <c r="M282" s="19" t="b">
        <v>0</v>
      </c>
      <c r="N282" s="19" t="b">
        <v>0</v>
      </c>
      <c r="O282" s="19" t="b">
        <v>0</v>
      </c>
      <c r="P282" s="19" t="b">
        <v>1</v>
      </c>
    </row>
    <row r="283" spans="1:16" x14ac:dyDescent="0.2">
      <c r="A283" s="18">
        <v>3283789</v>
      </c>
      <c r="B283" s="18" t="s">
        <v>859</v>
      </c>
      <c r="C283" s="18" t="s">
        <v>110</v>
      </c>
      <c r="D283" s="18" t="s">
        <v>39</v>
      </c>
      <c r="E283" s="19">
        <v>44746</v>
      </c>
      <c r="F283" s="18" t="s">
        <v>860</v>
      </c>
      <c r="G283" s="19">
        <v>44768</v>
      </c>
      <c r="H283" s="19">
        <v>44818</v>
      </c>
      <c r="I283" s="18" t="s">
        <v>43</v>
      </c>
      <c r="J283" s="19" t="b">
        <v>1</v>
      </c>
      <c r="K283" s="19" t="b">
        <v>0</v>
      </c>
      <c r="L283" s="19" t="b">
        <v>0</v>
      </c>
      <c r="M283" s="19" t="b">
        <v>0</v>
      </c>
      <c r="N283" s="19" t="b">
        <v>0</v>
      </c>
      <c r="O283" s="19" t="b">
        <v>1</v>
      </c>
      <c r="P283" s="19" t="b">
        <v>0</v>
      </c>
    </row>
    <row r="284" spans="1:16" x14ac:dyDescent="0.2">
      <c r="A284" s="18">
        <v>3283789</v>
      </c>
      <c r="B284" s="18" t="s">
        <v>861</v>
      </c>
      <c r="C284" s="18" t="s">
        <v>110</v>
      </c>
      <c r="D284" s="18" t="s">
        <v>39</v>
      </c>
      <c r="E284" s="19">
        <v>44776</v>
      </c>
      <c r="F284" s="18" t="s">
        <v>862</v>
      </c>
      <c r="G284" s="19">
        <v>44791</v>
      </c>
      <c r="H284" s="19">
        <v>44843</v>
      </c>
      <c r="I284" s="18"/>
      <c r="J284" s="19" t="b">
        <v>1</v>
      </c>
      <c r="K284" s="19" t="b">
        <v>0</v>
      </c>
      <c r="L284" s="19" t="b">
        <v>0</v>
      </c>
      <c r="M284" s="19" t="b">
        <v>0</v>
      </c>
      <c r="N284" s="19" t="b">
        <v>0</v>
      </c>
      <c r="O284" s="19" t="b">
        <v>0</v>
      </c>
      <c r="P284" s="19" t="b">
        <v>0</v>
      </c>
    </row>
    <row r="285" spans="1:16" x14ac:dyDescent="0.2">
      <c r="A285" s="18">
        <v>5887726</v>
      </c>
      <c r="B285" s="18" t="s">
        <v>863</v>
      </c>
      <c r="C285" s="18" t="s">
        <v>150</v>
      </c>
      <c r="D285" s="18" t="s">
        <v>122</v>
      </c>
      <c r="E285" s="19">
        <v>44809</v>
      </c>
      <c r="F285" s="18" t="s">
        <v>69</v>
      </c>
      <c r="G285" s="19">
        <v>44818</v>
      </c>
      <c r="H285" s="19">
        <v>44861</v>
      </c>
      <c r="I285" s="18" t="s">
        <v>43</v>
      </c>
      <c r="J285" s="19" t="b">
        <v>1</v>
      </c>
      <c r="K285" s="19" t="b">
        <v>0</v>
      </c>
      <c r="L285" s="19" t="b">
        <v>0</v>
      </c>
      <c r="M285" s="19" t="b">
        <v>0</v>
      </c>
      <c r="N285" s="19" t="b">
        <v>0</v>
      </c>
      <c r="O285" s="19" t="b">
        <v>1</v>
      </c>
      <c r="P285" s="19" t="b">
        <v>0</v>
      </c>
    </row>
    <row r="286" spans="1:16" x14ac:dyDescent="0.2">
      <c r="A286" s="18">
        <v>5887726</v>
      </c>
      <c r="B286" s="18" t="s">
        <v>866</v>
      </c>
      <c r="C286" s="18" t="s">
        <v>150</v>
      </c>
      <c r="D286" s="18" t="s">
        <v>122</v>
      </c>
      <c r="E286" s="19">
        <v>45080</v>
      </c>
      <c r="F286" s="18" t="s">
        <v>867</v>
      </c>
      <c r="G286" s="19">
        <v>45110</v>
      </c>
      <c r="H286" s="19">
        <v>45169</v>
      </c>
      <c r="I286" s="18"/>
      <c r="J286" s="19" t="b">
        <v>1</v>
      </c>
      <c r="K286" s="19" t="b">
        <v>0</v>
      </c>
      <c r="L286" s="19" t="b">
        <v>0</v>
      </c>
      <c r="M286" s="19" t="b">
        <v>0</v>
      </c>
      <c r="N286" s="19" t="b">
        <v>0</v>
      </c>
      <c r="O286" s="19" t="b">
        <v>0</v>
      </c>
      <c r="P286" s="19" t="b">
        <v>0</v>
      </c>
    </row>
    <row r="287" spans="1:16" x14ac:dyDescent="0.2">
      <c r="A287" s="18">
        <v>5887726</v>
      </c>
      <c r="B287" s="18" t="s">
        <v>868</v>
      </c>
      <c r="C287" s="18" t="s">
        <v>150</v>
      </c>
      <c r="D287" s="18" t="s">
        <v>122</v>
      </c>
      <c r="E287" s="19">
        <v>44930</v>
      </c>
      <c r="F287" s="18" t="s">
        <v>869</v>
      </c>
      <c r="G287" s="19">
        <v>44953</v>
      </c>
      <c r="H287" s="19">
        <v>45011</v>
      </c>
      <c r="I287" s="18"/>
      <c r="J287" s="19" t="b">
        <v>1</v>
      </c>
      <c r="K287" s="19" t="b">
        <v>0</v>
      </c>
      <c r="L287" s="19" t="b">
        <v>0</v>
      </c>
      <c r="M287" s="19" t="b">
        <v>0</v>
      </c>
      <c r="N287" s="19" t="b">
        <v>0</v>
      </c>
      <c r="O287" s="19" t="b">
        <v>0</v>
      </c>
      <c r="P287" s="19" t="b">
        <v>0</v>
      </c>
    </row>
    <row r="288" spans="1:16" x14ac:dyDescent="0.2">
      <c r="A288" s="18">
        <v>4724560</v>
      </c>
      <c r="B288" s="18" t="s">
        <v>875</v>
      </c>
      <c r="C288" s="18" t="s">
        <v>80</v>
      </c>
      <c r="D288" s="18" t="s">
        <v>139</v>
      </c>
      <c r="E288" s="19">
        <v>44962</v>
      </c>
      <c r="F288" s="18" t="s">
        <v>594</v>
      </c>
      <c r="G288" s="19">
        <v>44977</v>
      </c>
      <c r="H288" s="19">
        <v>45027</v>
      </c>
      <c r="I288" s="18" t="s">
        <v>43</v>
      </c>
      <c r="J288" s="19" t="b">
        <v>1</v>
      </c>
      <c r="K288" s="19" t="b">
        <v>0</v>
      </c>
      <c r="L288" s="19" t="b">
        <v>0</v>
      </c>
      <c r="M288" s="19" t="b">
        <v>0</v>
      </c>
      <c r="N288" s="19" t="b">
        <v>0</v>
      </c>
      <c r="O288" s="19" t="b">
        <v>1</v>
      </c>
      <c r="P288" s="19" t="b">
        <v>0</v>
      </c>
    </row>
    <row r="289" spans="1:16" x14ac:dyDescent="0.2">
      <c r="A289" s="18">
        <v>4724560</v>
      </c>
      <c r="B289" s="18" t="s">
        <v>876</v>
      </c>
      <c r="C289" s="18" t="s">
        <v>80</v>
      </c>
      <c r="D289" s="18" t="s">
        <v>139</v>
      </c>
      <c r="E289" s="19">
        <v>45056</v>
      </c>
      <c r="F289" s="18" t="s">
        <v>877</v>
      </c>
      <c r="G289" s="19">
        <v>45060</v>
      </c>
      <c r="H289" s="19">
        <v>45079</v>
      </c>
      <c r="I289" s="18" t="s">
        <v>43</v>
      </c>
      <c r="J289" s="19" t="b">
        <v>1</v>
      </c>
      <c r="K289" s="19" t="b">
        <v>0</v>
      </c>
      <c r="L289" s="19" t="b">
        <v>0</v>
      </c>
      <c r="M289" s="19" t="b">
        <v>0</v>
      </c>
      <c r="N289" s="19" t="b">
        <v>0</v>
      </c>
      <c r="O289" s="19" t="b">
        <v>1</v>
      </c>
      <c r="P289" s="19" t="b">
        <v>0</v>
      </c>
    </row>
    <row r="290" spans="1:16" x14ac:dyDescent="0.2">
      <c r="A290" s="18">
        <v>4724560</v>
      </c>
      <c r="B290" s="18" t="s">
        <v>878</v>
      </c>
      <c r="C290" s="18" t="s">
        <v>80</v>
      </c>
      <c r="D290" s="18" t="s">
        <v>139</v>
      </c>
      <c r="E290" s="19">
        <v>44707</v>
      </c>
      <c r="F290" s="18" t="s">
        <v>879</v>
      </c>
      <c r="G290" s="19">
        <v>44719</v>
      </c>
      <c r="H290" s="19">
        <v>44739</v>
      </c>
      <c r="I290" s="18" t="s">
        <v>16</v>
      </c>
      <c r="J290" s="19" t="b">
        <v>1</v>
      </c>
      <c r="K290" s="19" t="b">
        <v>0</v>
      </c>
      <c r="L290" s="19" t="b">
        <v>0</v>
      </c>
      <c r="M290" s="19" t="b">
        <v>0</v>
      </c>
      <c r="N290" s="19" t="b">
        <v>1</v>
      </c>
      <c r="O290" s="19" t="b">
        <v>0</v>
      </c>
      <c r="P290" s="19" t="b">
        <v>0</v>
      </c>
    </row>
    <row r="291" spans="1:16" x14ac:dyDescent="0.2">
      <c r="A291" s="18">
        <v>4724560</v>
      </c>
      <c r="B291" s="18" t="s">
        <v>880</v>
      </c>
      <c r="C291" s="18" t="s">
        <v>80</v>
      </c>
      <c r="D291" s="18" t="s">
        <v>139</v>
      </c>
      <c r="E291" s="19">
        <v>44918</v>
      </c>
      <c r="F291" s="18" t="s">
        <v>881</v>
      </c>
      <c r="G291" s="19">
        <v>44934</v>
      </c>
      <c r="H291" s="19">
        <v>44941</v>
      </c>
      <c r="I291" s="18" t="s">
        <v>43</v>
      </c>
      <c r="J291" s="19" t="b">
        <v>1</v>
      </c>
      <c r="K291" s="19" t="b">
        <v>0</v>
      </c>
      <c r="L291" s="19" t="b">
        <v>0</v>
      </c>
      <c r="M291" s="19" t="b">
        <v>0</v>
      </c>
      <c r="N291" s="19" t="b">
        <v>0</v>
      </c>
      <c r="O291" s="19" t="b">
        <v>1</v>
      </c>
      <c r="P291" s="19" t="b">
        <v>0</v>
      </c>
    </row>
    <row r="292" spans="1:16" x14ac:dyDescent="0.2">
      <c r="A292" s="18">
        <v>4724560</v>
      </c>
      <c r="B292" s="18" t="s">
        <v>882</v>
      </c>
      <c r="C292" s="18" t="s">
        <v>80</v>
      </c>
      <c r="D292" s="18" t="s">
        <v>139</v>
      </c>
      <c r="E292" s="19">
        <v>44869</v>
      </c>
      <c r="F292" s="18" t="s">
        <v>883</v>
      </c>
      <c r="G292" s="19">
        <v>44871</v>
      </c>
      <c r="H292" s="19">
        <v>44923</v>
      </c>
      <c r="I292" s="18"/>
      <c r="J292" s="19" t="b">
        <v>1</v>
      </c>
      <c r="K292" s="19" t="b">
        <v>0</v>
      </c>
      <c r="L292" s="19" t="b">
        <v>0</v>
      </c>
      <c r="M292" s="19" t="b">
        <v>0</v>
      </c>
      <c r="N292" s="19" t="b">
        <v>0</v>
      </c>
      <c r="O292" s="19" t="b">
        <v>0</v>
      </c>
      <c r="P292" s="19" t="b">
        <v>0</v>
      </c>
    </row>
    <row r="293" spans="1:16" x14ac:dyDescent="0.2">
      <c r="A293" s="18">
        <v>2930810</v>
      </c>
      <c r="B293" s="18" t="s">
        <v>884</v>
      </c>
      <c r="C293" s="18" t="s">
        <v>10</v>
      </c>
      <c r="D293" s="18" t="s">
        <v>39</v>
      </c>
      <c r="E293" s="19">
        <v>44811</v>
      </c>
      <c r="F293" s="18" t="s">
        <v>885</v>
      </c>
      <c r="G293" s="19">
        <v>44828</v>
      </c>
      <c r="H293" s="19">
        <v>44840</v>
      </c>
      <c r="I293" s="18" t="s">
        <v>43</v>
      </c>
      <c r="J293" s="19" t="b">
        <v>1</v>
      </c>
      <c r="K293" s="19" t="b">
        <v>0</v>
      </c>
      <c r="L293" s="19" t="b">
        <v>0</v>
      </c>
      <c r="M293" s="19" t="b">
        <v>0</v>
      </c>
      <c r="N293" s="19" t="b">
        <v>0</v>
      </c>
      <c r="O293" s="19" t="b">
        <v>1</v>
      </c>
      <c r="P293" s="19" t="b">
        <v>0</v>
      </c>
    </row>
    <row r="294" spans="1:16" x14ac:dyDescent="0.2">
      <c r="A294" s="18">
        <v>3686631</v>
      </c>
      <c r="B294" s="18" t="s">
        <v>886</v>
      </c>
      <c r="C294" s="18" t="s">
        <v>720</v>
      </c>
      <c r="D294" s="18" t="s">
        <v>139</v>
      </c>
      <c r="E294" s="19">
        <v>44750</v>
      </c>
      <c r="F294" s="18" t="s">
        <v>887</v>
      </c>
      <c r="G294" s="19">
        <v>44756</v>
      </c>
      <c r="H294" s="19">
        <v>44797</v>
      </c>
      <c r="I294" s="18" t="s">
        <v>43</v>
      </c>
      <c r="J294" s="19" t="b">
        <v>1</v>
      </c>
      <c r="K294" s="19" t="b">
        <v>0</v>
      </c>
      <c r="L294" s="19" t="b">
        <v>0</v>
      </c>
      <c r="M294" s="19" t="b">
        <v>0</v>
      </c>
      <c r="N294" s="19" t="b">
        <v>0</v>
      </c>
      <c r="O294" s="19" t="b">
        <v>1</v>
      </c>
      <c r="P294" s="19" t="b">
        <v>0</v>
      </c>
    </row>
    <row r="295" spans="1:16" x14ac:dyDescent="0.2">
      <c r="A295" s="18">
        <v>3686631</v>
      </c>
      <c r="B295" s="18" t="s">
        <v>888</v>
      </c>
      <c r="C295" s="18" t="s">
        <v>720</v>
      </c>
      <c r="D295" s="18" t="s">
        <v>139</v>
      </c>
      <c r="E295" s="19">
        <v>44764</v>
      </c>
      <c r="F295" s="18" t="s">
        <v>234</v>
      </c>
      <c r="G295" s="19">
        <v>44779</v>
      </c>
      <c r="H295" s="19">
        <v>44817</v>
      </c>
      <c r="I295" s="18"/>
      <c r="J295" s="19" t="b">
        <v>1</v>
      </c>
      <c r="K295" s="19" t="b">
        <v>0</v>
      </c>
      <c r="L295" s="19" t="b">
        <v>0</v>
      </c>
      <c r="M295" s="19" t="b">
        <v>0</v>
      </c>
      <c r="N295" s="19" t="b">
        <v>0</v>
      </c>
      <c r="O295" s="19" t="b">
        <v>0</v>
      </c>
      <c r="P295" s="19" t="b">
        <v>0</v>
      </c>
    </row>
    <row r="296" spans="1:16" x14ac:dyDescent="0.2">
      <c r="A296" s="18">
        <v>3686631</v>
      </c>
      <c r="B296" s="18" t="s">
        <v>889</v>
      </c>
      <c r="C296" s="18" t="s">
        <v>720</v>
      </c>
      <c r="D296" s="18" t="s">
        <v>139</v>
      </c>
      <c r="E296" s="19">
        <v>44772</v>
      </c>
      <c r="F296" s="18" t="s">
        <v>890</v>
      </c>
      <c r="G296" s="19">
        <v>44781</v>
      </c>
      <c r="H296" s="19">
        <v>44830</v>
      </c>
      <c r="I296" s="18" t="s">
        <v>16</v>
      </c>
      <c r="J296" s="19" t="b">
        <v>1</v>
      </c>
      <c r="K296" s="19" t="b">
        <v>0</v>
      </c>
      <c r="L296" s="19" t="b">
        <v>0</v>
      </c>
      <c r="M296" s="19" t="b">
        <v>0</v>
      </c>
      <c r="N296" s="19" t="b">
        <v>1</v>
      </c>
      <c r="O296" s="19" t="b">
        <v>0</v>
      </c>
      <c r="P296" s="19" t="b">
        <v>0</v>
      </c>
    </row>
    <row r="297" spans="1:16" x14ac:dyDescent="0.2">
      <c r="A297" s="18">
        <v>3686631</v>
      </c>
      <c r="B297" s="18" t="s">
        <v>891</v>
      </c>
      <c r="C297" s="18" t="s">
        <v>720</v>
      </c>
      <c r="D297" s="18" t="s">
        <v>139</v>
      </c>
      <c r="E297" s="19">
        <v>44753</v>
      </c>
      <c r="F297" s="18" t="s">
        <v>892</v>
      </c>
      <c r="G297" s="19">
        <v>44765</v>
      </c>
      <c r="H297" s="19">
        <v>44786</v>
      </c>
      <c r="I297" s="18" t="s">
        <v>16</v>
      </c>
      <c r="J297" s="19" t="b">
        <v>1</v>
      </c>
      <c r="K297" s="19" t="b">
        <v>0</v>
      </c>
      <c r="L297" s="19" t="b">
        <v>0</v>
      </c>
      <c r="M297" s="19" t="b">
        <v>0</v>
      </c>
      <c r="N297" s="19" t="b">
        <v>1</v>
      </c>
      <c r="O297" s="19" t="b">
        <v>0</v>
      </c>
      <c r="P297" s="19" t="b">
        <v>0</v>
      </c>
    </row>
    <row r="298" spans="1:16" x14ac:dyDescent="0.2">
      <c r="A298" s="18">
        <v>4306357</v>
      </c>
      <c r="B298" s="18" t="s">
        <v>893</v>
      </c>
      <c r="C298" s="18" t="s">
        <v>287</v>
      </c>
      <c r="D298" s="18" t="s">
        <v>122</v>
      </c>
      <c r="E298" s="19">
        <v>44882</v>
      </c>
      <c r="F298" s="18" t="s">
        <v>894</v>
      </c>
      <c r="G298" s="19">
        <v>44902</v>
      </c>
      <c r="H298" s="19">
        <v>44927</v>
      </c>
      <c r="I298" s="18"/>
      <c r="J298" s="19" t="b">
        <v>1</v>
      </c>
      <c r="K298" s="19" t="b">
        <v>0</v>
      </c>
      <c r="L298" s="19" t="b">
        <v>0</v>
      </c>
      <c r="M298" s="19" t="b">
        <v>0</v>
      </c>
      <c r="N298" s="19" t="b">
        <v>0</v>
      </c>
      <c r="O298" s="19" t="b">
        <v>0</v>
      </c>
      <c r="P298" s="19" t="b">
        <v>0</v>
      </c>
    </row>
    <row r="299" spans="1:16" x14ac:dyDescent="0.2">
      <c r="A299" s="18">
        <v>4306357</v>
      </c>
      <c r="B299" s="18" t="s">
        <v>895</v>
      </c>
      <c r="C299" s="18" t="s">
        <v>287</v>
      </c>
      <c r="D299" s="18" t="s">
        <v>122</v>
      </c>
      <c r="E299" s="19">
        <v>45030</v>
      </c>
      <c r="F299" s="18" t="s">
        <v>896</v>
      </c>
      <c r="G299" s="19">
        <v>45050</v>
      </c>
      <c r="H299" s="19">
        <v>45062</v>
      </c>
      <c r="I299" s="18" t="s">
        <v>16</v>
      </c>
      <c r="J299" s="19" t="b">
        <v>1</v>
      </c>
      <c r="K299" s="19" t="b">
        <v>0</v>
      </c>
      <c r="L299" s="19" t="b">
        <v>0</v>
      </c>
      <c r="M299" s="19" t="b">
        <v>0</v>
      </c>
      <c r="N299" s="19" t="b">
        <v>1</v>
      </c>
      <c r="O299" s="19" t="b">
        <v>0</v>
      </c>
      <c r="P299" s="19" t="b">
        <v>0</v>
      </c>
    </row>
    <row r="300" spans="1:16" x14ac:dyDescent="0.2">
      <c r="A300" s="18">
        <v>4306357</v>
      </c>
      <c r="B300" s="18" t="s">
        <v>897</v>
      </c>
      <c r="C300" s="18" t="s">
        <v>287</v>
      </c>
      <c r="D300" s="18" t="s">
        <v>122</v>
      </c>
      <c r="E300" s="19">
        <v>44648</v>
      </c>
      <c r="F300" s="18" t="s">
        <v>394</v>
      </c>
      <c r="G300" s="19">
        <v>44670</v>
      </c>
      <c r="H300" s="19">
        <v>44679</v>
      </c>
      <c r="I300" s="18" t="s">
        <v>28</v>
      </c>
      <c r="J300" s="19" t="b">
        <v>1</v>
      </c>
      <c r="K300" s="19" t="b">
        <v>0</v>
      </c>
      <c r="L300" s="19" t="b">
        <v>0</v>
      </c>
      <c r="M300" s="19" t="b">
        <v>0</v>
      </c>
      <c r="N300" s="19" t="b">
        <v>0</v>
      </c>
      <c r="O300" s="19" t="b">
        <v>0</v>
      </c>
      <c r="P300" s="19" t="b">
        <v>1</v>
      </c>
    </row>
    <row r="301" spans="1:16" x14ac:dyDescent="0.2">
      <c r="A301" s="18">
        <v>7441514</v>
      </c>
      <c r="B301" s="18" t="s">
        <v>907</v>
      </c>
      <c r="C301" s="18" t="s">
        <v>18</v>
      </c>
      <c r="D301" s="18" t="s">
        <v>139</v>
      </c>
      <c r="E301" s="19">
        <v>45016</v>
      </c>
      <c r="F301" s="18" t="s">
        <v>908</v>
      </c>
      <c r="G301" s="19">
        <v>45032</v>
      </c>
      <c r="H301" s="19">
        <v>45043</v>
      </c>
      <c r="I301" s="18"/>
      <c r="J301" s="19" t="b">
        <v>1</v>
      </c>
      <c r="K301" s="19" t="b">
        <v>0</v>
      </c>
      <c r="L301" s="19" t="b">
        <v>0</v>
      </c>
      <c r="M301" s="19" t="b">
        <v>0</v>
      </c>
      <c r="N301" s="19" t="b">
        <v>0</v>
      </c>
      <c r="O301" s="19" t="b">
        <v>0</v>
      </c>
      <c r="P301" s="19" t="b">
        <v>0</v>
      </c>
    </row>
    <row r="302" spans="1:16" x14ac:dyDescent="0.2">
      <c r="A302" s="18">
        <v>7441514</v>
      </c>
      <c r="B302" s="18" t="s">
        <v>913</v>
      </c>
      <c r="C302" s="18" t="s">
        <v>18</v>
      </c>
      <c r="D302" s="18" t="s">
        <v>139</v>
      </c>
      <c r="E302" s="19">
        <v>44677</v>
      </c>
      <c r="F302" s="18" t="s">
        <v>914</v>
      </c>
      <c r="G302" s="19">
        <v>44696</v>
      </c>
      <c r="H302" s="19">
        <v>44704</v>
      </c>
      <c r="I302" s="18"/>
      <c r="J302" s="19" t="b">
        <v>1</v>
      </c>
      <c r="K302" s="19" t="b">
        <v>0</v>
      </c>
      <c r="L302" s="19" t="b">
        <v>0</v>
      </c>
      <c r="M302" s="19" t="b">
        <v>0</v>
      </c>
      <c r="N302" s="19" t="b">
        <v>0</v>
      </c>
      <c r="O302" s="19" t="b">
        <v>0</v>
      </c>
      <c r="P302" s="19" t="b">
        <v>0</v>
      </c>
    </row>
    <row r="303" spans="1:16" x14ac:dyDescent="0.2">
      <c r="A303" s="18">
        <v>5494430</v>
      </c>
      <c r="B303" s="18" t="s">
        <v>915</v>
      </c>
      <c r="C303" s="18" t="s">
        <v>35</v>
      </c>
      <c r="D303" s="18" t="s">
        <v>139</v>
      </c>
      <c r="E303" s="19">
        <v>45013</v>
      </c>
      <c r="F303" s="18" t="s">
        <v>916</v>
      </c>
      <c r="G303" s="19">
        <v>45031</v>
      </c>
      <c r="H303" s="19">
        <v>45045</v>
      </c>
      <c r="I303" s="18" t="s">
        <v>16</v>
      </c>
      <c r="J303" s="19" t="b">
        <v>1</v>
      </c>
      <c r="K303" s="19" t="b">
        <v>0</v>
      </c>
      <c r="L303" s="19" t="b">
        <v>0</v>
      </c>
      <c r="M303" s="19" t="b">
        <v>0</v>
      </c>
      <c r="N303" s="19" t="b">
        <v>1</v>
      </c>
      <c r="O303" s="19" t="b">
        <v>0</v>
      </c>
      <c r="P303" s="19" t="b">
        <v>0</v>
      </c>
    </row>
    <row r="304" spans="1:16" x14ac:dyDescent="0.2">
      <c r="A304" s="18">
        <v>5494430</v>
      </c>
      <c r="B304" s="18" t="s">
        <v>917</v>
      </c>
      <c r="C304" s="18" t="s">
        <v>35</v>
      </c>
      <c r="D304" s="18" t="s">
        <v>139</v>
      </c>
      <c r="E304" s="19">
        <v>44815</v>
      </c>
      <c r="F304" s="18" t="s">
        <v>918</v>
      </c>
      <c r="G304" s="19">
        <v>44825</v>
      </c>
      <c r="H304" s="19">
        <v>44881</v>
      </c>
      <c r="I304" s="18" t="s">
        <v>16</v>
      </c>
      <c r="J304" s="19" t="b">
        <v>1</v>
      </c>
      <c r="K304" s="19" t="b">
        <v>0</v>
      </c>
      <c r="L304" s="19" t="b">
        <v>0</v>
      </c>
      <c r="M304" s="19" t="b">
        <v>0</v>
      </c>
      <c r="N304" s="19" t="b">
        <v>1</v>
      </c>
      <c r="O304" s="19" t="b">
        <v>0</v>
      </c>
      <c r="P304" s="19" t="b">
        <v>0</v>
      </c>
    </row>
    <row r="305" spans="1:16" x14ac:dyDescent="0.2">
      <c r="A305" s="18">
        <v>5494430</v>
      </c>
      <c r="B305" s="18" t="s">
        <v>919</v>
      </c>
      <c r="C305" s="18" t="s">
        <v>35</v>
      </c>
      <c r="D305" s="18" t="s">
        <v>139</v>
      </c>
      <c r="E305" s="19">
        <v>44651</v>
      </c>
      <c r="F305" s="18" t="s">
        <v>920</v>
      </c>
      <c r="G305" s="19">
        <v>44666</v>
      </c>
      <c r="H305" s="19">
        <v>44722</v>
      </c>
      <c r="I305" s="18"/>
      <c r="J305" s="19" t="b">
        <v>1</v>
      </c>
      <c r="K305" s="19" t="b">
        <v>0</v>
      </c>
      <c r="L305" s="19" t="b">
        <v>0</v>
      </c>
      <c r="M305" s="19" t="b">
        <v>0</v>
      </c>
      <c r="N305" s="19" t="b">
        <v>0</v>
      </c>
      <c r="O305" s="19" t="b">
        <v>0</v>
      </c>
      <c r="P305" s="19" t="b">
        <v>0</v>
      </c>
    </row>
    <row r="306" spans="1:16" x14ac:dyDescent="0.2">
      <c r="A306" s="18">
        <v>2969410</v>
      </c>
      <c r="B306" s="18" t="s">
        <v>921</v>
      </c>
      <c r="C306" s="18" t="s">
        <v>35</v>
      </c>
      <c r="D306" s="18" t="s">
        <v>19</v>
      </c>
      <c r="E306" s="19">
        <v>45000</v>
      </c>
      <c r="F306" s="18" t="s">
        <v>922</v>
      </c>
      <c r="G306" s="19">
        <v>45006</v>
      </c>
      <c r="H306" s="19">
        <v>45046</v>
      </c>
      <c r="I306" s="18" t="s">
        <v>28</v>
      </c>
      <c r="J306" s="19" t="b">
        <v>1</v>
      </c>
      <c r="K306" s="19" t="b">
        <v>0</v>
      </c>
      <c r="L306" s="19" t="b">
        <v>0</v>
      </c>
      <c r="M306" s="19" t="b">
        <v>0</v>
      </c>
      <c r="N306" s="19" t="b">
        <v>0</v>
      </c>
      <c r="O306" s="19" t="b">
        <v>0</v>
      </c>
      <c r="P306" s="19" t="b">
        <v>1</v>
      </c>
    </row>
    <row r="307" spans="1:16" x14ac:dyDescent="0.2">
      <c r="A307" s="18">
        <v>1995859</v>
      </c>
      <c r="B307" s="18" t="s">
        <v>929</v>
      </c>
      <c r="C307" s="18" t="s">
        <v>32</v>
      </c>
      <c r="D307" s="18" t="s">
        <v>39</v>
      </c>
      <c r="E307" s="19">
        <v>44983</v>
      </c>
      <c r="F307" s="18" t="s">
        <v>930</v>
      </c>
      <c r="G307" s="19">
        <v>45013</v>
      </c>
      <c r="H307" s="19">
        <v>45017</v>
      </c>
      <c r="I307" s="18" t="s">
        <v>16</v>
      </c>
      <c r="J307" s="19" t="b">
        <v>1</v>
      </c>
      <c r="K307" s="19" t="b">
        <v>0</v>
      </c>
      <c r="L307" s="19" t="b">
        <v>0</v>
      </c>
      <c r="M307" s="19" t="b">
        <v>0</v>
      </c>
      <c r="N307" s="19" t="b">
        <v>1</v>
      </c>
      <c r="O307" s="19" t="b">
        <v>0</v>
      </c>
      <c r="P307" s="19" t="b">
        <v>0</v>
      </c>
    </row>
    <row r="308" spans="1:16" x14ac:dyDescent="0.2">
      <c r="A308" s="18">
        <v>1995859</v>
      </c>
      <c r="B308" s="18" t="s">
        <v>931</v>
      </c>
      <c r="C308" s="18" t="s">
        <v>32</v>
      </c>
      <c r="D308" s="18" t="s">
        <v>39</v>
      </c>
      <c r="E308" s="19">
        <v>44697</v>
      </c>
      <c r="F308" s="18" t="s">
        <v>932</v>
      </c>
      <c r="G308" s="19">
        <v>44705</v>
      </c>
      <c r="H308" s="19">
        <v>44715</v>
      </c>
      <c r="I308" s="18" t="s">
        <v>43</v>
      </c>
      <c r="J308" s="19" t="b">
        <v>1</v>
      </c>
      <c r="K308" s="19" t="b">
        <v>0</v>
      </c>
      <c r="L308" s="19" t="b">
        <v>0</v>
      </c>
      <c r="M308" s="19" t="b">
        <v>0</v>
      </c>
      <c r="N308" s="19" t="b">
        <v>0</v>
      </c>
      <c r="O308" s="19" t="b">
        <v>1</v>
      </c>
      <c r="P308" s="19" t="b">
        <v>0</v>
      </c>
    </row>
    <row r="309" spans="1:16" x14ac:dyDescent="0.2">
      <c r="A309" s="18">
        <v>1995859</v>
      </c>
      <c r="B309" s="18" t="s">
        <v>933</v>
      </c>
      <c r="C309" s="18" t="s">
        <v>32</v>
      </c>
      <c r="D309" s="18" t="s">
        <v>39</v>
      </c>
      <c r="E309" s="19">
        <v>44964</v>
      </c>
      <c r="F309" s="18" t="s">
        <v>934</v>
      </c>
      <c r="G309" s="19">
        <v>44980</v>
      </c>
      <c r="H309" s="19">
        <v>44990</v>
      </c>
      <c r="I309" s="18" t="s">
        <v>43</v>
      </c>
      <c r="J309" s="19" t="b">
        <v>1</v>
      </c>
      <c r="K309" s="19" t="b">
        <v>0</v>
      </c>
      <c r="L309" s="19" t="b">
        <v>0</v>
      </c>
      <c r="M309" s="19" t="b">
        <v>0</v>
      </c>
      <c r="N309" s="19" t="b">
        <v>0</v>
      </c>
      <c r="O309" s="19" t="b">
        <v>1</v>
      </c>
      <c r="P309" s="19" t="b">
        <v>0</v>
      </c>
    </row>
    <row r="310" spans="1:16" x14ac:dyDescent="0.2">
      <c r="A310" s="18">
        <v>5508325</v>
      </c>
      <c r="B310" s="18" t="s">
        <v>935</v>
      </c>
      <c r="C310" s="18" t="s">
        <v>265</v>
      </c>
      <c r="D310" s="18" t="s">
        <v>60</v>
      </c>
      <c r="E310" s="19">
        <v>44846</v>
      </c>
      <c r="F310" s="18" t="s">
        <v>648</v>
      </c>
      <c r="G310" s="19">
        <v>44869</v>
      </c>
      <c r="H310" s="19">
        <v>44929</v>
      </c>
      <c r="I310" s="18" t="s">
        <v>16</v>
      </c>
      <c r="J310" s="19" t="b">
        <v>1</v>
      </c>
      <c r="K310" s="19" t="b">
        <v>0</v>
      </c>
      <c r="L310" s="19" t="b">
        <v>0</v>
      </c>
      <c r="M310" s="19" t="b">
        <v>0</v>
      </c>
      <c r="N310" s="19" t="b">
        <v>1</v>
      </c>
      <c r="O310" s="19" t="b">
        <v>0</v>
      </c>
      <c r="P310" s="19" t="b">
        <v>0</v>
      </c>
    </row>
    <row r="311" spans="1:16" x14ac:dyDescent="0.2">
      <c r="A311" s="18">
        <v>5508325</v>
      </c>
      <c r="B311" s="18" t="s">
        <v>936</v>
      </c>
      <c r="C311" s="18" t="s">
        <v>265</v>
      </c>
      <c r="D311" s="18" t="s">
        <v>60</v>
      </c>
      <c r="E311" s="19">
        <v>44897</v>
      </c>
      <c r="F311" s="18" t="s">
        <v>937</v>
      </c>
      <c r="G311" s="19">
        <v>44916</v>
      </c>
      <c r="H311" s="19">
        <v>44917</v>
      </c>
      <c r="I311" s="18"/>
      <c r="J311" s="19" t="b">
        <v>1</v>
      </c>
      <c r="K311" s="19" t="b">
        <v>0</v>
      </c>
      <c r="L311" s="19" t="b">
        <v>0</v>
      </c>
      <c r="M311" s="19" t="b">
        <v>0</v>
      </c>
      <c r="N311" s="19" t="b">
        <v>0</v>
      </c>
      <c r="O311" s="19" t="b">
        <v>0</v>
      </c>
      <c r="P311" s="19" t="b">
        <v>0</v>
      </c>
    </row>
    <row r="312" spans="1:16" x14ac:dyDescent="0.2">
      <c r="A312" s="18">
        <v>5508325</v>
      </c>
      <c r="B312" s="18" t="s">
        <v>938</v>
      </c>
      <c r="C312" s="18" t="s">
        <v>265</v>
      </c>
      <c r="D312" s="18" t="s">
        <v>60</v>
      </c>
      <c r="E312" s="19">
        <v>44928</v>
      </c>
      <c r="F312" s="18" t="s">
        <v>939</v>
      </c>
      <c r="G312" s="19">
        <v>44956</v>
      </c>
      <c r="H312" s="19">
        <v>44961</v>
      </c>
      <c r="I312" s="18" t="s">
        <v>16</v>
      </c>
      <c r="J312" s="19" t="b">
        <v>1</v>
      </c>
      <c r="K312" s="19" t="b">
        <v>0</v>
      </c>
      <c r="L312" s="19" t="b">
        <v>0</v>
      </c>
      <c r="M312" s="19" t="b">
        <v>0</v>
      </c>
      <c r="N312" s="19" t="b">
        <v>1</v>
      </c>
      <c r="O312" s="19" t="b">
        <v>0</v>
      </c>
      <c r="P312" s="19" t="b">
        <v>0</v>
      </c>
    </row>
    <row r="313" spans="1:16" x14ac:dyDescent="0.2">
      <c r="A313" s="18">
        <v>5508325</v>
      </c>
      <c r="B313" s="18" t="s">
        <v>940</v>
      </c>
      <c r="C313" s="18" t="s">
        <v>265</v>
      </c>
      <c r="D313" s="18" t="s">
        <v>60</v>
      </c>
      <c r="E313" s="19">
        <v>44778</v>
      </c>
      <c r="F313" s="18" t="s">
        <v>941</v>
      </c>
      <c r="G313" s="19">
        <v>44794</v>
      </c>
      <c r="H313" s="19">
        <v>44812</v>
      </c>
      <c r="I313" s="18"/>
      <c r="J313" s="19" t="b">
        <v>1</v>
      </c>
      <c r="K313" s="19" t="b">
        <v>0</v>
      </c>
      <c r="L313" s="19" t="b">
        <v>0</v>
      </c>
      <c r="M313" s="19" t="b">
        <v>0</v>
      </c>
      <c r="N313" s="19" t="b">
        <v>0</v>
      </c>
      <c r="O313" s="19" t="b">
        <v>0</v>
      </c>
      <c r="P313" s="19" t="b">
        <v>0</v>
      </c>
    </row>
    <row r="314" spans="1:16" x14ac:dyDescent="0.2">
      <c r="A314" s="18">
        <v>6416778</v>
      </c>
      <c r="B314" s="18" t="s">
        <v>942</v>
      </c>
      <c r="C314" s="18" t="s">
        <v>150</v>
      </c>
      <c r="D314" s="18" t="s">
        <v>11</v>
      </c>
      <c r="E314" s="19">
        <v>45058</v>
      </c>
      <c r="F314" s="18" t="s">
        <v>813</v>
      </c>
      <c r="G314" s="19">
        <v>45084</v>
      </c>
      <c r="H314" s="19">
        <v>45106</v>
      </c>
      <c r="I314" s="18" t="s">
        <v>43</v>
      </c>
      <c r="J314" s="19" t="b">
        <v>1</v>
      </c>
      <c r="K314" s="19" t="b">
        <v>0</v>
      </c>
      <c r="L314" s="19" t="b">
        <v>0</v>
      </c>
      <c r="M314" s="19" t="b">
        <v>0</v>
      </c>
      <c r="N314" s="19" t="b">
        <v>0</v>
      </c>
      <c r="O314" s="19" t="b">
        <v>1</v>
      </c>
      <c r="P314" s="19" t="b">
        <v>0</v>
      </c>
    </row>
    <row r="315" spans="1:16" x14ac:dyDescent="0.2">
      <c r="A315" s="18">
        <v>6416778</v>
      </c>
      <c r="B315" s="18" t="s">
        <v>943</v>
      </c>
      <c r="C315" s="18" t="s">
        <v>150</v>
      </c>
      <c r="D315" s="18" t="s">
        <v>11</v>
      </c>
      <c r="E315" s="19">
        <v>45032</v>
      </c>
      <c r="F315" s="18" t="s">
        <v>944</v>
      </c>
      <c r="G315" s="19">
        <v>45033</v>
      </c>
      <c r="H315" s="19">
        <v>45041</v>
      </c>
      <c r="I315" s="18" t="s">
        <v>16</v>
      </c>
      <c r="J315" s="19" t="b">
        <v>1</v>
      </c>
      <c r="K315" s="19" t="b">
        <v>0</v>
      </c>
      <c r="L315" s="19" t="b">
        <v>0</v>
      </c>
      <c r="M315" s="19" t="b">
        <v>0</v>
      </c>
      <c r="N315" s="19" t="b">
        <v>1</v>
      </c>
      <c r="O315" s="19" t="b">
        <v>0</v>
      </c>
      <c r="P315" s="19" t="b">
        <v>0</v>
      </c>
    </row>
    <row r="316" spans="1:16" x14ac:dyDescent="0.2">
      <c r="A316" s="18">
        <v>6416778</v>
      </c>
      <c r="B316" s="18" t="s">
        <v>945</v>
      </c>
      <c r="C316" s="18" t="s">
        <v>150</v>
      </c>
      <c r="D316" s="18" t="s">
        <v>11</v>
      </c>
      <c r="E316" s="19">
        <v>44562</v>
      </c>
      <c r="F316" s="18" t="s">
        <v>946</v>
      </c>
      <c r="G316" s="19">
        <v>44576</v>
      </c>
      <c r="H316" s="19">
        <v>44589</v>
      </c>
      <c r="I316" s="18" t="s">
        <v>43</v>
      </c>
      <c r="J316" s="19" t="b">
        <v>1</v>
      </c>
      <c r="K316" s="19" t="b">
        <v>0</v>
      </c>
      <c r="L316" s="19" t="b">
        <v>0</v>
      </c>
      <c r="M316" s="19" t="b">
        <v>0</v>
      </c>
      <c r="N316" s="19" t="b">
        <v>0</v>
      </c>
      <c r="O316" s="19" t="b">
        <v>1</v>
      </c>
      <c r="P316" s="19" t="b">
        <v>0</v>
      </c>
    </row>
    <row r="317" spans="1:16" x14ac:dyDescent="0.2">
      <c r="A317" s="18">
        <v>3213134</v>
      </c>
      <c r="B317" s="18" t="s">
        <v>947</v>
      </c>
      <c r="C317" s="18" t="s">
        <v>131</v>
      </c>
      <c r="D317" s="18" t="s">
        <v>11</v>
      </c>
      <c r="E317" s="19">
        <v>44931</v>
      </c>
      <c r="F317" s="18" t="s">
        <v>228</v>
      </c>
      <c r="G317" s="19">
        <v>44940</v>
      </c>
      <c r="H317" s="19">
        <v>44946</v>
      </c>
      <c r="I317" s="18" t="s">
        <v>28</v>
      </c>
      <c r="J317" s="19" t="b">
        <v>1</v>
      </c>
      <c r="K317" s="19" t="b">
        <v>0</v>
      </c>
      <c r="L317" s="19" t="b">
        <v>0</v>
      </c>
      <c r="M317" s="19" t="b">
        <v>0</v>
      </c>
      <c r="N317" s="19" t="b">
        <v>0</v>
      </c>
      <c r="O317" s="19" t="b">
        <v>0</v>
      </c>
      <c r="P317" s="19" t="b">
        <v>1</v>
      </c>
    </row>
    <row r="318" spans="1:16" x14ac:dyDescent="0.2">
      <c r="A318" s="18">
        <v>3213134</v>
      </c>
      <c r="B318" s="18" t="s">
        <v>948</v>
      </c>
      <c r="C318" s="18" t="s">
        <v>131</v>
      </c>
      <c r="D318" s="18" t="s">
        <v>11</v>
      </c>
      <c r="E318" s="19">
        <v>44874</v>
      </c>
      <c r="F318" s="18" t="s">
        <v>98</v>
      </c>
      <c r="G318" s="19">
        <v>44898</v>
      </c>
      <c r="H318" s="19">
        <v>44943</v>
      </c>
      <c r="I318" s="18" t="s">
        <v>43</v>
      </c>
      <c r="J318" s="19" t="b">
        <v>1</v>
      </c>
      <c r="K318" s="19" t="b">
        <v>0</v>
      </c>
      <c r="L318" s="19" t="b">
        <v>0</v>
      </c>
      <c r="M318" s="19" t="b">
        <v>0</v>
      </c>
      <c r="N318" s="19" t="b">
        <v>0</v>
      </c>
      <c r="O318" s="19" t="b">
        <v>1</v>
      </c>
      <c r="P318" s="19" t="b">
        <v>0</v>
      </c>
    </row>
    <row r="319" spans="1:16" x14ac:dyDescent="0.2">
      <c r="A319" s="18">
        <v>8999489</v>
      </c>
      <c r="B319" s="18" t="s">
        <v>952</v>
      </c>
      <c r="C319" s="18" t="s">
        <v>76</v>
      </c>
      <c r="D319" s="18" t="s">
        <v>187</v>
      </c>
      <c r="E319" s="19">
        <v>44697</v>
      </c>
      <c r="F319" s="18" t="s">
        <v>953</v>
      </c>
      <c r="G319" s="19">
        <v>44713</v>
      </c>
      <c r="H319" s="19">
        <v>44718</v>
      </c>
      <c r="I319" s="18" t="s">
        <v>16</v>
      </c>
      <c r="J319" s="19" t="b">
        <v>1</v>
      </c>
      <c r="K319" s="19" t="b">
        <v>0</v>
      </c>
      <c r="L319" s="19" t="b">
        <v>0</v>
      </c>
      <c r="M319" s="19" t="b">
        <v>0</v>
      </c>
      <c r="N319" s="19" t="b">
        <v>1</v>
      </c>
      <c r="O319" s="19" t="b">
        <v>0</v>
      </c>
      <c r="P319" s="19" t="b">
        <v>0</v>
      </c>
    </row>
    <row r="320" spans="1:16" x14ac:dyDescent="0.2">
      <c r="A320" s="18">
        <v>8999489</v>
      </c>
      <c r="B320" s="18" t="s">
        <v>955</v>
      </c>
      <c r="C320" s="18" t="s">
        <v>76</v>
      </c>
      <c r="D320" s="18" t="s">
        <v>187</v>
      </c>
      <c r="E320" s="19">
        <v>44698</v>
      </c>
      <c r="F320" s="18" t="s">
        <v>469</v>
      </c>
      <c r="G320" s="19">
        <v>44719</v>
      </c>
      <c r="H320" s="19">
        <v>44763</v>
      </c>
      <c r="I320" s="18" t="s">
        <v>28</v>
      </c>
      <c r="J320" s="19" t="b">
        <v>1</v>
      </c>
      <c r="K320" s="19" t="b">
        <v>0</v>
      </c>
      <c r="L320" s="19" t="b">
        <v>0</v>
      </c>
      <c r="M320" s="19" t="b">
        <v>0</v>
      </c>
      <c r="N320" s="19" t="b">
        <v>0</v>
      </c>
      <c r="O320" s="19" t="b">
        <v>0</v>
      </c>
      <c r="P320" s="19" t="b">
        <v>1</v>
      </c>
    </row>
    <row r="321" spans="1:16" x14ac:dyDescent="0.2">
      <c r="A321" s="18">
        <v>3753418</v>
      </c>
      <c r="B321" s="18" t="s">
        <v>958</v>
      </c>
      <c r="C321" s="18" t="s">
        <v>287</v>
      </c>
      <c r="D321" s="18" t="s">
        <v>39</v>
      </c>
      <c r="E321" s="19">
        <v>45015</v>
      </c>
      <c r="F321" s="18" t="s">
        <v>959</v>
      </c>
      <c r="G321" s="19">
        <v>45043</v>
      </c>
      <c r="H321" s="19">
        <v>45057</v>
      </c>
      <c r="I321" s="18" t="s">
        <v>43</v>
      </c>
      <c r="J321" s="19" t="b">
        <v>1</v>
      </c>
      <c r="K321" s="19" t="b">
        <v>0</v>
      </c>
      <c r="L321" s="19" t="b">
        <v>0</v>
      </c>
      <c r="M321" s="19" t="b">
        <v>0</v>
      </c>
      <c r="N321" s="19" t="b">
        <v>0</v>
      </c>
      <c r="O321" s="19" t="b">
        <v>1</v>
      </c>
      <c r="P321" s="19" t="b">
        <v>0</v>
      </c>
    </row>
    <row r="322" spans="1:16" x14ac:dyDescent="0.2">
      <c r="A322" s="18">
        <v>7442986</v>
      </c>
      <c r="B322" s="18" t="s">
        <v>962</v>
      </c>
      <c r="C322" s="18" t="s">
        <v>542</v>
      </c>
      <c r="D322" s="18" t="s">
        <v>60</v>
      </c>
      <c r="E322" s="19">
        <v>44648</v>
      </c>
      <c r="F322" s="18" t="s">
        <v>963</v>
      </c>
      <c r="G322" s="19">
        <v>44656</v>
      </c>
      <c r="H322" s="19">
        <v>44692</v>
      </c>
      <c r="I322" s="18" t="s">
        <v>43</v>
      </c>
      <c r="J322" s="19" t="b">
        <v>1</v>
      </c>
      <c r="K322" s="19" t="b">
        <v>0</v>
      </c>
      <c r="L322" s="19" t="b">
        <v>0</v>
      </c>
      <c r="M322" s="19" t="b">
        <v>0</v>
      </c>
      <c r="N322" s="19" t="b">
        <v>0</v>
      </c>
      <c r="O322" s="19" t="b">
        <v>1</v>
      </c>
      <c r="P322" s="19" t="b">
        <v>0</v>
      </c>
    </row>
    <row r="323" spans="1:16" x14ac:dyDescent="0.2">
      <c r="A323" s="18">
        <v>7442986</v>
      </c>
      <c r="B323" s="18" t="s">
        <v>964</v>
      </c>
      <c r="C323" s="18" t="s">
        <v>542</v>
      </c>
      <c r="D323" s="18" t="s">
        <v>60</v>
      </c>
      <c r="E323" s="19">
        <v>44589</v>
      </c>
      <c r="F323" s="18" t="s">
        <v>965</v>
      </c>
      <c r="G323" s="19">
        <v>44617</v>
      </c>
      <c r="H323" s="19">
        <v>44672</v>
      </c>
      <c r="I323" s="18" t="s">
        <v>28</v>
      </c>
      <c r="J323" s="19" t="b">
        <v>1</v>
      </c>
      <c r="K323" s="19" t="b">
        <v>0</v>
      </c>
      <c r="L323" s="19" t="b">
        <v>0</v>
      </c>
      <c r="M323" s="19" t="b">
        <v>0</v>
      </c>
      <c r="N323" s="19" t="b">
        <v>0</v>
      </c>
      <c r="O323" s="19" t="b">
        <v>0</v>
      </c>
      <c r="P323" s="19" t="b">
        <v>1</v>
      </c>
    </row>
    <row r="324" spans="1:16" x14ac:dyDescent="0.2">
      <c r="A324" s="18">
        <v>7442986</v>
      </c>
      <c r="B324" s="18" t="s">
        <v>966</v>
      </c>
      <c r="C324" s="18" t="s">
        <v>542</v>
      </c>
      <c r="D324" s="18" t="s">
        <v>60</v>
      </c>
      <c r="E324" s="19">
        <v>45083</v>
      </c>
      <c r="F324" s="18" t="s">
        <v>967</v>
      </c>
      <c r="G324" s="19">
        <v>45090</v>
      </c>
      <c r="H324" s="19">
        <v>45138</v>
      </c>
      <c r="I324" s="18" t="s">
        <v>28</v>
      </c>
      <c r="J324" s="19" t="b">
        <v>1</v>
      </c>
      <c r="K324" s="19" t="b">
        <v>0</v>
      </c>
      <c r="L324" s="19" t="b">
        <v>0</v>
      </c>
      <c r="M324" s="19" t="b">
        <v>0</v>
      </c>
      <c r="N324" s="19" t="b">
        <v>0</v>
      </c>
      <c r="O324" s="19" t="b">
        <v>0</v>
      </c>
      <c r="P324" s="19" t="b">
        <v>1</v>
      </c>
    </row>
    <row r="325" spans="1:16" x14ac:dyDescent="0.2">
      <c r="A325" s="18">
        <v>7572491</v>
      </c>
      <c r="B325" s="18" t="s">
        <v>968</v>
      </c>
      <c r="C325" s="18" t="s">
        <v>110</v>
      </c>
      <c r="D325" s="18" t="s">
        <v>56</v>
      </c>
      <c r="E325" s="19">
        <v>44634</v>
      </c>
      <c r="F325" s="18" t="s">
        <v>969</v>
      </c>
      <c r="G325" s="19">
        <v>44651</v>
      </c>
      <c r="H325" s="19">
        <v>44708</v>
      </c>
      <c r="I325" s="18" t="s">
        <v>16</v>
      </c>
      <c r="J325" s="19" t="b">
        <v>1</v>
      </c>
      <c r="K325" s="19" t="b">
        <v>0</v>
      </c>
      <c r="L325" s="19" t="b">
        <v>0</v>
      </c>
      <c r="M325" s="19" t="b">
        <v>0</v>
      </c>
      <c r="N325" s="19" t="b">
        <v>1</v>
      </c>
      <c r="O325" s="19" t="b">
        <v>0</v>
      </c>
      <c r="P325" s="19" t="b">
        <v>0</v>
      </c>
    </row>
    <row r="326" spans="1:16" x14ac:dyDescent="0.2">
      <c r="A326" s="18">
        <v>7572491</v>
      </c>
      <c r="B326" s="18" t="s">
        <v>970</v>
      </c>
      <c r="C326" s="18" t="s">
        <v>110</v>
      </c>
      <c r="D326" s="18" t="s">
        <v>56</v>
      </c>
      <c r="E326" s="19">
        <v>44697</v>
      </c>
      <c r="F326" s="18" t="s">
        <v>971</v>
      </c>
      <c r="G326" s="19">
        <v>44710</v>
      </c>
      <c r="H326" s="19">
        <v>44766</v>
      </c>
      <c r="I326" s="18" t="s">
        <v>28</v>
      </c>
      <c r="J326" s="19" t="b">
        <v>1</v>
      </c>
      <c r="K326" s="19" t="b">
        <v>0</v>
      </c>
      <c r="L326" s="19" t="b">
        <v>0</v>
      </c>
      <c r="M326" s="19" t="b">
        <v>0</v>
      </c>
      <c r="N326" s="19" t="b">
        <v>0</v>
      </c>
      <c r="O326" s="19" t="b">
        <v>0</v>
      </c>
      <c r="P326" s="19" t="b">
        <v>1</v>
      </c>
    </row>
    <row r="327" spans="1:16" x14ac:dyDescent="0.2">
      <c r="A327" s="18">
        <v>8060918</v>
      </c>
      <c r="B327" s="18" t="s">
        <v>972</v>
      </c>
      <c r="C327" s="18" t="s">
        <v>542</v>
      </c>
      <c r="D327" s="18" t="s">
        <v>139</v>
      </c>
      <c r="E327" s="19">
        <v>44631</v>
      </c>
      <c r="F327" s="18" t="s">
        <v>973</v>
      </c>
      <c r="G327" s="19">
        <v>44632</v>
      </c>
      <c r="H327" s="19">
        <v>44649</v>
      </c>
      <c r="I327" s="18" t="s">
        <v>16</v>
      </c>
      <c r="J327" s="19" t="b">
        <v>1</v>
      </c>
      <c r="K327" s="19" t="b">
        <v>0</v>
      </c>
      <c r="L327" s="19" t="b">
        <v>0</v>
      </c>
      <c r="M327" s="19" t="b">
        <v>0</v>
      </c>
      <c r="N327" s="19" t="b">
        <v>1</v>
      </c>
      <c r="O327" s="19" t="b">
        <v>0</v>
      </c>
      <c r="P327" s="19" t="b">
        <v>0</v>
      </c>
    </row>
    <row r="328" spans="1:16" x14ac:dyDescent="0.2">
      <c r="A328" s="18">
        <v>5806467</v>
      </c>
      <c r="B328" s="18" t="s">
        <v>976</v>
      </c>
      <c r="C328" s="18" t="s">
        <v>265</v>
      </c>
      <c r="D328" s="18" t="s">
        <v>139</v>
      </c>
      <c r="E328" s="19">
        <v>44718</v>
      </c>
      <c r="F328" s="18" t="s">
        <v>977</v>
      </c>
      <c r="G328" s="19">
        <v>44727</v>
      </c>
      <c r="H328" s="19">
        <v>44733</v>
      </c>
      <c r="I328" s="18"/>
      <c r="J328" s="19" t="b">
        <v>1</v>
      </c>
      <c r="K328" s="19" t="b">
        <v>0</v>
      </c>
      <c r="L328" s="19" t="b">
        <v>0</v>
      </c>
      <c r="M328" s="19" t="b">
        <v>0</v>
      </c>
      <c r="N328" s="19" t="b">
        <v>0</v>
      </c>
      <c r="O328" s="19" t="b">
        <v>0</v>
      </c>
      <c r="P328" s="19" t="b">
        <v>0</v>
      </c>
    </row>
    <row r="329" spans="1:16" x14ac:dyDescent="0.2">
      <c r="A329" s="18">
        <v>5806467</v>
      </c>
      <c r="B329" s="18" t="s">
        <v>978</v>
      </c>
      <c r="C329" s="18" t="s">
        <v>265</v>
      </c>
      <c r="D329" s="18" t="s">
        <v>139</v>
      </c>
      <c r="E329" s="19">
        <v>44896</v>
      </c>
      <c r="F329" s="18" t="s">
        <v>979</v>
      </c>
      <c r="G329" s="19">
        <v>44909</v>
      </c>
      <c r="H329" s="19">
        <v>44947</v>
      </c>
      <c r="I329" s="18" t="s">
        <v>43</v>
      </c>
      <c r="J329" s="19" t="b">
        <v>1</v>
      </c>
      <c r="K329" s="19" t="b">
        <v>0</v>
      </c>
      <c r="L329" s="19" t="b">
        <v>0</v>
      </c>
      <c r="M329" s="19" t="b">
        <v>0</v>
      </c>
      <c r="N329" s="19" t="b">
        <v>0</v>
      </c>
      <c r="O329" s="19" t="b">
        <v>1</v>
      </c>
      <c r="P329" s="19" t="b">
        <v>0</v>
      </c>
    </row>
    <row r="330" spans="1:16" x14ac:dyDescent="0.2">
      <c r="A330" s="18">
        <v>5806467</v>
      </c>
      <c r="B330" s="18" t="s">
        <v>980</v>
      </c>
      <c r="C330" s="18" t="s">
        <v>265</v>
      </c>
      <c r="D330" s="18" t="s">
        <v>139</v>
      </c>
      <c r="E330" s="19">
        <v>45009</v>
      </c>
      <c r="F330" s="18" t="s">
        <v>981</v>
      </c>
      <c r="G330" s="19">
        <v>45033</v>
      </c>
      <c r="H330" s="19">
        <v>45088</v>
      </c>
      <c r="I330" s="18" t="s">
        <v>16</v>
      </c>
      <c r="J330" s="19" t="b">
        <v>1</v>
      </c>
      <c r="K330" s="19" t="b">
        <v>0</v>
      </c>
      <c r="L330" s="19" t="b">
        <v>0</v>
      </c>
      <c r="M330" s="19" t="b">
        <v>0</v>
      </c>
      <c r="N330" s="19" t="b">
        <v>1</v>
      </c>
      <c r="O330" s="19" t="b">
        <v>0</v>
      </c>
      <c r="P330" s="19" t="b">
        <v>0</v>
      </c>
    </row>
    <row r="331" spans="1:16" x14ac:dyDescent="0.2">
      <c r="A331" s="18">
        <v>5349442</v>
      </c>
      <c r="B331" s="18" t="s">
        <v>988</v>
      </c>
      <c r="C331" s="18" t="s">
        <v>38</v>
      </c>
      <c r="D331" s="18" t="s">
        <v>39</v>
      </c>
      <c r="E331" s="19">
        <v>44682</v>
      </c>
      <c r="F331" s="18" t="s">
        <v>989</v>
      </c>
      <c r="G331" s="19">
        <v>44707</v>
      </c>
      <c r="H331" s="19">
        <v>44765</v>
      </c>
      <c r="I331" s="18" t="s">
        <v>28</v>
      </c>
      <c r="J331" s="19" t="b">
        <v>1</v>
      </c>
      <c r="K331" s="19" t="b">
        <v>0</v>
      </c>
      <c r="L331" s="19" t="b">
        <v>0</v>
      </c>
      <c r="M331" s="19" t="b">
        <v>0</v>
      </c>
      <c r="N331" s="19" t="b">
        <v>0</v>
      </c>
      <c r="O331" s="19" t="b">
        <v>0</v>
      </c>
      <c r="P331" s="19" t="b">
        <v>1</v>
      </c>
    </row>
    <row r="332" spans="1:16" x14ac:dyDescent="0.2">
      <c r="A332" s="18">
        <v>2071594</v>
      </c>
      <c r="B332" s="18" t="s">
        <v>992</v>
      </c>
      <c r="C332" s="18" t="s">
        <v>282</v>
      </c>
      <c r="D332" s="18" t="s">
        <v>81</v>
      </c>
      <c r="E332" s="19">
        <v>44732</v>
      </c>
      <c r="F332" s="18" t="s">
        <v>993</v>
      </c>
      <c r="G332" s="19">
        <v>44744</v>
      </c>
      <c r="H332" s="19">
        <v>44755</v>
      </c>
      <c r="I332" s="18" t="s">
        <v>28</v>
      </c>
      <c r="J332" s="19" t="b">
        <v>1</v>
      </c>
      <c r="K332" s="19" t="b">
        <v>0</v>
      </c>
      <c r="L332" s="19" t="b">
        <v>0</v>
      </c>
      <c r="M332" s="19" t="b">
        <v>0</v>
      </c>
      <c r="N332" s="19" t="b">
        <v>0</v>
      </c>
      <c r="O332" s="19" t="b">
        <v>0</v>
      </c>
      <c r="P332" s="19" t="b">
        <v>1</v>
      </c>
    </row>
    <row r="333" spans="1:16" x14ac:dyDescent="0.2">
      <c r="A333" s="18">
        <v>5280137</v>
      </c>
      <c r="B333" s="18" t="s">
        <v>994</v>
      </c>
      <c r="C333" s="18" t="s">
        <v>35</v>
      </c>
      <c r="D333" s="18" t="s">
        <v>122</v>
      </c>
      <c r="E333" s="19">
        <v>45083</v>
      </c>
      <c r="F333" s="18" t="s">
        <v>995</v>
      </c>
      <c r="G333" s="19">
        <v>45084</v>
      </c>
      <c r="H333" s="19">
        <v>45087</v>
      </c>
      <c r="I333" s="18" t="s">
        <v>16</v>
      </c>
      <c r="J333" s="19" t="b">
        <v>1</v>
      </c>
      <c r="K333" s="19" t="b">
        <v>0</v>
      </c>
      <c r="L333" s="19" t="b">
        <v>0</v>
      </c>
      <c r="M333" s="19" t="b">
        <v>0</v>
      </c>
      <c r="N333" s="19" t="b">
        <v>1</v>
      </c>
      <c r="O333" s="19" t="b">
        <v>0</v>
      </c>
      <c r="P333" s="19" t="b">
        <v>0</v>
      </c>
    </row>
    <row r="334" spans="1:16" x14ac:dyDescent="0.2">
      <c r="A334" s="18">
        <v>5280137</v>
      </c>
      <c r="B334" s="18" t="s">
        <v>996</v>
      </c>
      <c r="C334" s="18" t="s">
        <v>35</v>
      </c>
      <c r="D334" s="18" t="s">
        <v>122</v>
      </c>
      <c r="E334" s="19">
        <v>45045</v>
      </c>
      <c r="F334" s="18" t="s">
        <v>997</v>
      </c>
      <c r="G334" s="19">
        <v>45057</v>
      </c>
      <c r="H334" s="19">
        <v>45082</v>
      </c>
      <c r="I334" s="18" t="s">
        <v>16</v>
      </c>
      <c r="J334" s="19" t="b">
        <v>1</v>
      </c>
      <c r="K334" s="19" t="b">
        <v>0</v>
      </c>
      <c r="L334" s="19" t="b">
        <v>0</v>
      </c>
      <c r="M334" s="19" t="b">
        <v>0</v>
      </c>
      <c r="N334" s="19" t="b">
        <v>1</v>
      </c>
      <c r="O334" s="19" t="b">
        <v>0</v>
      </c>
      <c r="P334" s="19" t="b">
        <v>0</v>
      </c>
    </row>
    <row r="335" spans="1:16" x14ac:dyDescent="0.2">
      <c r="A335" s="18">
        <v>5280137</v>
      </c>
      <c r="B335" s="18" t="s">
        <v>998</v>
      </c>
      <c r="C335" s="18" t="s">
        <v>35</v>
      </c>
      <c r="D335" s="18" t="s">
        <v>122</v>
      </c>
      <c r="E335" s="19">
        <v>44598</v>
      </c>
      <c r="F335" s="18" t="s">
        <v>999</v>
      </c>
      <c r="G335" s="19">
        <v>44616</v>
      </c>
      <c r="H335" s="19">
        <v>44668</v>
      </c>
      <c r="I335" s="18" t="s">
        <v>43</v>
      </c>
      <c r="J335" s="19" t="b">
        <v>1</v>
      </c>
      <c r="K335" s="19" t="b">
        <v>0</v>
      </c>
      <c r="L335" s="19" t="b">
        <v>0</v>
      </c>
      <c r="M335" s="19" t="b">
        <v>0</v>
      </c>
      <c r="N335" s="19" t="b">
        <v>0</v>
      </c>
      <c r="O335" s="19" t="b">
        <v>1</v>
      </c>
      <c r="P335" s="19" t="b">
        <v>0</v>
      </c>
    </row>
    <row r="336" spans="1:16" x14ac:dyDescent="0.2">
      <c r="A336" s="18">
        <v>5280137</v>
      </c>
      <c r="B336" s="18" t="s">
        <v>1000</v>
      </c>
      <c r="C336" s="18" t="s">
        <v>35</v>
      </c>
      <c r="D336" s="18" t="s">
        <v>122</v>
      </c>
      <c r="E336" s="19">
        <v>44816</v>
      </c>
      <c r="F336" s="18" t="s">
        <v>1001</v>
      </c>
      <c r="G336" s="19">
        <v>44830</v>
      </c>
      <c r="H336" s="19">
        <v>44889</v>
      </c>
      <c r="I336" s="18"/>
      <c r="J336" s="19" t="b">
        <v>1</v>
      </c>
      <c r="K336" s="19" t="b">
        <v>0</v>
      </c>
      <c r="L336" s="19" t="b">
        <v>0</v>
      </c>
      <c r="M336" s="19" t="b">
        <v>0</v>
      </c>
      <c r="N336" s="19" t="b">
        <v>0</v>
      </c>
      <c r="O336" s="19" t="b">
        <v>0</v>
      </c>
      <c r="P336" s="19" t="b">
        <v>0</v>
      </c>
    </row>
    <row r="337" spans="1:16" x14ac:dyDescent="0.2">
      <c r="A337" s="18">
        <v>5280137</v>
      </c>
      <c r="B337" s="18" t="s">
        <v>1002</v>
      </c>
      <c r="C337" s="18" t="s">
        <v>35</v>
      </c>
      <c r="D337" s="18" t="s">
        <v>122</v>
      </c>
      <c r="E337" s="19">
        <v>44943</v>
      </c>
      <c r="F337" s="18" t="s">
        <v>1003</v>
      </c>
      <c r="G337" s="19">
        <v>44947</v>
      </c>
      <c r="H337" s="19">
        <v>44980</v>
      </c>
      <c r="I337" s="18" t="s">
        <v>28</v>
      </c>
      <c r="J337" s="19" t="b">
        <v>1</v>
      </c>
      <c r="K337" s="19" t="b">
        <v>0</v>
      </c>
      <c r="L337" s="19" t="b">
        <v>0</v>
      </c>
      <c r="M337" s="19" t="b">
        <v>0</v>
      </c>
      <c r="N337" s="19" t="b">
        <v>0</v>
      </c>
      <c r="O337" s="19" t="b">
        <v>0</v>
      </c>
      <c r="P337" s="19" t="b">
        <v>1</v>
      </c>
    </row>
    <row r="338" spans="1:16" x14ac:dyDescent="0.2">
      <c r="A338" s="18">
        <v>1883692</v>
      </c>
      <c r="B338" s="18" t="s">
        <v>1004</v>
      </c>
      <c r="C338" s="18" t="s">
        <v>38</v>
      </c>
      <c r="D338" s="18" t="s">
        <v>19</v>
      </c>
      <c r="E338" s="19">
        <v>45038</v>
      </c>
      <c r="F338" s="18" t="s">
        <v>1005</v>
      </c>
      <c r="G338" s="19">
        <v>45066</v>
      </c>
      <c r="H338" s="19">
        <v>45085</v>
      </c>
      <c r="I338" s="18"/>
      <c r="J338" s="19" t="b">
        <v>1</v>
      </c>
      <c r="K338" s="19" t="b">
        <v>0</v>
      </c>
      <c r="L338" s="19" t="b">
        <v>0</v>
      </c>
      <c r="M338" s="19" t="b">
        <v>0</v>
      </c>
      <c r="N338" s="19" t="b">
        <v>0</v>
      </c>
      <c r="O338" s="19" t="b">
        <v>0</v>
      </c>
      <c r="P338" s="19" t="b">
        <v>0</v>
      </c>
    </row>
    <row r="339" spans="1:16" x14ac:dyDescent="0.2">
      <c r="A339" s="18">
        <v>1883692</v>
      </c>
      <c r="B339" s="18" t="s">
        <v>1006</v>
      </c>
      <c r="C339" s="18" t="s">
        <v>38</v>
      </c>
      <c r="D339" s="18" t="s">
        <v>19</v>
      </c>
      <c r="E339" s="19">
        <v>45029</v>
      </c>
      <c r="F339" s="18" t="s">
        <v>1007</v>
      </c>
      <c r="G339" s="19">
        <v>45030</v>
      </c>
      <c r="H339" s="19">
        <v>45054</v>
      </c>
      <c r="I339" s="18" t="s">
        <v>28</v>
      </c>
      <c r="J339" s="19" t="b">
        <v>1</v>
      </c>
      <c r="K339" s="19" t="b">
        <v>0</v>
      </c>
      <c r="L339" s="19" t="b">
        <v>0</v>
      </c>
      <c r="M339" s="19" t="b">
        <v>0</v>
      </c>
      <c r="N339" s="19" t="b">
        <v>0</v>
      </c>
      <c r="O339" s="19" t="b">
        <v>0</v>
      </c>
      <c r="P339" s="19" t="b">
        <v>1</v>
      </c>
    </row>
    <row r="340" spans="1:16" x14ac:dyDescent="0.2">
      <c r="A340" s="18">
        <v>1883692</v>
      </c>
      <c r="B340" s="18" t="s">
        <v>1010</v>
      </c>
      <c r="C340" s="18" t="s">
        <v>38</v>
      </c>
      <c r="D340" s="18" t="s">
        <v>19</v>
      </c>
      <c r="E340" s="19">
        <v>45067</v>
      </c>
      <c r="F340" s="18" t="s">
        <v>1011</v>
      </c>
      <c r="G340" s="19">
        <v>45092</v>
      </c>
      <c r="H340" s="19">
        <v>45142</v>
      </c>
      <c r="I340" s="18"/>
      <c r="J340" s="19" t="b">
        <v>1</v>
      </c>
      <c r="K340" s="19" t="b">
        <v>0</v>
      </c>
      <c r="L340" s="19" t="b">
        <v>0</v>
      </c>
      <c r="M340" s="19" t="b">
        <v>0</v>
      </c>
      <c r="N340" s="19" t="b">
        <v>0</v>
      </c>
      <c r="O340" s="19" t="b">
        <v>0</v>
      </c>
      <c r="P340" s="19" t="b">
        <v>0</v>
      </c>
    </row>
    <row r="341" spans="1:16" x14ac:dyDescent="0.2">
      <c r="A341" s="18">
        <v>1024528</v>
      </c>
      <c r="B341" s="18" t="s">
        <v>1017</v>
      </c>
      <c r="C341" s="18" t="s">
        <v>35</v>
      </c>
      <c r="D341" s="18" t="s">
        <v>60</v>
      </c>
      <c r="E341" s="19">
        <v>44657</v>
      </c>
      <c r="F341" s="18" t="s">
        <v>1018</v>
      </c>
      <c r="G341" s="19">
        <v>44659</v>
      </c>
      <c r="H341" s="19">
        <v>44718</v>
      </c>
      <c r="I341" s="18" t="s">
        <v>43</v>
      </c>
      <c r="J341" s="19" t="b">
        <v>1</v>
      </c>
      <c r="K341" s="19" t="b">
        <v>0</v>
      </c>
      <c r="L341" s="19" t="b">
        <v>0</v>
      </c>
      <c r="M341" s="19" t="b">
        <v>0</v>
      </c>
      <c r="N341" s="19" t="b">
        <v>0</v>
      </c>
      <c r="O341" s="19" t="b">
        <v>1</v>
      </c>
      <c r="P341" s="19" t="b">
        <v>0</v>
      </c>
    </row>
    <row r="342" spans="1:16" x14ac:dyDescent="0.2">
      <c r="A342" s="18">
        <v>7249378</v>
      </c>
      <c r="B342" s="18" t="s">
        <v>1025</v>
      </c>
      <c r="C342" s="18" t="s">
        <v>287</v>
      </c>
      <c r="D342" s="18" t="s">
        <v>122</v>
      </c>
      <c r="E342" s="19">
        <v>44804</v>
      </c>
      <c r="F342" s="18" t="s">
        <v>1026</v>
      </c>
      <c r="G342" s="19">
        <v>44814</v>
      </c>
      <c r="H342" s="19">
        <v>44831</v>
      </c>
      <c r="I342" s="18"/>
      <c r="J342" s="19" t="b">
        <v>1</v>
      </c>
      <c r="K342" s="19" t="b">
        <v>0</v>
      </c>
      <c r="L342" s="19" t="b">
        <v>0</v>
      </c>
      <c r="M342" s="19" t="b">
        <v>0</v>
      </c>
      <c r="N342" s="19" t="b">
        <v>0</v>
      </c>
      <c r="O342" s="19" t="b">
        <v>0</v>
      </c>
      <c r="P342" s="19" t="b">
        <v>0</v>
      </c>
    </row>
    <row r="343" spans="1:16" x14ac:dyDescent="0.2">
      <c r="A343" s="18">
        <v>7249378</v>
      </c>
      <c r="B343" s="18" t="s">
        <v>1027</v>
      </c>
      <c r="C343" s="18" t="s">
        <v>287</v>
      </c>
      <c r="D343" s="18" t="s">
        <v>122</v>
      </c>
      <c r="E343" s="19">
        <v>44896</v>
      </c>
      <c r="F343" s="18" t="s">
        <v>547</v>
      </c>
      <c r="G343" s="19">
        <v>44907</v>
      </c>
      <c r="H343" s="19">
        <v>44936</v>
      </c>
      <c r="I343" s="18"/>
      <c r="J343" s="19" t="b">
        <v>1</v>
      </c>
      <c r="K343" s="19" t="b">
        <v>0</v>
      </c>
      <c r="L343" s="19" t="b">
        <v>0</v>
      </c>
      <c r="M343" s="19" t="b">
        <v>0</v>
      </c>
      <c r="N343" s="19" t="b">
        <v>0</v>
      </c>
      <c r="O343" s="19" t="b">
        <v>0</v>
      </c>
      <c r="P343" s="19" t="b">
        <v>0</v>
      </c>
    </row>
    <row r="344" spans="1:16" x14ac:dyDescent="0.2">
      <c r="A344" s="18">
        <v>2772642</v>
      </c>
      <c r="B344" s="18" t="s">
        <v>1034</v>
      </c>
      <c r="C344" s="18" t="s">
        <v>38</v>
      </c>
      <c r="D344" s="18" t="s">
        <v>77</v>
      </c>
      <c r="E344" s="19">
        <v>44897</v>
      </c>
      <c r="F344" s="18" t="s">
        <v>1035</v>
      </c>
      <c r="G344" s="19">
        <v>44902</v>
      </c>
      <c r="H344" s="19">
        <v>44908</v>
      </c>
      <c r="I344" s="18" t="s">
        <v>16</v>
      </c>
      <c r="J344" s="19" t="b">
        <v>1</v>
      </c>
      <c r="K344" s="19" t="b">
        <v>0</v>
      </c>
      <c r="L344" s="19" t="b">
        <v>0</v>
      </c>
      <c r="M344" s="19" t="b">
        <v>0</v>
      </c>
      <c r="N344" s="19" t="b">
        <v>1</v>
      </c>
      <c r="O344" s="19" t="b">
        <v>0</v>
      </c>
      <c r="P344" s="19" t="b">
        <v>0</v>
      </c>
    </row>
    <row r="345" spans="1:16" x14ac:dyDescent="0.2">
      <c r="A345" s="18">
        <v>5164420</v>
      </c>
      <c r="B345" s="18" t="s">
        <v>1040</v>
      </c>
      <c r="C345" s="18" t="s">
        <v>542</v>
      </c>
      <c r="D345" s="18" t="s">
        <v>60</v>
      </c>
      <c r="E345" s="19">
        <v>44666</v>
      </c>
      <c r="F345" s="18" t="s">
        <v>1041</v>
      </c>
      <c r="G345" s="19">
        <v>44692</v>
      </c>
      <c r="H345" s="19">
        <v>44743</v>
      </c>
      <c r="I345" s="18" t="s">
        <v>43</v>
      </c>
      <c r="J345" s="19" t="b">
        <v>1</v>
      </c>
      <c r="K345" s="19" t="b">
        <v>0</v>
      </c>
      <c r="L345" s="19" t="b">
        <v>0</v>
      </c>
      <c r="M345" s="19" t="b">
        <v>0</v>
      </c>
      <c r="N345" s="19" t="b">
        <v>0</v>
      </c>
      <c r="O345" s="19" t="b">
        <v>1</v>
      </c>
      <c r="P345" s="19" t="b">
        <v>0</v>
      </c>
    </row>
    <row r="346" spans="1:16" x14ac:dyDescent="0.2">
      <c r="A346" s="18">
        <v>2081661</v>
      </c>
      <c r="B346" s="18" t="s">
        <v>1048</v>
      </c>
      <c r="C346" s="18" t="s">
        <v>454</v>
      </c>
      <c r="D346" s="18" t="s">
        <v>77</v>
      </c>
      <c r="E346" s="19">
        <v>45034</v>
      </c>
      <c r="F346" s="18" t="s">
        <v>1049</v>
      </c>
      <c r="G346" s="19">
        <v>45036</v>
      </c>
      <c r="H346" s="19">
        <v>45047</v>
      </c>
      <c r="I346" s="18" t="s">
        <v>28</v>
      </c>
      <c r="J346" s="19" t="b">
        <v>1</v>
      </c>
      <c r="K346" s="19" t="b">
        <v>0</v>
      </c>
      <c r="L346" s="19" t="b">
        <v>0</v>
      </c>
      <c r="M346" s="19" t="b">
        <v>0</v>
      </c>
      <c r="N346" s="19" t="b">
        <v>0</v>
      </c>
      <c r="O346" s="19" t="b">
        <v>0</v>
      </c>
      <c r="P346" s="19" t="b">
        <v>1</v>
      </c>
    </row>
    <row r="347" spans="1:16" x14ac:dyDescent="0.2">
      <c r="A347" s="18">
        <v>7626978</v>
      </c>
      <c r="B347" s="18" t="s">
        <v>1050</v>
      </c>
      <c r="C347" s="18" t="s">
        <v>363</v>
      </c>
      <c r="D347" s="18" t="s">
        <v>56</v>
      </c>
      <c r="E347" s="19">
        <v>44753</v>
      </c>
      <c r="F347" s="18" t="s">
        <v>1051</v>
      </c>
      <c r="G347" s="19">
        <v>44762</v>
      </c>
      <c r="H347" s="19">
        <v>44780</v>
      </c>
      <c r="I347" s="18" t="s">
        <v>43</v>
      </c>
      <c r="J347" s="19" t="b">
        <v>1</v>
      </c>
      <c r="K347" s="19" t="b">
        <v>0</v>
      </c>
      <c r="L347" s="19" t="b">
        <v>0</v>
      </c>
      <c r="M347" s="19" t="b">
        <v>0</v>
      </c>
      <c r="N347" s="19" t="b">
        <v>0</v>
      </c>
      <c r="O347" s="19" t="b">
        <v>1</v>
      </c>
      <c r="P347" s="19" t="b">
        <v>0</v>
      </c>
    </row>
    <row r="348" spans="1:16" x14ac:dyDescent="0.2">
      <c r="A348" s="18">
        <v>7626978</v>
      </c>
      <c r="B348" s="18" t="s">
        <v>1052</v>
      </c>
      <c r="C348" s="18" t="s">
        <v>363</v>
      </c>
      <c r="D348" s="18" t="s">
        <v>56</v>
      </c>
      <c r="E348" s="19">
        <v>44813</v>
      </c>
      <c r="F348" s="18" t="s">
        <v>347</v>
      </c>
      <c r="G348" s="19">
        <v>44834</v>
      </c>
      <c r="H348" s="19">
        <v>44853</v>
      </c>
      <c r="I348" s="18" t="s">
        <v>43</v>
      </c>
      <c r="J348" s="19" t="b">
        <v>1</v>
      </c>
      <c r="K348" s="19" t="b">
        <v>0</v>
      </c>
      <c r="L348" s="19" t="b">
        <v>0</v>
      </c>
      <c r="M348" s="19" t="b">
        <v>0</v>
      </c>
      <c r="N348" s="19" t="b">
        <v>0</v>
      </c>
      <c r="O348" s="19" t="b">
        <v>1</v>
      </c>
      <c r="P348" s="19" t="b">
        <v>0</v>
      </c>
    </row>
    <row r="349" spans="1:16" x14ac:dyDescent="0.2">
      <c r="A349" s="18">
        <v>7626978</v>
      </c>
      <c r="B349" s="18" t="s">
        <v>1053</v>
      </c>
      <c r="C349" s="18" t="s">
        <v>363</v>
      </c>
      <c r="D349" s="18" t="s">
        <v>56</v>
      </c>
      <c r="E349" s="19">
        <v>44848</v>
      </c>
      <c r="F349" s="18" t="s">
        <v>1054</v>
      </c>
      <c r="G349" s="19">
        <v>44861</v>
      </c>
      <c r="H349" s="19">
        <v>44870</v>
      </c>
      <c r="I349" s="18"/>
      <c r="J349" s="19" t="b">
        <v>1</v>
      </c>
      <c r="K349" s="19" t="b">
        <v>0</v>
      </c>
      <c r="L349" s="19" t="b">
        <v>0</v>
      </c>
      <c r="M349" s="19" t="b">
        <v>0</v>
      </c>
      <c r="N349" s="19" t="b">
        <v>0</v>
      </c>
      <c r="O349" s="19" t="b">
        <v>0</v>
      </c>
      <c r="P349" s="19" t="b">
        <v>0</v>
      </c>
    </row>
    <row r="350" spans="1:16" x14ac:dyDescent="0.2">
      <c r="A350" s="18">
        <v>7626978</v>
      </c>
      <c r="B350" s="18" t="s">
        <v>1055</v>
      </c>
      <c r="C350" s="18" t="s">
        <v>363</v>
      </c>
      <c r="D350" s="18" t="s">
        <v>56</v>
      </c>
      <c r="E350" s="19">
        <v>44581</v>
      </c>
      <c r="F350" s="18" t="s">
        <v>1056</v>
      </c>
      <c r="G350" s="19">
        <v>44594</v>
      </c>
      <c r="H350" s="19">
        <v>44645</v>
      </c>
      <c r="I350" s="18" t="s">
        <v>43</v>
      </c>
      <c r="J350" s="19" t="b">
        <v>1</v>
      </c>
      <c r="K350" s="19" t="b">
        <v>0</v>
      </c>
      <c r="L350" s="19" t="b">
        <v>0</v>
      </c>
      <c r="M350" s="19" t="b">
        <v>0</v>
      </c>
      <c r="N350" s="19" t="b">
        <v>0</v>
      </c>
      <c r="O350" s="19" t="b">
        <v>1</v>
      </c>
      <c r="P350" s="19" t="b">
        <v>0</v>
      </c>
    </row>
    <row r="351" spans="1:16" x14ac:dyDescent="0.2">
      <c r="A351" s="18">
        <v>7024901</v>
      </c>
      <c r="B351" s="18" t="s">
        <v>1061</v>
      </c>
      <c r="C351" s="18" t="s">
        <v>363</v>
      </c>
      <c r="D351" s="18" t="s">
        <v>139</v>
      </c>
      <c r="E351" s="19">
        <v>45045</v>
      </c>
      <c r="F351" s="18" t="s">
        <v>1062</v>
      </c>
      <c r="G351" s="19">
        <v>45062</v>
      </c>
      <c r="H351" s="19">
        <v>45085</v>
      </c>
      <c r="I351" s="18" t="s">
        <v>28</v>
      </c>
      <c r="J351" s="19" t="b">
        <v>1</v>
      </c>
      <c r="K351" s="19" t="b">
        <v>0</v>
      </c>
      <c r="L351" s="19" t="b">
        <v>0</v>
      </c>
      <c r="M351" s="19" t="b">
        <v>0</v>
      </c>
      <c r="N351" s="19" t="b">
        <v>0</v>
      </c>
      <c r="O351" s="19" t="b">
        <v>0</v>
      </c>
      <c r="P351" s="19" t="b">
        <v>1</v>
      </c>
    </row>
    <row r="352" spans="1:16" x14ac:dyDescent="0.2">
      <c r="A352" s="18">
        <v>7024901</v>
      </c>
      <c r="B352" s="18" t="s">
        <v>1063</v>
      </c>
      <c r="C352" s="18" t="s">
        <v>363</v>
      </c>
      <c r="D352" s="18" t="s">
        <v>139</v>
      </c>
      <c r="E352" s="19">
        <v>44815</v>
      </c>
      <c r="F352" s="18" t="s">
        <v>1064</v>
      </c>
      <c r="G352" s="19">
        <v>44837</v>
      </c>
      <c r="H352" s="19">
        <v>44853</v>
      </c>
      <c r="I352" s="18" t="s">
        <v>43</v>
      </c>
      <c r="J352" s="19" t="b">
        <v>1</v>
      </c>
      <c r="K352" s="19" t="b">
        <v>0</v>
      </c>
      <c r="L352" s="19" t="b">
        <v>0</v>
      </c>
      <c r="M352" s="19" t="b">
        <v>0</v>
      </c>
      <c r="N352" s="19" t="b">
        <v>0</v>
      </c>
      <c r="O352" s="19" t="b">
        <v>1</v>
      </c>
      <c r="P352" s="19" t="b">
        <v>0</v>
      </c>
    </row>
    <row r="353" spans="1:16" x14ac:dyDescent="0.2">
      <c r="A353" s="18">
        <v>5471581</v>
      </c>
      <c r="B353" s="18" t="s">
        <v>1065</v>
      </c>
      <c r="C353" s="18" t="s">
        <v>18</v>
      </c>
      <c r="D353" s="18" t="s">
        <v>56</v>
      </c>
      <c r="E353" s="19">
        <v>44739</v>
      </c>
      <c r="F353" s="18" t="s">
        <v>1066</v>
      </c>
      <c r="G353" s="19">
        <v>44745</v>
      </c>
      <c r="H353" s="19">
        <v>44761</v>
      </c>
      <c r="I353" s="18"/>
      <c r="J353" s="19" t="b">
        <v>1</v>
      </c>
      <c r="K353" s="19" t="b">
        <v>0</v>
      </c>
      <c r="L353" s="19" t="b">
        <v>0</v>
      </c>
      <c r="M353" s="19" t="b">
        <v>0</v>
      </c>
      <c r="N353" s="19" t="b">
        <v>0</v>
      </c>
      <c r="O353" s="19" t="b">
        <v>0</v>
      </c>
      <c r="P353" s="19" t="b">
        <v>0</v>
      </c>
    </row>
    <row r="354" spans="1:16" x14ac:dyDescent="0.2">
      <c r="A354" s="18">
        <v>5471581</v>
      </c>
      <c r="B354" s="18" t="s">
        <v>1067</v>
      </c>
      <c r="C354" s="18" t="s">
        <v>18</v>
      </c>
      <c r="D354" s="18" t="s">
        <v>56</v>
      </c>
      <c r="E354" s="19">
        <v>44590</v>
      </c>
      <c r="F354" s="18" t="s">
        <v>1068</v>
      </c>
      <c r="G354" s="19">
        <v>44613</v>
      </c>
      <c r="H354" s="19">
        <v>44658</v>
      </c>
      <c r="I354" s="18" t="s">
        <v>28</v>
      </c>
      <c r="J354" s="19" t="b">
        <v>1</v>
      </c>
      <c r="K354" s="19" t="b">
        <v>0</v>
      </c>
      <c r="L354" s="19" t="b">
        <v>0</v>
      </c>
      <c r="M354" s="19" t="b">
        <v>0</v>
      </c>
      <c r="N354" s="19" t="b">
        <v>0</v>
      </c>
      <c r="O354" s="19" t="b">
        <v>0</v>
      </c>
      <c r="P354" s="19" t="b">
        <v>1</v>
      </c>
    </row>
    <row r="355" spans="1:16" x14ac:dyDescent="0.2">
      <c r="A355" s="18">
        <v>6900247</v>
      </c>
      <c r="B355" s="18" t="s">
        <v>1069</v>
      </c>
      <c r="C355" s="18" t="s">
        <v>32</v>
      </c>
      <c r="D355" s="18" t="s">
        <v>81</v>
      </c>
      <c r="E355" s="19">
        <v>45066</v>
      </c>
      <c r="F355" s="18" t="s">
        <v>1070</v>
      </c>
      <c r="G355" s="19">
        <v>45084</v>
      </c>
      <c r="H355" s="19">
        <v>45104</v>
      </c>
      <c r="I355" s="18" t="s">
        <v>43</v>
      </c>
      <c r="J355" s="19" t="b">
        <v>1</v>
      </c>
      <c r="K355" s="19" t="b">
        <v>0</v>
      </c>
      <c r="L355" s="19" t="b">
        <v>0</v>
      </c>
      <c r="M355" s="19" t="b">
        <v>0</v>
      </c>
      <c r="N355" s="19" t="b">
        <v>0</v>
      </c>
      <c r="O355" s="19" t="b">
        <v>1</v>
      </c>
      <c r="P355" s="19" t="b">
        <v>0</v>
      </c>
    </row>
    <row r="356" spans="1:16" x14ac:dyDescent="0.2">
      <c r="A356" s="18">
        <v>4671004</v>
      </c>
      <c r="B356" s="18" t="s">
        <v>1075</v>
      </c>
      <c r="C356" s="18" t="s">
        <v>10</v>
      </c>
      <c r="D356" s="18" t="s">
        <v>139</v>
      </c>
      <c r="E356" s="19">
        <v>44910</v>
      </c>
      <c r="F356" s="18" t="s">
        <v>437</v>
      </c>
      <c r="G356" s="19">
        <v>44933</v>
      </c>
      <c r="H356" s="19">
        <v>44945</v>
      </c>
      <c r="I356" s="18" t="s">
        <v>43</v>
      </c>
      <c r="J356" s="19" t="b">
        <v>1</v>
      </c>
      <c r="K356" s="19" t="b">
        <v>0</v>
      </c>
      <c r="L356" s="19" t="b">
        <v>0</v>
      </c>
      <c r="M356" s="19" t="b">
        <v>0</v>
      </c>
      <c r="N356" s="19" t="b">
        <v>0</v>
      </c>
      <c r="O356" s="19" t="b">
        <v>1</v>
      </c>
      <c r="P356" s="19" t="b">
        <v>0</v>
      </c>
    </row>
    <row r="357" spans="1:16" x14ac:dyDescent="0.2">
      <c r="A357" s="18">
        <v>4671004</v>
      </c>
      <c r="B357" s="18" t="s">
        <v>1076</v>
      </c>
      <c r="C357" s="18" t="s">
        <v>10</v>
      </c>
      <c r="D357" s="18" t="s">
        <v>139</v>
      </c>
      <c r="E357" s="19">
        <v>44713</v>
      </c>
      <c r="F357" s="18" t="s">
        <v>1077</v>
      </c>
      <c r="G357" s="19">
        <v>44732</v>
      </c>
      <c r="H357" s="19">
        <v>44778</v>
      </c>
      <c r="I357" s="18" t="s">
        <v>28</v>
      </c>
      <c r="J357" s="19" t="b">
        <v>1</v>
      </c>
      <c r="K357" s="19" t="b">
        <v>0</v>
      </c>
      <c r="L357" s="19" t="b">
        <v>0</v>
      </c>
      <c r="M357" s="19" t="b">
        <v>0</v>
      </c>
      <c r="N357" s="19" t="b">
        <v>0</v>
      </c>
      <c r="O357" s="19" t="b">
        <v>0</v>
      </c>
      <c r="P357" s="19" t="b">
        <v>1</v>
      </c>
    </row>
    <row r="358" spans="1:16" x14ac:dyDescent="0.2">
      <c r="A358" s="18">
        <v>4671004</v>
      </c>
      <c r="B358" s="18" t="s">
        <v>1078</v>
      </c>
      <c r="C358" s="18" t="s">
        <v>10</v>
      </c>
      <c r="D358" s="18" t="s">
        <v>139</v>
      </c>
      <c r="E358" s="19">
        <v>44935</v>
      </c>
      <c r="F358" s="18" t="s">
        <v>1020</v>
      </c>
      <c r="G358" s="19">
        <v>44938</v>
      </c>
      <c r="H358" s="19">
        <v>44962</v>
      </c>
      <c r="I358" s="18" t="s">
        <v>16</v>
      </c>
      <c r="J358" s="19" t="b">
        <v>1</v>
      </c>
      <c r="K358" s="19" t="b">
        <v>0</v>
      </c>
      <c r="L358" s="19" t="b">
        <v>0</v>
      </c>
      <c r="M358" s="19" t="b">
        <v>0</v>
      </c>
      <c r="N358" s="19" t="b">
        <v>1</v>
      </c>
      <c r="O358" s="19" t="b">
        <v>0</v>
      </c>
      <c r="P358" s="19" t="b">
        <v>0</v>
      </c>
    </row>
    <row r="359" spans="1:16" x14ac:dyDescent="0.2">
      <c r="A359" s="18">
        <v>2695038</v>
      </c>
      <c r="B359" s="18" t="s">
        <v>1080</v>
      </c>
      <c r="C359" s="18" t="s">
        <v>720</v>
      </c>
      <c r="D359" s="18" t="s">
        <v>11</v>
      </c>
      <c r="E359" s="19">
        <v>44740</v>
      </c>
      <c r="F359" s="18" t="s">
        <v>1081</v>
      </c>
      <c r="G359" s="19">
        <v>44763</v>
      </c>
      <c r="H359" s="19">
        <v>44799</v>
      </c>
      <c r="I359" s="18"/>
      <c r="J359" s="19" t="b">
        <v>1</v>
      </c>
      <c r="K359" s="19" t="b">
        <v>0</v>
      </c>
      <c r="L359" s="19" t="b">
        <v>0</v>
      </c>
      <c r="M359" s="19" t="b">
        <v>0</v>
      </c>
      <c r="N359" s="19" t="b">
        <v>0</v>
      </c>
      <c r="O359" s="19" t="b">
        <v>0</v>
      </c>
      <c r="P359" s="19" t="b">
        <v>0</v>
      </c>
    </row>
    <row r="360" spans="1:16" x14ac:dyDescent="0.2">
      <c r="A360" s="18">
        <v>2695038</v>
      </c>
      <c r="B360" s="18" t="s">
        <v>1082</v>
      </c>
      <c r="C360" s="18" t="s">
        <v>720</v>
      </c>
      <c r="D360" s="18" t="s">
        <v>11</v>
      </c>
      <c r="E360" s="19">
        <v>44741</v>
      </c>
      <c r="F360" s="18" t="s">
        <v>1083</v>
      </c>
      <c r="G360" s="19">
        <v>44754</v>
      </c>
      <c r="H360" s="19">
        <v>44774</v>
      </c>
      <c r="I360" s="18" t="s">
        <v>28</v>
      </c>
      <c r="J360" s="19" t="b">
        <v>1</v>
      </c>
      <c r="K360" s="19" t="b">
        <v>0</v>
      </c>
      <c r="L360" s="19" t="b">
        <v>0</v>
      </c>
      <c r="M360" s="19" t="b">
        <v>0</v>
      </c>
      <c r="N360" s="19" t="b">
        <v>0</v>
      </c>
      <c r="O360" s="19" t="b">
        <v>0</v>
      </c>
      <c r="P360" s="19" t="b">
        <v>1</v>
      </c>
    </row>
    <row r="361" spans="1:16" x14ac:dyDescent="0.2">
      <c r="A361" s="18">
        <v>5941179</v>
      </c>
      <c r="B361" s="18" t="s">
        <v>1084</v>
      </c>
      <c r="C361" s="18" t="s">
        <v>71</v>
      </c>
      <c r="D361" s="18" t="s">
        <v>187</v>
      </c>
      <c r="E361" s="19">
        <v>44595</v>
      </c>
      <c r="F361" s="18" t="s">
        <v>341</v>
      </c>
      <c r="G361" s="19">
        <v>44601</v>
      </c>
      <c r="H361" s="19">
        <v>44640</v>
      </c>
      <c r="I361" s="18"/>
      <c r="J361" s="19" t="b">
        <v>1</v>
      </c>
      <c r="K361" s="19" t="b">
        <v>0</v>
      </c>
      <c r="L361" s="19" t="b">
        <v>0</v>
      </c>
      <c r="M361" s="19" t="b">
        <v>0</v>
      </c>
      <c r="N361" s="19" t="b">
        <v>0</v>
      </c>
      <c r="O361" s="19" t="b">
        <v>0</v>
      </c>
      <c r="P361" s="19" t="b">
        <v>0</v>
      </c>
    </row>
    <row r="362" spans="1:16" x14ac:dyDescent="0.2">
      <c r="A362" s="18">
        <v>6338793</v>
      </c>
      <c r="B362" s="18" t="s">
        <v>1085</v>
      </c>
      <c r="C362" s="18" t="s">
        <v>310</v>
      </c>
      <c r="D362" s="18" t="s">
        <v>81</v>
      </c>
      <c r="E362" s="19">
        <v>44706</v>
      </c>
      <c r="F362" s="18" t="s">
        <v>1086</v>
      </c>
      <c r="G362" s="19">
        <v>44717</v>
      </c>
      <c r="H362" s="19">
        <v>44765</v>
      </c>
      <c r="I362" s="18" t="s">
        <v>16</v>
      </c>
      <c r="J362" s="19" t="b">
        <v>1</v>
      </c>
      <c r="K362" s="19" t="b">
        <v>0</v>
      </c>
      <c r="L362" s="19" t="b">
        <v>0</v>
      </c>
      <c r="M362" s="19" t="b">
        <v>0</v>
      </c>
      <c r="N362" s="19" t="b">
        <v>1</v>
      </c>
      <c r="O362" s="19" t="b">
        <v>0</v>
      </c>
      <c r="P362" s="19" t="b">
        <v>0</v>
      </c>
    </row>
    <row r="363" spans="1:16" x14ac:dyDescent="0.2">
      <c r="A363" s="18">
        <v>2488575</v>
      </c>
      <c r="B363" s="18" t="s">
        <v>1093</v>
      </c>
      <c r="C363" s="18" t="s">
        <v>150</v>
      </c>
      <c r="D363" s="18" t="s">
        <v>39</v>
      </c>
      <c r="E363" s="19">
        <v>45010</v>
      </c>
      <c r="F363" s="18" t="s">
        <v>1094</v>
      </c>
      <c r="G363" s="19">
        <v>45034</v>
      </c>
      <c r="H363" s="19">
        <v>45061</v>
      </c>
      <c r="I363" s="18" t="s">
        <v>16</v>
      </c>
      <c r="J363" s="19" t="b">
        <v>1</v>
      </c>
      <c r="K363" s="19" t="b">
        <v>0</v>
      </c>
      <c r="L363" s="19" t="b">
        <v>0</v>
      </c>
      <c r="M363" s="19" t="b">
        <v>0</v>
      </c>
      <c r="N363" s="19" t="b">
        <v>1</v>
      </c>
      <c r="O363" s="19" t="b">
        <v>0</v>
      </c>
      <c r="P363" s="19" t="b">
        <v>0</v>
      </c>
    </row>
    <row r="364" spans="1:16" x14ac:dyDescent="0.2">
      <c r="A364" s="18">
        <v>2488575</v>
      </c>
      <c r="B364" s="18" t="s">
        <v>1095</v>
      </c>
      <c r="C364" s="18" t="s">
        <v>150</v>
      </c>
      <c r="D364" s="18" t="s">
        <v>39</v>
      </c>
      <c r="E364" s="19">
        <v>44949</v>
      </c>
      <c r="F364" s="18" t="s">
        <v>646</v>
      </c>
      <c r="G364" s="19">
        <v>44961</v>
      </c>
      <c r="H364" s="19">
        <v>44996</v>
      </c>
      <c r="I364" s="18"/>
      <c r="J364" s="19" t="b">
        <v>1</v>
      </c>
      <c r="K364" s="19" t="b">
        <v>0</v>
      </c>
      <c r="L364" s="19" t="b">
        <v>0</v>
      </c>
      <c r="M364" s="19" t="b">
        <v>0</v>
      </c>
      <c r="N364" s="19" t="b">
        <v>0</v>
      </c>
      <c r="O364" s="19" t="b">
        <v>0</v>
      </c>
      <c r="P364" s="19" t="b">
        <v>0</v>
      </c>
    </row>
    <row r="365" spans="1:16" x14ac:dyDescent="0.2">
      <c r="A365" s="18">
        <v>4784650</v>
      </c>
      <c r="B365" s="18" t="s">
        <v>1096</v>
      </c>
      <c r="C365" s="18" t="s">
        <v>38</v>
      </c>
      <c r="D365" s="18" t="s">
        <v>77</v>
      </c>
      <c r="E365" s="19">
        <v>44888</v>
      </c>
      <c r="F365" s="18" t="s">
        <v>1097</v>
      </c>
      <c r="G365" s="19">
        <v>44897</v>
      </c>
      <c r="H365" s="19">
        <v>44904</v>
      </c>
      <c r="I365" s="18" t="s">
        <v>16</v>
      </c>
      <c r="J365" s="19" t="b">
        <v>1</v>
      </c>
      <c r="K365" s="19" t="b">
        <v>0</v>
      </c>
      <c r="L365" s="19" t="b">
        <v>0</v>
      </c>
      <c r="M365" s="19" t="b">
        <v>0</v>
      </c>
      <c r="N365" s="19" t="b">
        <v>1</v>
      </c>
      <c r="O365" s="19" t="b">
        <v>0</v>
      </c>
      <c r="P365" s="19" t="b">
        <v>0</v>
      </c>
    </row>
    <row r="366" spans="1:16" x14ac:dyDescent="0.2">
      <c r="A366" s="18">
        <v>2244876</v>
      </c>
      <c r="B366" s="18" t="s">
        <v>1100</v>
      </c>
      <c r="C366" s="18" t="s">
        <v>720</v>
      </c>
      <c r="D366" s="18" t="s">
        <v>187</v>
      </c>
      <c r="E366" s="19">
        <v>45003</v>
      </c>
      <c r="F366" s="18" t="s">
        <v>1101</v>
      </c>
      <c r="G366" s="19">
        <v>45024</v>
      </c>
      <c r="H366" s="19">
        <v>45035</v>
      </c>
      <c r="I366" s="18"/>
      <c r="J366" s="19" t="b">
        <v>1</v>
      </c>
      <c r="K366" s="19" t="b">
        <v>0</v>
      </c>
      <c r="L366" s="19" t="b">
        <v>0</v>
      </c>
      <c r="M366" s="19" t="b">
        <v>0</v>
      </c>
      <c r="N366" s="19" t="b">
        <v>0</v>
      </c>
      <c r="O366" s="19" t="b">
        <v>0</v>
      </c>
      <c r="P366" s="19" t="b">
        <v>0</v>
      </c>
    </row>
    <row r="367" spans="1:16" x14ac:dyDescent="0.2">
      <c r="A367" s="18">
        <v>2244876</v>
      </c>
      <c r="B367" s="18" t="s">
        <v>1102</v>
      </c>
      <c r="C367" s="18" t="s">
        <v>720</v>
      </c>
      <c r="D367" s="18" t="s">
        <v>187</v>
      </c>
      <c r="E367" s="19">
        <v>44665</v>
      </c>
      <c r="F367" s="18" t="s">
        <v>1103</v>
      </c>
      <c r="G367" s="19">
        <v>44676</v>
      </c>
      <c r="H367" s="19">
        <v>44690</v>
      </c>
      <c r="I367" s="18"/>
      <c r="J367" s="19" t="b">
        <v>1</v>
      </c>
      <c r="K367" s="19" t="b">
        <v>0</v>
      </c>
      <c r="L367" s="19" t="b">
        <v>0</v>
      </c>
      <c r="M367" s="19" t="b">
        <v>0</v>
      </c>
      <c r="N367" s="19" t="b">
        <v>0</v>
      </c>
      <c r="O367" s="19" t="b">
        <v>0</v>
      </c>
      <c r="P367" s="19" t="b">
        <v>0</v>
      </c>
    </row>
    <row r="368" spans="1:16" x14ac:dyDescent="0.2">
      <c r="A368" s="18">
        <v>2244876</v>
      </c>
      <c r="B368" s="18" t="s">
        <v>1104</v>
      </c>
      <c r="C368" s="18" t="s">
        <v>720</v>
      </c>
      <c r="D368" s="18" t="s">
        <v>187</v>
      </c>
      <c r="E368" s="19">
        <v>44833</v>
      </c>
      <c r="F368" s="18" t="s">
        <v>1105</v>
      </c>
      <c r="G368" s="19">
        <v>44855</v>
      </c>
      <c r="H368" s="19">
        <v>44874</v>
      </c>
      <c r="I368" s="18"/>
      <c r="J368" s="19" t="b">
        <v>1</v>
      </c>
      <c r="K368" s="19" t="b">
        <v>0</v>
      </c>
      <c r="L368" s="19" t="b">
        <v>0</v>
      </c>
      <c r="M368" s="19" t="b">
        <v>0</v>
      </c>
      <c r="N368" s="19" t="b">
        <v>0</v>
      </c>
      <c r="O368" s="19" t="b">
        <v>0</v>
      </c>
      <c r="P368" s="19" t="b">
        <v>0</v>
      </c>
    </row>
    <row r="369" spans="1:16" x14ac:dyDescent="0.2">
      <c r="A369" s="18">
        <v>1914439</v>
      </c>
      <c r="B369" s="18" t="s">
        <v>1109</v>
      </c>
      <c r="C369" s="18" t="s">
        <v>542</v>
      </c>
      <c r="D369" s="18" t="s">
        <v>56</v>
      </c>
      <c r="E369" s="19">
        <v>44588</v>
      </c>
      <c r="F369" s="18" t="s">
        <v>1110</v>
      </c>
      <c r="G369" s="19">
        <v>44595</v>
      </c>
      <c r="H369" s="19">
        <v>44606</v>
      </c>
      <c r="I369" s="18"/>
      <c r="J369" s="19" t="b">
        <v>1</v>
      </c>
      <c r="K369" s="19" t="b">
        <v>0</v>
      </c>
      <c r="L369" s="19" t="b">
        <v>0</v>
      </c>
      <c r="M369" s="19" t="b">
        <v>0</v>
      </c>
      <c r="N369" s="19" t="b">
        <v>0</v>
      </c>
      <c r="O369" s="19" t="b">
        <v>0</v>
      </c>
      <c r="P369" s="19" t="b">
        <v>0</v>
      </c>
    </row>
    <row r="370" spans="1:16" x14ac:dyDescent="0.2">
      <c r="A370" s="18">
        <v>1914439</v>
      </c>
      <c r="B370" s="18" t="s">
        <v>1111</v>
      </c>
      <c r="C370" s="18" t="s">
        <v>542</v>
      </c>
      <c r="D370" s="18" t="s">
        <v>56</v>
      </c>
      <c r="E370" s="19">
        <v>44680</v>
      </c>
      <c r="F370" s="18" t="s">
        <v>1112</v>
      </c>
      <c r="G370" s="19">
        <v>44690</v>
      </c>
      <c r="H370" s="19">
        <v>44741</v>
      </c>
      <c r="I370" s="18" t="s">
        <v>16</v>
      </c>
      <c r="J370" s="19" t="b">
        <v>1</v>
      </c>
      <c r="K370" s="19" t="b">
        <v>0</v>
      </c>
      <c r="L370" s="19" t="b">
        <v>0</v>
      </c>
      <c r="M370" s="19" t="b">
        <v>0</v>
      </c>
      <c r="N370" s="19" t="b">
        <v>1</v>
      </c>
      <c r="O370" s="19" t="b">
        <v>0</v>
      </c>
      <c r="P370" s="19" t="b">
        <v>0</v>
      </c>
    </row>
    <row r="371" spans="1:16" x14ac:dyDescent="0.2">
      <c r="A371" s="18">
        <v>1914439</v>
      </c>
      <c r="B371" s="18" t="s">
        <v>1113</v>
      </c>
      <c r="C371" s="18" t="s">
        <v>542</v>
      </c>
      <c r="D371" s="18" t="s">
        <v>56</v>
      </c>
      <c r="E371" s="19">
        <v>44833</v>
      </c>
      <c r="F371" s="18" t="s">
        <v>1114</v>
      </c>
      <c r="G371" s="19">
        <v>44836</v>
      </c>
      <c r="H371" s="19">
        <v>44878</v>
      </c>
      <c r="I371" s="18"/>
      <c r="J371" s="19" t="b">
        <v>1</v>
      </c>
      <c r="K371" s="19" t="b">
        <v>0</v>
      </c>
      <c r="L371" s="19" t="b">
        <v>0</v>
      </c>
      <c r="M371" s="19" t="b">
        <v>0</v>
      </c>
      <c r="N371" s="19" t="b">
        <v>0</v>
      </c>
      <c r="O371" s="19" t="b">
        <v>0</v>
      </c>
      <c r="P371" s="19" t="b">
        <v>0</v>
      </c>
    </row>
    <row r="372" spans="1:16" x14ac:dyDescent="0.2">
      <c r="A372" s="18">
        <v>7399588</v>
      </c>
      <c r="B372" s="18" t="s">
        <v>1117</v>
      </c>
      <c r="C372" s="18" t="s">
        <v>542</v>
      </c>
      <c r="D372" s="18" t="s">
        <v>187</v>
      </c>
      <c r="E372" s="19">
        <v>44837</v>
      </c>
      <c r="F372" s="18" t="s">
        <v>1118</v>
      </c>
      <c r="G372" s="19">
        <v>44856</v>
      </c>
      <c r="H372" s="19">
        <v>44860</v>
      </c>
      <c r="I372" s="18" t="s">
        <v>28</v>
      </c>
      <c r="J372" s="19" t="b">
        <v>1</v>
      </c>
      <c r="K372" s="19" t="b">
        <v>0</v>
      </c>
      <c r="L372" s="19" t="b">
        <v>0</v>
      </c>
      <c r="M372" s="19" t="b">
        <v>0</v>
      </c>
      <c r="N372" s="19" t="b">
        <v>0</v>
      </c>
      <c r="O372" s="19" t="b">
        <v>0</v>
      </c>
      <c r="P372" s="19" t="b">
        <v>1</v>
      </c>
    </row>
    <row r="373" spans="1:16" x14ac:dyDescent="0.2">
      <c r="A373" s="18">
        <v>7399588</v>
      </c>
      <c r="B373" s="18" t="s">
        <v>1121</v>
      </c>
      <c r="C373" s="18" t="s">
        <v>542</v>
      </c>
      <c r="D373" s="18" t="s">
        <v>187</v>
      </c>
      <c r="E373" s="19">
        <v>44794</v>
      </c>
      <c r="F373" s="18" t="s">
        <v>1122</v>
      </c>
      <c r="G373" s="19">
        <v>44812</v>
      </c>
      <c r="H373" s="19">
        <v>44816</v>
      </c>
      <c r="I373" s="18"/>
      <c r="J373" s="19" t="b">
        <v>1</v>
      </c>
      <c r="K373" s="19" t="b">
        <v>0</v>
      </c>
      <c r="L373" s="19" t="b">
        <v>0</v>
      </c>
      <c r="M373" s="19" t="b">
        <v>0</v>
      </c>
      <c r="N373" s="19" t="b">
        <v>0</v>
      </c>
      <c r="O373" s="19" t="b">
        <v>0</v>
      </c>
      <c r="P373" s="19" t="b">
        <v>0</v>
      </c>
    </row>
    <row r="374" spans="1:16" x14ac:dyDescent="0.2">
      <c r="A374" s="18">
        <v>9984440</v>
      </c>
      <c r="B374" s="18" t="s">
        <v>1123</v>
      </c>
      <c r="C374" s="18" t="s">
        <v>167</v>
      </c>
      <c r="D374" s="18" t="s">
        <v>77</v>
      </c>
      <c r="E374" s="19">
        <v>44966</v>
      </c>
      <c r="F374" s="18" t="s">
        <v>1124</v>
      </c>
      <c r="G374" s="19">
        <v>44995</v>
      </c>
      <c r="H374" s="19">
        <v>45050</v>
      </c>
      <c r="I374" s="18"/>
      <c r="J374" s="19" t="b">
        <v>1</v>
      </c>
      <c r="K374" s="19" t="b">
        <v>0</v>
      </c>
      <c r="L374" s="19" t="b">
        <v>0</v>
      </c>
      <c r="M374" s="19" t="b">
        <v>0</v>
      </c>
      <c r="N374" s="19" t="b">
        <v>0</v>
      </c>
      <c r="O374" s="19" t="b">
        <v>0</v>
      </c>
      <c r="P374" s="19" t="b">
        <v>0</v>
      </c>
    </row>
    <row r="375" spans="1:16" x14ac:dyDescent="0.2">
      <c r="A375" s="18">
        <v>9984440</v>
      </c>
      <c r="B375" s="18" t="s">
        <v>1125</v>
      </c>
      <c r="C375" s="18" t="s">
        <v>167</v>
      </c>
      <c r="D375" s="18" t="s">
        <v>77</v>
      </c>
      <c r="E375" s="19">
        <v>45021</v>
      </c>
      <c r="F375" s="18" t="s">
        <v>1126</v>
      </c>
      <c r="G375" s="19">
        <v>45027</v>
      </c>
      <c r="H375" s="19">
        <v>45038</v>
      </c>
      <c r="I375" s="18" t="s">
        <v>43</v>
      </c>
      <c r="J375" s="19" t="b">
        <v>1</v>
      </c>
      <c r="K375" s="19" t="b">
        <v>0</v>
      </c>
      <c r="L375" s="19" t="b">
        <v>0</v>
      </c>
      <c r="M375" s="19" t="b">
        <v>0</v>
      </c>
      <c r="N375" s="19" t="b">
        <v>0</v>
      </c>
      <c r="O375" s="19" t="b">
        <v>1</v>
      </c>
      <c r="P375" s="19" t="b">
        <v>0</v>
      </c>
    </row>
    <row r="376" spans="1:16" x14ac:dyDescent="0.2">
      <c r="A376" s="18">
        <v>9984440</v>
      </c>
      <c r="B376" s="18" t="s">
        <v>1127</v>
      </c>
      <c r="C376" s="18" t="s">
        <v>167</v>
      </c>
      <c r="D376" s="18" t="s">
        <v>77</v>
      </c>
      <c r="E376" s="19">
        <v>44995</v>
      </c>
      <c r="F376" s="18" t="s">
        <v>151</v>
      </c>
      <c r="G376" s="19">
        <v>44998</v>
      </c>
      <c r="H376" s="19">
        <v>45042</v>
      </c>
      <c r="I376" s="18" t="s">
        <v>43</v>
      </c>
      <c r="J376" s="19" t="b">
        <v>1</v>
      </c>
      <c r="K376" s="19" t="b">
        <v>0</v>
      </c>
      <c r="L376" s="19" t="b">
        <v>0</v>
      </c>
      <c r="M376" s="19" t="b">
        <v>0</v>
      </c>
      <c r="N376" s="19" t="b">
        <v>0</v>
      </c>
      <c r="O376" s="19" t="b">
        <v>1</v>
      </c>
      <c r="P376" s="19" t="b">
        <v>0</v>
      </c>
    </row>
    <row r="377" spans="1:16" x14ac:dyDescent="0.2">
      <c r="A377" s="18">
        <v>9984440</v>
      </c>
      <c r="B377" s="18" t="s">
        <v>1128</v>
      </c>
      <c r="C377" s="18" t="s">
        <v>167</v>
      </c>
      <c r="D377" s="18" t="s">
        <v>77</v>
      </c>
      <c r="E377" s="19">
        <v>44826</v>
      </c>
      <c r="F377" s="18" t="s">
        <v>1129</v>
      </c>
      <c r="G377" s="19">
        <v>44837</v>
      </c>
      <c r="H377" s="19">
        <v>44896</v>
      </c>
      <c r="I377" s="18" t="s">
        <v>43</v>
      </c>
      <c r="J377" s="19" t="b">
        <v>1</v>
      </c>
      <c r="K377" s="19" t="b">
        <v>0</v>
      </c>
      <c r="L377" s="19" t="b">
        <v>0</v>
      </c>
      <c r="M377" s="19" t="b">
        <v>0</v>
      </c>
      <c r="N377" s="19" t="b">
        <v>0</v>
      </c>
      <c r="O377" s="19" t="b">
        <v>1</v>
      </c>
      <c r="P377" s="19" t="b">
        <v>0</v>
      </c>
    </row>
    <row r="378" spans="1:16" x14ac:dyDescent="0.2">
      <c r="A378" s="18">
        <v>9984440</v>
      </c>
      <c r="B378" s="18" t="s">
        <v>1130</v>
      </c>
      <c r="C378" s="18" t="s">
        <v>167</v>
      </c>
      <c r="D378" s="18" t="s">
        <v>77</v>
      </c>
      <c r="E378" s="19">
        <v>44968</v>
      </c>
      <c r="F378" s="18" t="s">
        <v>1131</v>
      </c>
      <c r="G378" s="19">
        <v>44986</v>
      </c>
      <c r="H378" s="19">
        <v>45007</v>
      </c>
      <c r="I378" s="18" t="s">
        <v>16</v>
      </c>
      <c r="J378" s="19" t="b">
        <v>1</v>
      </c>
      <c r="K378" s="19" t="b">
        <v>0</v>
      </c>
      <c r="L378" s="19" t="b">
        <v>0</v>
      </c>
      <c r="M378" s="19" t="b">
        <v>0</v>
      </c>
      <c r="N378" s="19" t="b">
        <v>1</v>
      </c>
      <c r="O378" s="19" t="b">
        <v>0</v>
      </c>
      <c r="P378" s="19" t="b">
        <v>0</v>
      </c>
    </row>
    <row r="379" spans="1:16" x14ac:dyDescent="0.2">
      <c r="A379" s="18">
        <v>5633880</v>
      </c>
      <c r="B379" s="18" t="s">
        <v>1132</v>
      </c>
      <c r="C379" s="18" t="s">
        <v>80</v>
      </c>
      <c r="D379" s="18" t="s">
        <v>77</v>
      </c>
      <c r="E379" s="19">
        <v>44715</v>
      </c>
      <c r="F379" s="18" t="s">
        <v>1133</v>
      </c>
      <c r="G379" s="19">
        <v>44720</v>
      </c>
      <c r="H379" s="19">
        <v>44757</v>
      </c>
      <c r="I379" s="18"/>
      <c r="J379" s="19" t="b">
        <v>1</v>
      </c>
      <c r="K379" s="19" t="b">
        <v>0</v>
      </c>
      <c r="L379" s="19" t="b">
        <v>0</v>
      </c>
      <c r="M379" s="19" t="b">
        <v>0</v>
      </c>
      <c r="N379" s="19" t="b">
        <v>0</v>
      </c>
      <c r="O379" s="19" t="b">
        <v>0</v>
      </c>
      <c r="P379" s="19" t="b">
        <v>0</v>
      </c>
    </row>
    <row r="380" spans="1:16" x14ac:dyDescent="0.2">
      <c r="A380" s="18">
        <v>2681144</v>
      </c>
      <c r="B380" s="18" t="s">
        <v>1134</v>
      </c>
      <c r="C380" s="18" t="s">
        <v>310</v>
      </c>
      <c r="D380" s="18" t="s">
        <v>122</v>
      </c>
      <c r="E380" s="19">
        <v>44914</v>
      </c>
      <c r="F380" s="18" t="s">
        <v>1135</v>
      </c>
      <c r="G380" s="19">
        <v>44943</v>
      </c>
      <c r="H380" s="19">
        <v>44970</v>
      </c>
      <c r="I380" s="18" t="s">
        <v>28</v>
      </c>
      <c r="J380" s="19" t="b">
        <v>1</v>
      </c>
      <c r="K380" s="19" t="b">
        <v>0</v>
      </c>
      <c r="L380" s="19" t="b">
        <v>0</v>
      </c>
      <c r="M380" s="19" t="b">
        <v>0</v>
      </c>
      <c r="N380" s="19" t="b">
        <v>0</v>
      </c>
      <c r="O380" s="19" t="b">
        <v>0</v>
      </c>
      <c r="P380" s="19" t="b">
        <v>1</v>
      </c>
    </row>
    <row r="381" spans="1:16" x14ac:dyDescent="0.2">
      <c r="A381" s="18">
        <v>2681144</v>
      </c>
      <c r="B381" s="18" t="s">
        <v>1140</v>
      </c>
      <c r="C381" s="18" t="s">
        <v>310</v>
      </c>
      <c r="D381" s="18" t="s">
        <v>122</v>
      </c>
      <c r="E381" s="19">
        <v>44612</v>
      </c>
      <c r="F381" s="18" t="s">
        <v>1141</v>
      </c>
      <c r="G381" s="19">
        <v>44636</v>
      </c>
      <c r="H381" s="19">
        <v>44667</v>
      </c>
      <c r="I381" s="18" t="s">
        <v>28</v>
      </c>
      <c r="J381" s="19" t="b">
        <v>1</v>
      </c>
      <c r="K381" s="19" t="b">
        <v>0</v>
      </c>
      <c r="L381" s="19" t="b">
        <v>0</v>
      </c>
      <c r="M381" s="19" t="b">
        <v>0</v>
      </c>
      <c r="N381" s="19" t="b">
        <v>0</v>
      </c>
      <c r="O381" s="19" t="b">
        <v>0</v>
      </c>
      <c r="P381" s="19" t="b">
        <v>1</v>
      </c>
    </row>
    <row r="382" spans="1:16" x14ac:dyDescent="0.2">
      <c r="A382" s="18">
        <v>2681144</v>
      </c>
      <c r="B382" s="18" t="s">
        <v>1142</v>
      </c>
      <c r="C382" s="18" t="s">
        <v>310</v>
      </c>
      <c r="D382" s="18" t="s">
        <v>122</v>
      </c>
      <c r="E382" s="19">
        <v>44872</v>
      </c>
      <c r="F382" s="18" t="s">
        <v>1143</v>
      </c>
      <c r="G382" s="19">
        <v>44882</v>
      </c>
      <c r="H382" s="19">
        <v>44900</v>
      </c>
      <c r="I382" s="18" t="s">
        <v>28</v>
      </c>
      <c r="J382" s="19" t="b">
        <v>1</v>
      </c>
      <c r="K382" s="19" t="b">
        <v>0</v>
      </c>
      <c r="L382" s="19" t="b">
        <v>0</v>
      </c>
      <c r="M382" s="19" t="b">
        <v>0</v>
      </c>
      <c r="N382" s="19" t="b">
        <v>0</v>
      </c>
      <c r="O382" s="19" t="b">
        <v>0</v>
      </c>
      <c r="P382" s="19" t="b">
        <v>1</v>
      </c>
    </row>
    <row r="383" spans="1:16" x14ac:dyDescent="0.2">
      <c r="A383" s="18">
        <v>9248001</v>
      </c>
      <c r="B383" s="18" t="s">
        <v>1146</v>
      </c>
      <c r="C383" s="18" t="s">
        <v>90</v>
      </c>
      <c r="D383" s="18" t="s">
        <v>122</v>
      </c>
      <c r="E383" s="19">
        <v>44778</v>
      </c>
      <c r="F383" s="18" t="s">
        <v>1147</v>
      </c>
      <c r="G383" s="19">
        <v>44808</v>
      </c>
      <c r="H383" s="19">
        <v>44861</v>
      </c>
      <c r="I383" s="18" t="s">
        <v>16</v>
      </c>
      <c r="J383" s="19" t="b">
        <v>1</v>
      </c>
      <c r="K383" s="19" t="b">
        <v>0</v>
      </c>
      <c r="L383" s="19" t="b">
        <v>0</v>
      </c>
      <c r="M383" s="19" t="b">
        <v>0</v>
      </c>
      <c r="N383" s="19" t="b">
        <v>1</v>
      </c>
      <c r="O383" s="19" t="b">
        <v>0</v>
      </c>
      <c r="P383" s="19" t="b">
        <v>0</v>
      </c>
    </row>
    <row r="384" spans="1:16" x14ac:dyDescent="0.2">
      <c r="A384" s="18">
        <v>7831185</v>
      </c>
      <c r="B384" s="18" t="s">
        <v>1148</v>
      </c>
      <c r="C384" s="18" t="s">
        <v>138</v>
      </c>
      <c r="D384" s="18" t="s">
        <v>77</v>
      </c>
      <c r="E384" s="19">
        <v>44724</v>
      </c>
      <c r="F384" s="18" t="s">
        <v>1149</v>
      </c>
      <c r="G384" s="19">
        <v>44727</v>
      </c>
      <c r="H384" s="19">
        <v>44747</v>
      </c>
      <c r="I384" s="18" t="s">
        <v>16</v>
      </c>
      <c r="J384" s="19" t="b">
        <v>1</v>
      </c>
      <c r="K384" s="19" t="b">
        <v>0</v>
      </c>
      <c r="L384" s="19" t="b">
        <v>0</v>
      </c>
      <c r="M384" s="19" t="b">
        <v>0</v>
      </c>
      <c r="N384" s="19" t="b">
        <v>1</v>
      </c>
      <c r="O384" s="19" t="b">
        <v>0</v>
      </c>
      <c r="P384" s="19" t="b">
        <v>0</v>
      </c>
    </row>
    <row r="385" spans="1:16" x14ac:dyDescent="0.2">
      <c r="A385" s="18">
        <v>7831185</v>
      </c>
      <c r="B385" s="18" t="s">
        <v>1150</v>
      </c>
      <c r="C385" s="18" t="s">
        <v>138</v>
      </c>
      <c r="D385" s="18" t="s">
        <v>77</v>
      </c>
      <c r="E385" s="19">
        <v>45098</v>
      </c>
      <c r="F385" s="18" t="s">
        <v>1151</v>
      </c>
      <c r="G385" s="19">
        <v>45127</v>
      </c>
      <c r="H385" s="19">
        <v>45164</v>
      </c>
      <c r="I385" s="18"/>
      <c r="J385" s="19" t="b">
        <v>1</v>
      </c>
      <c r="K385" s="19" t="b">
        <v>0</v>
      </c>
      <c r="L385" s="19" t="b">
        <v>0</v>
      </c>
      <c r="M385" s="19" t="b">
        <v>0</v>
      </c>
      <c r="N385" s="19" t="b">
        <v>0</v>
      </c>
      <c r="O385" s="19" t="b">
        <v>0</v>
      </c>
      <c r="P385" s="19" t="b">
        <v>0</v>
      </c>
    </row>
    <row r="386" spans="1:16" x14ac:dyDescent="0.2">
      <c r="A386" s="18">
        <v>7831185</v>
      </c>
      <c r="B386" s="18" t="s">
        <v>1155</v>
      </c>
      <c r="C386" s="18" t="s">
        <v>138</v>
      </c>
      <c r="D386" s="18" t="s">
        <v>77</v>
      </c>
      <c r="E386" s="19">
        <v>45037</v>
      </c>
      <c r="F386" s="18" t="s">
        <v>1156</v>
      </c>
      <c r="G386" s="19">
        <v>45054</v>
      </c>
      <c r="H386" s="19">
        <v>45080</v>
      </c>
      <c r="I386" s="18" t="s">
        <v>43</v>
      </c>
      <c r="J386" s="19" t="b">
        <v>1</v>
      </c>
      <c r="K386" s="19" t="b">
        <v>0</v>
      </c>
      <c r="L386" s="19" t="b">
        <v>0</v>
      </c>
      <c r="M386" s="19" t="b">
        <v>0</v>
      </c>
      <c r="N386" s="19" t="b">
        <v>0</v>
      </c>
      <c r="O386" s="19" t="b">
        <v>1</v>
      </c>
      <c r="P386" s="19" t="b">
        <v>0</v>
      </c>
    </row>
    <row r="387" spans="1:16" x14ac:dyDescent="0.2">
      <c r="A387" s="18">
        <v>3078241</v>
      </c>
      <c r="B387" s="18" t="s">
        <v>1159</v>
      </c>
      <c r="C387" s="18" t="s">
        <v>167</v>
      </c>
      <c r="D387" s="18" t="s">
        <v>56</v>
      </c>
      <c r="E387" s="19">
        <v>44826</v>
      </c>
      <c r="F387" s="18" t="s">
        <v>1160</v>
      </c>
      <c r="G387" s="19">
        <v>44850</v>
      </c>
      <c r="H387" s="19">
        <v>44904</v>
      </c>
      <c r="I387" s="18" t="s">
        <v>28</v>
      </c>
      <c r="J387" s="19" t="b">
        <v>1</v>
      </c>
      <c r="K387" s="19" t="b">
        <v>0</v>
      </c>
      <c r="L387" s="19" t="b">
        <v>0</v>
      </c>
      <c r="M387" s="19" t="b">
        <v>0</v>
      </c>
      <c r="N387" s="19" t="b">
        <v>0</v>
      </c>
      <c r="O387" s="19" t="b">
        <v>0</v>
      </c>
      <c r="P387" s="19" t="b">
        <v>1</v>
      </c>
    </row>
    <row r="388" spans="1:16" x14ac:dyDescent="0.2">
      <c r="A388" s="18">
        <v>2516524</v>
      </c>
      <c r="B388" s="18" t="s">
        <v>1163</v>
      </c>
      <c r="C388" s="18" t="s">
        <v>110</v>
      </c>
      <c r="D388" s="18" t="s">
        <v>56</v>
      </c>
      <c r="E388" s="19">
        <v>44792</v>
      </c>
      <c r="F388" s="18" t="s">
        <v>1164</v>
      </c>
      <c r="G388" s="19">
        <v>44814</v>
      </c>
      <c r="H388" s="19">
        <v>44828</v>
      </c>
      <c r="I388" s="18" t="s">
        <v>43</v>
      </c>
      <c r="J388" s="19" t="b">
        <v>1</v>
      </c>
      <c r="K388" s="19" t="b">
        <v>0</v>
      </c>
      <c r="L388" s="19" t="b">
        <v>0</v>
      </c>
      <c r="M388" s="19" t="b">
        <v>0</v>
      </c>
      <c r="N388" s="19" t="b">
        <v>0</v>
      </c>
      <c r="O388" s="19" t="b">
        <v>1</v>
      </c>
      <c r="P388" s="19" t="b">
        <v>0</v>
      </c>
    </row>
    <row r="389" spans="1:16" x14ac:dyDescent="0.2">
      <c r="A389" s="18">
        <v>2516524</v>
      </c>
      <c r="B389" s="18" t="s">
        <v>1167</v>
      </c>
      <c r="C389" s="18" t="s">
        <v>110</v>
      </c>
      <c r="D389" s="18" t="s">
        <v>56</v>
      </c>
      <c r="E389" s="19">
        <v>44697</v>
      </c>
      <c r="F389" s="18" t="s">
        <v>1168</v>
      </c>
      <c r="G389" s="19">
        <v>44718</v>
      </c>
      <c r="H389" s="19">
        <v>44730</v>
      </c>
      <c r="I389" s="18" t="s">
        <v>16</v>
      </c>
      <c r="J389" s="19" t="b">
        <v>1</v>
      </c>
      <c r="K389" s="19" t="b">
        <v>0</v>
      </c>
      <c r="L389" s="19" t="b">
        <v>0</v>
      </c>
      <c r="M389" s="19" t="b">
        <v>0</v>
      </c>
      <c r="N389" s="19" t="b">
        <v>1</v>
      </c>
      <c r="O389" s="19" t="b">
        <v>0</v>
      </c>
      <c r="P389" s="19" t="b">
        <v>0</v>
      </c>
    </row>
    <row r="390" spans="1:16" x14ac:dyDescent="0.2">
      <c r="A390" s="18">
        <v>5234408</v>
      </c>
      <c r="B390" s="18" t="s">
        <v>1169</v>
      </c>
      <c r="C390" s="18" t="s">
        <v>121</v>
      </c>
      <c r="D390" s="18" t="s">
        <v>11</v>
      </c>
      <c r="E390" s="19">
        <v>45032</v>
      </c>
      <c r="F390" s="18" t="s">
        <v>27</v>
      </c>
      <c r="G390" s="19">
        <v>45041</v>
      </c>
      <c r="H390" s="19">
        <v>45055</v>
      </c>
      <c r="I390" s="18"/>
      <c r="J390" s="19" t="b">
        <v>1</v>
      </c>
      <c r="K390" s="19" t="b">
        <v>0</v>
      </c>
      <c r="L390" s="19" t="b">
        <v>0</v>
      </c>
      <c r="M390" s="19" t="b">
        <v>0</v>
      </c>
      <c r="N390" s="19" t="b">
        <v>0</v>
      </c>
      <c r="O390" s="19" t="b">
        <v>0</v>
      </c>
      <c r="P390" s="19" t="b">
        <v>0</v>
      </c>
    </row>
    <row r="391" spans="1:16" x14ac:dyDescent="0.2">
      <c r="A391" s="18">
        <v>5234408</v>
      </c>
      <c r="B391" s="18" t="s">
        <v>1170</v>
      </c>
      <c r="C391" s="18" t="s">
        <v>121</v>
      </c>
      <c r="D391" s="18" t="s">
        <v>11</v>
      </c>
      <c r="E391" s="19">
        <v>44569</v>
      </c>
      <c r="F391" s="18" t="s">
        <v>1171</v>
      </c>
      <c r="G391" s="19">
        <v>44586</v>
      </c>
      <c r="H391" s="19">
        <v>44629</v>
      </c>
      <c r="I391" s="18"/>
      <c r="J391" s="19" t="b">
        <v>1</v>
      </c>
      <c r="K391" s="19" t="b">
        <v>0</v>
      </c>
      <c r="L391" s="19" t="b">
        <v>0</v>
      </c>
      <c r="M391" s="19" t="b">
        <v>0</v>
      </c>
      <c r="N391" s="19" t="b">
        <v>0</v>
      </c>
      <c r="O391" s="19" t="b">
        <v>0</v>
      </c>
      <c r="P391" s="19" t="b">
        <v>0</v>
      </c>
    </row>
    <row r="392" spans="1:16" x14ac:dyDescent="0.2">
      <c r="A392" s="18">
        <v>5234408</v>
      </c>
      <c r="B392" s="18" t="s">
        <v>1172</v>
      </c>
      <c r="C392" s="18" t="s">
        <v>121</v>
      </c>
      <c r="D392" s="18" t="s">
        <v>11</v>
      </c>
      <c r="E392" s="19">
        <v>44851</v>
      </c>
      <c r="F392" s="18" t="s">
        <v>1173</v>
      </c>
      <c r="G392" s="19">
        <v>44861</v>
      </c>
      <c r="H392" s="19">
        <v>44905</v>
      </c>
      <c r="I392" s="18" t="s">
        <v>28</v>
      </c>
      <c r="J392" s="19" t="b">
        <v>1</v>
      </c>
      <c r="K392" s="19" t="b">
        <v>0</v>
      </c>
      <c r="L392" s="19" t="b">
        <v>0</v>
      </c>
      <c r="M392" s="19" t="b">
        <v>0</v>
      </c>
      <c r="N392" s="19" t="b">
        <v>0</v>
      </c>
      <c r="O392" s="19" t="b">
        <v>0</v>
      </c>
      <c r="P392" s="19" t="b">
        <v>1</v>
      </c>
    </row>
    <row r="393" spans="1:16" x14ac:dyDescent="0.2">
      <c r="A393" s="18">
        <v>2813693</v>
      </c>
      <c r="B393" s="18" t="s">
        <v>1174</v>
      </c>
      <c r="C393" s="18" t="s">
        <v>363</v>
      </c>
      <c r="D393" s="18" t="s">
        <v>122</v>
      </c>
      <c r="E393" s="19">
        <v>44829</v>
      </c>
      <c r="F393" s="18" t="s">
        <v>1175</v>
      </c>
      <c r="G393" s="19">
        <v>44850</v>
      </c>
      <c r="H393" s="19">
        <v>44896</v>
      </c>
      <c r="I393" s="18" t="s">
        <v>28</v>
      </c>
      <c r="J393" s="19" t="b">
        <v>1</v>
      </c>
      <c r="K393" s="19" t="b">
        <v>0</v>
      </c>
      <c r="L393" s="19" t="b">
        <v>0</v>
      </c>
      <c r="M393" s="19" t="b">
        <v>0</v>
      </c>
      <c r="N393" s="19" t="b">
        <v>0</v>
      </c>
      <c r="O393" s="19" t="b">
        <v>0</v>
      </c>
      <c r="P393" s="19" t="b">
        <v>1</v>
      </c>
    </row>
    <row r="394" spans="1:16" x14ac:dyDescent="0.2">
      <c r="A394" s="18">
        <v>2813693</v>
      </c>
      <c r="B394" s="18" t="s">
        <v>1176</v>
      </c>
      <c r="C394" s="18" t="s">
        <v>363</v>
      </c>
      <c r="D394" s="18" t="s">
        <v>122</v>
      </c>
      <c r="E394" s="19">
        <v>45091</v>
      </c>
      <c r="F394" s="18" t="s">
        <v>1177</v>
      </c>
      <c r="G394" s="19">
        <v>45116</v>
      </c>
      <c r="H394" s="19">
        <v>45132</v>
      </c>
      <c r="I394" s="18" t="s">
        <v>28</v>
      </c>
      <c r="J394" s="19" t="b">
        <v>1</v>
      </c>
      <c r="K394" s="19" t="b">
        <v>0</v>
      </c>
      <c r="L394" s="19" t="b">
        <v>0</v>
      </c>
      <c r="M394" s="19" t="b">
        <v>0</v>
      </c>
      <c r="N394" s="19" t="b">
        <v>0</v>
      </c>
      <c r="O394" s="19" t="b">
        <v>0</v>
      </c>
      <c r="P394" s="19" t="b">
        <v>1</v>
      </c>
    </row>
    <row r="395" spans="1:16" x14ac:dyDescent="0.2">
      <c r="A395" s="18">
        <v>2813693</v>
      </c>
      <c r="B395" s="18" t="s">
        <v>1178</v>
      </c>
      <c r="C395" s="18" t="s">
        <v>363</v>
      </c>
      <c r="D395" s="18" t="s">
        <v>122</v>
      </c>
      <c r="E395" s="19">
        <v>44705</v>
      </c>
      <c r="F395" s="18" t="s">
        <v>1179</v>
      </c>
      <c r="G395" s="19">
        <v>44729</v>
      </c>
      <c r="H395" s="19">
        <v>44731</v>
      </c>
      <c r="I395" s="18"/>
      <c r="J395" s="19" t="b">
        <v>1</v>
      </c>
      <c r="K395" s="19" t="b">
        <v>0</v>
      </c>
      <c r="L395" s="19" t="b">
        <v>0</v>
      </c>
      <c r="M395" s="19" t="b">
        <v>0</v>
      </c>
      <c r="N395" s="19" t="b">
        <v>0</v>
      </c>
      <c r="O395" s="19" t="b">
        <v>0</v>
      </c>
      <c r="P395" s="19" t="b">
        <v>0</v>
      </c>
    </row>
    <row r="396" spans="1:16" x14ac:dyDescent="0.2">
      <c r="A396" s="18">
        <v>9344531</v>
      </c>
      <c r="B396" s="18" t="s">
        <v>1180</v>
      </c>
      <c r="C396" s="18" t="s">
        <v>110</v>
      </c>
      <c r="D396" s="18" t="s">
        <v>11</v>
      </c>
      <c r="E396" s="19">
        <v>44756</v>
      </c>
      <c r="F396" s="18" t="s">
        <v>1181</v>
      </c>
      <c r="G396" s="19">
        <v>44767</v>
      </c>
      <c r="H396" s="19">
        <v>44814</v>
      </c>
      <c r="I396" s="18" t="s">
        <v>16</v>
      </c>
      <c r="J396" s="19" t="b">
        <v>1</v>
      </c>
      <c r="K396" s="19" t="b">
        <v>0</v>
      </c>
      <c r="L396" s="19" t="b">
        <v>0</v>
      </c>
      <c r="M396" s="19" t="b">
        <v>0</v>
      </c>
      <c r="N396" s="19" t="b">
        <v>1</v>
      </c>
      <c r="O396" s="19" t="b">
        <v>0</v>
      </c>
      <c r="P396" s="19" t="b">
        <v>0</v>
      </c>
    </row>
    <row r="397" spans="1:16" x14ac:dyDescent="0.2">
      <c r="A397" s="18">
        <v>9344531</v>
      </c>
      <c r="B397" s="18" t="s">
        <v>1182</v>
      </c>
      <c r="C397" s="18" t="s">
        <v>110</v>
      </c>
      <c r="D397" s="18" t="s">
        <v>11</v>
      </c>
      <c r="E397" s="19">
        <v>44929</v>
      </c>
      <c r="F397" s="18" t="s">
        <v>1183</v>
      </c>
      <c r="G397" s="19">
        <v>44946</v>
      </c>
      <c r="H397" s="19">
        <v>44966</v>
      </c>
      <c r="I397" s="18"/>
      <c r="J397" s="19" t="b">
        <v>1</v>
      </c>
      <c r="K397" s="19" t="b">
        <v>0</v>
      </c>
      <c r="L397" s="19" t="b">
        <v>0</v>
      </c>
      <c r="M397" s="19" t="b">
        <v>0</v>
      </c>
      <c r="N397" s="19" t="b">
        <v>0</v>
      </c>
      <c r="O397" s="19" t="b">
        <v>0</v>
      </c>
      <c r="P397" s="19" t="b">
        <v>0</v>
      </c>
    </row>
    <row r="398" spans="1:16" x14ac:dyDescent="0.2">
      <c r="A398" s="18">
        <v>9344531</v>
      </c>
      <c r="B398" s="18" t="s">
        <v>1184</v>
      </c>
      <c r="C398" s="18" t="s">
        <v>110</v>
      </c>
      <c r="D398" s="18" t="s">
        <v>11</v>
      </c>
      <c r="E398" s="19">
        <v>45044</v>
      </c>
      <c r="F398" s="18" t="s">
        <v>1185</v>
      </c>
      <c r="G398" s="19">
        <v>45049</v>
      </c>
      <c r="H398" s="19">
        <v>45097</v>
      </c>
      <c r="I398" s="18" t="s">
        <v>43</v>
      </c>
      <c r="J398" s="19" t="b">
        <v>1</v>
      </c>
      <c r="K398" s="19" t="b">
        <v>0</v>
      </c>
      <c r="L398" s="19" t="b">
        <v>0</v>
      </c>
      <c r="M398" s="19" t="b">
        <v>0</v>
      </c>
      <c r="N398" s="19" t="b">
        <v>0</v>
      </c>
      <c r="O398" s="19" t="b">
        <v>1</v>
      </c>
      <c r="P398" s="19" t="b">
        <v>0</v>
      </c>
    </row>
    <row r="399" spans="1:16" x14ac:dyDescent="0.2">
      <c r="A399" s="18">
        <v>6630978</v>
      </c>
      <c r="B399" s="18" t="s">
        <v>1190</v>
      </c>
      <c r="C399" s="18" t="s">
        <v>265</v>
      </c>
      <c r="D399" s="18" t="s">
        <v>122</v>
      </c>
      <c r="E399" s="19">
        <v>44863</v>
      </c>
      <c r="F399" s="18" t="s">
        <v>849</v>
      </c>
      <c r="G399" s="19">
        <v>44878</v>
      </c>
      <c r="H399" s="19">
        <v>44933</v>
      </c>
      <c r="I399" s="18" t="s">
        <v>28</v>
      </c>
      <c r="J399" s="19" t="b">
        <v>1</v>
      </c>
      <c r="K399" s="19" t="b">
        <v>0</v>
      </c>
      <c r="L399" s="19" t="b">
        <v>0</v>
      </c>
      <c r="M399" s="19" t="b">
        <v>0</v>
      </c>
      <c r="N399" s="19" t="b">
        <v>0</v>
      </c>
      <c r="O399" s="19" t="b">
        <v>0</v>
      </c>
      <c r="P399" s="19" t="b">
        <v>1</v>
      </c>
    </row>
    <row r="400" spans="1:16" x14ac:dyDescent="0.2">
      <c r="A400" s="18">
        <v>2976045</v>
      </c>
      <c r="B400" s="18" t="s">
        <v>1191</v>
      </c>
      <c r="C400" s="18" t="s">
        <v>363</v>
      </c>
      <c r="D400" s="18" t="s">
        <v>56</v>
      </c>
      <c r="E400" s="19">
        <v>44761</v>
      </c>
      <c r="F400" s="18" t="s">
        <v>1192</v>
      </c>
      <c r="G400" s="19">
        <v>44778</v>
      </c>
      <c r="H400" s="19">
        <v>44786</v>
      </c>
      <c r="I400" s="18" t="s">
        <v>16</v>
      </c>
      <c r="J400" s="19" t="b">
        <v>1</v>
      </c>
      <c r="K400" s="19" t="b">
        <v>0</v>
      </c>
      <c r="L400" s="19" t="b">
        <v>0</v>
      </c>
      <c r="M400" s="19" t="b">
        <v>0</v>
      </c>
      <c r="N400" s="19" t="b">
        <v>1</v>
      </c>
      <c r="O400" s="19" t="b">
        <v>0</v>
      </c>
      <c r="P400" s="19" t="b">
        <v>0</v>
      </c>
    </row>
    <row r="401" spans="1:16" x14ac:dyDescent="0.2">
      <c r="A401" s="18">
        <v>2976045</v>
      </c>
      <c r="B401" s="18" t="s">
        <v>1193</v>
      </c>
      <c r="C401" s="18" t="s">
        <v>363</v>
      </c>
      <c r="D401" s="18" t="s">
        <v>56</v>
      </c>
      <c r="E401" s="19">
        <v>44985</v>
      </c>
      <c r="F401" s="18" t="s">
        <v>1194</v>
      </c>
      <c r="G401" s="19">
        <v>44987</v>
      </c>
      <c r="H401" s="19">
        <v>45043</v>
      </c>
      <c r="I401" s="18"/>
      <c r="J401" s="19" t="b">
        <v>1</v>
      </c>
      <c r="K401" s="19" t="b">
        <v>0</v>
      </c>
      <c r="L401" s="19" t="b">
        <v>0</v>
      </c>
      <c r="M401" s="19" t="b">
        <v>0</v>
      </c>
      <c r="N401" s="19" t="b">
        <v>0</v>
      </c>
      <c r="O401" s="19" t="b">
        <v>0</v>
      </c>
      <c r="P401" s="19" t="b">
        <v>0</v>
      </c>
    </row>
    <row r="402" spans="1:16" x14ac:dyDescent="0.2">
      <c r="A402" s="18">
        <v>2976045</v>
      </c>
      <c r="B402" s="18" t="s">
        <v>1195</v>
      </c>
      <c r="C402" s="18" t="s">
        <v>363</v>
      </c>
      <c r="D402" s="18" t="s">
        <v>56</v>
      </c>
      <c r="E402" s="19">
        <v>44981</v>
      </c>
      <c r="F402" s="18" t="s">
        <v>1196</v>
      </c>
      <c r="G402" s="19">
        <v>45000</v>
      </c>
      <c r="H402" s="19">
        <v>45058</v>
      </c>
      <c r="I402" s="18" t="s">
        <v>43</v>
      </c>
      <c r="J402" s="19" t="b">
        <v>1</v>
      </c>
      <c r="K402" s="19" t="b">
        <v>0</v>
      </c>
      <c r="L402" s="19" t="b">
        <v>0</v>
      </c>
      <c r="M402" s="19" t="b">
        <v>0</v>
      </c>
      <c r="N402" s="19" t="b">
        <v>0</v>
      </c>
      <c r="O402" s="19" t="b">
        <v>1</v>
      </c>
      <c r="P402" s="19" t="b">
        <v>0</v>
      </c>
    </row>
    <row r="403" spans="1:16" x14ac:dyDescent="0.2">
      <c r="A403" s="18">
        <v>2976045</v>
      </c>
      <c r="B403" s="18" t="s">
        <v>1197</v>
      </c>
      <c r="C403" s="18" t="s">
        <v>363</v>
      </c>
      <c r="D403" s="18" t="s">
        <v>56</v>
      </c>
      <c r="E403" s="19">
        <v>44746</v>
      </c>
      <c r="F403" s="18" t="s">
        <v>1198</v>
      </c>
      <c r="G403" s="19">
        <v>44771</v>
      </c>
      <c r="H403" s="19">
        <v>44777</v>
      </c>
      <c r="I403" s="18"/>
      <c r="J403" s="19" t="b">
        <v>1</v>
      </c>
      <c r="K403" s="19" t="b">
        <v>0</v>
      </c>
      <c r="L403" s="19" t="b">
        <v>0</v>
      </c>
      <c r="M403" s="19" t="b">
        <v>0</v>
      </c>
      <c r="N403" s="19" t="b">
        <v>0</v>
      </c>
      <c r="O403" s="19" t="b">
        <v>0</v>
      </c>
      <c r="P403" s="19" t="b">
        <v>0</v>
      </c>
    </row>
    <row r="404" spans="1:16" x14ac:dyDescent="0.2">
      <c r="A404" s="18">
        <v>2976045</v>
      </c>
      <c r="B404" s="18" t="s">
        <v>1199</v>
      </c>
      <c r="C404" s="18" t="s">
        <v>363</v>
      </c>
      <c r="D404" s="18" t="s">
        <v>56</v>
      </c>
      <c r="E404" s="19">
        <v>44621</v>
      </c>
      <c r="F404" s="18" t="s">
        <v>353</v>
      </c>
      <c r="G404" s="19">
        <v>44622</v>
      </c>
      <c r="H404" s="19">
        <v>44651</v>
      </c>
      <c r="I404" s="18" t="s">
        <v>43</v>
      </c>
      <c r="J404" s="19" t="b">
        <v>1</v>
      </c>
      <c r="K404" s="19" t="b">
        <v>0</v>
      </c>
      <c r="L404" s="19" t="b">
        <v>0</v>
      </c>
      <c r="M404" s="19" t="b">
        <v>0</v>
      </c>
      <c r="N404" s="19" t="b">
        <v>0</v>
      </c>
      <c r="O404" s="19" t="b">
        <v>1</v>
      </c>
      <c r="P404" s="19" t="b">
        <v>0</v>
      </c>
    </row>
    <row r="405" spans="1:16" x14ac:dyDescent="0.2">
      <c r="A405" s="18">
        <v>5589036</v>
      </c>
      <c r="B405" s="18" t="s">
        <v>1200</v>
      </c>
      <c r="C405" s="18" t="s">
        <v>454</v>
      </c>
      <c r="D405" s="18" t="s">
        <v>187</v>
      </c>
      <c r="E405" s="19">
        <v>44652</v>
      </c>
      <c r="F405" s="18" t="s">
        <v>1201</v>
      </c>
      <c r="G405" s="19">
        <v>44657</v>
      </c>
      <c r="H405" s="19">
        <v>44697</v>
      </c>
      <c r="I405" s="18"/>
      <c r="J405" s="19" t="b">
        <v>1</v>
      </c>
      <c r="K405" s="19" t="b">
        <v>0</v>
      </c>
      <c r="L405" s="19" t="b">
        <v>0</v>
      </c>
      <c r="M405" s="19" t="b">
        <v>0</v>
      </c>
      <c r="N405" s="19" t="b">
        <v>0</v>
      </c>
      <c r="O405" s="19" t="b">
        <v>0</v>
      </c>
      <c r="P405" s="19" t="b">
        <v>0</v>
      </c>
    </row>
    <row r="406" spans="1:16" x14ac:dyDescent="0.2">
      <c r="A406" s="18">
        <v>5589036</v>
      </c>
      <c r="B406" s="18" t="s">
        <v>1202</v>
      </c>
      <c r="C406" s="18" t="s">
        <v>454</v>
      </c>
      <c r="D406" s="18" t="s">
        <v>187</v>
      </c>
      <c r="E406" s="19">
        <v>45050</v>
      </c>
      <c r="F406" s="18" t="s">
        <v>1203</v>
      </c>
      <c r="G406" s="19">
        <v>45063</v>
      </c>
      <c r="H406" s="19">
        <v>45064</v>
      </c>
      <c r="I406" s="18"/>
      <c r="J406" s="19" t="b">
        <v>1</v>
      </c>
      <c r="K406" s="19" t="b">
        <v>0</v>
      </c>
      <c r="L406" s="19" t="b">
        <v>0</v>
      </c>
      <c r="M406" s="19" t="b">
        <v>0</v>
      </c>
      <c r="N406" s="19" t="b">
        <v>0</v>
      </c>
      <c r="O406" s="19" t="b">
        <v>0</v>
      </c>
      <c r="P406" s="19" t="b">
        <v>0</v>
      </c>
    </row>
    <row r="407" spans="1:16" x14ac:dyDescent="0.2">
      <c r="A407" s="18">
        <v>5589036</v>
      </c>
      <c r="B407" s="18" t="s">
        <v>1206</v>
      </c>
      <c r="C407" s="18" t="s">
        <v>454</v>
      </c>
      <c r="D407" s="18" t="s">
        <v>187</v>
      </c>
      <c r="E407" s="19">
        <v>44566</v>
      </c>
      <c r="F407" s="18" t="s">
        <v>1207</v>
      </c>
      <c r="G407" s="19">
        <v>44587</v>
      </c>
      <c r="H407" s="19">
        <v>44634</v>
      </c>
      <c r="I407" s="18" t="s">
        <v>43</v>
      </c>
      <c r="J407" s="19" t="b">
        <v>1</v>
      </c>
      <c r="K407" s="19" t="b">
        <v>0</v>
      </c>
      <c r="L407" s="19" t="b">
        <v>0</v>
      </c>
      <c r="M407" s="19" t="b">
        <v>0</v>
      </c>
      <c r="N407" s="19" t="b">
        <v>0</v>
      </c>
      <c r="O407" s="19" t="b">
        <v>1</v>
      </c>
      <c r="P407" s="19" t="b">
        <v>0</v>
      </c>
    </row>
    <row r="408" spans="1:16" x14ac:dyDescent="0.2">
      <c r="A408" s="18">
        <v>3163099</v>
      </c>
      <c r="B408" s="18" t="s">
        <v>1210</v>
      </c>
      <c r="C408" s="18" t="s">
        <v>176</v>
      </c>
      <c r="D408" s="18" t="s">
        <v>60</v>
      </c>
      <c r="E408" s="19">
        <v>44608</v>
      </c>
      <c r="F408" s="18" t="s">
        <v>1211</v>
      </c>
      <c r="G408" s="19">
        <v>44618</v>
      </c>
      <c r="H408" s="19">
        <v>44637</v>
      </c>
      <c r="I408" s="18" t="s">
        <v>43</v>
      </c>
      <c r="J408" s="19" t="b">
        <v>1</v>
      </c>
      <c r="K408" s="19" t="b">
        <v>0</v>
      </c>
      <c r="L408" s="19" t="b">
        <v>0</v>
      </c>
      <c r="M408" s="19" t="b">
        <v>0</v>
      </c>
      <c r="N408" s="19" t="b">
        <v>0</v>
      </c>
      <c r="O408" s="19" t="b">
        <v>1</v>
      </c>
      <c r="P408" s="19" t="b">
        <v>0</v>
      </c>
    </row>
    <row r="409" spans="1:16" x14ac:dyDescent="0.2">
      <c r="A409" s="18">
        <v>3163099</v>
      </c>
      <c r="B409" s="18" t="s">
        <v>1212</v>
      </c>
      <c r="C409" s="18" t="s">
        <v>176</v>
      </c>
      <c r="D409" s="18" t="s">
        <v>60</v>
      </c>
      <c r="E409" s="19">
        <v>44699</v>
      </c>
      <c r="F409" s="18" t="s">
        <v>1213</v>
      </c>
      <c r="G409" s="19">
        <v>44710</v>
      </c>
      <c r="H409" s="19">
        <v>44768</v>
      </c>
      <c r="I409" s="18" t="s">
        <v>28</v>
      </c>
      <c r="J409" s="19" t="b">
        <v>1</v>
      </c>
      <c r="K409" s="19" t="b">
        <v>0</v>
      </c>
      <c r="L409" s="19" t="b">
        <v>0</v>
      </c>
      <c r="M409" s="19" t="b">
        <v>0</v>
      </c>
      <c r="N409" s="19" t="b">
        <v>0</v>
      </c>
      <c r="O409" s="19" t="b">
        <v>0</v>
      </c>
      <c r="P409" s="19" t="b">
        <v>1</v>
      </c>
    </row>
    <row r="410" spans="1:16" x14ac:dyDescent="0.2">
      <c r="A410" s="18">
        <v>3163099</v>
      </c>
      <c r="B410" s="18" t="s">
        <v>1214</v>
      </c>
      <c r="C410" s="18" t="s">
        <v>176</v>
      </c>
      <c r="D410" s="18" t="s">
        <v>60</v>
      </c>
      <c r="E410" s="19">
        <v>44975</v>
      </c>
      <c r="F410" s="18" t="s">
        <v>1215</v>
      </c>
      <c r="G410" s="19">
        <v>44976</v>
      </c>
      <c r="H410" s="19">
        <v>44991</v>
      </c>
      <c r="I410" s="18" t="s">
        <v>43</v>
      </c>
      <c r="J410" s="19" t="b">
        <v>1</v>
      </c>
      <c r="K410" s="19" t="b">
        <v>0</v>
      </c>
      <c r="L410" s="19" t="b">
        <v>0</v>
      </c>
      <c r="M410" s="19" t="b">
        <v>0</v>
      </c>
      <c r="N410" s="19" t="b">
        <v>0</v>
      </c>
      <c r="O410" s="19" t="b">
        <v>1</v>
      </c>
      <c r="P410" s="19" t="b">
        <v>0</v>
      </c>
    </row>
    <row r="411" spans="1:16" x14ac:dyDescent="0.2">
      <c r="A411" s="18">
        <v>3163099</v>
      </c>
      <c r="B411" s="18" t="s">
        <v>1218</v>
      </c>
      <c r="C411" s="18" t="s">
        <v>176</v>
      </c>
      <c r="D411" s="18" t="s">
        <v>60</v>
      </c>
      <c r="E411" s="19">
        <v>44600</v>
      </c>
      <c r="F411" s="18" t="s">
        <v>1219</v>
      </c>
      <c r="G411" s="19">
        <v>44613</v>
      </c>
      <c r="H411" s="19">
        <v>44670</v>
      </c>
      <c r="I411" s="18" t="s">
        <v>16</v>
      </c>
      <c r="J411" s="19" t="b">
        <v>1</v>
      </c>
      <c r="K411" s="19" t="b">
        <v>0</v>
      </c>
      <c r="L411" s="19" t="b">
        <v>0</v>
      </c>
      <c r="M411" s="19" t="b">
        <v>0</v>
      </c>
      <c r="N411" s="19" t="b">
        <v>1</v>
      </c>
      <c r="O411" s="19" t="b">
        <v>0</v>
      </c>
      <c r="P411" s="19" t="b">
        <v>0</v>
      </c>
    </row>
    <row r="412" spans="1:16" x14ac:dyDescent="0.2">
      <c r="A412" s="18">
        <v>5291430</v>
      </c>
      <c r="B412" s="18" t="s">
        <v>1222</v>
      </c>
      <c r="C412" s="18" t="s">
        <v>35</v>
      </c>
      <c r="D412" s="18" t="s">
        <v>139</v>
      </c>
      <c r="E412" s="19">
        <v>44582</v>
      </c>
      <c r="F412" s="18" t="s">
        <v>1223</v>
      </c>
      <c r="G412" s="19">
        <v>44584</v>
      </c>
      <c r="H412" s="19">
        <v>44629</v>
      </c>
      <c r="I412" s="18" t="s">
        <v>16</v>
      </c>
      <c r="J412" s="19" t="b">
        <v>1</v>
      </c>
      <c r="K412" s="19" t="b">
        <v>0</v>
      </c>
      <c r="L412" s="19" t="b">
        <v>0</v>
      </c>
      <c r="M412" s="19" t="b">
        <v>0</v>
      </c>
      <c r="N412" s="19" t="b">
        <v>1</v>
      </c>
      <c r="O412" s="19" t="b">
        <v>0</v>
      </c>
      <c r="P412" s="19" t="b">
        <v>0</v>
      </c>
    </row>
    <row r="413" spans="1:16" x14ac:dyDescent="0.2">
      <c r="A413" s="18">
        <v>5291430</v>
      </c>
      <c r="B413" s="18" t="s">
        <v>1228</v>
      </c>
      <c r="C413" s="18" t="s">
        <v>35</v>
      </c>
      <c r="D413" s="18" t="s">
        <v>139</v>
      </c>
      <c r="E413" s="19">
        <v>44665</v>
      </c>
      <c r="F413" s="18" t="s">
        <v>1229</v>
      </c>
      <c r="G413" s="19">
        <v>44687</v>
      </c>
      <c r="H413" s="19">
        <v>44721</v>
      </c>
      <c r="I413" s="18" t="s">
        <v>16</v>
      </c>
      <c r="J413" s="19" t="b">
        <v>1</v>
      </c>
      <c r="K413" s="19" t="b">
        <v>0</v>
      </c>
      <c r="L413" s="19" t="b">
        <v>0</v>
      </c>
      <c r="M413" s="19" t="b">
        <v>0</v>
      </c>
      <c r="N413" s="19" t="b">
        <v>1</v>
      </c>
      <c r="O413" s="19" t="b">
        <v>0</v>
      </c>
      <c r="P413" s="19" t="b">
        <v>0</v>
      </c>
    </row>
    <row r="414" spans="1:16" x14ac:dyDescent="0.2">
      <c r="A414" s="18">
        <v>4351238</v>
      </c>
      <c r="B414" s="18" t="s">
        <v>1231</v>
      </c>
      <c r="C414" s="18" t="s">
        <v>35</v>
      </c>
      <c r="D414" s="18" t="s">
        <v>11</v>
      </c>
      <c r="E414" s="19">
        <v>44864</v>
      </c>
      <c r="F414" s="18" t="s">
        <v>1232</v>
      </c>
      <c r="G414" s="19">
        <v>44870</v>
      </c>
      <c r="H414" s="19">
        <v>44873</v>
      </c>
      <c r="I414" s="18" t="s">
        <v>28</v>
      </c>
      <c r="J414" s="19" t="b">
        <v>1</v>
      </c>
      <c r="K414" s="19" t="b">
        <v>0</v>
      </c>
      <c r="L414" s="19" t="b">
        <v>0</v>
      </c>
      <c r="M414" s="19" t="b">
        <v>0</v>
      </c>
      <c r="N414" s="19" t="b">
        <v>0</v>
      </c>
      <c r="O414" s="19" t="b">
        <v>0</v>
      </c>
      <c r="P414" s="19" t="b">
        <v>1</v>
      </c>
    </row>
    <row r="415" spans="1:16" x14ac:dyDescent="0.2">
      <c r="A415" s="18">
        <v>4351238</v>
      </c>
      <c r="B415" s="18" t="s">
        <v>1233</v>
      </c>
      <c r="C415" s="18" t="s">
        <v>35</v>
      </c>
      <c r="D415" s="18" t="s">
        <v>11</v>
      </c>
      <c r="E415" s="19">
        <v>44900</v>
      </c>
      <c r="F415" s="18" t="s">
        <v>1234</v>
      </c>
      <c r="G415" s="19">
        <v>44908</v>
      </c>
      <c r="H415" s="19">
        <v>44909</v>
      </c>
      <c r="I415" s="18" t="s">
        <v>43</v>
      </c>
      <c r="J415" s="19" t="b">
        <v>1</v>
      </c>
      <c r="K415" s="19" t="b">
        <v>0</v>
      </c>
      <c r="L415" s="19" t="b">
        <v>0</v>
      </c>
      <c r="M415" s="19" t="b">
        <v>0</v>
      </c>
      <c r="N415" s="19" t="b">
        <v>0</v>
      </c>
      <c r="O415" s="19" t="b">
        <v>1</v>
      </c>
      <c r="P415" s="19" t="b">
        <v>0</v>
      </c>
    </row>
    <row r="416" spans="1:16" x14ac:dyDescent="0.2">
      <c r="A416" s="18">
        <v>4351238</v>
      </c>
      <c r="B416" s="18" t="s">
        <v>1237</v>
      </c>
      <c r="C416" s="18" t="s">
        <v>35</v>
      </c>
      <c r="D416" s="18" t="s">
        <v>11</v>
      </c>
      <c r="E416" s="19">
        <v>45085</v>
      </c>
      <c r="F416" s="18" t="s">
        <v>1238</v>
      </c>
      <c r="G416" s="19">
        <v>45088</v>
      </c>
      <c r="H416" s="19">
        <v>45135</v>
      </c>
      <c r="I416" s="18"/>
      <c r="J416" s="19" t="b">
        <v>1</v>
      </c>
      <c r="K416" s="19" t="b">
        <v>0</v>
      </c>
      <c r="L416" s="19" t="b">
        <v>0</v>
      </c>
      <c r="M416" s="19" t="b">
        <v>0</v>
      </c>
      <c r="N416" s="19" t="b">
        <v>0</v>
      </c>
      <c r="O416" s="19" t="b">
        <v>0</v>
      </c>
      <c r="P416" s="19" t="b">
        <v>0</v>
      </c>
    </row>
    <row r="417" spans="1:16" x14ac:dyDescent="0.2">
      <c r="A417" s="18">
        <v>4351238</v>
      </c>
      <c r="B417" s="18" t="s">
        <v>1239</v>
      </c>
      <c r="C417" s="18" t="s">
        <v>35</v>
      </c>
      <c r="D417" s="18" t="s">
        <v>11</v>
      </c>
      <c r="E417" s="19">
        <v>45029</v>
      </c>
      <c r="F417" s="18" t="s">
        <v>1240</v>
      </c>
      <c r="G417" s="19">
        <v>45039</v>
      </c>
      <c r="H417" s="19">
        <v>45056</v>
      </c>
      <c r="I417" s="18" t="s">
        <v>28</v>
      </c>
      <c r="J417" s="19" t="b">
        <v>1</v>
      </c>
      <c r="K417" s="19" t="b">
        <v>0</v>
      </c>
      <c r="L417" s="19" t="b">
        <v>0</v>
      </c>
      <c r="M417" s="19" t="b">
        <v>0</v>
      </c>
      <c r="N417" s="19" t="b">
        <v>0</v>
      </c>
      <c r="O417" s="19" t="b">
        <v>0</v>
      </c>
      <c r="P417" s="19" t="b">
        <v>1</v>
      </c>
    </row>
    <row r="418" spans="1:16" x14ac:dyDescent="0.2">
      <c r="A418" s="18">
        <v>8789281</v>
      </c>
      <c r="B418" s="18" t="s">
        <v>1241</v>
      </c>
      <c r="C418" s="18" t="s">
        <v>521</v>
      </c>
      <c r="D418" s="18" t="s">
        <v>122</v>
      </c>
      <c r="E418" s="19">
        <v>44882</v>
      </c>
      <c r="F418" s="18" t="s">
        <v>1242</v>
      </c>
      <c r="G418" s="19">
        <v>44896</v>
      </c>
      <c r="H418" s="19">
        <v>44944</v>
      </c>
      <c r="I418" s="18" t="s">
        <v>28</v>
      </c>
      <c r="J418" s="19" t="b">
        <v>1</v>
      </c>
      <c r="K418" s="19" t="b">
        <v>0</v>
      </c>
      <c r="L418" s="19" t="b">
        <v>0</v>
      </c>
      <c r="M418" s="19" t="b">
        <v>0</v>
      </c>
      <c r="N418" s="19" t="b">
        <v>0</v>
      </c>
      <c r="O418" s="19" t="b">
        <v>0</v>
      </c>
      <c r="P418" s="19" t="b">
        <v>1</v>
      </c>
    </row>
    <row r="419" spans="1:16" x14ac:dyDescent="0.2">
      <c r="A419" s="18">
        <v>3321873</v>
      </c>
      <c r="B419" s="18" t="s">
        <v>1246</v>
      </c>
      <c r="C419" s="18" t="s">
        <v>167</v>
      </c>
      <c r="D419" s="18" t="s">
        <v>187</v>
      </c>
      <c r="E419" s="19">
        <v>44749</v>
      </c>
      <c r="F419" s="18" t="s">
        <v>1247</v>
      </c>
      <c r="G419" s="19">
        <v>44753</v>
      </c>
      <c r="H419" s="19">
        <v>44779</v>
      </c>
      <c r="I419" s="18" t="s">
        <v>28</v>
      </c>
      <c r="J419" s="19" t="b">
        <v>1</v>
      </c>
      <c r="K419" s="19" t="b">
        <v>0</v>
      </c>
      <c r="L419" s="19" t="b">
        <v>0</v>
      </c>
      <c r="M419" s="19" t="b">
        <v>0</v>
      </c>
      <c r="N419" s="19" t="b">
        <v>0</v>
      </c>
      <c r="O419" s="19" t="b">
        <v>0</v>
      </c>
      <c r="P419" s="19" t="b">
        <v>1</v>
      </c>
    </row>
    <row r="420" spans="1:16" x14ac:dyDescent="0.2">
      <c r="A420" s="18">
        <v>3321873</v>
      </c>
      <c r="B420" s="18" t="s">
        <v>1248</v>
      </c>
      <c r="C420" s="18" t="s">
        <v>167</v>
      </c>
      <c r="D420" s="18" t="s">
        <v>187</v>
      </c>
      <c r="E420" s="19">
        <v>44956</v>
      </c>
      <c r="F420" s="18" t="s">
        <v>1249</v>
      </c>
      <c r="G420" s="19">
        <v>44979</v>
      </c>
      <c r="H420" s="19">
        <v>45034</v>
      </c>
      <c r="I420" s="18"/>
      <c r="J420" s="19" t="b">
        <v>1</v>
      </c>
      <c r="K420" s="19" t="b">
        <v>0</v>
      </c>
      <c r="L420" s="19" t="b">
        <v>0</v>
      </c>
      <c r="M420" s="19" t="b">
        <v>0</v>
      </c>
      <c r="N420" s="19" t="b">
        <v>0</v>
      </c>
      <c r="O420" s="19" t="b">
        <v>0</v>
      </c>
      <c r="P420" s="19" t="b">
        <v>0</v>
      </c>
    </row>
    <row r="421" spans="1:16" x14ac:dyDescent="0.2">
      <c r="A421" s="18">
        <v>8351152</v>
      </c>
      <c r="B421" s="18" t="s">
        <v>1254</v>
      </c>
      <c r="C421" s="18" t="s">
        <v>38</v>
      </c>
      <c r="D421" s="18" t="s">
        <v>81</v>
      </c>
      <c r="E421" s="19">
        <v>44695</v>
      </c>
      <c r="F421" s="18" t="s">
        <v>388</v>
      </c>
      <c r="G421" s="19">
        <v>44711</v>
      </c>
      <c r="H421" s="19">
        <v>44770</v>
      </c>
      <c r="I421" s="18" t="s">
        <v>16</v>
      </c>
      <c r="J421" s="19" t="b">
        <v>1</v>
      </c>
      <c r="K421" s="19" t="b">
        <v>0</v>
      </c>
      <c r="L421" s="19" t="b">
        <v>0</v>
      </c>
      <c r="M421" s="19" t="b">
        <v>0</v>
      </c>
      <c r="N421" s="19" t="b">
        <v>1</v>
      </c>
      <c r="O421" s="19" t="b">
        <v>0</v>
      </c>
      <c r="P421" s="19" t="b">
        <v>0</v>
      </c>
    </row>
    <row r="422" spans="1:16" x14ac:dyDescent="0.2">
      <c r="A422" s="18">
        <v>8351152</v>
      </c>
      <c r="B422" s="18" t="s">
        <v>1255</v>
      </c>
      <c r="C422" s="18" t="s">
        <v>38</v>
      </c>
      <c r="D422" s="18" t="s">
        <v>81</v>
      </c>
      <c r="E422" s="19">
        <v>44626</v>
      </c>
      <c r="F422" s="18" t="s">
        <v>1256</v>
      </c>
      <c r="G422" s="19">
        <v>44635</v>
      </c>
      <c r="H422" s="19">
        <v>44677</v>
      </c>
      <c r="I422" s="18"/>
      <c r="J422" s="19" t="b">
        <v>1</v>
      </c>
      <c r="K422" s="19" t="b">
        <v>0</v>
      </c>
      <c r="L422" s="19" t="b">
        <v>0</v>
      </c>
      <c r="M422" s="19" t="b">
        <v>0</v>
      </c>
      <c r="N422" s="19" t="b">
        <v>0</v>
      </c>
      <c r="O422" s="19" t="b">
        <v>0</v>
      </c>
      <c r="P422" s="19" t="b">
        <v>0</v>
      </c>
    </row>
    <row r="423" spans="1:16" x14ac:dyDescent="0.2">
      <c r="A423" s="18">
        <v>8351152</v>
      </c>
      <c r="B423" s="18" t="s">
        <v>1257</v>
      </c>
      <c r="C423" s="18" t="s">
        <v>38</v>
      </c>
      <c r="D423" s="18" t="s">
        <v>81</v>
      </c>
      <c r="E423" s="19">
        <v>44908</v>
      </c>
      <c r="F423" s="18" t="s">
        <v>320</v>
      </c>
      <c r="G423" s="19">
        <v>44925</v>
      </c>
      <c r="H423" s="19">
        <v>44959</v>
      </c>
      <c r="I423" s="18" t="s">
        <v>43</v>
      </c>
      <c r="J423" s="19" t="b">
        <v>1</v>
      </c>
      <c r="K423" s="19" t="b">
        <v>0</v>
      </c>
      <c r="L423" s="19" t="b">
        <v>0</v>
      </c>
      <c r="M423" s="19" t="b">
        <v>0</v>
      </c>
      <c r="N423" s="19" t="b">
        <v>0</v>
      </c>
      <c r="O423" s="19" t="b">
        <v>1</v>
      </c>
      <c r="P423" s="19" t="b">
        <v>0</v>
      </c>
    </row>
    <row r="424" spans="1:16" x14ac:dyDescent="0.2">
      <c r="A424" s="18">
        <v>8351152</v>
      </c>
      <c r="B424" s="18" t="s">
        <v>1258</v>
      </c>
      <c r="C424" s="18" t="s">
        <v>38</v>
      </c>
      <c r="D424" s="18" t="s">
        <v>81</v>
      </c>
      <c r="E424" s="19">
        <v>44816</v>
      </c>
      <c r="F424" s="18" t="s">
        <v>1259</v>
      </c>
      <c r="G424" s="19">
        <v>44832</v>
      </c>
      <c r="H424" s="19">
        <v>44855</v>
      </c>
      <c r="I424" s="18" t="s">
        <v>16</v>
      </c>
      <c r="J424" s="19" t="b">
        <v>1</v>
      </c>
      <c r="K424" s="19" t="b">
        <v>0</v>
      </c>
      <c r="L424" s="19" t="b">
        <v>0</v>
      </c>
      <c r="M424" s="19" t="b">
        <v>0</v>
      </c>
      <c r="N424" s="19" t="b">
        <v>1</v>
      </c>
      <c r="O424" s="19" t="b">
        <v>0</v>
      </c>
      <c r="P424" s="19" t="b">
        <v>0</v>
      </c>
    </row>
    <row r="425" spans="1:16" x14ac:dyDescent="0.2">
      <c r="A425" s="18">
        <v>7457158</v>
      </c>
      <c r="B425" s="18" t="s">
        <v>1262</v>
      </c>
      <c r="C425" s="18" t="s">
        <v>71</v>
      </c>
      <c r="D425" s="18" t="s">
        <v>139</v>
      </c>
      <c r="E425" s="19">
        <v>45042</v>
      </c>
      <c r="F425" s="18" t="s">
        <v>1263</v>
      </c>
      <c r="G425" s="19">
        <v>45070</v>
      </c>
      <c r="H425" s="19">
        <v>45102</v>
      </c>
      <c r="I425" s="18" t="s">
        <v>43</v>
      </c>
      <c r="J425" s="19" t="b">
        <v>1</v>
      </c>
      <c r="K425" s="19" t="b">
        <v>0</v>
      </c>
      <c r="L425" s="19" t="b">
        <v>0</v>
      </c>
      <c r="M425" s="19" t="b">
        <v>0</v>
      </c>
      <c r="N425" s="19" t="b">
        <v>0</v>
      </c>
      <c r="O425" s="19" t="b">
        <v>1</v>
      </c>
      <c r="P425" s="19" t="b">
        <v>0</v>
      </c>
    </row>
    <row r="426" spans="1:16" x14ac:dyDescent="0.2">
      <c r="A426" s="18">
        <v>7457158</v>
      </c>
      <c r="B426" s="18" t="s">
        <v>1264</v>
      </c>
      <c r="C426" s="18" t="s">
        <v>71</v>
      </c>
      <c r="D426" s="18" t="s">
        <v>139</v>
      </c>
      <c r="E426" s="19">
        <v>44890</v>
      </c>
      <c r="F426" s="18" t="s">
        <v>1265</v>
      </c>
      <c r="G426" s="19">
        <v>44898</v>
      </c>
      <c r="H426" s="19">
        <v>44920</v>
      </c>
      <c r="I426" s="18" t="s">
        <v>16</v>
      </c>
      <c r="J426" s="19" t="b">
        <v>1</v>
      </c>
      <c r="K426" s="19" t="b">
        <v>0</v>
      </c>
      <c r="L426" s="19" t="b">
        <v>0</v>
      </c>
      <c r="M426" s="19" t="b">
        <v>0</v>
      </c>
      <c r="N426" s="19" t="b">
        <v>1</v>
      </c>
      <c r="O426" s="19" t="b">
        <v>0</v>
      </c>
      <c r="P426" s="19" t="b">
        <v>0</v>
      </c>
    </row>
    <row r="427" spans="1:16" x14ac:dyDescent="0.2">
      <c r="A427" s="18">
        <v>7457158</v>
      </c>
      <c r="B427" s="18" t="s">
        <v>1266</v>
      </c>
      <c r="C427" s="18" t="s">
        <v>71</v>
      </c>
      <c r="D427" s="18" t="s">
        <v>139</v>
      </c>
      <c r="E427" s="19">
        <v>44949</v>
      </c>
      <c r="F427" s="18" t="s">
        <v>1267</v>
      </c>
      <c r="G427" s="19">
        <v>44962</v>
      </c>
      <c r="H427" s="19">
        <v>45015</v>
      </c>
      <c r="I427" s="18" t="s">
        <v>16</v>
      </c>
      <c r="J427" s="19" t="b">
        <v>1</v>
      </c>
      <c r="K427" s="19" t="b">
        <v>0</v>
      </c>
      <c r="L427" s="19" t="b">
        <v>0</v>
      </c>
      <c r="M427" s="19" t="b">
        <v>0</v>
      </c>
      <c r="N427" s="19" t="b">
        <v>1</v>
      </c>
      <c r="O427" s="19" t="b">
        <v>0</v>
      </c>
      <c r="P427" s="19" t="b">
        <v>0</v>
      </c>
    </row>
    <row r="428" spans="1:16" x14ac:dyDescent="0.2">
      <c r="A428" s="18">
        <v>2991570</v>
      </c>
      <c r="B428" s="18" t="s">
        <v>1270</v>
      </c>
      <c r="C428" s="18" t="s">
        <v>363</v>
      </c>
      <c r="D428" s="18" t="s">
        <v>56</v>
      </c>
      <c r="E428" s="19">
        <v>44562</v>
      </c>
      <c r="F428" s="18" t="s">
        <v>1271</v>
      </c>
      <c r="G428" s="19">
        <v>44589</v>
      </c>
      <c r="H428" s="19">
        <v>44595</v>
      </c>
      <c r="I428" s="18" t="s">
        <v>16</v>
      </c>
      <c r="J428" s="19" t="b">
        <v>1</v>
      </c>
      <c r="K428" s="19" t="b">
        <v>0</v>
      </c>
      <c r="L428" s="19" t="b">
        <v>0</v>
      </c>
      <c r="M428" s="19" t="b">
        <v>0</v>
      </c>
      <c r="N428" s="19" t="b">
        <v>1</v>
      </c>
      <c r="O428" s="19" t="b">
        <v>0</v>
      </c>
      <c r="P428" s="19" t="b">
        <v>0</v>
      </c>
    </row>
    <row r="429" spans="1:16" x14ac:dyDescent="0.2">
      <c r="A429" s="18">
        <v>6110305</v>
      </c>
      <c r="B429" s="18" t="s">
        <v>1274</v>
      </c>
      <c r="C429" s="18" t="s">
        <v>131</v>
      </c>
      <c r="D429" s="18" t="s">
        <v>139</v>
      </c>
      <c r="E429" s="19">
        <v>44901</v>
      </c>
      <c r="F429" s="18" t="s">
        <v>1275</v>
      </c>
      <c r="G429" s="19">
        <v>44919</v>
      </c>
      <c r="H429" s="19">
        <v>44969</v>
      </c>
      <c r="I429" s="18" t="s">
        <v>43</v>
      </c>
      <c r="J429" s="19" t="b">
        <v>1</v>
      </c>
      <c r="K429" s="19" t="b">
        <v>0</v>
      </c>
      <c r="L429" s="19" t="b">
        <v>0</v>
      </c>
      <c r="M429" s="19" t="b">
        <v>0</v>
      </c>
      <c r="N429" s="19" t="b">
        <v>0</v>
      </c>
      <c r="O429" s="19" t="b">
        <v>1</v>
      </c>
      <c r="P429" s="19" t="b">
        <v>0</v>
      </c>
    </row>
    <row r="430" spans="1:16" x14ac:dyDescent="0.2">
      <c r="A430" s="18">
        <v>6110305</v>
      </c>
      <c r="B430" s="18" t="s">
        <v>1276</v>
      </c>
      <c r="C430" s="18" t="s">
        <v>131</v>
      </c>
      <c r="D430" s="18" t="s">
        <v>139</v>
      </c>
      <c r="E430" s="19">
        <v>44934</v>
      </c>
      <c r="F430" s="18" t="s">
        <v>1074</v>
      </c>
      <c r="G430" s="19">
        <v>44957</v>
      </c>
      <c r="H430" s="19">
        <v>44986</v>
      </c>
      <c r="I430" s="18"/>
      <c r="J430" s="19" t="b">
        <v>1</v>
      </c>
      <c r="K430" s="19" t="b">
        <v>0</v>
      </c>
      <c r="L430" s="19" t="b">
        <v>0</v>
      </c>
      <c r="M430" s="19" t="b">
        <v>0</v>
      </c>
      <c r="N430" s="19" t="b">
        <v>0</v>
      </c>
      <c r="O430" s="19" t="b">
        <v>0</v>
      </c>
      <c r="P430" s="19" t="b">
        <v>0</v>
      </c>
    </row>
    <row r="431" spans="1:16" x14ac:dyDescent="0.2">
      <c r="A431" s="18">
        <v>6110305</v>
      </c>
      <c r="B431" s="18" t="s">
        <v>1279</v>
      </c>
      <c r="C431" s="18" t="s">
        <v>131</v>
      </c>
      <c r="D431" s="18" t="s">
        <v>139</v>
      </c>
      <c r="E431" s="19">
        <v>44944</v>
      </c>
      <c r="F431" s="18" t="s">
        <v>1280</v>
      </c>
      <c r="G431" s="19">
        <v>44967</v>
      </c>
      <c r="H431" s="19">
        <v>44974</v>
      </c>
      <c r="I431" s="18" t="s">
        <v>28</v>
      </c>
      <c r="J431" s="19" t="b">
        <v>1</v>
      </c>
      <c r="K431" s="19" t="b">
        <v>0</v>
      </c>
      <c r="L431" s="19" t="b">
        <v>0</v>
      </c>
      <c r="M431" s="19" t="b">
        <v>0</v>
      </c>
      <c r="N431" s="19" t="b">
        <v>0</v>
      </c>
      <c r="O431" s="19" t="b">
        <v>0</v>
      </c>
      <c r="P431" s="19" t="b">
        <v>1</v>
      </c>
    </row>
    <row r="432" spans="1:16" x14ac:dyDescent="0.2">
      <c r="A432" s="18">
        <v>1768029</v>
      </c>
      <c r="B432" s="18" t="s">
        <v>1284</v>
      </c>
      <c r="C432" s="18" t="s">
        <v>131</v>
      </c>
      <c r="D432" s="18" t="s">
        <v>187</v>
      </c>
      <c r="E432" s="19">
        <v>44757</v>
      </c>
      <c r="F432" s="18" t="s">
        <v>1285</v>
      </c>
      <c r="G432" s="19">
        <v>44780</v>
      </c>
      <c r="H432" s="19">
        <v>44802</v>
      </c>
      <c r="I432" s="18" t="s">
        <v>43</v>
      </c>
      <c r="J432" s="19" t="b">
        <v>1</v>
      </c>
      <c r="K432" s="19" t="b">
        <v>0</v>
      </c>
      <c r="L432" s="19" t="b">
        <v>0</v>
      </c>
      <c r="M432" s="19" t="b">
        <v>0</v>
      </c>
      <c r="N432" s="19" t="b">
        <v>0</v>
      </c>
      <c r="O432" s="19" t="b">
        <v>1</v>
      </c>
      <c r="P432" s="19" t="b">
        <v>0</v>
      </c>
    </row>
    <row r="433" spans="1:16" x14ac:dyDescent="0.2">
      <c r="A433" s="18">
        <v>8558212</v>
      </c>
      <c r="B433" s="18" t="s">
        <v>1291</v>
      </c>
      <c r="C433" s="18" t="s">
        <v>287</v>
      </c>
      <c r="D433" s="18" t="s">
        <v>81</v>
      </c>
      <c r="E433" s="19">
        <v>44743</v>
      </c>
      <c r="F433" s="18" t="s">
        <v>1292</v>
      </c>
      <c r="G433" s="19">
        <v>44766</v>
      </c>
      <c r="H433" s="19">
        <v>44804</v>
      </c>
      <c r="I433" s="18"/>
      <c r="J433" s="19" t="b">
        <v>1</v>
      </c>
      <c r="K433" s="19" t="b">
        <v>0</v>
      </c>
      <c r="L433" s="19" t="b">
        <v>0</v>
      </c>
      <c r="M433" s="19" t="b">
        <v>0</v>
      </c>
      <c r="N433" s="19" t="b">
        <v>0</v>
      </c>
      <c r="O433" s="19" t="b">
        <v>0</v>
      </c>
      <c r="P433" s="19" t="b">
        <v>0</v>
      </c>
    </row>
    <row r="434" spans="1:16" x14ac:dyDescent="0.2">
      <c r="A434" s="18">
        <v>8558212</v>
      </c>
      <c r="B434" s="18" t="s">
        <v>1294</v>
      </c>
      <c r="C434" s="18" t="s">
        <v>287</v>
      </c>
      <c r="D434" s="18" t="s">
        <v>81</v>
      </c>
      <c r="E434" s="19">
        <v>44955</v>
      </c>
      <c r="F434" s="18" t="s">
        <v>1295</v>
      </c>
      <c r="G434" s="19">
        <v>44969</v>
      </c>
      <c r="H434" s="19">
        <v>45008</v>
      </c>
      <c r="I434" s="18" t="s">
        <v>28</v>
      </c>
      <c r="J434" s="19" t="b">
        <v>1</v>
      </c>
      <c r="K434" s="19" t="b">
        <v>0</v>
      </c>
      <c r="L434" s="19" t="b">
        <v>0</v>
      </c>
      <c r="M434" s="19" t="b">
        <v>0</v>
      </c>
      <c r="N434" s="19" t="b">
        <v>0</v>
      </c>
      <c r="O434" s="19" t="b">
        <v>0</v>
      </c>
      <c r="P434" s="19" t="b">
        <v>1</v>
      </c>
    </row>
    <row r="435" spans="1:16" x14ac:dyDescent="0.2">
      <c r="A435" s="18">
        <v>7675150</v>
      </c>
      <c r="B435" s="18" t="s">
        <v>1296</v>
      </c>
      <c r="C435" s="18" t="s">
        <v>720</v>
      </c>
      <c r="D435" s="18" t="s">
        <v>11</v>
      </c>
      <c r="E435" s="19">
        <v>45086</v>
      </c>
      <c r="F435" s="18" t="s">
        <v>1297</v>
      </c>
      <c r="G435" s="19">
        <v>45096</v>
      </c>
      <c r="H435" s="19">
        <v>45150</v>
      </c>
      <c r="I435" s="18" t="s">
        <v>43</v>
      </c>
      <c r="J435" s="19" t="b">
        <v>1</v>
      </c>
      <c r="K435" s="19" t="b">
        <v>0</v>
      </c>
      <c r="L435" s="19" t="b">
        <v>0</v>
      </c>
      <c r="M435" s="19" t="b">
        <v>0</v>
      </c>
      <c r="N435" s="19" t="b">
        <v>0</v>
      </c>
      <c r="O435" s="19" t="b">
        <v>1</v>
      </c>
      <c r="P435" s="19" t="b">
        <v>0</v>
      </c>
    </row>
    <row r="436" spans="1:16" x14ac:dyDescent="0.2">
      <c r="A436" s="18">
        <v>7675150</v>
      </c>
      <c r="B436" s="18" t="s">
        <v>1298</v>
      </c>
      <c r="C436" s="18" t="s">
        <v>720</v>
      </c>
      <c r="D436" s="18" t="s">
        <v>11</v>
      </c>
      <c r="E436" s="19">
        <v>44784</v>
      </c>
      <c r="F436" s="18" t="s">
        <v>1282</v>
      </c>
      <c r="G436" s="19">
        <v>44791</v>
      </c>
      <c r="H436" s="19">
        <v>44805</v>
      </c>
      <c r="I436" s="18" t="s">
        <v>28</v>
      </c>
      <c r="J436" s="19" t="b">
        <v>1</v>
      </c>
      <c r="K436" s="19" t="b">
        <v>0</v>
      </c>
      <c r="L436" s="19" t="b">
        <v>0</v>
      </c>
      <c r="M436" s="19" t="b">
        <v>0</v>
      </c>
      <c r="N436" s="19" t="b">
        <v>0</v>
      </c>
      <c r="O436" s="19" t="b">
        <v>0</v>
      </c>
      <c r="P436" s="19" t="b">
        <v>1</v>
      </c>
    </row>
    <row r="437" spans="1:16" x14ac:dyDescent="0.2">
      <c r="A437" s="18">
        <v>7675150</v>
      </c>
      <c r="B437" s="18" t="s">
        <v>1299</v>
      </c>
      <c r="C437" s="18" t="s">
        <v>720</v>
      </c>
      <c r="D437" s="18" t="s">
        <v>11</v>
      </c>
      <c r="E437" s="19">
        <v>44697</v>
      </c>
      <c r="F437" s="18" t="s">
        <v>1300</v>
      </c>
      <c r="G437" s="19">
        <v>44720</v>
      </c>
      <c r="H437" s="19">
        <v>44762</v>
      </c>
      <c r="I437" s="18" t="s">
        <v>28</v>
      </c>
      <c r="J437" s="19" t="b">
        <v>1</v>
      </c>
      <c r="K437" s="19" t="b">
        <v>0</v>
      </c>
      <c r="L437" s="19" t="b">
        <v>0</v>
      </c>
      <c r="M437" s="19" t="b">
        <v>0</v>
      </c>
      <c r="N437" s="19" t="b">
        <v>0</v>
      </c>
      <c r="O437" s="19" t="b">
        <v>0</v>
      </c>
      <c r="P437" s="19" t="b">
        <v>1</v>
      </c>
    </row>
    <row r="438" spans="1:16" x14ac:dyDescent="0.2">
      <c r="A438" s="18">
        <v>7675150</v>
      </c>
      <c r="B438" s="18" t="s">
        <v>1301</v>
      </c>
      <c r="C438" s="18" t="s">
        <v>720</v>
      </c>
      <c r="D438" s="18" t="s">
        <v>11</v>
      </c>
      <c r="E438" s="19">
        <v>44892</v>
      </c>
      <c r="F438" s="18" t="s">
        <v>1302</v>
      </c>
      <c r="G438" s="19">
        <v>44915</v>
      </c>
      <c r="H438" s="19">
        <v>44923</v>
      </c>
      <c r="I438" s="18" t="s">
        <v>43</v>
      </c>
      <c r="J438" s="19" t="b">
        <v>1</v>
      </c>
      <c r="K438" s="19" t="b">
        <v>0</v>
      </c>
      <c r="L438" s="19" t="b">
        <v>0</v>
      </c>
      <c r="M438" s="19" t="b">
        <v>0</v>
      </c>
      <c r="N438" s="19" t="b">
        <v>0</v>
      </c>
      <c r="O438" s="19" t="b">
        <v>1</v>
      </c>
      <c r="P438" s="19" t="b">
        <v>0</v>
      </c>
    </row>
    <row r="439" spans="1:16" x14ac:dyDescent="0.2">
      <c r="A439" s="18">
        <v>6909569</v>
      </c>
      <c r="B439" s="18" t="s">
        <v>1303</v>
      </c>
      <c r="C439" s="18" t="s">
        <v>18</v>
      </c>
      <c r="D439" s="18" t="s">
        <v>77</v>
      </c>
      <c r="E439" s="19">
        <v>44854</v>
      </c>
      <c r="F439" s="18" t="s">
        <v>1304</v>
      </c>
      <c r="G439" s="19">
        <v>44883</v>
      </c>
      <c r="H439" s="19">
        <v>44938</v>
      </c>
      <c r="I439" s="18"/>
      <c r="J439" s="19" t="b">
        <v>1</v>
      </c>
      <c r="K439" s="19" t="b">
        <v>0</v>
      </c>
      <c r="L439" s="19" t="b">
        <v>0</v>
      </c>
      <c r="M439" s="19" t="b">
        <v>0</v>
      </c>
      <c r="N439" s="19" t="b">
        <v>0</v>
      </c>
      <c r="O439" s="19" t="b">
        <v>0</v>
      </c>
      <c r="P439" s="19" t="b">
        <v>0</v>
      </c>
    </row>
    <row r="440" spans="1:16" x14ac:dyDescent="0.2">
      <c r="A440" s="18">
        <v>6909569</v>
      </c>
      <c r="B440" s="18" t="s">
        <v>1305</v>
      </c>
      <c r="C440" s="18" t="s">
        <v>18</v>
      </c>
      <c r="D440" s="18" t="s">
        <v>77</v>
      </c>
      <c r="E440" s="19">
        <v>44587</v>
      </c>
      <c r="F440" s="18" t="s">
        <v>1306</v>
      </c>
      <c r="G440" s="19">
        <v>44600</v>
      </c>
      <c r="H440" s="19">
        <v>44610</v>
      </c>
      <c r="I440" s="18" t="s">
        <v>16</v>
      </c>
      <c r="J440" s="19" t="b">
        <v>1</v>
      </c>
      <c r="K440" s="19" t="b">
        <v>0</v>
      </c>
      <c r="L440" s="19" t="b">
        <v>0</v>
      </c>
      <c r="M440" s="19" t="b">
        <v>0</v>
      </c>
      <c r="N440" s="19" t="b">
        <v>1</v>
      </c>
      <c r="O440" s="19" t="b">
        <v>0</v>
      </c>
      <c r="P440" s="19" t="b">
        <v>0</v>
      </c>
    </row>
    <row r="441" spans="1:16" x14ac:dyDescent="0.2">
      <c r="A441" s="18">
        <v>6909569</v>
      </c>
      <c r="B441" s="18" t="s">
        <v>1309</v>
      </c>
      <c r="C441" s="18" t="s">
        <v>18</v>
      </c>
      <c r="D441" s="18" t="s">
        <v>77</v>
      </c>
      <c r="E441" s="19">
        <v>44711</v>
      </c>
      <c r="F441" s="18" t="s">
        <v>1310</v>
      </c>
      <c r="G441" s="19">
        <v>44738</v>
      </c>
      <c r="H441" s="19">
        <v>44742</v>
      </c>
      <c r="I441" s="18" t="s">
        <v>28</v>
      </c>
      <c r="J441" s="19" t="b">
        <v>1</v>
      </c>
      <c r="K441" s="19" t="b">
        <v>0</v>
      </c>
      <c r="L441" s="19" t="b">
        <v>0</v>
      </c>
      <c r="M441" s="19" t="b">
        <v>0</v>
      </c>
      <c r="N441" s="19" t="b">
        <v>0</v>
      </c>
      <c r="O441" s="19" t="b">
        <v>0</v>
      </c>
      <c r="P441" s="19" t="b">
        <v>1</v>
      </c>
    </row>
    <row r="442" spans="1:16" x14ac:dyDescent="0.2">
      <c r="A442" s="18">
        <v>6909569</v>
      </c>
      <c r="B442" s="18" t="s">
        <v>1311</v>
      </c>
      <c r="C442" s="18" t="s">
        <v>18</v>
      </c>
      <c r="D442" s="18" t="s">
        <v>77</v>
      </c>
      <c r="E442" s="19">
        <v>44595</v>
      </c>
      <c r="F442" s="18" t="s">
        <v>461</v>
      </c>
      <c r="G442" s="19">
        <v>44607</v>
      </c>
      <c r="H442" s="19">
        <v>44660</v>
      </c>
      <c r="I442" s="18" t="s">
        <v>28</v>
      </c>
      <c r="J442" s="19" t="b">
        <v>1</v>
      </c>
      <c r="K442" s="19" t="b">
        <v>0</v>
      </c>
      <c r="L442" s="19" t="b">
        <v>0</v>
      </c>
      <c r="M442" s="19" t="b">
        <v>0</v>
      </c>
      <c r="N442" s="19" t="b">
        <v>0</v>
      </c>
      <c r="O442" s="19" t="b">
        <v>0</v>
      </c>
      <c r="P442" s="19" t="b">
        <v>1</v>
      </c>
    </row>
    <row r="443" spans="1:16" x14ac:dyDescent="0.2">
      <c r="A443" s="18">
        <v>8593275</v>
      </c>
      <c r="B443" s="18" t="s">
        <v>1312</v>
      </c>
      <c r="C443" s="18" t="s">
        <v>176</v>
      </c>
      <c r="D443" s="18" t="s">
        <v>81</v>
      </c>
      <c r="E443" s="19">
        <v>44856</v>
      </c>
      <c r="F443" s="18" t="s">
        <v>1313</v>
      </c>
      <c r="G443" s="19">
        <v>44879</v>
      </c>
      <c r="H443" s="19">
        <v>44922</v>
      </c>
      <c r="I443" s="18"/>
      <c r="J443" s="19" t="b">
        <v>1</v>
      </c>
      <c r="K443" s="19" t="b">
        <v>0</v>
      </c>
      <c r="L443" s="19" t="b">
        <v>0</v>
      </c>
      <c r="M443" s="19" t="b">
        <v>0</v>
      </c>
      <c r="N443" s="19" t="b">
        <v>0</v>
      </c>
      <c r="O443" s="19" t="b">
        <v>0</v>
      </c>
      <c r="P443" s="19" t="b">
        <v>0</v>
      </c>
    </row>
    <row r="444" spans="1:16" x14ac:dyDescent="0.2">
      <c r="A444" s="18">
        <v>8593275</v>
      </c>
      <c r="B444" s="18" t="s">
        <v>1316</v>
      </c>
      <c r="C444" s="18" t="s">
        <v>176</v>
      </c>
      <c r="D444" s="18" t="s">
        <v>81</v>
      </c>
      <c r="E444" s="19">
        <v>44575</v>
      </c>
      <c r="F444" s="18" t="s">
        <v>1317</v>
      </c>
      <c r="G444" s="19">
        <v>44599</v>
      </c>
      <c r="H444" s="19">
        <v>44616</v>
      </c>
      <c r="I444" s="18" t="s">
        <v>28</v>
      </c>
      <c r="J444" s="19" t="b">
        <v>1</v>
      </c>
      <c r="K444" s="19" t="b">
        <v>0</v>
      </c>
      <c r="L444" s="19" t="b">
        <v>0</v>
      </c>
      <c r="M444" s="19" t="b">
        <v>0</v>
      </c>
      <c r="N444" s="19" t="b">
        <v>0</v>
      </c>
      <c r="O444" s="19" t="b">
        <v>0</v>
      </c>
      <c r="P444" s="19" t="b">
        <v>1</v>
      </c>
    </row>
    <row r="445" spans="1:16" x14ac:dyDescent="0.2">
      <c r="A445" s="18">
        <v>4296204</v>
      </c>
      <c r="B445" s="18" t="s">
        <v>1322</v>
      </c>
      <c r="C445" s="18" t="s">
        <v>35</v>
      </c>
      <c r="D445" s="18" t="s">
        <v>19</v>
      </c>
      <c r="E445" s="19">
        <v>45088</v>
      </c>
      <c r="F445" s="18" t="s">
        <v>1323</v>
      </c>
      <c r="G445" s="19">
        <v>45092</v>
      </c>
      <c r="H445" s="19">
        <v>45117</v>
      </c>
      <c r="I445" s="18" t="s">
        <v>16</v>
      </c>
      <c r="J445" s="19" t="b">
        <v>1</v>
      </c>
      <c r="K445" s="19" t="b">
        <v>0</v>
      </c>
      <c r="L445" s="19" t="b">
        <v>0</v>
      </c>
      <c r="M445" s="19" t="b">
        <v>0</v>
      </c>
      <c r="N445" s="19" t="b">
        <v>1</v>
      </c>
      <c r="O445" s="19" t="b">
        <v>0</v>
      </c>
      <c r="P445" s="19" t="b">
        <v>0</v>
      </c>
    </row>
    <row r="446" spans="1:16" x14ac:dyDescent="0.2">
      <c r="A446" s="18">
        <v>6052539</v>
      </c>
      <c r="B446" s="18" t="s">
        <v>1334</v>
      </c>
      <c r="C446" s="18" t="s">
        <v>363</v>
      </c>
      <c r="D446" s="18" t="s">
        <v>81</v>
      </c>
      <c r="E446" s="19">
        <v>44975</v>
      </c>
      <c r="F446" s="18" t="s">
        <v>1335</v>
      </c>
      <c r="G446" s="19">
        <v>44978</v>
      </c>
      <c r="H446" s="19">
        <v>45001</v>
      </c>
      <c r="I446" s="18"/>
      <c r="J446" s="19" t="b">
        <v>1</v>
      </c>
      <c r="K446" s="19" t="b">
        <v>0</v>
      </c>
      <c r="L446" s="19" t="b">
        <v>0</v>
      </c>
      <c r="M446" s="19" t="b">
        <v>0</v>
      </c>
      <c r="N446" s="19" t="b">
        <v>0</v>
      </c>
      <c r="O446" s="19" t="b">
        <v>0</v>
      </c>
      <c r="P446" s="19" t="b">
        <v>0</v>
      </c>
    </row>
    <row r="447" spans="1:16" x14ac:dyDescent="0.2">
      <c r="A447" s="18">
        <v>6052539</v>
      </c>
      <c r="B447" s="18" t="s">
        <v>1338</v>
      </c>
      <c r="C447" s="18" t="s">
        <v>363</v>
      </c>
      <c r="D447" s="18" t="s">
        <v>81</v>
      </c>
      <c r="E447" s="19">
        <v>45105</v>
      </c>
      <c r="F447" s="18" t="s">
        <v>1339</v>
      </c>
      <c r="G447" s="19">
        <v>45121</v>
      </c>
      <c r="H447" s="19">
        <v>45157</v>
      </c>
      <c r="I447" s="18" t="s">
        <v>43</v>
      </c>
      <c r="J447" s="19" t="b">
        <v>1</v>
      </c>
      <c r="K447" s="19" t="b">
        <v>0</v>
      </c>
      <c r="L447" s="19" t="b">
        <v>0</v>
      </c>
      <c r="M447" s="19" t="b">
        <v>0</v>
      </c>
      <c r="N447" s="19" t="b">
        <v>0</v>
      </c>
      <c r="O447" s="19" t="b">
        <v>1</v>
      </c>
      <c r="P447" s="19" t="b">
        <v>0</v>
      </c>
    </row>
    <row r="448" spans="1:16" x14ac:dyDescent="0.2">
      <c r="A448" s="18">
        <v>1147701</v>
      </c>
      <c r="B448" s="18" t="s">
        <v>1342</v>
      </c>
      <c r="C448" s="18" t="s">
        <v>176</v>
      </c>
      <c r="D448" s="18" t="s">
        <v>39</v>
      </c>
      <c r="E448" s="19">
        <v>44678</v>
      </c>
      <c r="F448" s="18" t="s">
        <v>1343</v>
      </c>
      <c r="G448" s="19">
        <v>44691</v>
      </c>
      <c r="H448" s="19">
        <v>44708</v>
      </c>
      <c r="I448" s="18" t="s">
        <v>28</v>
      </c>
      <c r="J448" s="19" t="b">
        <v>1</v>
      </c>
      <c r="K448" s="19" t="b">
        <v>0</v>
      </c>
      <c r="L448" s="19" t="b">
        <v>0</v>
      </c>
      <c r="M448" s="19" t="b">
        <v>0</v>
      </c>
      <c r="N448" s="19" t="b">
        <v>0</v>
      </c>
      <c r="O448" s="19" t="b">
        <v>0</v>
      </c>
      <c r="P448" s="19" t="b">
        <v>1</v>
      </c>
    </row>
    <row r="449" spans="1:16" x14ac:dyDescent="0.2">
      <c r="A449" s="18">
        <v>1147701</v>
      </c>
      <c r="B449" s="18" t="s">
        <v>1344</v>
      </c>
      <c r="C449" s="18" t="s">
        <v>176</v>
      </c>
      <c r="D449" s="18" t="s">
        <v>39</v>
      </c>
      <c r="E449" s="19">
        <v>45091</v>
      </c>
      <c r="F449" s="18" t="s">
        <v>1345</v>
      </c>
      <c r="G449" s="19">
        <v>45118</v>
      </c>
      <c r="H449" s="19">
        <v>45168</v>
      </c>
      <c r="I449" s="18" t="s">
        <v>28</v>
      </c>
      <c r="J449" s="19" t="b">
        <v>1</v>
      </c>
      <c r="K449" s="19" t="b">
        <v>0</v>
      </c>
      <c r="L449" s="19" t="b">
        <v>0</v>
      </c>
      <c r="M449" s="19" t="b">
        <v>0</v>
      </c>
      <c r="N449" s="19" t="b">
        <v>0</v>
      </c>
      <c r="O449" s="19" t="b">
        <v>0</v>
      </c>
      <c r="P449" s="19" t="b">
        <v>1</v>
      </c>
    </row>
    <row r="450" spans="1:16" x14ac:dyDescent="0.2">
      <c r="A450" s="18">
        <v>1147701</v>
      </c>
      <c r="B450" s="18" t="s">
        <v>1346</v>
      </c>
      <c r="C450" s="18" t="s">
        <v>176</v>
      </c>
      <c r="D450" s="18" t="s">
        <v>39</v>
      </c>
      <c r="E450" s="19">
        <v>44865</v>
      </c>
      <c r="F450" s="18" t="s">
        <v>1347</v>
      </c>
      <c r="G450" s="19">
        <v>44894</v>
      </c>
      <c r="H450" s="19">
        <v>44936</v>
      </c>
      <c r="I450" s="18"/>
      <c r="J450" s="19" t="b">
        <v>1</v>
      </c>
      <c r="K450" s="19" t="b">
        <v>0</v>
      </c>
      <c r="L450" s="19" t="b">
        <v>0</v>
      </c>
      <c r="M450" s="19" t="b">
        <v>0</v>
      </c>
      <c r="N450" s="19" t="b">
        <v>0</v>
      </c>
      <c r="O450" s="19" t="b">
        <v>0</v>
      </c>
      <c r="P450" s="19" t="b">
        <v>0</v>
      </c>
    </row>
    <row r="451" spans="1:16" x14ac:dyDescent="0.2">
      <c r="A451" s="18">
        <v>4229821</v>
      </c>
      <c r="B451" s="18" t="s">
        <v>1348</v>
      </c>
      <c r="C451" s="18" t="s">
        <v>720</v>
      </c>
      <c r="D451" s="18" t="s">
        <v>139</v>
      </c>
      <c r="E451" s="19">
        <v>44569</v>
      </c>
      <c r="F451" s="18" t="s">
        <v>1349</v>
      </c>
      <c r="G451" s="19">
        <v>44590</v>
      </c>
      <c r="H451" s="19">
        <v>44595</v>
      </c>
      <c r="I451" s="18" t="s">
        <v>43</v>
      </c>
      <c r="J451" s="19" t="b">
        <v>1</v>
      </c>
      <c r="K451" s="19" t="b">
        <v>0</v>
      </c>
      <c r="L451" s="19" t="b">
        <v>0</v>
      </c>
      <c r="M451" s="19" t="b">
        <v>0</v>
      </c>
      <c r="N451" s="19" t="b">
        <v>0</v>
      </c>
      <c r="O451" s="19" t="b">
        <v>1</v>
      </c>
      <c r="P451" s="19" t="b">
        <v>0</v>
      </c>
    </row>
    <row r="452" spans="1:16" x14ac:dyDescent="0.2">
      <c r="A452" s="18">
        <v>4536326</v>
      </c>
      <c r="B452" s="18" t="s">
        <v>1350</v>
      </c>
      <c r="C452" s="18" t="s">
        <v>167</v>
      </c>
      <c r="D452" s="18" t="s">
        <v>19</v>
      </c>
      <c r="E452" s="19">
        <v>45007</v>
      </c>
      <c r="F452" s="18" t="s">
        <v>1351</v>
      </c>
      <c r="G452" s="19">
        <v>45028</v>
      </c>
      <c r="H452" s="19">
        <v>45081</v>
      </c>
      <c r="I452" s="18" t="s">
        <v>43</v>
      </c>
      <c r="J452" s="19" t="b">
        <v>1</v>
      </c>
      <c r="K452" s="19" t="b">
        <v>0</v>
      </c>
      <c r="L452" s="19" t="b">
        <v>0</v>
      </c>
      <c r="M452" s="19" t="b">
        <v>0</v>
      </c>
      <c r="N452" s="19" t="b">
        <v>0</v>
      </c>
      <c r="O452" s="19" t="b">
        <v>1</v>
      </c>
      <c r="P452" s="19" t="b">
        <v>0</v>
      </c>
    </row>
    <row r="453" spans="1:16" x14ac:dyDescent="0.2">
      <c r="A453" s="18">
        <v>4536326</v>
      </c>
      <c r="B453" s="18" t="s">
        <v>1352</v>
      </c>
      <c r="C453" s="18" t="s">
        <v>167</v>
      </c>
      <c r="D453" s="18" t="s">
        <v>19</v>
      </c>
      <c r="E453" s="19">
        <v>44901</v>
      </c>
      <c r="F453" s="18" t="s">
        <v>1353</v>
      </c>
      <c r="G453" s="19">
        <v>44903</v>
      </c>
      <c r="H453" s="19">
        <v>44909</v>
      </c>
      <c r="I453" s="18" t="s">
        <v>43</v>
      </c>
      <c r="J453" s="19" t="b">
        <v>1</v>
      </c>
      <c r="K453" s="19" t="b">
        <v>0</v>
      </c>
      <c r="L453" s="19" t="b">
        <v>0</v>
      </c>
      <c r="M453" s="19" t="b">
        <v>0</v>
      </c>
      <c r="N453" s="19" t="b">
        <v>0</v>
      </c>
      <c r="O453" s="19" t="b">
        <v>1</v>
      </c>
      <c r="P453" s="19" t="b">
        <v>0</v>
      </c>
    </row>
    <row r="454" spans="1:16" x14ac:dyDescent="0.2">
      <c r="A454" s="18">
        <v>7510106</v>
      </c>
      <c r="B454" s="18" t="s">
        <v>1361</v>
      </c>
      <c r="C454" s="18" t="s">
        <v>287</v>
      </c>
      <c r="D454" s="18" t="s">
        <v>60</v>
      </c>
      <c r="E454" s="19">
        <v>44608</v>
      </c>
      <c r="F454" s="18" t="s">
        <v>1362</v>
      </c>
      <c r="G454" s="19">
        <v>44631</v>
      </c>
      <c r="H454" s="19">
        <v>44686</v>
      </c>
      <c r="I454" s="18" t="s">
        <v>16</v>
      </c>
      <c r="J454" s="19" t="b">
        <v>1</v>
      </c>
      <c r="K454" s="19" t="b">
        <v>0</v>
      </c>
      <c r="L454" s="19" t="b">
        <v>0</v>
      </c>
      <c r="M454" s="19" t="b">
        <v>0</v>
      </c>
      <c r="N454" s="19" t="b">
        <v>1</v>
      </c>
      <c r="O454" s="19" t="b">
        <v>0</v>
      </c>
      <c r="P454" s="19" t="b">
        <v>0</v>
      </c>
    </row>
    <row r="455" spans="1:16" x14ac:dyDescent="0.2">
      <c r="A455" s="18">
        <v>2451316</v>
      </c>
      <c r="B455" s="18" t="s">
        <v>1366</v>
      </c>
      <c r="C455" s="18" t="s">
        <v>110</v>
      </c>
      <c r="D455" s="18" t="s">
        <v>77</v>
      </c>
      <c r="E455" s="19">
        <v>44864</v>
      </c>
      <c r="F455" s="18" t="s">
        <v>1367</v>
      </c>
      <c r="G455" s="19">
        <v>44885</v>
      </c>
      <c r="H455" s="19">
        <v>44895</v>
      </c>
      <c r="I455" s="18" t="s">
        <v>43</v>
      </c>
      <c r="J455" s="19" t="b">
        <v>1</v>
      </c>
      <c r="K455" s="19" t="b">
        <v>0</v>
      </c>
      <c r="L455" s="19" t="b">
        <v>0</v>
      </c>
      <c r="M455" s="19" t="b">
        <v>0</v>
      </c>
      <c r="N455" s="19" t="b">
        <v>0</v>
      </c>
      <c r="O455" s="19" t="b">
        <v>1</v>
      </c>
      <c r="P455" s="19" t="b">
        <v>0</v>
      </c>
    </row>
    <row r="456" spans="1:16" x14ac:dyDescent="0.2">
      <c r="A456" s="18">
        <v>2451316</v>
      </c>
      <c r="B456" s="18" t="s">
        <v>1369</v>
      </c>
      <c r="C456" s="18" t="s">
        <v>110</v>
      </c>
      <c r="D456" s="18" t="s">
        <v>77</v>
      </c>
      <c r="E456" s="19">
        <v>44567</v>
      </c>
      <c r="F456" s="18" t="s">
        <v>1049</v>
      </c>
      <c r="G456" s="19">
        <v>44586</v>
      </c>
      <c r="H456" s="19">
        <v>44625</v>
      </c>
      <c r="I456" s="18" t="s">
        <v>43</v>
      </c>
      <c r="J456" s="19" t="b">
        <v>1</v>
      </c>
      <c r="K456" s="19" t="b">
        <v>0</v>
      </c>
      <c r="L456" s="19" t="b">
        <v>0</v>
      </c>
      <c r="M456" s="19" t="b">
        <v>0</v>
      </c>
      <c r="N456" s="19" t="b">
        <v>0</v>
      </c>
      <c r="O456" s="19" t="b">
        <v>1</v>
      </c>
      <c r="P456" s="19" t="b">
        <v>0</v>
      </c>
    </row>
    <row r="457" spans="1:16" x14ac:dyDescent="0.2">
      <c r="A457" s="18">
        <v>9173698</v>
      </c>
      <c r="B457" s="18" t="s">
        <v>1378</v>
      </c>
      <c r="C457" s="18" t="s">
        <v>720</v>
      </c>
      <c r="D457" s="18" t="s">
        <v>39</v>
      </c>
      <c r="E457" s="19">
        <v>44633</v>
      </c>
      <c r="F457" s="18" t="s">
        <v>1379</v>
      </c>
      <c r="G457" s="19">
        <v>44662</v>
      </c>
      <c r="H457" s="19">
        <v>44675</v>
      </c>
      <c r="I457" s="18" t="s">
        <v>43</v>
      </c>
      <c r="J457" s="19" t="b">
        <v>1</v>
      </c>
      <c r="K457" s="19" t="b">
        <v>0</v>
      </c>
      <c r="L457" s="19" t="b">
        <v>0</v>
      </c>
      <c r="M457" s="19" t="b">
        <v>0</v>
      </c>
      <c r="N457" s="19" t="b">
        <v>0</v>
      </c>
      <c r="O457" s="19" t="b">
        <v>1</v>
      </c>
      <c r="P457" s="19" t="b">
        <v>0</v>
      </c>
    </row>
    <row r="458" spans="1:16" x14ac:dyDescent="0.2">
      <c r="A458" s="18">
        <v>9173698</v>
      </c>
      <c r="B458" s="18" t="s">
        <v>1380</v>
      </c>
      <c r="C458" s="18" t="s">
        <v>720</v>
      </c>
      <c r="D458" s="18" t="s">
        <v>39</v>
      </c>
      <c r="E458" s="19">
        <v>44875</v>
      </c>
      <c r="F458" s="18" t="s">
        <v>351</v>
      </c>
      <c r="G458" s="19">
        <v>44898</v>
      </c>
      <c r="H458" s="19">
        <v>44936</v>
      </c>
      <c r="I458" s="18"/>
      <c r="J458" s="19" t="b">
        <v>1</v>
      </c>
      <c r="K458" s="19" t="b">
        <v>0</v>
      </c>
      <c r="L458" s="19" t="b">
        <v>0</v>
      </c>
      <c r="M458" s="19" t="b">
        <v>0</v>
      </c>
      <c r="N458" s="19" t="b">
        <v>0</v>
      </c>
      <c r="O458" s="19" t="b">
        <v>0</v>
      </c>
      <c r="P458" s="19" t="b">
        <v>0</v>
      </c>
    </row>
    <row r="459" spans="1:16" x14ac:dyDescent="0.2">
      <c r="A459" s="18">
        <v>3556763</v>
      </c>
      <c r="B459" s="18" t="s">
        <v>1381</v>
      </c>
      <c r="C459" s="18" t="s">
        <v>32</v>
      </c>
      <c r="D459" s="18" t="s">
        <v>81</v>
      </c>
      <c r="E459" s="19">
        <v>44882</v>
      </c>
      <c r="F459" s="18" t="s">
        <v>1382</v>
      </c>
      <c r="G459" s="19">
        <v>44890</v>
      </c>
      <c r="H459" s="19">
        <v>44941</v>
      </c>
      <c r="I459" s="18"/>
      <c r="J459" s="19" t="b">
        <v>1</v>
      </c>
      <c r="K459" s="19" t="b">
        <v>0</v>
      </c>
      <c r="L459" s="19" t="b">
        <v>0</v>
      </c>
      <c r="M459" s="19" t="b">
        <v>0</v>
      </c>
      <c r="N459" s="19" t="b">
        <v>0</v>
      </c>
      <c r="O459" s="19" t="b">
        <v>0</v>
      </c>
      <c r="P459" s="19" t="b">
        <v>0</v>
      </c>
    </row>
    <row r="460" spans="1:16" x14ac:dyDescent="0.2">
      <c r="A460" s="18">
        <v>3556763</v>
      </c>
      <c r="B460" s="18" t="s">
        <v>1385</v>
      </c>
      <c r="C460" s="18" t="s">
        <v>32</v>
      </c>
      <c r="D460" s="18" t="s">
        <v>81</v>
      </c>
      <c r="E460" s="19">
        <v>44901</v>
      </c>
      <c r="F460" s="18" t="s">
        <v>1386</v>
      </c>
      <c r="G460" s="19">
        <v>44930</v>
      </c>
      <c r="H460" s="19">
        <v>44961</v>
      </c>
      <c r="I460" s="18" t="s">
        <v>43</v>
      </c>
      <c r="J460" s="19" t="b">
        <v>1</v>
      </c>
      <c r="K460" s="19" t="b">
        <v>0</v>
      </c>
      <c r="L460" s="19" t="b">
        <v>0</v>
      </c>
      <c r="M460" s="19" t="b">
        <v>0</v>
      </c>
      <c r="N460" s="19" t="b">
        <v>0</v>
      </c>
      <c r="O460" s="19" t="b">
        <v>1</v>
      </c>
      <c r="P460" s="19" t="b">
        <v>0</v>
      </c>
    </row>
    <row r="461" spans="1:16" x14ac:dyDescent="0.2">
      <c r="A461" s="18">
        <v>8765307</v>
      </c>
      <c r="B461" s="18" t="s">
        <v>1387</v>
      </c>
      <c r="C461" s="18" t="s">
        <v>287</v>
      </c>
      <c r="D461" s="18" t="s">
        <v>39</v>
      </c>
      <c r="E461" s="19">
        <v>44645</v>
      </c>
      <c r="F461" s="18" t="s">
        <v>1388</v>
      </c>
      <c r="G461" s="19">
        <v>44672</v>
      </c>
      <c r="H461" s="19">
        <v>44690</v>
      </c>
      <c r="I461" s="18" t="s">
        <v>16</v>
      </c>
      <c r="J461" s="19" t="b">
        <v>1</v>
      </c>
      <c r="K461" s="19" t="b">
        <v>0</v>
      </c>
      <c r="L461" s="19" t="b">
        <v>0</v>
      </c>
      <c r="M461" s="19" t="b">
        <v>0</v>
      </c>
      <c r="N461" s="19" t="b">
        <v>1</v>
      </c>
      <c r="O461" s="19" t="b">
        <v>0</v>
      </c>
      <c r="P461" s="19" t="b">
        <v>0</v>
      </c>
    </row>
    <row r="462" spans="1:16" x14ac:dyDescent="0.2">
      <c r="A462" s="18">
        <v>8765307</v>
      </c>
      <c r="B462" s="18" t="s">
        <v>1389</v>
      </c>
      <c r="C462" s="18" t="s">
        <v>287</v>
      </c>
      <c r="D462" s="18" t="s">
        <v>39</v>
      </c>
      <c r="E462" s="19">
        <v>44763</v>
      </c>
      <c r="F462" s="18" t="s">
        <v>817</v>
      </c>
      <c r="G462" s="19">
        <v>44772</v>
      </c>
      <c r="H462" s="19">
        <v>44819</v>
      </c>
      <c r="I462" s="18" t="s">
        <v>43</v>
      </c>
      <c r="J462" s="19" t="b">
        <v>1</v>
      </c>
      <c r="K462" s="19" t="b">
        <v>0</v>
      </c>
      <c r="L462" s="19" t="b">
        <v>0</v>
      </c>
      <c r="M462" s="19" t="b">
        <v>0</v>
      </c>
      <c r="N462" s="19" t="b">
        <v>0</v>
      </c>
      <c r="O462" s="19" t="b">
        <v>1</v>
      </c>
      <c r="P462" s="19" t="b">
        <v>0</v>
      </c>
    </row>
    <row r="463" spans="1:16" x14ac:dyDescent="0.2">
      <c r="A463" s="18">
        <v>8765307</v>
      </c>
      <c r="B463" s="18" t="s">
        <v>1390</v>
      </c>
      <c r="C463" s="18" t="s">
        <v>287</v>
      </c>
      <c r="D463" s="18" t="s">
        <v>39</v>
      </c>
      <c r="E463" s="19">
        <v>44581</v>
      </c>
      <c r="F463" s="18" t="s">
        <v>1391</v>
      </c>
      <c r="G463" s="19">
        <v>44609</v>
      </c>
      <c r="H463" s="19">
        <v>44642</v>
      </c>
      <c r="I463" s="18" t="s">
        <v>16</v>
      </c>
      <c r="J463" s="19" t="b">
        <v>1</v>
      </c>
      <c r="K463" s="19" t="b">
        <v>0</v>
      </c>
      <c r="L463" s="19" t="b">
        <v>0</v>
      </c>
      <c r="M463" s="19" t="b">
        <v>0</v>
      </c>
      <c r="N463" s="19" t="b">
        <v>1</v>
      </c>
      <c r="O463" s="19" t="b">
        <v>0</v>
      </c>
      <c r="P463" s="19" t="b">
        <v>0</v>
      </c>
    </row>
    <row r="464" spans="1:16" x14ac:dyDescent="0.2">
      <c r="A464" s="18">
        <v>1523352</v>
      </c>
      <c r="B464" s="18" t="s">
        <v>1392</v>
      </c>
      <c r="C464" s="18" t="s">
        <v>150</v>
      </c>
      <c r="D464" s="18" t="s">
        <v>81</v>
      </c>
      <c r="E464" s="19">
        <v>44828</v>
      </c>
      <c r="F464" s="18" t="s">
        <v>1393</v>
      </c>
      <c r="G464" s="19">
        <v>44846</v>
      </c>
      <c r="H464" s="19">
        <v>44904</v>
      </c>
      <c r="I464" s="18" t="s">
        <v>43</v>
      </c>
      <c r="J464" s="19" t="b">
        <v>1</v>
      </c>
      <c r="K464" s="19" t="b">
        <v>0</v>
      </c>
      <c r="L464" s="19" t="b">
        <v>0</v>
      </c>
      <c r="M464" s="19" t="b">
        <v>0</v>
      </c>
      <c r="N464" s="19" t="b">
        <v>0</v>
      </c>
      <c r="O464" s="19" t="b">
        <v>1</v>
      </c>
      <c r="P464" s="19" t="b">
        <v>0</v>
      </c>
    </row>
    <row r="465" spans="1:16" x14ac:dyDescent="0.2">
      <c r="A465" s="18">
        <v>1523352</v>
      </c>
      <c r="B465" s="18" t="s">
        <v>1394</v>
      </c>
      <c r="C465" s="18" t="s">
        <v>150</v>
      </c>
      <c r="D465" s="18" t="s">
        <v>81</v>
      </c>
      <c r="E465" s="19">
        <v>44714</v>
      </c>
      <c r="F465" s="18" t="s">
        <v>1395</v>
      </c>
      <c r="G465" s="19">
        <v>44726</v>
      </c>
      <c r="H465" s="19">
        <v>44752</v>
      </c>
      <c r="I465" s="18"/>
      <c r="J465" s="19" t="b">
        <v>1</v>
      </c>
      <c r="K465" s="19" t="b">
        <v>0</v>
      </c>
      <c r="L465" s="19" t="b">
        <v>0</v>
      </c>
      <c r="M465" s="19" t="b">
        <v>0</v>
      </c>
      <c r="N465" s="19" t="b">
        <v>0</v>
      </c>
      <c r="O465" s="19" t="b">
        <v>0</v>
      </c>
      <c r="P465" s="19" t="b">
        <v>0</v>
      </c>
    </row>
    <row r="466" spans="1:16" x14ac:dyDescent="0.2">
      <c r="A466" s="18">
        <v>1523352</v>
      </c>
      <c r="B466" s="18" t="s">
        <v>1397</v>
      </c>
      <c r="C466" s="18" t="s">
        <v>150</v>
      </c>
      <c r="D466" s="18" t="s">
        <v>81</v>
      </c>
      <c r="E466" s="19">
        <v>45076</v>
      </c>
      <c r="F466" s="18" t="s">
        <v>1045</v>
      </c>
      <c r="G466" s="19">
        <v>45077</v>
      </c>
      <c r="H466" s="19">
        <v>45120</v>
      </c>
      <c r="I466" s="18" t="s">
        <v>16</v>
      </c>
      <c r="J466" s="19" t="b">
        <v>1</v>
      </c>
      <c r="K466" s="19" t="b">
        <v>0</v>
      </c>
      <c r="L466" s="19" t="b">
        <v>0</v>
      </c>
      <c r="M466" s="19" t="b">
        <v>0</v>
      </c>
      <c r="N466" s="19" t="b">
        <v>1</v>
      </c>
      <c r="O466" s="19" t="b">
        <v>0</v>
      </c>
      <c r="P466" s="19" t="b">
        <v>0</v>
      </c>
    </row>
    <row r="467" spans="1:16" x14ac:dyDescent="0.2">
      <c r="A467" s="18">
        <v>9625782</v>
      </c>
      <c r="B467" s="18" t="s">
        <v>1402</v>
      </c>
      <c r="C467" s="18" t="s">
        <v>71</v>
      </c>
      <c r="D467" s="18" t="s">
        <v>77</v>
      </c>
      <c r="E467" s="19">
        <v>45061</v>
      </c>
      <c r="F467" s="18" t="s">
        <v>463</v>
      </c>
      <c r="G467" s="19">
        <v>45069</v>
      </c>
      <c r="H467" s="19">
        <v>45074</v>
      </c>
      <c r="I467" s="18" t="s">
        <v>28</v>
      </c>
      <c r="J467" s="19" t="b">
        <v>1</v>
      </c>
      <c r="K467" s="19" t="b">
        <v>0</v>
      </c>
      <c r="L467" s="19" t="b">
        <v>0</v>
      </c>
      <c r="M467" s="19" t="b">
        <v>0</v>
      </c>
      <c r="N467" s="19" t="b">
        <v>0</v>
      </c>
      <c r="O467" s="19" t="b">
        <v>0</v>
      </c>
      <c r="P467" s="19" t="b">
        <v>1</v>
      </c>
    </row>
    <row r="468" spans="1:16" x14ac:dyDescent="0.2">
      <c r="A468" s="18">
        <v>5435176</v>
      </c>
      <c r="B468" s="18" t="s">
        <v>1403</v>
      </c>
      <c r="C468" s="18" t="s">
        <v>542</v>
      </c>
      <c r="D468" s="18" t="s">
        <v>19</v>
      </c>
      <c r="E468" s="19">
        <v>45027</v>
      </c>
      <c r="F468" s="18" t="s">
        <v>1404</v>
      </c>
      <c r="G468" s="19">
        <v>45056</v>
      </c>
      <c r="H468" s="19">
        <v>45059</v>
      </c>
      <c r="I468" s="18" t="s">
        <v>28</v>
      </c>
      <c r="J468" s="19" t="b">
        <v>1</v>
      </c>
      <c r="K468" s="19" t="b">
        <v>0</v>
      </c>
      <c r="L468" s="19" t="b">
        <v>0</v>
      </c>
      <c r="M468" s="19" t="b">
        <v>0</v>
      </c>
      <c r="N468" s="19" t="b">
        <v>0</v>
      </c>
      <c r="O468" s="19" t="b">
        <v>0</v>
      </c>
      <c r="P468" s="19" t="b">
        <v>1</v>
      </c>
    </row>
    <row r="469" spans="1:16" x14ac:dyDescent="0.2">
      <c r="A469" s="18">
        <v>1669489</v>
      </c>
      <c r="B469" s="18" t="s">
        <v>1405</v>
      </c>
      <c r="C469" s="18" t="s">
        <v>265</v>
      </c>
      <c r="D469" s="18" t="s">
        <v>39</v>
      </c>
      <c r="E469" s="19">
        <v>44831</v>
      </c>
      <c r="F469" s="18" t="s">
        <v>1406</v>
      </c>
      <c r="G469" s="19">
        <v>44850</v>
      </c>
      <c r="H469" s="19">
        <v>44885</v>
      </c>
      <c r="I469" s="18" t="s">
        <v>28</v>
      </c>
      <c r="J469" s="19" t="b">
        <v>1</v>
      </c>
      <c r="K469" s="19" t="b">
        <v>0</v>
      </c>
      <c r="L469" s="19" t="b">
        <v>0</v>
      </c>
      <c r="M469" s="19" t="b">
        <v>0</v>
      </c>
      <c r="N469" s="19" t="b">
        <v>0</v>
      </c>
      <c r="O469" s="19" t="b">
        <v>0</v>
      </c>
      <c r="P469" s="19" t="b">
        <v>1</v>
      </c>
    </row>
    <row r="470" spans="1:16" x14ac:dyDescent="0.2">
      <c r="A470" s="18">
        <v>3916715</v>
      </c>
      <c r="B470" s="18" t="s">
        <v>1407</v>
      </c>
      <c r="C470" s="18" t="s">
        <v>59</v>
      </c>
      <c r="D470" s="18" t="s">
        <v>60</v>
      </c>
      <c r="E470" s="19">
        <v>44947</v>
      </c>
      <c r="F470" s="18" t="s">
        <v>1408</v>
      </c>
      <c r="G470" s="19">
        <v>44977</v>
      </c>
      <c r="H470" s="19">
        <v>44992</v>
      </c>
      <c r="I470" s="18" t="s">
        <v>16</v>
      </c>
      <c r="J470" s="19" t="b">
        <v>1</v>
      </c>
      <c r="K470" s="19" t="b">
        <v>0</v>
      </c>
      <c r="L470" s="19" t="b">
        <v>0</v>
      </c>
      <c r="M470" s="19" t="b">
        <v>0</v>
      </c>
      <c r="N470" s="19" t="b">
        <v>1</v>
      </c>
      <c r="O470" s="19" t="b">
        <v>0</v>
      </c>
      <c r="P470" s="19" t="b">
        <v>0</v>
      </c>
    </row>
    <row r="471" spans="1:16" x14ac:dyDescent="0.2">
      <c r="A471" s="18">
        <v>3916715</v>
      </c>
      <c r="B471" s="18" t="s">
        <v>1409</v>
      </c>
      <c r="C471" s="18" t="s">
        <v>59</v>
      </c>
      <c r="D471" s="18" t="s">
        <v>60</v>
      </c>
      <c r="E471" s="19">
        <v>44915</v>
      </c>
      <c r="F471" s="18" t="s">
        <v>1410</v>
      </c>
      <c r="G471" s="19">
        <v>44931</v>
      </c>
      <c r="H471" s="19">
        <v>44982</v>
      </c>
      <c r="I471" s="18" t="s">
        <v>28</v>
      </c>
      <c r="J471" s="19" t="b">
        <v>1</v>
      </c>
      <c r="K471" s="19" t="b">
        <v>0</v>
      </c>
      <c r="L471" s="19" t="b">
        <v>0</v>
      </c>
      <c r="M471" s="19" t="b">
        <v>0</v>
      </c>
      <c r="N471" s="19" t="b">
        <v>0</v>
      </c>
      <c r="O471" s="19" t="b">
        <v>0</v>
      </c>
      <c r="P471" s="19" t="b">
        <v>1</v>
      </c>
    </row>
    <row r="472" spans="1:16" x14ac:dyDescent="0.2">
      <c r="A472" s="18">
        <v>3916715</v>
      </c>
      <c r="B472" s="18" t="s">
        <v>1411</v>
      </c>
      <c r="C472" s="18" t="s">
        <v>59</v>
      </c>
      <c r="D472" s="18" t="s">
        <v>60</v>
      </c>
      <c r="E472" s="19">
        <v>44704</v>
      </c>
      <c r="F472" s="18" t="s">
        <v>1295</v>
      </c>
      <c r="G472" s="19">
        <v>44719</v>
      </c>
      <c r="H472" s="19">
        <v>44730</v>
      </c>
      <c r="I472" s="18" t="s">
        <v>16</v>
      </c>
      <c r="J472" s="19" t="b">
        <v>1</v>
      </c>
      <c r="K472" s="19" t="b">
        <v>0</v>
      </c>
      <c r="L472" s="19" t="b">
        <v>0</v>
      </c>
      <c r="M472" s="19" t="b">
        <v>0</v>
      </c>
      <c r="N472" s="19" t="b">
        <v>1</v>
      </c>
      <c r="O472" s="19" t="b">
        <v>0</v>
      </c>
      <c r="P472" s="19" t="b">
        <v>0</v>
      </c>
    </row>
    <row r="473" spans="1:16" x14ac:dyDescent="0.2">
      <c r="A473" s="18">
        <v>4858604</v>
      </c>
      <c r="B473" s="18" t="s">
        <v>1414</v>
      </c>
      <c r="C473" s="18" t="s">
        <v>76</v>
      </c>
      <c r="D473" s="18" t="s">
        <v>139</v>
      </c>
      <c r="E473" s="19">
        <v>44986</v>
      </c>
      <c r="F473" s="18" t="s">
        <v>1415</v>
      </c>
      <c r="G473" s="19">
        <v>45012</v>
      </c>
      <c r="H473" s="19">
        <v>45034</v>
      </c>
      <c r="I473" s="18" t="s">
        <v>16</v>
      </c>
      <c r="J473" s="19" t="b">
        <v>1</v>
      </c>
      <c r="K473" s="19" t="b">
        <v>0</v>
      </c>
      <c r="L473" s="19" t="b">
        <v>0</v>
      </c>
      <c r="M473" s="19" t="b">
        <v>0</v>
      </c>
      <c r="N473" s="19" t="b">
        <v>1</v>
      </c>
      <c r="O473" s="19" t="b">
        <v>0</v>
      </c>
      <c r="P473" s="19" t="b">
        <v>0</v>
      </c>
    </row>
    <row r="474" spans="1:16" x14ac:dyDescent="0.2">
      <c r="A474" s="18">
        <v>4858604</v>
      </c>
      <c r="B474" s="18" t="s">
        <v>1416</v>
      </c>
      <c r="C474" s="18" t="s">
        <v>76</v>
      </c>
      <c r="D474" s="18" t="s">
        <v>139</v>
      </c>
      <c r="E474" s="19">
        <v>45052</v>
      </c>
      <c r="F474" s="18" t="s">
        <v>1417</v>
      </c>
      <c r="G474" s="19">
        <v>45059</v>
      </c>
      <c r="H474" s="19">
        <v>45097</v>
      </c>
      <c r="I474" s="18"/>
      <c r="J474" s="19" t="b">
        <v>1</v>
      </c>
      <c r="K474" s="19" t="b">
        <v>0</v>
      </c>
      <c r="L474" s="19" t="b">
        <v>0</v>
      </c>
      <c r="M474" s="19" t="b">
        <v>0</v>
      </c>
      <c r="N474" s="19" t="b">
        <v>0</v>
      </c>
      <c r="O474" s="19" t="b">
        <v>0</v>
      </c>
      <c r="P474" s="19" t="b">
        <v>0</v>
      </c>
    </row>
    <row r="475" spans="1:16" x14ac:dyDescent="0.2">
      <c r="A475" s="18">
        <v>4680314</v>
      </c>
      <c r="B475" s="18" t="s">
        <v>1426</v>
      </c>
      <c r="C475" s="18" t="s">
        <v>150</v>
      </c>
      <c r="D475" s="18" t="s">
        <v>60</v>
      </c>
      <c r="E475" s="19">
        <v>44912</v>
      </c>
      <c r="F475" s="18" t="s">
        <v>712</v>
      </c>
      <c r="G475" s="19">
        <v>44942</v>
      </c>
      <c r="H475" s="19">
        <v>44972</v>
      </c>
      <c r="I475" s="18" t="s">
        <v>28</v>
      </c>
      <c r="J475" s="19" t="b">
        <v>1</v>
      </c>
      <c r="K475" s="19" t="b">
        <v>0</v>
      </c>
      <c r="L475" s="19" t="b">
        <v>0</v>
      </c>
      <c r="M475" s="19" t="b">
        <v>0</v>
      </c>
      <c r="N475" s="19" t="b">
        <v>0</v>
      </c>
      <c r="O475" s="19" t="b">
        <v>0</v>
      </c>
      <c r="P475" s="19" t="b">
        <v>1</v>
      </c>
    </row>
    <row r="476" spans="1:16" x14ac:dyDescent="0.2">
      <c r="A476" s="18">
        <v>4680314</v>
      </c>
      <c r="B476" s="18" t="s">
        <v>1427</v>
      </c>
      <c r="C476" s="18" t="s">
        <v>150</v>
      </c>
      <c r="D476" s="18" t="s">
        <v>60</v>
      </c>
      <c r="E476" s="19">
        <v>44956</v>
      </c>
      <c r="F476" s="18" t="s">
        <v>1428</v>
      </c>
      <c r="G476" s="19">
        <v>44961</v>
      </c>
      <c r="H476" s="19">
        <v>44968</v>
      </c>
      <c r="I476" s="18" t="s">
        <v>16</v>
      </c>
      <c r="J476" s="19" t="b">
        <v>1</v>
      </c>
      <c r="K476" s="19" t="b">
        <v>0</v>
      </c>
      <c r="L476" s="19" t="b">
        <v>0</v>
      </c>
      <c r="M476" s="19" t="b">
        <v>0</v>
      </c>
      <c r="N476" s="19" t="b">
        <v>1</v>
      </c>
      <c r="O476" s="19" t="b">
        <v>0</v>
      </c>
      <c r="P476" s="19" t="b">
        <v>0</v>
      </c>
    </row>
    <row r="477" spans="1:16" x14ac:dyDescent="0.2">
      <c r="A477" s="18">
        <v>4680314</v>
      </c>
      <c r="B477" s="18" t="s">
        <v>1431</v>
      </c>
      <c r="C477" s="18" t="s">
        <v>150</v>
      </c>
      <c r="D477" s="18" t="s">
        <v>60</v>
      </c>
      <c r="E477" s="19">
        <v>44743</v>
      </c>
      <c r="F477" s="18" t="s">
        <v>708</v>
      </c>
      <c r="G477" s="19">
        <v>44759</v>
      </c>
      <c r="H477" s="19">
        <v>44817</v>
      </c>
      <c r="I477" s="18" t="s">
        <v>43</v>
      </c>
      <c r="J477" s="19" t="b">
        <v>1</v>
      </c>
      <c r="K477" s="19" t="b">
        <v>0</v>
      </c>
      <c r="L477" s="19" t="b">
        <v>0</v>
      </c>
      <c r="M477" s="19" t="b">
        <v>0</v>
      </c>
      <c r="N477" s="19" t="b">
        <v>0</v>
      </c>
      <c r="O477" s="19" t="b">
        <v>1</v>
      </c>
      <c r="P477" s="19" t="b">
        <v>0</v>
      </c>
    </row>
    <row r="478" spans="1:16" x14ac:dyDescent="0.2">
      <c r="A478" s="18">
        <v>1654924</v>
      </c>
      <c r="B478" s="18" t="s">
        <v>1432</v>
      </c>
      <c r="C478" s="18" t="s">
        <v>131</v>
      </c>
      <c r="D478" s="18" t="s">
        <v>139</v>
      </c>
      <c r="E478" s="19">
        <v>44695</v>
      </c>
      <c r="F478" s="18" t="s">
        <v>1433</v>
      </c>
      <c r="G478" s="19">
        <v>44724</v>
      </c>
      <c r="H478" s="19">
        <v>44763</v>
      </c>
      <c r="I478" s="18" t="s">
        <v>16</v>
      </c>
      <c r="J478" s="19" t="b">
        <v>1</v>
      </c>
      <c r="K478" s="19" t="b">
        <v>0</v>
      </c>
      <c r="L478" s="19" t="b">
        <v>0</v>
      </c>
      <c r="M478" s="19" t="b">
        <v>0</v>
      </c>
      <c r="N478" s="19" t="b">
        <v>1</v>
      </c>
      <c r="O478" s="19" t="b">
        <v>0</v>
      </c>
      <c r="P478" s="19" t="b">
        <v>0</v>
      </c>
    </row>
    <row r="479" spans="1:16" x14ac:dyDescent="0.2">
      <c r="A479" s="18">
        <v>1654924</v>
      </c>
      <c r="B479" s="18" t="s">
        <v>1434</v>
      </c>
      <c r="C479" s="18" t="s">
        <v>131</v>
      </c>
      <c r="D479" s="18" t="s">
        <v>139</v>
      </c>
      <c r="E479" s="19">
        <v>45003</v>
      </c>
      <c r="F479" s="18" t="s">
        <v>481</v>
      </c>
      <c r="G479" s="19">
        <v>45020</v>
      </c>
      <c r="H479" s="19">
        <v>45047</v>
      </c>
      <c r="I479" s="18" t="s">
        <v>16</v>
      </c>
      <c r="J479" s="19" t="b">
        <v>1</v>
      </c>
      <c r="K479" s="19" t="b">
        <v>0</v>
      </c>
      <c r="L479" s="19" t="b">
        <v>0</v>
      </c>
      <c r="M479" s="19" t="b">
        <v>0</v>
      </c>
      <c r="N479" s="19" t="b">
        <v>1</v>
      </c>
      <c r="O479" s="19" t="b">
        <v>0</v>
      </c>
      <c r="P479" s="19" t="b">
        <v>0</v>
      </c>
    </row>
    <row r="480" spans="1:16" x14ac:dyDescent="0.2">
      <c r="A480" s="18">
        <v>1654924</v>
      </c>
      <c r="B480" s="18" t="s">
        <v>1435</v>
      </c>
      <c r="C480" s="18" t="s">
        <v>131</v>
      </c>
      <c r="D480" s="18" t="s">
        <v>139</v>
      </c>
      <c r="E480" s="19">
        <v>45001</v>
      </c>
      <c r="F480" s="18" t="s">
        <v>202</v>
      </c>
      <c r="G480" s="19">
        <v>45009</v>
      </c>
      <c r="H480" s="19">
        <v>45061</v>
      </c>
      <c r="I480" s="18" t="s">
        <v>16</v>
      </c>
      <c r="J480" s="19" t="b">
        <v>1</v>
      </c>
      <c r="K480" s="19" t="b">
        <v>0</v>
      </c>
      <c r="L480" s="19" t="b">
        <v>0</v>
      </c>
      <c r="M480" s="19" t="b">
        <v>0</v>
      </c>
      <c r="N480" s="19" t="b">
        <v>1</v>
      </c>
      <c r="O480" s="19" t="b">
        <v>0</v>
      </c>
      <c r="P480" s="19" t="b">
        <v>0</v>
      </c>
    </row>
    <row r="481" spans="1:16" x14ac:dyDescent="0.2">
      <c r="A481" s="18">
        <v>1654924</v>
      </c>
      <c r="B481" s="18" t="s">
        <v>1436</v>
      </c>
      <c r="C481" s="18" t="s">
        <v>131</v>
      </c>
      <c r="D481" s="18" t="s">
        <v>139</v>
      </c>
      <c r="E481" s="19">
        <v>44662</v>
      </c>
      <c r="F481" s="18" t="s">
        <v>1437</v>
      </c>
      <c r="G481" s="19">
        <v>44676</v>
      </c>
      <c r="H481" s="19">
        <v>44685</v>
      </c>
      <c r="I481" s="18"/>
      <c r="J481" s="19" t="b">
        <v>1</v>
      </c>
      <c r="K481" s="19" t="b">
        <v>0</v>
      </c>
      <c r="L481" s="19" t="b">
        <v>0</v>
      </c>
      <c r="M481" s="19" t="b">
        <v>0</v>
      </c>
      <c r="N481" s="19" t="b">
        <v>0</v>
      </c>
      <c r="O481" s="19" t="b">
        <v>0</v>
      </c>
      <c r="P481" s="19" t="b">
        <v>0</v>
      </c>
    </row>
    <row r="482" spans="1:16" x14ac:dyDescent="0.2">
      <c r="A482" s="18">
        <v>7855954</v>
      </c>
      <c r="B482" s="18" t="s">
        <v>1440</v>
      </c>
      <c r="C482" s="18" t="s">
        <v>282</v>
      </c>
      <c r="D482" s="18" t="s">
        <v>19</v>
      </c>
      <c r="E482" s="19">
        <v>44682</v>
      </c>
      <c r="F482" s="18" t="s">
        <v>1441</v>
      </c>
      <c r="G482" s="19">
        <v>44699</v>
      </c>
      <c r="H482" s="19">
        <v>44700</v>
      </c>
      <c r="I482" s="18" t="s">
        <v>16</v>
      </c>
      <c r="J482" s="19" t="b">
        <v>1</v>
      </c>
      <c r="K482" s="19" t="b">
        <v>0</v>
      </c>
      <c r="L482" s="19" t="b">
        <v>0</v>
      </c>
      <c r="M482" s="19" t="b">
        <v>0</v>
      </c>
      <c r="N482" s="19" t="b">
        <v>1</v>
      </c>
      <c r="O482" s="19" t="b">
        <v>0</v>
      </c>
      <c r="P482" s="19" t="b">
        <v>0</v>
      </c>
    </row>
    <row r="483" spans="1:16" x14ac:dyDescent="0.2">
      <c r="A483" s="18">
        <v>7291957</v>
      </c>
      <c r="B483" s="18" t="s">
        <v>1442</v>
      </c>
      <c r="C483" s="18" t="s">
        <v>265</v>
      </c>
      <c r="D483" s="18" t="s">
        <v>19</v>
      </c>
      <c r="E483" s="19">
        <v>44821</v>
      </c>
      <c r="F483" s="18" t="s">
        <v>1443</v>
      </c>
      <c r="G483" s="19">
        <v>44830</v>
      </c>
      <c r="H483" s="19">
        <v>44885</v>
      </c>
      <c r="I483" s="18" t="s">
        <v>16</v>
      </c>
      <c r="J483" s="19" t="b">
        <v>1</v>
      </c>
      <c r="K483" s="19" t="b">
        <v>0</v>
      </c>
      <c r="L483" s="19" t="b">
        <v>0</v>
      </c>
      <c r="M483" s="19" t="b">
        <v>0</v>
      </c>
      <c r="N483" s="19" t="b">
        <v>1</v>
      </c>
      <c r="O483" s="19" t="b">
        <v>0</v>
      </c>
      <c r="P483" s="19" t="b">
        <v>0</v>
      </c>
    </row>
    <row r="484" spans="1:16" x14ac:dyDescent="0.2">
      <c r="A484" s="18">
        <v>7291957</v>
      </c>
      <c r="B484" s="18" t="s">
        <v>1444</v>
      </c>
      <c r="C484" s="18" t="s">
        <v>265</v>
      </c>
      <c r="D484" s="18" t="s">
        <v>19</v>
      </c>
      <c r="E484" s="19">
        <v>44968</v>
      </c>
      <c r="F484" s="18" t="s">
        <v>1445</v>
      </c>
      <c r="G484" s="19">
        <v>44993</v>
      </c>
      <c r="H484" s="19">
        <v>45007</v>
      </c>
      <c r="I484" s="18" t="s">
        <v>28</v>
      </c>
      <c r="J484" s="19" t="b">
        <v>1</v>
      </c>
      <c r="K484" s="19" t="b">
        <v>0</v>
      </c>
      <c r="L484" s="19" t="b">
        <v>0</v>
      </c>
      <c r="M484" s="19" t="b">
        <v>0</v>
      </c>
      <c r="N484" s="19" t="b">
        <v>0</v>
      </c>
      <c r="O484" s="19" t="b">
        <v>0</v>
      </c>
      <c r="P484" s="19" t="b">
        <v>1</v>
      </c>
    </row>
    <row r="485" spans="1:16" x14ac:dyDescent="0.2">
      <c r="A485" s="18">
        <v>7291957</v>
      </c>
      <c r="B485" s="18" t="s">
        <v>1446</v>
      </c>
      <c r="C485" s="18" t="s">
        <v>265</v>
      </c>
      <c r="D485" s="18" t="s">
        <v>19</v>
      </c>
      <c r="E485" s="19">
        <v>45057</v>
      </c>
      <c r="F485" s="18" t="s">
        <v>1447</v>
      </c>
      <c r="G485" s="19">
        <v>45066</v>
      </c>
      <c r="H485" s="19">
        <v>45086</v>
      </c>
      <c r="I485" s="18"/>
      <c r="J485" s="19" t="b">
        <v>1</v>
      </c>
      <c r="K485" s="19" t="b">
        <v>0</v>
      </c>
      <c r="L485" s="19" t="b">
        <v>0</v>
      </c>
      <c r="M485" s="19" t="b">
        <v>0</v>
      </c>
      <c r="N485" s="19" t="b">
        <v>0</v>
      </c>
      <c r="O485" s="19" t="b">
        <v>0</v>
      </c>
      <c r="P485" s="19" t="b">
        <v>0</v>
      </c>
    </row>
    <row r="486" spans="1:16" x14ac:dyDescent="0.2">
      <c r="A486" s="18">
        <v>6777340</v>
      </c>
      <c r="B486" s="18" t="s">
        <v>1448</v>
      </c>
      <c r="C486" s="18" t="s">
        <v>35</v>
      </c>
      <c r="D486" s="18" t="s">
        <v>60</v>
      </c>
      <c r="E486" s="19">
        <v>45019</v>
      </c>
      <c r="F486" s="18" t="s">
        <v>1449</v>
      </c>
      <c r="G486" s="19">
        <v>45045</v>
      </c>
      <c r="H486" s="19">
        <v>45090</v>
      </c>
      <c r="I486" s="18" t="s">
        <v>16</v>
      </c>
      <c r="J486" s="19" t="b">
        <v>1</v>
      </c>
      <c r="K486" s="19" t="b">
        <v>0</v>
      </c>
      <c r="L486" s="19" t="b">
        <v>0</v>
      </c>
      <c r="M486" s="19" t="b">
        <v>0</v>
      </c>
      <c r="N486" s="19" t="b">
        <v>1</v>
      </c>
      <c r="O486" s="19" t="b">
        <v>0</v>
      </c>
      <c r="P486" s="19" t="b">
        <v>0</v>
      </c>
    </row>
    <row r="487" spans="1:16" x14ac:dyDescent="0.2">
      <c r="A487" s="18">
        <v>6777340</v>
      </c>
      <c r="B487" s="18" t="s">
        <v>1450</v>
      </c>
      <c r="C487" s="18" t="s">
        <v>35</v>
      </c>
      <c r="D487" s="18" t="s">
        <v>60</v>
      </c>
      <c r="E487" s="19">
        <v>44972</v>
      </c>
      <c r="F487" s="18" t="s">
        <v>798</v>
      </c>
      <c r="G487" s="19">
        <v>44998</v>
      </c>
      <c r="H487" s="19">
        <v>45020</v>
      </c>
      <c r="I487" s="18" t="s">
        <v>16</v>
      </c>
      <c r="J487" s="19" t="b">
        <v>1</v>
      </c>
      <c r="K487" s="19" t="b">
        <v>0</v>
      </c>
      <c r="L487" s="19" t="b">
        <v>0</v>
      </c>
      <c r="M487" s="19" t="b">
        <v>0</v>
      </c>
      <c r="N487" s="19" t="b">
        <v>1</v>
      </c>
      <c r="O487" s="19" t="b">
        <v>0</v>
      </c>
      <c r="P487" s="19" t="b">
        <v>0</v>
      </c>
    </row>
    <row r="488" spans="1:16" x14ac:dyDescent="0.2">
      <c r="A488" s="18">
        <v>1873301</v>
      </c>
      <c r="B488" s="18" t="s">
        <v>1451</v>
      </c>
      <c r="C488" s="18" t="s">
        <v>38</v>
      </c>
      <c r="D488" s="18" t="s">
        <v>60</v>
      </c>
      <c r="E488" s="19">
        <v>45007</v>
      </c>
      <c r="F488" s="18" t="s">
        <v>1452</v>
      </c>
      <c r="G488" s="19">
        <v>45010</v>
      </c>
      <c r="H488" s="19">
        <v>45015</v>
      </c>
      <c r="I488" s="18" t="s">
        <v>43</v>
      </c>
      <c r="J488" s="19" t="b">
        <v>1</v>
      </c>
      <c r="K488" s="19" t="b">
        <v>0</v>
      </c>
      <c r="L488" s="19" t="b">
        <v>0</v>
      </c>
      <c r="M488" s="19" t="b">
        <v>0</v>
      </c>
      <c r="N488" s="19" t="b">
        <v>0</v>
      </c>
      <c r="O488" s="19" t="b">
        <v>1</v>
      </c>
      <c r="P488" s="19" t="b">
        <v>0</v>
      </c>
    </row>
    <row r="489" spans="1:16" x14ac:dyDescent="0.2">
      <c r="A489" s="18">
        <v>5413951</v>
      </c>
      <c r="B489" s="18" t="s">
        <v>1453</v>
      </c>
      <c r="C489" s="18" t="s">
        <v>93</v>
      </c>
      <c r="D489" s="18" t="s">
        <v>39</v>
      </c>
      <c r="E489" s="19">
        <v>45095</v>
      </c>
      <c r="F489" s="18" t="s">
        <v>1454</v>
      </c>
      <c r="G489" s="19">
        <v>45105</v>
      </c>
      <c r="H489" s="19">
        <v>45151</v>
      </c>
      <c r="I489" s="18"/>
      <c r="J489" s="19" t="b">
        <v>1</v>
      </c>
      <c r="K489" s="19" t="b">
        <v>0</v>
      </c>
      <c r="L489" s="19" t="b">
        <v>0</v>
      </c>
      <c r="M489" s="19" t="b">
        <v>0</v>
      </c>
      <c r="N489" s="19" t="b">
        <v>0</v>
      </c>
      <c r="O489" s="19" t="b">
        <v>0</v>
      </c>
      <c r="P489" s="19" t="b">
        <v>0</v>
      </c>
    </row>
    <row r="490" spans="1:16" x14ac:dyDescent="0.2">
      <c r="A490" s="18">
        <v>1964069</v>
      </c>
      <c r="B490" s="18" t="s">
        <v>1455</v>
      </c>
      <c r="C490" s="18" t="s">
        <v>35</v>
      </c>
      <c r="D490" s="18" t="s">
        <v>187</v>
      </c>
      <c r="E490" s="19">
        <v>45092</v>
      </c>
      <c r="F490" s="18" t="s">
        <v>1456</v>
      </c>
      <c r="G490" s="19">
        <v>45102</v>
      </c>
      <c r="H490" s="19">
        <v>45115</v>
      </c>
      <c r="I490" s="18" t="s">
        <v>43</v>
      </c>
      <c r="J490" s="19" t="b">
        <v>1</v>
      </c>
      <c r="K490" s="19" t="b">
        <v>0</v>
      </c>
      <c r="L490" s="19" t="b">
        <v>0</v>
      </c>
      <c r="M490" s="19" t="b">
        <v>0</v>
      </c>
      <c r="N490" s="19" t="b">
        <v>0</v>
      </c>
      <c r="O490" s="19" t="b">
        <v>1</v>
      </c>
      <c r="P490" s="19" t="b">
        <v>0</v>
      </c>
    </row>
    <row r="491" spans="1:16" x14ac:dyDescent="0.2">
      <c r="A491" s="18">
        <v>7701385</v>
      </c>
      <c r="B491" s="18" t="s">
        <v>1463</v>
      </c>
      <c r="C491" s="18" t="s">
        <v>542</v>
      </c>
      <c r="D491" s="18" t="s">
        <v>60</v>
      </c>
      <c r="E491" s="19">
        <v>44632</v>
      </c>
      <c r="F491" s="18" t="s">
        <v>1464</v>
      </c>
      <c r="G491" s="19">
        <v>44662</v>
      </c>
      <c r="H491" s="19">
        <v>44668</v>
      </c>
      <c r="I491" s="18" t="s">
        <v>16</v>
      </c>
      <c r="J491" s="19" t="b">
        <v>1</v>
      </c>
      <c r="K491" s="19" t="b">
        <v>0</v>
      </c>
      <c r="L491" s="19" t="b">
        <v>0</v>
      </c>
      <c r="M491" s="19" t="b">
        <v>0</v>
      </c>
      <c r="N491" s="19" t="b">
        <v>1</v>
      </c>
      <c r="O491" s="19" t="b">
        <v>0</v>
      </c>
      <c r="P491" s="19" t="b">
        <v>0</v>
      </c>
    </row>
    <row r="492" spans="1:16" x14ac:dyDescent="0.2">
      <c r="A492" s="18">
        <v>7701385</v>
      </c>
      <c r="B492" s="18" t="s">
        <v>1465</v>
      </c>
      <c r="C492" s="18" t="s">
        <v>542</v>
      </c>
      <c r="D492" s="18" t="s">
        <v>60</v>
      </c>
      <c r="E492" s="19">
        <v>44845</v>
      </c>
      <c r="F492" s="18" t="s">
        <v>1466</v>
      </c>
      <c r="G492" s="19">
        <v>44853</v>
      </c>
      <c r="H492" s="19">
        <v>44892</v>
      </c>
      <c r="I492" s="18" t="s">
        <v>28</v>
      </c>
      <c r="J492" s="19" t="b">
        <v>1</v>
      </c>
      <c r="K492" s="19" t="b">
        <v>0</v>
      </c>
      <c r="L492" s="19" t="b">
        <v>0</v>
      </c>
      <c r="M492" s="19" t="b">
        <v>0</v>
      </c>
      <c r="N492" s="19" t="b">
        <v>0</v>
      </c>
      <c r="O492" s="19" t="b">
        <v>0</v>
      </c>
      <c r="P492" s="19" t="b">
        <v>1</v>
      </c>
    </row>
    <row r="493" spans="1:16" x14ac:dyDescent="0.2">
      <c r="A493" s="18">
        <v>7701385</v>
      </c>
      <c r="B493" s="18" t="s">
        <v>1467</v>
      </c>
      <c r="C493" s="18" t="s">
        <v>542</v>
      </c>
      <c r="D493" s="18" t="s">
        <v>60</v>
      </c>
      <c r="E493" s="19">
        <v>44566</v>
      </c>
      <c r="F493" s="18" t="s">
        <v>1454</v>
      </c>
      <c r="G493" s="19">
        <v>44575</v>
      </c>
      <c r="H493" s="19">
        <v>44587</v>
      </c>
      <c r="I493" s="18"/>
      <c r="J493" s="19" t="b">
        <v>1</v>
      </c>
      <c r="K493" s="19" t="b">
        <v>0</v>
      </c>
      <c r="L493" s="19" t="b">
        <v>0</v>
      </c>
      <c r="M493" s="19" t="b">
        <v>0</v>
      </c>
      <c r="N493" s="19" t="b">
        <v>0</v>
      </c>
      <c r="O493" s="19" t="b">
        <v>0</v>
      </c>
      <c r="P493" s="19" t="b">
        <v>0</v>
      </c>
    </row>
    <row r="494" spans="1:16" x14ac:dyDescent="0.2">
      <c r="A494" s="18">
        <v>7701385</v>
      </c>
      <c r="B494" s="18" t="s">
        <v>1468</v>
      </c>
      <c r="C494" s="18" t="s">
        <v>542</v>
      </c>
      <c r="D494" s="18" t="s">
        <v>60</v>
      </c>
      <c r="E494" s="19">
        <v>45077</v>
      </c>
      <c r="F494" s="18" t="s">
        <v>1469</v>
      </c>
      <c r="G494" s="19">
        <v>45087</v>
      </c>
      <c r="H494" s="19">
        <v>45109</v>
      </c>
      <c r="I494" s="18" t="s">
        <v>16</v>
      </c>
      <c r="J494" s="19" t="b">
        <v>1</v>
      </c>
      <c r="K494" s="19" t="b">
        <v>0</v>
      </c>
      <c r="L494" s="19" t="b">
        <v>0</v>
      </c>
      <c r="M494" s="19" t="b">
        <v>0</v>
      </c>
      <c r="N494" s="19" t="b">
        <v>1</v>
      </c>
      <c r="O494" s="19" t="b">
        <v>0</v>
      </c>
      <c r="P494" s="19" t="b">
        <v>0</v>
      </c>
    </row>
    <row r="495" spans="1:16" x14ac:dyDescent="0.2">
      <c r="A495" s="18">
        <v>2963085</v>
      </c>
      <c r="B495" s="18" t="s">
        <v>1470</v>
      </c>
      <c r="C495" s="18" t="s">
        <v>47</v>
      </c>
      <c r="D495" s="18" t="s">
        <v>139</v>
      </c>
      <c r="E495" s="19">
        <v>44948</v>
      </c>
      <c r="F495" s="18" t="s">
        <v>1471</v>
      </c>
      <c r="G495" s="19">
        <v>44967</v>
      </c>
      <c r="H495" s="19">
        <v>44998</v>
      </c>
      <c r="I495" s="18" t="s">
        <v>28</v>
      </c>
      <c r="J495" s="19" t="b">
        <v>1</v>
      </c>
      <c r="K495" s="19" t="b">
        <v>0</v>
      </c>
      <c r="L495" s="19" t="b">
        <v>0</v>
      </c>
      <c r="M495" s="19" t="b">
        <v>0</v>
      </c>
      <c r="N495" s="19" t="b">
        <v>0</v>
      </c>
      <c r="O495" s="19" t="b">
        <v>0</v>
      </c>
      <c r="P495" s="19" t="b">
        <v>1</v>
      </c>
    </row>
    <row r="496" spans="1:16" x14ac:dyDescent="0.2">
      <c r="A496" s="18">
        <v>2963085</v>
      </c>
      <c r="B496" s="18" t="s">
        <v>1472</v>
      </c>
      <c r="C496" s="18" t="s">
        <v>47</v>
      </c>
      <c r="D496" s="18" t="s">
        <v>139</v>
      </c>
      <c r="E496" s="19">
        <v>45033</v>
      </c>
      <c r="F496" s="18" t="s">
        <v>1473</v>
      </c>
      <c r="G496" s="19">
        <v>45062</v>
      </c>
      <c r="H496" s="19">
        <v>45100</v>
      </c>
      <c r="I496" s="18" t="s">
        <v>28</v>
      </c>
      <c r="J496" s="19" t="b">
        <v>1</v>
      </c>
      <c r="K496" s="19" t="b">
        <v>0</v>
      </c>
      <c r="L496" s="19" t="b">
        <v>0</v>
      </c>
      <c r="M496" s="19" t="b">
        <v>0</v>
      </c>
      <c r="N496" s="19" t="b">
        <v>0</v>
      </c>
      <c r="O496" s="19" t="b">
        <v>0</v>
      </c>
      <c r="P496" s="19" t="b">
        <v>1</v>
      </c>
    </row>
    <row r="497" spans="1:16" x14ac:dyDescent="0.2">
      <c r="A497" s="18">
        <v>2963085</v>
      </c>
      <c r="B497" s="18" t="s">
        <v>1474</v>
      </c>
      <c r="C497" s="18" t="s">
        <v>47</v>
      </c>
      <c r="D497" s="18" t="s">
        <v>139</v>
      </c>
      <c r="E497" s="19">
        <v>44631</v>
      </c>
      <c r="F497" s="18" t="s">
        <v>1475</v>
      </c>
      <c r="G497" s="19">
        <v>44644</v>
      </c>
      <c r="H497" s="19">
        <v>44685</v>
      </c>
      <c r="I497" s="18"/>
      <c r="J497" s="19" t="b">
        <v>1</v>
      </c>
      <c r="K497" s="19" t="b">
        <v>0</v>
      </c>
      <c r="L497" s="19" t="b">
        <v>0</v>
      </c>
      <c r="M497" s="19" t="b">
        <v>0</v>
      </c>
      <c r="N497" s="19" t="b">
        <v>0</v>
      </c>
      <c r="O497" s="19" t="b">
        <v>0</v>
      </c>
      <c r="P497" s="19" t="b">
        <v>0</v>
      </c>
    </row>
    <row r="498" spans="1:16" x14ac:dyDescent="0.2">
      <c r="A498" s="18">
        <v>4697401</v>
      </c>
      <c r="B498" s="18" t="s">
        <v>1476</v>
      </c>
      <c r="C498" s="18" t="s">
        <v>167</v>
      </c>
      <c r="D498" s="18" t="s">
        <v>19</v>
      </c>
      <c r="E498" s="19">
        <v>44571</v>
      </c>
      <c r="F498" s="18" t="s">
        <v>1477</v>
      </c>
      <c r="G498" s="19">
        <v>44594</v>
      </c>
      <c r="H498" s="19">
        <v>44648</v>
      </c>
      <c r="I498" s="18" t="s">
        <v>28</v>
      </c>
      <c r="J498" s="19" t="b">
        <v>1</v>
      </c>
      <c r="K498" s="19" t="b">
        <v>0</v>
      </c>
      <c r="L498" s="19" t="b">
        <v>0</v>
      </c>
      <c r="M498" s="19" t="b">
        <v>0</v>
      </c>
      <c r="N498" s="19" t="b">
        <v>0</v>
      </c>
      <c r="O498" s="19" t="b">
        <v>0</v>
      </c>
      <c r="P498" s="19" t="b">
        <v>1</v>
      </c>
    </row>
    <row r="499" spans="1:16" x14ac:dyDescent="0.2">
      <c r="A499" s="18">
        <v>4697401</v>
      </c>
      <c r="B499" s="18" t="s">
        <v>1479</v>
      </c>
      <c r="C499" s="18" t="s">
        <v>167</v>
      </c>
      <c r="D499" s="18" t="s">
        <v>19</v>
      </c>
      <c r="E499" s="19">
        <v>44744</v>
      </c>
      <c r="F499" s="18" t="s">
        <v>1099</v>
      </c>
      <c r="G499" s="19">
        <v>44760</v>
      </c>
      <c r="H499" s="19">
        <v>44781</v>
      </c>
      <c r="I499" s="18" t="s">
        <v>28</v>
      </c>
      <c r="J499" s="19" t="b">
        <v>1</v>
      </c>
      <c r="K499" s="19" t="b">
        <v>0</v>
      </c>
      <c r="L499" s="19" t="b">
        <v>0</v>
      </c>
      <c r="M499" s="19" t="b">
        <v>0</v>
      </c>
      <c r="N499" s="19" t="b">
        <v>0</v>
      </c>
      <c r="O499" s="19" t="b">
        <v>0</v>
      </c>
      <c r="P499" s="19" t="b">
        <v>1</v>
      </c>
    </row>
    <row r="500" spans="1:16" x14ac:dyDescent="0.2">
      <c r="A500" s="18">
        <v>6931382</v>
      </c>
      <c r="B500" s="18" t="s">
        <v>1482</v>
      </c>
      <c r="C500" s="18" t="s">
        <v>454</v>
      </c>
      <c r="D500" s="18" t="s">
        <v>81</v>
      </c>
      <c r="E500" s="19">
        <v>44833</v>
      </c>
      <c r="F500" s="18" t="s">
        <v>1483</v>
      </c>
      <c r="G500" s="19">
        <v>44840</v>
      </c>
      <c r="H500" s="19">
        <v>44855</v>
      </c>
      <c r="I500" s="18" t="s">
        <v>43</v>
      </c>
      <c r="J500" s="19" t="b">
        <v>1</v>
      </c>
      <c r="K500" s="19" t="b">
        <v>0</v>
      </c>
      <c r="L500" s="19" t="b">
        <v>0</v>
      </c>
      <c r="M500" s="19" t="b">
        <v>0</v>
      </c>
      <c r="N500" s="19" t="b">
        <v>0</v>
      </c>
      <c r="O500" s="19" t="b">
        <v>1</v>
      </c>
      <c r="P500" s="19" t="b">
        <v>0</v>
      </c>
    </row>
    <row r="501" spans="1:16" x14ac:dyDescent="0.2">
      <c r="A501" s="18">
        <v>2789949</v>
      </c>
      <c r="B501" s="18" t="s">
        <v>1486</v>
      </c>
      <c r="C501" s="18" t="s">
        <v>176</v>
      </c>
      <c r="D501" s="18" t="s">
        <v>122</v>
      </c>
      <c r="E501" s="19">
        <v>44942</v>
      </c>
      <c r="F501" s="18" t="s">
        <v>1487</v>
      </c>
      <c r="G501" s="19">
        <v>44962</v>
      </c>
      <c r="H501" s="19">
        <v>44983</v>
      </c>
      <c r="I501" s="18" t="s">
        <v>16</v>
      </c>
      <c r="J501" s="19" t="b">
        <v>1</v>
      </c>
      <c r="K501" s="19" t="b">
        <v>0</v>
      </c>
      <c r="L501" s="19" t="b">
        <v>0</v>
      </c>
      <c r="M501" s="19" t="b">
        <v>0</v>
      </c>
      <c r="N501" s="19" t="b">
        <v>1</v>
      </c>
      <c r="O501" s="19" t="b">
        <v>0</v>
      </c>
      <c r="P501" s="19" t="b">
        <v>0</v>
      </c>
    </row>
    <row r="502" spans="1:16" x14ac:dyDescent="0.2">
      <c r="A502" s="18">
        <v>2789949</v>
      </c>
      <c r="B502" s="18" t="s">
        <v>1488</v>
      </c>
      <c r="C502" s="18" t="s">
        <v>176</v>
      </c>
      <c r="D502" s="18" t="s">
        <v>122</v>
      </c>
      <c r="E502" s="19">
        <v>45085</v>
      </c>
      <c r="F502" s="18" t="s">
        <v>1489</v>
      </c>
      <c r="G502" s="19">
        <v>45094</v>
      </c>
      <c r="H502" s="19">
        <v>45120</v>
      </c>
      <c r="I502" s="18" t="s">
        <v>28</v>
      </c>
      <c r="J502" s="19" t="b">
        <v>1</v>
      </c>
      <c r="K502" s="19" t="b">
        <v>0</v>
      </c>
      <c r="L502" s="19" t="b">
        <v>0</v>
      </c>
      <c r="M502" s="19" t="b">
        <v>0</v>
      </c>
      <c r="N502" s="19" t="b">
        <v>0</v>
      </c>
      <c r="O502" s="19" t="b">
        <v>0</v>
      </c>
      <c r="P502" s="19" t="b">
        <v>1</v>
      </c>
    </row>
    <row r="503" spans="1:16" x14ac:dyDescent="0.2">
      <c r="A503" s="18">
        <v>2789949</v>
      </c>
      <c r="B503" s="18" t="s">
        <v>1492</v>
      </c>
      <c r="C503" s="18" t="s">
        <v>176</v>
      </c>
      <c r="D503" s="18" t="s">
        <v>122</v>
      </c>
      <c r="E503" s="19">
        <v>44595</v>
      </c>
      <c r="F503" s="18" t="s">
        <v>1493</v>
      </c>
      <c r="G503" s="19">
        <v>44612</v>
      </c>
      <c r="H503" s="19">
        <v>44635</v>
      </c>
      <c r="I503" s="18"/>
      <c r="J503" s="19" t="b">
        <v>1</v>
      </c>
      <c r="K503" s="19" t="b">
        <v>0</v>
      </c>
      <c r="L503" s="19" t="b">
        <v>0</v>
      </c>
      <c r="M503" s="19" t="b">
        <v>0</v>
      </c>
      <c r="N503" s="19" t="b">
        <v>0</v>
      </c>
      <c r="O503" s="19" t="b">
        <v>0</v>
      </c>
      <c r="P503" s="19" t="b">
        <v>0</v>
      </c>
    </row>
    <row r="504" spans="1:16" x14ac:dyDescent="0.2">
      <c r="A504" s="18">
        <v>7605473</v>
      </c>
      <c r="B504" s="18" t="s">
        <v>1494</v>
      </c>
      <c r="C504" s="18" t="s">
        <v>90</v>
      </c>
      <c r="D504" s="18" t="s">
        <v>187</v>
      </c>
      <c r="E504" s="19">
        <v>44570</v>
      </c>
      <c r="F504" s="18" t="s">
        <v>1495</v>
      </c>
      <c r="G504" s="19">
        <v>44571</v>
      </c>
      <c r="H504" s="19">
        <v>44615</v>
      </c>
      <c r="I504" s="18"/>
      <c r="J504" s="19" t="b">
        <v>1</v>
      </c>
      <c r="K504" s="19" t="b">
        <v>0</v>
      </c>
      <c r="L504" s="19" t="b">
        <v>0</v>
      </c>
      <c r="M504" s="19" t="b">
        <v>0</v>
      </c>
      <c r="N504" s="19" t="b">
        <v>0</v>
      </c>
      <c r="O504" s="19" t="b">
        <v>0</v>
      </c>
      <c r="P504" s="19" t="b">
        <v>0</v>
      </c>
    </row>
    <row r="505" spans="1:16" x14ac:dyDescent="0.2">
      <c r="A505" s="18">
        <v>7605473</v>
      </c>
      <c r="B505" s="18" t="s">
        <v>1497</v>
      </c>
      <c r="C505" s="18" t="s">
        <v>90</v>
      </c>
      <c r="D505" s="18" t="s">
        <v>187</v>
      </c>
      <c r="E505" s="19">
        <v>44831</v>
      </c>
      <c r="F505" s="18" t="s">
        <v>1498</v>
      </c>
      <c r="G505" s="19">
        <v>44839</v>
      </c>
      <c r="H505" s="19">
        <v>44857</v>
      </c>
      <c r="I505" s="18" t="s">
        <v>28</v>
      </c>
      <c r="J505" s="19" t="b">
        <v>1</v>
      </c>
      <c r="K505" s="19" t="b">
        <v>0</v>
      </c>
      <c r="L505" s="19" t="b">
        <v>0</v>
      </c>
      <c r="M505" s="19" t="b">
        <v>0</v>
      </c>
      <c r="N505" s="19" t="b">
        <v>0</v>
      </c>
      <c r="O505" s="19" t="b">
        <v>0</v>
      </c>
      <c r="P505" s="19" t="b">
        <v>1</v>
      </c>
    </row>
    <row r="506" spans="1:16" x14ac:dyDescent="0.2">
      <c r="A506" s="18">
        <v>7605473</v>
      </c>
      <c r="B506" s="18" t="s">
        <v>1499</v>
      </c>
      <c r="C506" s="18" t="s">
        <v>90</v>
      </c>
      <c r="D506" s="18" t="s">
        <v>187</v>
      </c>
      <c r="E506" s="19">
        <v>45072</v>
      </c>
      <c r="F506" s="18" t="s">
        <v>1500</v>
      </c>
      <c r="G506" s="19">
        <v>45086</v>
      </c>
      <c r="H506" s="19">
        <v>45100</v>
      </c>
      <c r="I506" s="18" t="s">
        <v>28</v>
      </c>
      <c r="J506" s="19" t="b">
        <v>1</v>
      </c>
      <c r="K506" s="19" t="b">
        <v>0</v>
      </c>
      <c r="L506" s="19" t="b">
        <v>0</v>
      </c>
      <c r="M506" s="19" t="b">
        <v>0</v>
      </c>
      <c r="N506" s="19" t="b">
        <v>0</v>
      </c>
      <c r="O506" s="19" t="b">
        <v>0</v>
      </c>
      <c r="P506" s="19" t="b">
        <v>1</v>
      </c>
    </row>
    <row r="507" spans="1:16" x14ac:dyDescent="0.2">
      <c r="A507" s="18">
        <v>8031212</v>
      </c>
      <c r="B507" s="18" t="s">
        <v>1501</v>
      </c>
      <c r="C507" s="18" t="s">
        <v>240</v>
      </c>
      <c r="D507" s="18" t="s">
        <v>39</v>
      </c>
      <c r="E507" s="19">
        <v>44696</v>
      </c>
      <c r="F507" s="18" t="s">
        <v>1502</v>
      </c>
      <c r="G507" s="19">
        <v>44715</v>
      </c>
      <c r="H507" s="19">
        <v>44759</v>
      </c>
      <c r="I507" s="18" t="s">
        <v>28</v>
      </c>
      <c r="J507" s="19" t="b">
        <v>1</v>
      </c>
      <c r="K507" s="19" t="b">
        <v>0</v>
      </c>
      <c r="L507" s="19" t="b">
        <v>0</v>
      </c>
      <c r="M507" s="19" t="b">
        <v>0</v>
      </c>
      <c r="N507" s="19" t="b">
        <v>0</v>
      </c>
      <c r="O507" s="19" t="b">
        <v>0</v>
      </c>
      <c r="P507" s="19" t="b">
        <v>1</v>
      </c>
    </row>
    <row r="508" spans="1:16" x14ac:dyDescent="0.2">
      <c r="A508" s="18">
        <v>3446851</v>
      </c>
      <c r="B508" s="18" t="s">
        <v>1506</v>
      </c>
      <c r="C508" s="18" t="s">
        <v>47</v>
      </c>
      <c r="D508" s="18" t="s">
        <v>187</v>
      </c>
      <c r="E508" s="19">
        <v>44699</v>
      </c>
      <c r="F508" s="18" t="s">
        <v>263</v>
      </c>
      <c r="G508" s="19">
        <v>44728</v>
      </c>
      <c r="H508" s="19">
        <v>44783</v>
      </c>
      <c r="I508" s="18" t="s">
        <v>43</v>
      </c>
      <c r="J508" s="19" t="b">
        <v>1</v>
      </c>
      <c r="K508" s="19" t="b">
        <v>0</v>
      </c>
      <c r="L508" s="19" t="b">
        <v>0</v>
      </c>
      <c r="M508" s="19" t="b">
        <v>0</v>
      </c>
      <c r="N508" s="19" t="b">
        <v>0</v>
      </c>
      <c r="O508" s="19" t="b">
        <v>1</v>
      </c>
      <c r="P508" s="19" t="b">
        <v>0</v>
      </c>
    </row>
    <row r="509" spans="1:16" x14ac:dyDescent="0.2">
      <c r="A509" s="18">
        <v>3446851</v>
      </c>
      <c r="B509" s="18" t="s">
        <v>1507</v>
      </c>
      <c r="C509" s="18" t="s">
        <v>47</v>
      </c>
      <c r="D509" s="18" t="s">
        <v>187</v>
      </c>
      <c r="E509" s="19">
        <v>44869</v>
      </c>
      <c r="F509" s="18" t="s">
        <v>1508</v>
      </c>
      <c r="G509" s="19">
        <v>44878</v>
      </c>
      <c r="H509" s="19">
        <v>44914</v>
      </c>
      <c r="I509" s="18" t="s">
        <v>28</v>
      </c>
      <c r="J509" s="19" t="b">
        <v>1</v>
      </c>
      <c r="K509" s="19" t="b">
        <v>0</v>
      </c>
      <c r="L509" s="19" t="b">
        <v>0</v>
      </c>
      <c r="M509" s="19" t="b">
        <v>0</v>
      </c>
      <c r="N509" s="19" t="b">
        <v>0</v>
      </c>
      <c r="O509" s="19" t="b">
        <v>0</v>
      </c>
      <c r="P509" s="19" t="b">
        <v>1</v>
      </c>
    </row>
    <row r="510" spans="1:16" x14ac:dyDescent="0.2">
      <c r="A510" s="18">
        <v>3446851</v>
      </c>
      <c r="B510" s="18" t="s">
        <v>1509</v>
      </c>
      <c r="C510" s="18" t="s">
        <v>47</v>
      </c>
      <c r="D510" s="18" t="s">
        <v>187</v>
      </c>
      <c r="E510" s="19">
        <v>44729</v>
      </c>
      <c r="F510" s="18" t="s">
        <v>1510</v>
      </c>
      <c r="G510" s="19">
        <v>44731</v>
      </c>
      <c r="H510" s="19">
        <v>44745</v>
      </c>
      <c r="I510" s="18" t="s">
        <v>16</v>
      </c>
      <c r="J510" s="19" t="b">
        <v>1</v>
      </c>
      <c r="K510" s="19" t="b">
        <v>0</v>
      </c>
      <c r="L510" s="19" t="b">
        <v>0</v>
      </c>
      <c r="M510" s="19" t="b">
        <v>0</v>
      </c>
      <c r="N510" s="19" t="b">
        <v>1</v>
      </c>
      <c r="O510" s="19" t="b">
        <v>0</v>
      </c>
      <c r="P510" s="19" t="b">
        <v>0</v>
      </c>
    </row>
    <row r="511" spans="1:16" x14ac:dyDescent="0.2">
      <c r="A511" s="18">
        <v>3446851</v>
      </c>
      <c r="B511" s="18" t="s">
        <v>1511</v>
      </c>
      <c r="C511" s="18" t="s">
        <v>47</v>
      </c>
      <c r="D511" s="18" t="s">
        <v>187</v>
      </c>
      <c r="E511" s="19">
        <v>44660</v>
      </c>
      <c r="F511" s="18" t="s">
        <v>1512</v>
      </c>
      <c r="G511" s="19">
        <v>44675</v>
      </c>
      <c r="H511" s="19">
        <v>44723</v>
      </c>
      <c r="I511" s="18"/>
      <c r="J511" s="19" t="b">
        <v>1</v>
      </c>
      <c r="K511" s="19" t="b">
        <v>0</v>
      </c>
      <c r="L511" s="19" t="b">
        <v>0</v>
      </c>
      <c r="M511" s="19" t="b">
        <v>0</v>
      </c>
      <c r="N511" s="19" t="b">
        <v>0</v>
      </c>
      <c r="O511" s="19" t="b">
        <v>0</v>
      </c>
      <c r="P511" s="19" t="b">
        <v>0</v>
      </c>
    </row>
    <row r="512" spans="1:16" x14ac:dyDescent="0.2">
      <c r="A512" s="18">
        <v>6614605</v>
      </c>
      <c r="B512" s="18" t="s">
        <v>1513</v>
      </c>
      <c r="C512" s="18" t="s">
        <v>282</v>
      </c>
      <c r="D512" s="18" t="s">
        <v>39</v>
      </c>
      <c r="E512" s="19">
        <v>44983</v>
      </c>
      <c r="F512" s="18" t="s">
        <v>877</v>
      </c>
      <c r="G512" s="19">
        <v>44987</v>
      </c>
      <c r="H512" s="19">
        <v>45010</v>
      </c>
      <c r="I512" s="18" t="s">
        <v>28</v>
      </c>
      <c r="J512" s="19" t="b">
        <v>1</v>
      </c>
      <c r="K512" s="19" t="b">
        <v>0</v>
      </c>
      <c r="L512" s="19" t="b">
        <v>0</v>
      </c>
      <c r="M512" s="19" t="b">
        <v>0</v>
      </c>
      <c r="N512" s="19" t="b">
        <v>0</v>
      </c>
      <c r="O512" s="19" t="b">
        <v>0</v>
      </c>
      <c r="P512" s="19" t="b">
        <v>1</v>
      </c>
    </row>
    <row r="513" spans="1:16" x14ac:dyDescent="0.2">
      <c r="A513" s="18">
        <v>6614605</v>
      </c>
      <c r="B513" s="18" t="s">
        <v>1514</v>
      </c>
      <c r="C513" s="18" t="s">
        <v>282</v>
      </c>
      <c r="D513" s="18" t="s">
        <v>39</v>
      </c>
      <c r="E513" s="19">
        <v>44740</v>
      </c>
      <c r="F513" s="18" t="s">
        <v>1515</v>
      </c>
      <c r="G513" s="19">
        <v>44765</v>
      </c>
      <c r="H513" s="19">
        <v>44784</v>
      </c>
      <c r="I513" s="18" t="s">
        <v>43</v>
      </c>
      <c r="J513" s="19" t="b">
        <v>1</v>
      </c>
      <c r="K513" s="19" t="b">
        <v>0</v>
      </c>
      <c r="L513" s="19" t="b">
        <v>0</v>
      </c>
      <c r="M513" s="19" t="b">
        <v>0</v>
      </c>
      <c r="N513" s="19" t="b">
        <v>0</v>
      </c>
      <c r="O513" s="19" t="b">
        <v>1</v>
      </c>
      <c r="P513" s="19" t="b">
        <v>0</v>
      </c>
    </row>
    <row r="514" spans="1:16" x14ac:dyDescent="0.2">
      <c r="A514" s="18">
        <v>6614605</v>
      </c>
      <c r="B514" s="18" t="s">
        <v>1516</v>
      </c>
      <c r="C514" s="18" t="s">
        <v>282</v>
      </c>
      <c r="D514" s="18" t="s">
        <v>39</v>
      </c>
      <c r="E514" s="19">
        <v>45019</v>
      </c>
      <c r="F514" s="18" t="s">
        <v>1517</v>
      </c>
      <c r="G514" s="19">
        <v>45048</v>
      </c>
      <c r="H514" s="19">
        <v>45054</v>
      </c>
      <c r="I514" s="18"/>
      <c r="J514" s="19" t="b">
        <v>1</v>
      </c>
      <c r="K514" s="19" t="b">
        <v>0</v>
      </c>
      <c r="L514" s="19" t="b">
        <v>0</v>
      </c>
      <c r="M514" s="19" t="b">
        <v>0</v>
      </c>
      <c r="N514" s="19" t="b">
        <v>0</v>
      </c>
      <c r="O514" s="19" t="b">
        <v>0</v>
      </c>
      <c r="P514" s="19" t="b">
        <v>0</v>
      </c>
    </row>
    <row r="515" spans="1:16" x14ac:dyDescent="0.2">
      <c r="A515" s="18">
        <v>7393310</v>
      </c>
      <c r="B515" s="18" t="s">
        <v>1518</v>
      </c>
      <c r="C515" s="18" t="s">
        <v>121</v>
      </c>
      <c r="D515" s="18" t="s">
        <v>11</v>
      </c>
      <c r="E515" s="19">
        <v>44907</v>
      </c>
      <c r="F515" s="18" t="s">
        <v>1519</v>
      </c>
      <c r="G515" s="19">
        <v>44921</v>
      </c>
      <c r="H515" s="19">
        <v>44962</v>
      </c>
      <c r="I515" s="18" t="s">
        <v>43</v>
      </c>
      <c r="J515" s="19" t="b">
        <v>1</v>
      </c>
      <c r="K515" s="19" t="b">
        <v>0</v>
      </c>
      <c r="L515" s="19" t="b">
        <v>0</v>
      </c>
      <c r="M515" s="19" t="b">
        <v>0</v>
      </c>
      <c r="N515" s="19" t="b">
        <v>0</v>
      </c>
      <c r="O515" s="19" t="b">
        <v>1</v>
      </c>
      <c r="P515" s="19" t="b">
        <v>0</v>
      </c>
    </row>
    <row r="516" spans="1:16" x14ac:dyDescent="0.2">
      <c r="A516" s="18">
        <v>7393310</v>
      </c>
      <c r="B516" s="18" t="s">
        <v>1520</v>
      </c>
      <c r="C516" s="18" t="s">
        <v>121</v>
      </c>
      <c r="D516" s="18" t="s">
        <v>11</v>
      </c>
      <c r="E516" s="19">
        <v>44635</v>
      </c>
      <c r="F516" s="18" t="s">
        <v>1521</v>
      </c>
      <c r="G516" s="19">
        <v>44638</v>
      </c>
      <c r="H516" s="19">
        <v>44649</v>
      </c>
      <c r="I516" s="18"/>
      <c r="J516" s="19" t="b">
        <v>1</v>
      </c>
      <c r="K516" s="19" t="b">
        <v>0</v>
      </c>
      <c r="L516" s="19" t="b">
        <v>0</v>
      </c>
      <c r="M516" s="19" t="b">
        <v>0</v>
      </c>
      <c r="N516" s="19" t="b">
        <v>0</v>
      </c>
      <c r="O516" s="19" t="b">
        <v>0</v>
      </c>
      <c r="P516" s="19" t="b">
        <v>0</v>
      </c>
    </row>
    <row r="517" spans="1:16" x14ac:dyDescent="0.2">
      <c r="A517" s="18">
        <v>7393310</v>
      </c>
      <c r="B517" s="18" t="s">
        <v>1522</v>
      </c>
      <c r="C517" s="18" t="s">
        <v>121</v>
      </c>
      <c r="D517" s="18" t="s">
        <v>11</v>
      </c>
      <c r="E517" s="19">
        <v>44860</v>
      </c>
      <c r="F517" s="18" t="s">
        <v>1523</v>
      </c>
      <c r="G517" s="19">
        <v>44883</v>
      </c>
      <c r="H517" s="19">
        <v>44901</v>
      </c>
      <c r="I517" s="18" t="s">
        <v>28</v>
      </c>
      <c r="J517" s="19" t="b">
        <v>1</v>
      </c>
      <c r="K517" s="19" t="b">
        <v>0</v>
      </c>
      <c r="L517" s="19" t="b">
        <v>0</v>
      </c>
      <c r="M517" s="19" t="b">
        <v>0</v>
      </c>
      <c r="N517" s="19" t="b">
        <v>0</v>
      </c>
      <c r="O517" s="19" t="b">
        <v>0</v>
      </c>
      <c r="P517" s="19" t="b">
        <v>1</v>
      </c>
    </row>
    <row r="518" spans="1:16" x14ac:dyDescent="0.2">
      <c r="A518" s="18">
        <v>7393310</v>
      </c>
      <c r="B518" s="18" t="s">
        <v>1524</v>
      </c>
      <c r="C518" s="18" t="s">
        <v>121</v>
      </c>
      <c r="D518" s="18" t="s">
        <v>11</v>
      </c>
      <c r="E518" s="19">
        <v>45017</v>
      </c>
      <c r="F518" s="18" t="s">
        <v>261</v>
      </c>
      <c r="G518" s="19">
        <v>45042</v>
      </c>
      <c r="H518" s="19">
        <v>45098</v>
      </c>
      <c r="I518" s="18"/>
      <c r="J518" s="19" t="b">
        <v>1</v>
      </c>
      <c r="K518" s="19" t="b">
        <v>0</v>
      </c>
      <c r="L518" s="19" t="b">
        <v>0</v>
      </c>
      <c r="M518" s="19" t="b">
        <v>0</v>
      </c>
      <c r="N518" s="19" t="b">
        <v>0</v>
      </c>
      <c r="O518" s="19" t="b">
        <v>0</v>
      </c>
      <c r="P518" s="19" t="b">
        <v>0</v>
      </c>
    </row>
    <row r="519" spans="1:16" x14ac:dyDescent="0.2">
      <c r="A519" s="18">
        <v>7092894</v>
      </c>
      <c r="B519" s="18" t="s">
        <v>1525</v>
      </c>
      <c r="C519" s="18" t="s">
        <v>138</v>
      </c>
      <c r="D519" s="18" t="s">
        <v>81</v>
      </c>
      <c r="E519" s="19">
        <v>44585</v>
      </c>
      <c r="F519" s="18" t="s">
        <v>1526</v>
      </c>
      <c r="G519" s="19">
        <v>44590</v>
      </c>
      <c r="H519" s="19">
        <v>44637</v>
      </c>
      <c r="I519" s="18"/>
      <c r="J519" s="19" t="b">
        <v>1</v>
      </c>
      <c r="K519" s="19" t="b">
        <v>0</v>
      </c>
      <c r="L519" s="19" t="b">
        <v>0</v>
      </c>
      <c r="M519" s="19" t="b">
        <v>0</v>
      </c>
      <c r="N519" s="19" t="b">
        <v>0</v>
      </c>
      <c r="O519" s="19" t="b">
        <v>0</v>
      </c>
      <c r="P519" s="19" t="b">
        <v>0</v>
      </c>
    </row>
    <row r="520" spans="1:16" x14ac:dyDescent="0.2">
      <c r="A520" s="18">
        <v>7092894</v>
      </c>
      <c r="B520" s="18" t="s">
        <v>1530</v>
      </c>
      <c r="C520" s="18" t="s">
        <v>138</v>
      </c>
      <c r="D520" s="18" t="s">
        <v>81</v>
      </c>
      <c r="E520" s="19">
        <v>44968</v>
      </c>
      <c r="F520" s="18" t="s">
        <v>1531</v>
      </c>
      <c r="G520" s="19">
        <v>44985</v>
      </c>
      <c r="H520" s="19">
        <v>45034</v>
      </c>
      <c r="I520" s="18" t="s">
        <v>16</v>
      </c>
      <c r="J520" s="19" t="b">
        <v>1</v>
      </c>
      <c r="K520" s="19" t="b">
        <v>0</v>
      </c>
      <c r="L520" s="19" t="b">
        <v>0</v>
      </c>
      <c r="M520" s="19" t="b">
        <v>0</v>
      </c>
      <c r="N520" s="19" t="b">
        <v>1</v>
      </c>
      <c r="O520" s="19" t="b">
        <v>0</v>
      </c>
      <c r="P520" s="19" t="b">
        <v>0</v>
      </c>
    </row>
    <row r="521" spans="1:16" x14ac:dyDescent="0.2">
      <c r="A521" s="18">
        <v>7092894</v>
      </c>
      <c r="B521" s="18" t="s">
        <v>1532</v>
      </c>
      <c r="C521" s="18" t="s">
        <v>138</v>
      </c>
      <c r="D521" s="18" t="s">
        <v>81</v>
      </c>
      <c r="E521" s="19">
        <v>44721</v>
      </c>
      <c r="F521" s="18" t="s">
        <v>1533</v>
      </c>
      <c r="G521" s="19">
        <v>44724</v>
      </c>
      <c r="H521" s="19">
        <v>44766</v>
      </c>
      <c r="I521" s="18" t="s">
        <v>16</v>
      </c>
      <c r="J521" s="19" t="b">
        <v>1</v>
      </c>
      <c r="K521" s="19" t="b">
        <v>0</v>
      </c>
      <c r="L521" s="19" t="b">
        <v>0</v>
      </c>
      <c r="M521" s="19" t="b">
        <v>0</v>
      </c>
      <c r="N521" s="19" t="b">
        <v>1</v>
      </c>
      <c r="O521" s="19" t="b">
        <v>0</v>
      </c>
      <c r="P521" s="19" t="b">
        <v>0</v>
      </c>
    </row>
    <row r="522" spans="1:16" x14ac:dyDescent="0.2">
      <c r="A522" s="18">
        <v>7540534</v>
      </c>
      <c r="B522" s="18" t="s">
        <v>1534</v>
      </c>
      <c r="C522" s="18" t="s">
        <v>110</v>
      </c>
      <c r="D522" s="18" t="s">
        <v>19</v>
      </c>
      <c r="E522" s="19">
        <v>44696</v>
      </c>
      <c r="F522" s="18" t="s">
        <v>1535</v>
      </c>
      <c r="G522" s="19">
        <v>44713</v>
      </c>
      <c r="H522" s="19">
        <v>44767</v>
      </c>
      <c r="I522" s="18"/>
      <c r="J522" s="19" t="b">
        <v>1</v>
      </c>
      <c r="K522" s="19" t="b">
        <v>0</v>
      </c>
      <c r="L522" s="19" t="b">
        <v>0</v>
      </c>
      <c r="M522" s="19" t="b">
        <v>0</v>
      </c>
      <c r="N522" s="19" t="b">
        <v>0</v>
      </c>
      <c r="O522" s="19" t="b">
        <v>0</v>
      </c>
      <c r="P522" s="19" t="b">
        <v>0</v>
      </c>
    </row>
    <row r="523" spans="1:16" x14ac:dyDescent="0.2">
      <c r="A523" s="18">
        <v>6455972</v>
      </c>
      <c r="B523" s="18" t="s">
        <v>1538</v>
      </c>
      <c r="C523" s="18" t="s">
        <v>90</v>
      </c>
      <c r="D523" s="18" t="s">
        <v>77</v>
      </c>
      <c r="E523" s="19">
        <v>44700</v>
      </c>
      <c r="F523" s="18" t="s">
        <v>1539</v>
      </c>
      <c r="G523" s="19">
        <v>44723</v>
      </c>
      <c r="H523" s="19">
        <v>44758</v>
      </c>
      <c r="I523" s="18" t="s">
        <v>28</v>
      </c>
      <c r="J523" s="19" t="b">
        <v>1</v>
      </c>
      <c r="K523" s="19" t="b">
        <v>0</v>
      </c>
      <c r="L523" s="19" t="b">
        <v>0</v>
      </c>
      <c r="M523" s="19" t="b">
        <v>0</v>
      </c>
      <c r="N523" s="19" t="b">
        <v>0</v>
      </c>
      <c r="O523" s="19" t="b">
        <v>0</v>
      </c>
      <c r="P523" s="19" t="b">
        <v>1</v>
      </c>
    </row>
    <row r="524" spans="1:16" x14ac:dyDescent="0.2">
      <c r="A524" s="18">
        <v>6455972</v>
      </c>
      <c r="B524" s="18" t="s">
        <v>1542</v>
      </c>
      <c r="C524" s="18" t="s">
        <v>90</v>
      </c>
      <c r="D524" s="18" t="s">
        <v>77</v>
      </c>
      <c r="E524" s="19">
        <v>45055</v>
      </c>
      <c r="F524" s="18" t="s">
        <v>1543</v>
      </c>
      <c r="G524" s="19">
        <v>45073</v>
      </c>
      <c r="H524" s="19">
        <v>45088</v>
      </c>
      <c r="I524" s="18" t="s">
        <v>28</v>
      </c>
      <c r="J524" s="19" t="b">
        <v>1</v>
      </c>
      <c r="K524" s="19" t="b">
        <v>0</v>
      </c>
      <c r="L524" s="19" t="b">
        <v>0</v>
      </c>
      <c r="M524" s="19" t="b">
        <v>0</v>
      </c>
      <c r="N524" s="19" t="b">
        <v>0</v>
      </c>
      <c r="O524" s="19" t="b">
        <v>0</v>
      </c>
      <c r="P524" s="19" t="b">
        <v>1</v>
      </c>
    </row>
    <row r="525" spans="1:16" x14ac:dyDescent="0.2">
      <c r="A525" s="18">
        <v>6455972</v>
      </c>
      <c r="B525" s="18" t="s">
        <v>1544</v>
      </c>
      <c r="C525" s="18" t="s">
        <v>90</v>
      </c>
      <c r="D525" s="18" t="s">
        <v>77</v>
      </c>
      <c r="E525" s="19">
        <v>44984</v>
      </c>
      <c r="F525" s="18" t="s">
        <v>1545</v>
      </c>
      <c r="G525" s="19">
        <v>44993</v>
      </c>
      <c r="H525" s="19">
        <v>45003</v>
      </c>
      <c r="I525" s="18"/>
      <c r="J525" s="19" t="b">
        <v>1</v>
      </c>
      <c r="K525" s="19" t="b">
        <v>0</v>
      </c>
      <c r="L525" s="19" t="b">
        <v>0</v>
      </c>
      <c r="M525" s="19" t="b">
        <v>0</v>
      </c>
      <c r="N525" s="19" t="b">
        <v>0</v>
      </c>
      <c r="O525" s="19" t="b">
        <v>0</v>
      </c>
      <c r="P525" s="19" t="b">
        <v>0</v>
      </c>
    </row>
    <row r="526" spans="1:16" x14ac:dyDescent="0.2">
      <c r="A526" s="18">
        <v>6093108</v>
      </c>
      <c r="B526" s="18" t="s">
        <v>1546</v>
      </c>
      <c r="C526" s="18" t="s">
        <v>10</v>
      </c>
      <c r="D526" s="18" t="s">
        <v>56</v>
      </c>
      <c r="E526" s="19">
        <v>45042</v>
      </c>
      <c r="F526" s="18" t="s">
        <v>1547</v>
      </c>
      <c r="G526" s="19">
        <v>45060</v>
      </c>
      <c r="H526" s="19">
        <v>45061</v>
      </c>
      <c r="I526" s="18" t="s">
        <v>43</v>
      </c>
      <c r="J526" s="19" t="b">
        <v>1</v>
      </c>
      <c r="K526" s="19" t="b">
        <v>0</v>
      </c>
      <c r="L526" s="19" t="b">
        <v>0</v>
      </c>
      <c r="M526" s="19" t="b">
        <v>0</v>
      </c>
      <c r="N526" s="19" t="b">
        <v>0</v>
      </c>
      <c r="O526" s="19" t="b">
        <v>1</v>
      </c>
      <c r="P526" s="19" t="b">
        <v>0</v>
      </c>
    </row>
    <row r="527" spans="1:16" x14ac:dyDescent="0.2">
      <c r="A527" s="18">
        <v>6093108</v>
      </c>
      <c r="B527" s="18" t="s">
        <v>1548</v>
      </c>
      <c r="C527" s="18" t="s">
        <v>10</v>
      </c>
      <c r="D527" s="18" t="s">
        <v>56</v>
      </c>
      <c r="E527" s="19">
        <v>45050</v>
      </c>
      <c r="F527" s="18" t="s">
        <v>1339</v>
      </c>
      <c r="G527" s="19">
        <v>45060</v>
      </c>
      <c r="H527" s="19">
        <v>45061</v>
      </c>
      <c r="I527" s="18"/>
      <c r="J527" s="19" t="b">
        <v>1</v>
      </c>
      <c r="K527" s="19" t="b">
        <v>0</v>
      </c>
      <c r="L527" s="19" t="b">
        <v>0</v>
      </c>
      <c r="M527" s="19" t="b">
        <v>0</v>
      </c>
      <c r="N527" s="19" t="b">
        <v>0</v>
      </c>
      <c r="O527" s="19" t="b">
        <v>0</v>
      </c>
      <c r="P527" s="19" t="b">
        <v>0</v>
      </c>
    </row>
    <row r="528" spans="1:16" x14ac:dyDescent="0.2">
      <c r="A528" s="18">
        <v>6093108</v>
      </c>
      <c r="B528" s="18" t="s">
        <v>1549</v>
      </c>
      <c r="C528" s="18" t="s">
        <v>10</v>
      </c>
      <c r="D528" s="18" t="s">
        <v>56</v>
      </c>
      <c r="E528" s="19">
        <v>44569</v>
      </c>
      <c r="F528" s="18" t="s">
        <v>1550</v>
      </c>
      <c r="G528" s="19">
        <v>44587</v>
      </c>
      <c r="H528" s="19">
        <v>44611</v>
      </c>
      <c r="I528" s="18" t="s">
        <v>28</v>
      </c>
      <c r="J528" s="19" t="b">
        <v>1</v>
      </c>
      <c r="K528" s="19" t="b">
        <v>0</v>
      </c>
      <c r="L528" s="19" t="b">
        <v>0</v>
      </c>
      <c r="M528" s="19" t="b">
        <v>0</v>
      </c>
      <c r="N528" s="19" t="b">
        <v>0</v>
      </c>
      <c r="O528" s="19" t="b">
        <v>0</v>
      </c>
      <c r="P528" s="19" t="b">
        <v>1</v>
      </c>
    </row>
    <row r="529" spans="1:16" x14ac:dyDescent="0.2">
      <c r="A529" s="18">
        <v>7347794</v>
      </c>
      <c r="B529" s="18" t="s">
        <v>1554</v>
      </c>
      <c r="C529" s="18" t="s">
        <v>93</v>
      </c>
      <c r="D529" s="18" t="s">
        <v>11</v>
      </c>
      <c r="E529" s="19">
        <v>44840</v>
      </c>
      <c r="F529" s="18" t="s">
        <v>1555</v>
      </c>
      <c r="G529" s="19">
        <v>44850</v>
      </c>
      <c r="H529" s="19">
        <v>44892</v>
      </c>
      <c r="I529" s="18" t="s">
        <v>43</v>
      </c>
      <c r="J529" s="19" t="b">
        <v>1</v>
      </c>
      <c r="K529" s="19" t="b">
        <v>0</v>
      </c>
      <c r="L529" s="19" t="b">
        <v>0</v>
      </c>
      <c r="M529" s="19" t="b">
        <v>0</v>
      </c>
      <c r="N529" s="19" t="b">
        <v>0</v>
      </c>
      <c r="O529" s="19" t="b">
        <v>1</v>
      </c>
      <c r="P529" s="19" t="b">
        <v>0</v>
      </c>
    </row>
    <row r="530" spans="1:16" x14ac:dyDescent="0.2">
      <c r="A530" s="18">
        <v>9924543</v>
      </c>
      <c r="B530" s="18" t="s">
        <v>1560</v>
      </c>
      <c r="C530" s="18" t="s">
        <v>47</v>
      </c>
      <c r="D530" s="18" t="s">
        <v>11</v>
      </c>
      <c r="E530" s="19">
        <v>44581</v>
      </c>
      <c r="F530" s="18" t="s">
        <v>1561</v>
      </c>
      <c r="G530" s="19">
        <v>44586</v>
      </c>
      <c r="H530" s="19">
        <v>44590</v>
      </c>
      <c r="I530" s="18"/>
      <c r="J530" s="19" t="b">
        <v>1</v>
      </c>
      <c r="K530" s="19" t="b">
        <v>0</v>
      </c>
      <c r="L530" s="19" t="b">
        <v>0</v>
      </c>
      <c r="M530" s="19" t="b">
        <v>0</v>
      </c>
      <c r="N530" s="19" t="b">
        <v>0</v>
      </c>
      <c r="O530" s="19" t="b">
        <v>0</v>
      </c>
      <c r="P530" s="19" t="b">
        <v>0</v>
      </c>
    </row>
    <row r="531" spans="1:16" x14ac:dyDescent="0.2">
      <c r="A531" s="18">
        <v>9924543</v>
      </c>
      <c r="B531" s="18" t="s">
        <v>1562</v>
      </c>
      <c r="C531" s="18" t="s">
        <v>47</v>
      </c>
      <c r="D531" s="18" t="s">
        <v>11</v>
      </c>
      <c r="E531" s="19">
        <v>44850</v>
      </c>
      <c r="F531" s="18" t="s">
        <v>1563</v>
      </c>
      <c r="G531" s="19">
        <v>44859</v>
      </c>
      <c r="H531" s="19">
        <v>44868</v>
      </c>
      <c r="I531" s="18" t="s">
        <v>16</v>
      </c>
      <c r="J531" s="19" t="b">
        <v>1</v>
      </c>
      <c r="K531" s="19" t="b">
        <v>0</v>
      </c>
      <c r="L531" s="19" t="b">
        <v>0</v>
      </c>
      <c r="M531" s="19" t="b">
        <v>0</v>
      </c>
      <c r="N531" s="19" t="b">
        <v>1</v>
      </c>
      <c r="O531" s="19" t="b">
        <v>0</v>
      </c>
      <c r="P531" s="19" t="b">
        <v>0</v>
      </c>
    </row>
    <row r="532" spans="1:16" x14ac:dyDescent="0.2">
      <c r="A532" s="18">
        <v>4643811</v>
      </c>
      <c r="B532" s="18" t="s">
        <v>1566</v>
      </c>
      <c r="C532" s="18" t="s">
        <v>720</v>
      </c>
      <c r="D532" s="18" t="s">
        <v>60</v>
      </c>
      <c r="E532" s="19">
        <v>44594</v>
      </c>
      <c r="F532" s="18" t="s">
        <v>1567</v>
      </c>
      <c r="G532" s="19">
        <v>44605</v>
      </c>
      <c r="H532" s="19">
        <v>44611</v>
      </c>
      <c r="I532" s="18"/>
      <c r="J532" s="19" t="b">
        <v>1</v>
      </c>
      <c r="K532" s="19" t="b">
        <v>0</v>
      </c>
      <c r="L532" s="19" t="b">
        <v>0</v>
      </c>
      <c r="M532" s="19" t="b">
        <v>0</v>
      </c>
      <c r="N532" s="19" t="b">
        <v>0</v>
      </c>
      <c r="O532" s="19" t="b">
        <v>0</v>
      </c>
      <c r="P532" s="19" t="b">
        <v>0</v>
      </c>
    </row>
    <row r="533" spans="1:16" x14ac:dyDescent="0.2">
      <c r="A533" s="18">
        <v>4643811</v>
      </c>
      <c r="B533" s="18" t="s">
        <v>1568</v>
      </c>
      <c r="C533" s="18" t="s">
        <v>720</v>
      </c>
      <c r="D533" s="18" t="s">
        <v>60</v>
      </c>
      <c r="E533" s="19">
        <v>44963</v>
      </c>
      <c r="F533" s="18" t="s">
        <v>774</v>
      </c>
      <c r="G533" s="19">
        <v>44966</v>
      </c>
      <c r="H533" s="19">
        <v>45001</v>
      </c>
      <c r="I533" s="18" t="s">
        <v>43</v>
      </c>
      <c r="J533" s="19" t="b">
        <v>1</v>
      </c>
      <c r="K533" s="19" t="b">
        <v>0</v>
      </c>
      <c r="L533" s="19" t="b">
        <v>0</v>
      </c>
      <c r="M533" s="19" t="b">
        <v>0</v>
      </c>
      <c r="N533" s="19" t="b">
        <v>0</v>
      </c>
      <c r="O533" s="19" t="b">
        <v>1</v>
      </c>
      <c r="P533" s="19" t="b">
        <v>0</v>
      </c>
    </row>
    <row r="534" spans="1:16" x14ac:dyDescent="0.2">
      <c r="A534" s="18">
        <v>4643811</v>
      </c>
      <c r="B534" s="18" t="s">
        <v>1569</v>
      </c>
      <c r="C534" s="18" t="s">
        <v>720</v>
      </c>
      <c r="D534" s="18" t="s">
        <v>60</v>
      </c>
      <c r="E534" s="19">
        <v>44818</v>
      </c>
      <c r="F534" s="18" t="s">
        <v>1570</v>
      </c>
      <c r="G534" s="19">
        <v>44845</v>
      </c>
      <c r="H534" s="19">
        <v>44870</v>
      </c>
      <c r="I534" s="18" t="s">
        <v>43</v>
      </c>
      <c r="J534" s="19" t="b">
        <v>1</v>
      </c>
      <c r="K534" s="19" t="b">
        <v>0</v>
      </c>
      <c r="L534" s="19" t="b">
        <v>0</v>
      </c>
      <c r="M534" s="19" t="b">
        <v>0</v>
      </c>
      <c r="N534" s="19" t="b">
        <v>0</v>
      </c>
      <c r="O534" s="19" t="b">
        <v>1</v>
      </c>
      <c r="P534" s="19" t="b">
        <v>0</v>
      </c>
    </row>
    <row r="535" spans="1:16" x14ac:dyDescent="0.2">
      <c r="A535" s="18">
        <v>1211652</v>
      </c>
      <c r="B535" s="18" t="s">
        <v>1571</v>
      </c>
      <c r="C535" s="18" t="s">
        <v>176</v>
      </c>
      <c r="D535" s="18" t="s">
        <v>19</v>
      </c>
      <c r="E535" s="19">
        <v>44596</v>
      </c>
      <c r="F535" s="18" t="s">
        <v>758</v>
      </c>
      <c r="G535" s="19">
        <v>44603</v>
      </c>
      <c r="H535" s="19">
        <v>44633</v>
      </c>
      <c r="I535" s="18"/>
      <c r="J535" s="19" t="b">
        <v>1</v>
      </c>
      <c r="K535" s="19" t="b">
        <v>0</v>
      </c>
      <c r="L535" s="19" t="b">
        <v>0</v>
      </c>
      <c r="M535" s="19" t="b">
        <v>0</v>
      </c>
      <c r="N535" s="19" t="b">
        <v>0</v>
      </c>
      <c r="O535" s="19" t="b">
        <v>0</v>
      </c>
      <c r="P535" s="19" t="b">
        <v>0</v>
      </c>
    </row>
    <row r="536" spans="1:16" x14ac:dyDescent="0.2">
      <c r="A536" s="18">
        <v>1211652</v>
      </c>
      <c r="B536" s="18" t="s">
        <v>1572</v>
      </c>
      <c r="C536" s="18" t="s">
        <v>176</v>
      </c>
      <c r="D536" s="18" t="s">
        <v>19</v>
      </c>
      <c r="E536" s="19">
        <v>44775</v>
      </c>
      <c r="F536" s="18" t="s">
        <v>1573</v>
      </c>
      <c r="G536" s="19">
        <v>44791</v>
      </c>
      <c r="H536" s="19">
        <v>44816</v>
      </c>
      <c r="I536" s="18" t="s">
        <v>16</v>
      </c>
      <c r="J536" s="19" t="b">
        <v>1</v>
      </c>
      <c r="K536" s="19" t="b">
        <v>0</v>
      </c>
      <c r="L536" s="19" t="b">
        <v>0</v>
      </c>
      <c r="M536" s="19" t="b">
        <v>0</v>
      </c>
      <c r="N536" s="19" t="b">
        <v>1</v>
      </c>
      <c r="O536" s="19" t="b">
        <v>0</v>
      </c>
      <c r="P536" s="19" t="b">
        <v>0</v>
      </c>
    </row>
    <row r="537" spans="1:16" x14ac:dyDescent="0.2">
      <c r="A537" s="18">
        <v>1211652</v>
      </c>
      <c r="B537" s="18" t="s">
        <v>1574</v>
      </c>
      <c r="C537" s="18" t="s">
        <v>176</v>
      </c>
      <c r="D537" s="18" t="s">
        <v>19</v>
      </c>
      <c r="E537" s="19">
        <v>44724</v>
      </c>
      <c r="F537" s="18" t="s">
        <v>971</v>
      </c>
      <c r="G537" s="19">
        <v>44745</v>
      </c>
      <c r="H537" s="19">
        <v>44792</v>
      </c>
      <c r="I537" s="18" t="s">
        <v>28</v>
      </c>
      <c r="J537" s="19" t="b">
        <v>1</v>
      </c>
      <c r="K537" s="19" t="b">
        <v>0</v>
      </c>
      <c r="L537" s="19" t="b">
        <v>0</v>
      </c>
      <c r="M537" s="19" t="b">
        <v>0</v>
      </c>
      <c r="N537" s="19" t="b">
        <v>0</v>
      </c>
      <c r="O537" s="19" t="b">
        <v>0</v>
      </c>
      <c r="P537" s="19" t="b">
        <v>1</v>
      </c>
    </row>
    <row r="538" spans="1:16" x14ac:dyDescent="0.2">
      <c r="A538" s="18">
        <v>5632190</v>
      </c>
      <c r="B538" s="18" t="s">
        <v>1581</v>
      </c>
      <c r="C538" s="18" t="s">
        <v>32</v>
      </c>
      <c r="D538" s="18" t="s">
        <v>122</v>
      </c>
      <c r="E538" s="19">
        <v>45048</v>
      </c>
      <c r="F538" s="18" t="s">
        <v>1582</v>
      </c>
      <c r="G538" s="19">
        <v>45071</v>
      </c>
      <c r="H538" s="19">
        <v>45110</v>
      </c>
      <c r="I538" s="18" t="s">
        <v>16</v>
      </c>
      <c r="J538" s="19" t="b">
        <v>1</v>
      </c>
      <c r="K538" s="19" t="b">
        <v>0</v>
      </c>
      <c r="L538" s="19" t="b">
        <v>0</v>
      </c>
      <c r="M538" s="19" t="b">
        <v>0</v>
      </c>
      <c r="N538" s="19" t="b">
        <v>1</v>
      </c>
      <c r="O538" s="19" t="b">
        <v>0</v>
      </c>
      <c r="P538" s="19" t="b">
        <v>0</v>
      </c>
    </row>
    <row r="539" spans="1:16" x14ac:dyDescent="0.2">
      <c r="A539" s="18">
        <v>5632190</v>
      </c>
      <c r="B539" s="18" t="s">
        <v>1585</v>
      </c>
      <c r="C539" s="18" t="s">
        <v>32</v>
      </c>
      <c r="D539" s="18" t="s">
        <v>122</v>
      </c>
      <c r="E539" s="19">
        <v>44623</v>
      </c>
      <c r="F539" s="18" t="s">
        <v>1586</v>
      </c>
      <c r="G539" s="19">
        <v>44625</v>
      </c>
      <c r="H539" s="19">
        <v>44648</v>
      </c>
      <c r="I539" s="18" t="s">
        <v>28</v>
      </c>
      <c r="J539" s="19" t="b">
        <v>1</v>
      </c>
      <c r="K539" s="19" t="b">
        <v>0</v>
      </c>
      <c r="L539" s="19" t="b">
        <v>0</v>
      </c>
      <c r="M539" s="19" t="b">
        <v>0</v>
      </c>
      <c r="N539" s="19" t="b">
        <v>0</v>
      </c>
      <c r="O539" s="19" t="b">
        <v>0</v>
      </c>
      <c r="P539" s="19" t="b">
        <v>1</v>
      </c>
    </row>
    <row r="540" spans="1:16" x14ac:dyDescent="0.2">
      <c r="A540" s="18">
        <v>5632190</v>
      </c>
      <c r="B540" s="18" t="s">
        <v>1587</v>
      </c>
      <c r="C540" s="18" t="s">
        <v>32</v>
      </c>
      <c r="D540" s="18" t="s">
        <v>122</v>
      </c>
      <c r="E540" s="19">
        <v>44800</v>
      </c>
      <c r="F540" s="18" t="s">
        <v>1588</v>
      </c>
      <c r="G540" s="19">
        <v>44811</v>
      </c>
      <c r="H540" s="19">
        <v>44847</v>
      </c>
      <c r="I540" s="18" t="s">
        <v>16</v>
      </c>
      <c r="J540" s="19" t="b">
        <v>1</v>
      </c>
      <c r="K540" s="19" t="b">
        <v>0</v>
      </c>
      <c r="L540" s="19" t="b">
        <v>0</v>
      </c>
      <c r="M540" s="19" t="b">
        <v>0</v>
      </c>
      <c r="N540" s="19" t="b">
        <v>1</v>
      </c>
      <c r="O540" s="19" t="b">
        <v>0</v>
      </c>
      <c r="P540" s="19" t="b">
        <v>0</v>
      </c>
    </row>
    <row r="541" spans="1:16" x14ac:dyDescent="0.2">
      <c r="A541" s="18">
        <v>1662507</v>
      </c>
      <c r="B541" s="18" t="s">
        <v>1593</v>
      </c>
      <c r="C541" s="18" t="s">
        <v>363</v>
      </c>
      <c r="D541" s="18" t="s">
        <v>77</v>
      </c>
      <c r="E541" s="19">
        <v>44720</v>
      </c>
      <c r="F541" s="18" t="s">
        <v>1594</v>
      </c>
      <c r="G541" s="19">
        <v>44735</v>
      </c>
      <c r="H541" s="19">
        <v>44754</v>
      </c>
      <c r="I541" s="18" t="s">
        <v>43</v>
      </c>
      <c r="J541" s="19" t="b">
        <v>1</v>
      </c>
      <c r="K541" s="19" t="b">
        <v>0</v>
      </c>
      <c r="L541" s="19" t="b">
        <v>0</v>
      </c>
      <c r="M541" s="19" t="b">
        <v>0</v>
      </c>
      <c r="N541" s="19" t="b">
        <v>0</v>
      </c>
      <c r="O541" s="19" t="b">
        <v>1</v>
      </c>
      <c r="P541" s="19" t="b">
        <v>0</v>
      </c>
    </row>
    <row r="542" spans="1:16" x14ac:dyDescent="0.2">
      <c r="A542" s="18">
        <v>1662507</v>
      </c>
      <c r="B542" s="18" t="s">
        <v>1595</v>
      </c>
      <c r="C542" s="18" t="s">
        <v>363</v>
      </c>
      <c r="D542" s="18" t="s">
        <v>77</v>
      </c>
      <c r="E542" s="19">
        <v>45080</v>
      </c>
      <c r="F542" s="18" t="s">
        <v>1596</v>
      </c>
      <c r="G542" s="19">
        <v>45093</v>
      </c>
      <c r="H542" s="19">
        <v>45140</v>
      </c>
      <c r="I542" s="18" t="s">
        <v>28</v>
      </c>
      <c r="J542" s="19" t="b">
        <v>1</v>
      </c>
      <c r="K542" s="19" t="b">
        <v>0</v>
      </c>
      <c r="L542" s="19" t="b">
        <v>0</v>
      </c>
      <c r="M542" s="19" t="b">
        <v>0</v>
      </c>
      <c r="N542" s="19" t="b">
        <v>0</v>
      </c>
      <c r="O542" s="19" t="b">
        <v>0</v>
      </c>
      <c r="P542" s="19" t="b">
        <v>1</v>
      </c>
    </row>
    <row r="543" spans="1:16" x14ac:dyDescent="0.2">
      <c r="A543" s="18">
        <v>5006173</v>
      </c>
      <c r="B543" s="18" t="s">
        <v>1599</v>
      </c>
      <c r="C543" s="18" t="s">
        <v>720</v>
      </c>
      <c r="D543" s="18" t="s">
        <v>122</v>
      </c>
      <c r="E543" s="19">
        <v>45071</v>
      </c>
      <c r="F543" s="18" t="s">
        <v>1600</v>
      </c>
      <c r="G543" s="19">
        <v>45096</v>
      </c>
      <c r="H543" s="19">
        <v>45132</v>
      </c>
      <c r="I543" s="18" t="s">
        <v>43</v>
      </c>
      <c r="J543" s="19" t="b">
        <v>1</v>
      </c>
      <c r="K543" s="19" t="b">
        <v>0</v>
      </c>
      <c r="L543" s="19" t="b">
        <v>0</v>
      </c>
      <c r="M543" s="19" t="b">
        <v>0</v>
      </c>
      <c r="N543" s="19" t="b">
        <v>0</v>
      </c>
      <c r="O543" s="19" t="b">
        <v>1</v>
      </c>
      <c r="P543" s="19" t="b">
        <v>0</v>
      </c>
    </row>
    <row r="544" spans="1:16" x14ac:dyDescent="0.2">
      <c r="A544" s="18">
        <v>5006173</v>
      </c>
      <c r="B544" s="18" t="s">
        <v>1603</v>
      </c>
      <c r="C544" s="18" t="s">
        <v>720</v>
      </c>
      <c r="D544" s="18" t="s">
        <v>122</v>
      </c>
      <c r="E544" s="19">
        <v>44630</v>
      </c>
      <c r="F544" s="18" t="s">
        <v>1573</v>
      </c>
      <c r="G544" s="19">
        <v>44632</v>
      </c>
      <c r="H544" s="19">
        <v>44686</v>
      </c>
      <c r="I544" s="18" t="s">
        <v>16</v>
      </c>
      <c r="J544" s="19" t="b">
        <v>1</v>
      </c>
      <c r="K544" s="19" t="b">
        <v>0</v>
      </c>
      <c r="L544" s="19" t="b">
        <v>0</v>
      </c>
      <c r="M544" s="19" t="b">
        <v>0</v>
      </c>
      <c r="N544" s="19" t="b">
        <v>1</v>
      </c>
      <c r="O544" s="19" t="b">
        <v>0</v>
      </c>
      <c r="P544" s="19" t="b">
        <v>0</v>
      </c>
    </row>
    <row r="545" spans="1:16" x14ac:dyDescent="0.2">
      <c r="A545" s="18">
        <v>5006173</v>
      </c>
      <c r="B545" s="18" t="s">
        <v>1604</v>
      </c>
      <c r="C545" s="18" t="s">
        <v>720</v>
      </c>
      <c r="D545" s="18" t="s">
        <v>122</v>
      </c>
      <c r="E545" s="19">
        <v>44768</v>
      </c>
      <c r="F545" s="18" t="s">
        <v>1605</v>
      </c>
      <c r="G545" s="19">
        <v>44772</v>
      </c>
      <c r="H545" s="19">
        <v>44804</v>
      </c>
      <c r="I545" s="18" t="s">
        <v>43</v>
      </c>
      <c r="J545" s="19" t="b">
        <v>1</v>
      </c>
      <c r="K545" s="19" t="b">
        <v>0</v>
      </c>
      <c r="L545" s="19" t="b">
        <v>0</v>
      </c>
      <c r="M545" s="19" t="b">
        <v>0</v>
      </c>
      <c r="N545" s="19" t="b">
        <v>0</v>
      </c>
      <c r="O545" s="19" t="b">
        <v>1</v>
      </c>
      <c r="P545" s="19" t="b">
        <v>0</v>
      </c>
    </row>
    <row r="546" spans="1:16" x14ac:dyDescent="0.2">
      <c r="A546" s="18">
        <v>9219319</v>
      </c>
      <c r="B546" s="18" t="s">
        <v>1609</v>
      </c>
      <c r="C546" s="18" t="s">
        <v>80</v>
      </c>
      <c r="D546" s="18" t="s">
        <v>81</v>
      </c>
      <c r="E546" s="19">
        <v>44643</v>
      </c>
      <c r="F546" s="18" t="s">
        <v>1137</v>
      </c>
      <c r="G546" s="19">
        <v>44658</v>
      </c>
      <c r="H546" s="19">
        <v>44710</v>
      </c>
      <c r="I546" s="18" t="s">
        <v>43</v>
      </c>
      <c r="J546" s="19" t="b">
        <v>1</v>
      </c>
      <c r="K546" s="19" t="b">
        <v>0</v>
      </c>
      <c r="L546" s="19" t="b">
        <v>0</v>
      </c>
      <c r="M546" s="19" t="b">
        <v>0</v>
      </c>
      <c r="N546" s="19" t="b">
        <v>0</v>
      </c>
      <c r="O546" s="19" t="b">
        <v>1</v>
      </c>
      <c r="P546" s="19" t="b">
        <v>0</v>
      </c>
    </row>
    <row r="547" spans="1:16" x14ac:dyDescent="0.2">
      <c r="A547" s="18">
        <v>9219319</v>
      </c>
      <c r="B547" s="18" t="s">
        <v>1610</v>
      </c>
      <c r="C547" s="18" t="s">
        <v>80</v>
      </c>
      <c r="D547" s="18" t="s">
        <v>81</v>
      </c>
      <c r="E547" s="19">
        <v>44987</v>
      </c>
      <c r="F547" s="18" t="s">
        <v>1611</v>
      </c>
      <c r="G547" s="19">
        <v>45014</v>
      </c>
      <c r="H547" s="19">
        <v>45038</v>
      </c>
      <c r="I547" s="18" t="s">
        <v>28</v>
      </c>
      <c r="J547" s="19" t="b">
        <v>1</v>
      </c>
      <c r="K547" s="19" t="b">
        <v>0</v>
      </c>
      <c r="L547" s="19" t="b">
        <v>0</v>
      </c>
      <c r="M547" s="19" t="b">
        <v>0</v>
      </c>
      <c r="N547" s="19" t="b">
        <v>0</v>
      </c>
      <c r="O547" s="19" t="b">
        <v>0</v>
      </c>
      <c r="P547" s="19" t="b">
        <v>1</v>
      </c>
    </row>
    <row r="548" spans="1:16" x14ac:dyDescent="0.2">
      <c r="A548" s="18">
        <v>9219319</v>
      </c>
      <c r="B548" s="18" t="s">
        <v>1612</v>
      </c>
      <c r="C548" s="18" t="s">
        <v>80</v>
      </c>
      <c r="D548" s="18" t="s">
        <v>81</v>
      </c>
      <c r="E548" s="19">
        <v>44834</v>
      </c>
      <c r="F548" s="18" t="s">
        <v>658</v>
      </c>
      <c r="G548" s="19">
        <v>44851</v>
      </c>
      <c r="H548" s="19">
        <v>44854</v>
      </c>
      <c r="I548" s="18" t="s">
        <v>16</v>
      </c>
      <c r="J548" s="19" t="b">
        <v>1</v>
      </c>
      <c r="K548" s="19" t="b">
        <v>0</v>
      </c>
      <c r="L548" s="19" t="b">
        <v>0</v>
      </c>
      <c r="M548" s="19" t="b">
        <v>0</v>
      </c>
      <c r="N548" s="19" t="b">
        <v>1</v>
      </c>
      <c r="O548" s="19" t="b">
        <v>0</v>
      </c>
      <c r="P548" s="19" t="b">
        <v>0</v>
      </c>
    </row>
    <row r="549" spans="1:16" x14ac:dyDescent="0.2">
      <c r="A549" s="18">
        <v>9219319</v>
      </c>
      <c r="B549" s="18" t="s">
        <v>1613</v>
      </c>
      <c r="C549" s="18" t="s">
        <v>80</v>
      </c>
      <c r="D549" s="18" t="s">
        <v>81</v>
      </c>
      <c r="E549" s="19">
        <v>45093</v>
      </c>
      <c r="F549" s="18" t="s">
        <v>1614</v>
      </c>
      <c r="G549" s="19">
        <v>45097</v>
      </c>
      <c r="H549" s="19">
        <v>45104</v>
      </c>
      <c r="I549" s="18" t="s">
        <v>28</v>
      </c>
      <c r="J549" s="19" t="b">
        <v>1</v>
      </c>
      <c r="K549" s="19" t="b">
        <v>0</v>
      </c>
      <c r="L549" s="19" t="b">
        <v>0</v>
      </c>
      <c r="M549" s="19" t="b">
        <v>0</v>
      </c>
      <c r="N549" s="19" t="b">
        <v>0</v>
      </c>
      <c r="O549" s="19" t="b">
        <v>0</v>
      </c>
      <c r="P549" s="19" t="b">
        <v>1</v>
      </c>
    </row>
    <row r="550" spans="1:16" x14ac:dyDescent="0.2">
      <c r="A550" s="18">
        <v>4875838</v>
      </c>
      <c r="B550" s="18" t="s">
        <v>1617</v>
      </c>
      <c r="C550" s="18" t="s">
        <v>18</v>
      </c>
      <c r="D550" s="18" t="s">
        <v>60</v>
      </c>
      <c r="E550" s="19">
        <v>44928</v>
      </c>
      <c r="F550" s="18" t="s">
        <v>12</v>
      </c>
      <c r="G550" s="19">
        <v>44950</v>
      </c>
      <c r="H550" s="19">
        <v>44980</v>
      </c>
      <c r="I550" s="18"/>
      <c r="J550" s="19" t="b">
        <v>1</v>
      </c>
      <c r="K550" s="19" t="b">
        <v>0</v>
      </c>
      <c r="L550" s="19" t="b">
        <v>0</v>
      </c>
      <c r="M550" s="19" t="b">
        <v>0</v>
      </c>
      <c r="N550" s="19" t="b">
        <v>0</v>
      </c>
      <c r="O550" s="19" t="b">
        <v>0</v>
      </c>
      <c r="P550" s="19" t="b">
        <v>0</v>
      </c>
    </row>
    <row r="551" spans="1:16" x14ac:dyDescent="0.2">
      <c r="A551" s="18">
        <v>8165129</v>
      </c>
      <c r="B551" s="18" t="s">
        <v>1618</v>
      </c>
      <c r="C551" s="18" t="s">
        <v>131</v>
      </c>
      <c r="D551" s="18" t="s">
        <v>122</v>
      </c>
      <c r="E551" s="19">
        <v>44723</v>
      </c>
      <c r="F551" s="18" t="s">
        <v>1619</v>
      </c>
      <c r="G551" s="19">
        <v>44741</v>
      </c>
      <c r="H551" s="19">
        <v>44780</v>
      </c>
      <c r="I551" s="18"/>
      <c r="J551" s="19" t="b">
        <v>1</v>
      </c>
      <c r="K551" s="19" t="b">
        <v>0</v>
      </c>
      <c r="L551" s="19" t="b">
        <v>0</v>
      </c>
      <c r="M551" s="19" t="b">
        <v>0</v>
      </c>
      <c r="N551" s="19" t="b">
        <v>0</v>
      </c>
      <c r="O551" s="19" t="b">
        <v>0</v>
      </c>
      <c r="P551" s="19" t="b">
        <v>0</v>
      </c>
    </row>
    <row r="552" spans="1:16" x14ac:dyDescent="0.2">
      <c r="A552" s="18">
        <v>8165129</v>
      </c>
      <c r="B552" s="18" t="s">
        <v>1620</v>
      </c>
      <c r="C552" s="18" t="s">
        <v>131</v>
      </c>
      <c r="D552" s="18" t="s">
        <v>122</v>
      </c>
      <c r="E552" s="19">
        <v>44894</v>
      </c>
      <c r="F552" s="18" t="s">
        <v>1621</v>
      </c>
      <c r="G552" s="19">
        <v>44922</v>
      </c>
      <c r="H552" s="19">
        <v>44946</v>
      </c>
      <c r="I552" s="18" t="s">
        <v>28</v>
      </c>
      <c r="J552" s="19" t="b">
        <v>1</v>
      </c>
      <c r="K552" s="19" t="b">
        <v>0</v>
      </c>
      <c r="L552" s="19" t="b">
        <v>0</v>
      </c>
      <c r="M552" s="19" t="b">
        <v>0</v>
      </c>
      <c r="N552" s="19" t="b">
        <v>0</v>
      </c>
      <c r="O552" s="19" t="b">
        <v>0</v>
      </c>
      <c r="P552" s="19" t="b">
        <v>1</v>
      </c>
    </row>
    <row r="553" spans="1:16" x14ac:dyDescent="0.2">
      <c r="A553" s="18">
        <v>7917972</v>
      </c>
      <c r="B553" s="18" t="s">
        <v>1622</v>
      </c>
      <c r="C553" s="18" t="s">
        <v>35</v>
      </c>
      <c r="D553" s="18" t="s">
        <v>60</v>
      </c>
      <c r="E553" s="19">
        <v>44822</v>
      </c>
      <c r="F553" s="18" t="s">
        <v>1623</v>
      </c>
      <c r="G553" s="19">
        <v>44834</v>
      </c>
      <c r="H553" s="19">
        <v>44863</v>
      </c>
      <c r="I553" s="18" t="s">
        <v>43</v>
      </c>
      <c r="J553" s="19" t="b">
        <v>1</v>
      </c>
      <c r="K553" s="19" t="b">
        <v>0</v>
      </c>
      <c r="L553" s="19" t="b">
        <v>0</v>
      </c>
      <c r="M553" s="19" t="b">
        <v>0</v>
      </c>
      <c r="N553" s="19" t="b">
        <v>0</v>
      </c>
      <c r="O553" s="19" t="b">
        <v>1</v>
      </c>
      <c r="P553" s="19" t="b">
        <v>0</v>
      </c>
    </row>
    <row r="554" spans="1:16" x14ac:dyDescent="0.2">
      <c r="A554" s="18">
        <v>7917972</v>
      </c>
      <c r="B554" s="18" t="s">
        <v>1624</v>
      </c>
      <c r="C554" s="18" t="s">
        <v>35</v>
      </c>
      <c r="D554" s="18" t="s">
        <v>60</v>
      </c>
      <c r="E554" s="19">
        <v>44597</v>
      </c>
      <c r="F554" s="18" t="s">
        <v>1625</v>
      </c>
      <c r="G554" s="19">
        <v>44607</v>
      </c>
      <c r="H554" s="19">
        <v>44646</v>
      </c>
      <c r="I554" s="18"/>
      <c r="J554" s="19" t="b">
        <v>1</v>
      </c>
      <c r="K554" s="19" t="b">
        <v>0</v>
      </c>
      <c r="L554" s="19" t="b">
        <v>0</v>
      </c>
      <c r="M554" s="19" t="b">
        <v>0</v>
      </c>
      <c r="N554" s="19" t="b">
        <v>0</v>
      </c>
      <c r="O554" s="19" t="b">
        <v>0</v>
      </c>
      <c r="P554" s="19" t="b">
        <v>0</v>
      </c>
    </row>
    <row r="555" spans="1:16" x14ac:dyDescent="0.2">
      <c r="A555" s="18">
        <v>6038767</v>
      </c>
      <c r="B555" s="18" t="s">
        <v>1630</v>
      </c>
      <c r="C555" s="18" t="s">
        <v>93</v>
      </c>
      <c r="D555" s="18" t="s">
        <v>19</v>
      </c>
      <c r="E555" s="19">
        <v>45085</v>
      </c>
      <c r="F555" s="18" t="s">
        <v>1631</v>
      </c>
      <c r="G555" s="19">
        <v>45103</v>
      </c>
      <c r="H555" s="19">
        <v>45140</v>
      </c>
      <c r="I555" s="18" t="s">
        <v>28</v>
      </c>
      <c r="J555" s="19" t="b">
        <v>1</v>
      </c>
      <c r="K555" s="19" t="b">
        <v>0</v>
      </c>
      <c r="L555" s="19" t="b">
        <v>0</v>
      </c>
      <c r="M555" s="19" t="b">
        <v>0</v>
      </c>
      <c r="N555" s="19" t="b">
        <v>0</v>
      </c>
      <c r="O555" s="19" t="b">
        <v>0</v>
      </c>
      <c r="P555" s="19" t="b">
        <v>1</v>
      </c>
    </row>
    <row r="556" spans="1:16" x14ac:dyDescent="0.2">
      <c r="A556" s="18">
        <v>6038767</v>
      </c>
      <c r="B556" s="18" t="s">
        <v>1632</v>
      </c>
      <c r="C556" s="18" t="s">
        <v>93</v>
      </c>
      <c r="D556" s="18" t="s">
        <v>19</v>
      </c>
      <c r="E556" s="19">
        <v>45033</v>
      </c>
      <c r="F556" s="18" t="s">
        <v>1633</v>
      </c>
      <c r="G556" s="19">
        <v>45045</v>
      </c>
      <c r="H556" s="19">
        <v>45055</v>
      </c>
      <c r="I556" s="18" t="s">
        <v>43</v>
      </c>
      <c r="J556" s="19" t="b">
        <v>1</v>
      </c>
      <c r="K556" s="19" t="b">
        <v>0</v>
      </c>
      <c r="L556" s="19" t="b">
        <v>0</v>
      </c>
      <c r="M556" s="19" t="b">
        <v>0</v>
      </c>
      <c r="N556" s="19" t="b">
        <v>0</v>
      </c>
      <c r="O556" s="19" t="b">
        <v>1</v>
      </c>
      <c r="P556" s="19" t="b">
        <v>0</v>
      </c>
    </row>
    <row r="557" spans="1:16" x14ac:dyDescent="0.2">
      <c r="A557" s="18">
        <v>2599943</v>
      </c>
      <c r="B557" s="18" t="s">
        <v>1639</v>
      </c>
      <c r="C557" s="18" t="s">
        <v>121</v>
      </c>
      <c r="D557" s="18" t="s">
        <v>11</v>
      </c>
      <c r="E557" s="19">
        <v>44619</v>
      </c>
      <c r="F557" s="18" t="s">
        <v>831</v>
      </c>
      <c r="G557" s="19">
        <v>44649</v>
      </c>
      <c r="H557" s="19">
        <v>44699</v>
      </c>
      <c r="I557" s="18"/>
      <c r="J557" s="19" t="b">
        <v>1</v>
      </c>
      <c r="K557" s="19" t="b">
        <v>0</v>
      </c>
      <c r="L557" s="19" t="b">
        <v>0</v>
      </c>
      <c r="M557" s="19" t="b">
        <v>0</v>
      </c>
      <c r="N557" s="19" t="b">
        <v>0</v>
      </c>
      <c r="O557" s="19" t="b">
        <v>0</v>
      </c>
      <c r="P557" s="19" t="b">
        <v>0</v>
      </c>
    </row>
    <row r="558" spans="1:16" x14ac:dyDescent="0.2">
      <c r="A558" s="18">
        <v>6610127</v>
      </c>
      <c r="B558" s="18" t="s">
        <v>1640</v>
      </c>
      <c r="C558" s="18" t="s">
        <v>542</v>
      </c>
      <c r="D558" s="18" t="s">
        <v>60</v>
      </c>
      <c r="E558" s="19">
        <v>44794</v>
      </c>
      <c r="F558" s="18" t="s">
        <v>1319</v>
      </c>
      <c r="G558" s="19">
        <v>44818</v>
      </c>
      <c r="H558" s="19">
        <v>44860</v>
      </c>
      <c r="I558" s="18" t="s">
        <v>16</v>
      </c>
      <c r="J558" s="19" t="b">
        <v>1</v>
      </c>
      <c r="K558" s="19" t="b">
        <v>0</v>
      </c>
      <c r="L558" s="19" t="b">
        <v>0</v>
      </c>
      <c r="M558" s="19" t="b">
        <v>0</v>
      </c>
      <c r="N558" s="19" t="b">
        <v>1</v>
      </c>
      <c r="O558" s="19" t="b">
        <v>0</v>
      </c>
      <c r="P558" s="19" t="b">
        <v>0</v>
      </c>
    </row>
    <row r="559" spans="1:16" x14ac:dyDescent="0.2">
      <c r="A559" s="18">
        <v>6610127</v>
      </c>
      <c r="B559" s="18" t="s">
        <v>1641</v>
      </c>
      <c r="C559" s="18" t="s">
        <v>542</v>
      </c>
      <c r="D559" s="18" t="s">
        <v>60</v>
      </c>
      <c r="E559" s="19">
        <v>44953</v>
      </c>
      <c r="F559" s="18" t="s">
        <v>1642</v>
      </c>
      <c r="G559" s="19">
        <v>44955</v>
      </c>
      <c r="H559" s="19">
        <v>44975</v>
      </c>
      <c r="I559" s="18" t="s">
        <v>16</v>
      </c>
      <c r="J559" s="19" t="b">
        <v>1</v>
      </c>
      <c r="K559" s="19" t="b">
        <v>0</v>
      </c>
      <c r="L559" s="19" t="b">
        <v>0</v>
      </c>
      <c r="M559" s="19" t="b">
        <v>0</v>
      </c>
      <c r="N559" s="19" t="b">
        <v>1</v>
      </c>
      <c r="O559" s="19" t="b">
        <v>0</v>
      </c>
      <c r="P559" s="19" t="b">
        <v>0</v>
      </c>
    </row>
    <row r="560" spans="1:16" x14ac:dyDescent="0.2">
      <c r="A560" s="18">
        <v>6610127</v>
      </c>
      <c r="B560" s="18" t="s">
        <v>1643</v>
      </c>
      <c r="C560" s="18" t="s">
        <v>542</v>
      </c>
      <c r="D560" s="18" t="s">
        <v>60</v>
      </c>
      <c r="E560" s="19">
        <v>44715</v>
      </c>
      <c r="F560" s="18" t="s">
        <v>1644</v>
      </c>
      <c r="G560" s="19">
        <v>44726</v>
      </c>
      <c r="H560" s="19">
        <v>44759</v>
      </c>
      <c r="I560" s="18" t="s">
        <v>28</v>
      </c>
      <c r="J560" s="19" t="b">
        <v>1</v>
      </c>
      <c r="K560" s="19" t="b">
        <v>0</v>
      </c>
      <c r="L560" s="19" t="b">
        <v>0</v>
      </c>
      <c r="M560" s="19" t="b">
        <v>0</v>
      </c>
      <c r="N560" s="19" t="b">
        <v>0</v>
      </c>
      <c r="O560" s="19" t="b">
        <v>0</v>
      </c>
      <c r="P560" s="19" t="b">
        <v>1</v>
      </c>
    </row>
    <row r="561" spans="1:16" x14ac:dyDescent="0.2">
      <c r="A561" s="18">
        <v>6610127</v>
      </c>
      <c r="B561" s="18" t="s">
        <v>1645</v>
      </c>
      <c r="C561" s="18" t="s">
        <v>542</v>
      </c>
      <c r="D561" s="18" t="s">
        <v>60</v>
      </c>
      <c r="E561" s="19">
        <v>44964</v>
      </c>
      <c r="F561" s="18" t="s">
        <v>1646</v>
      </c>
      <c r="G561" s="19">
        <v>44979</v>
      </c>
      <c r="H561" s="19">
        <v>45028</v>
      </c>
      <c r="I561" s="18" t="s">
        <v>43</v>
      </c>
      <c r="J561" s="19" t="b">
        <v>1</v>
      </c>
      <c r="K561" s="19" t="b">
        <v>0</v>
      </c>
      <c r="L561" s="19" t="b">
        <v>0</v>
      </c>
      <c r="M561" s="19" t="b">
        <v>0</v>
      </c>
      <c r="N561" s="19" t="b">
        <v>0</v>
      </c>
      <c r="O561" s="19" t="b">
        <v>1</v>
      </c>
      <c r="P561" s="19" t="b">
        <v>0</v>
      </c>
    </row>
    <row r="562" spans="1:16" x14ac:dyDescent="0.2">
      <c r="A562" s="18">
        <v>9467953</v>
      </c>
      <c r="B562" s="18" t="s">
        <v>1650</v>
      </c>
      <c r="C562" s="18" t="s">
        <v>76</v>
      </c>
      <c r="D562" s="18" t="s">
        <v>19</v>
      </c>
      <c r="E562" s="19">
        <v>44830</v>
      </c>
      <c r="F562" s="18" t="s">
        <v>1651</v>
      </c>
      <c r="G562" s="19">
        <v>44833</v>
      </c>
      <c r="H562" s="19">
        <v>44859</v>
      </c>
      <c r="I562" s="18" t="s">
        <v>16</v>
      </c>
      <c r="J562" s="19" t="b">
        <v>1</v>
      </c>
      <c r="K562" s="19" t="b">
        <v>0</v>
      </c>
      <c r="L562" s="19" t="b">
        <v>0</v>
      </c>
      <c r="M562" s="19" t="b">
        <v>0</v>
      </c>
      <c r="N562" s="19" t="b">
        <v>1</v>
      </c>
      <c r="O562" s="19" t="b">
        <v>0</v>
      </c>
      <c r="P562" s="19" t="b">
        <v>0</v>
      </c>
    </row>
    <row r="563" spans="1:16" x14ac:dyDescent="0.2">
      <c r="A563" s="18">
        <v>9467953</v>
      </c>
      <c r="B563" s="18" t="s">
        <v>1652</v>
      </c>
      <c r="C563" s="18" t="s">
        <v>76</v>
      </c>
      <c r="D563" s="18" t="s">
        <v>19</v>
      </c>
      <c r="E563" s="19">
        <v>45054</v>
      </c>
      <c r="F563" s="18" t="s">
        <v>1653</v>
      </c>
      <c r="G563" s="19">
        <v>45072</v>
      </c>
      <c r="H563" s="19">
        <v>45085</v>
      </c>
      <c r="I563" s="18" t="s">
        <v>43</v>
      </c>
      <c r="J563" s="19" t="b">
        <v>1</v>
      </c>
      <c r="K563" s="19" t="b">
        <v>0</v>
      </c>
      <c r="L563" s="19" t="b">
        <v>0</v>
      </c>
      <c r="M563" s="19" t="b">
        <v>0</v>
      </c>
      <c r="N563" s="19" t="b">
        <v>0</v>
      </c>
      <c r="O563" s="19" t="b">
        <v>1</v>
      </c>
      <c r="P563" s="19" t="b">
        <v>0</v>
      </c>
    </row>
    <row r="564" spans="1:16" x14ac:dyDescent="0.2">
      <c r="A564" s="18">
        <v>7271672</v>
      </c>
      <c r="B564" s="18" t="s">
        <v>1661</v>
      </c>
      <c r="C564" s="18" t="s">
        <v>71</v>
      </c>
      <c r="D564" s="18" t="s">
        <v>122</v>
      </c>
      <c r="E564" s="19">
        <v>44713</v>
      </c>
      <c r="F564" s="18" t="s">
        <v>1662</v>
      </c>
      <c r="G564" s="19">
        <v>44741</v>
      </c>
      <c r="H564" s="19">
        <v>44795</v>
      </c>
      <c r="I564" s="18" t="s">
        <v>43</v>
      </c>
      <c r="J564" s="19" t="b">
        <v>1</v>
      </c>
      <c r="K564" s="19" t="b">
        <v>0</v>
      </c>
      <c r="L564" s="19" t="b">
        <v>0</v>
      </c>
      <c r="M564" s="19" t="b">
        <v>0</v>
      </c>
      <c r="N564" s="19" t="b">
        <v>0</v>
      </c>
      <c r="O564" s="19" t="b">
        <v>1</v>
      </c>
      <c r="P564" s="19" t="b">
        <v>0</v>
      </c>
    </row>
    <row r="565" spans="1:16" x14ac:dyDescent="0.2">
      <c r="A565" s="18">
        <v>4554677</v>
      </c>
      <c r="B565" s="18" t="s">
        <v>1665</v>
      </c>
      <c r="C565" s="18" t="s">
        <v>454</v>
      </c>
      <c r="D565" s="18" t="s">
        <v>139</v>
      </c>
      <c r="E565" s="19">
        <v>44706</v>
      </c>
      <c r="F565" s="18" t="s">
        <v>1666</v>
      </c>
      <c r="G565" s="19">
        <v>44729</v>
      </c>
      <c r="H565" s="19">
        <v>44774</v>
      </c>
      <c r="I565" s="18"/>
      <c r="J565" s="19" t="b">
        <v>1</v>
      </c>
      <c r="K565" s="19" t="b">
        <v>0</v>
      </c>
      <c r="L565" s="19" t="b">
        <v>0</v>
      </c>
      <c r="M565" s="19" t="b">
        <v>0</v>
      </c>
      <c r="N565" s="19" t="b">
        <v>0</v>
      </c>
      <c r="O565" s="19" t="b">
        <v>0</v>
      </c>
      <c r="P565" s="19" t="b">
        <v>0</v>
      </c>
    </row>
    <row r="566" spans="1:16" x14ac:dyDescent="0.2">
      <c r="A566" s="18">
        <v>4554677</v>
      </c>
      <c r="B566" s="18" t="s">
        <v>1667</v>
      </c>
      <c r="C566" s="18" t="s">
        <v>454</v>
      </c>
      <c r="D566" s="18" t="s">
        <v>139</v>
      </c>
      <c r="E566" s="19">
        <v>45101</v>
      </c>
      <c r="F566" s="18" t="s">
        <v>1668</v>
      </c>
      <c r="G566" s="19">
        <v>45103</v>
      </c>
      <c r="H566" s="19">
        <v>45120</v>
      </c>
      <c r="I566" s="18"/>
      <c r="J566" s="19" t="b">
        <v>1</v>
      </c>
      <c r="K566" s="19" t="b">
        <v>0</v>
      </c>
      <c r="L566" s="19" t="b">
        <v>0</v>
      </c>
      <c r="M566" s="19" t="b">
        <v>0</v>
      </c>
      <c r="N566" s="19" t="b">
        <v>0</v>
      </c>
      <c r="O566" s="19" t="b">
        <v>0</v>
      </c>
      <c r="P566" s="19" t="b">
        <v>0</v>
      </c>
    </row>
    <row r="567" spans="1:16" x14ac:dyDescent="0.2">
      <c r="A567" s="18">
        <v>4554677</v>
      </c>
      <c r="B567" s="18" t="s">
        <v>1671</v>
      </c>
      <c r="C567" s="18" t="s">
        <v>454</v>
      </c>
      <c r="D567" s="18" t="s">
        <v>139</v>
      </c>
      <c r="E567" s="19">
        <v>44839</v>
      </c>
      <c r="F567" s="18" t="s">
        <v>1672</v>
      </c>
      <c r="G567" s="19">
        <v>44861</v>
      </c>
      <c r="H567" s="19">
        <v>44916</v>
      </c>
      <c r="I567" s="18" t="s">
        <v>16</v>
      </c>
      <c r="J567" s="19" t="b">
        <v>1</v>
      </c>
      <c r="K567" s="19" t="b">
        <v>0</v>
      </c>
      <c r="L567" s="19" t="b">
        <v>0</v>
      </c>
      <c r="M567" s="19" t="b">
        <v>0</v>
      </c>
      <c r="N567" s="19" t="b">
        <v>1</v>
      </c>
      <c r="O567" s="19" t="b">
        <v>0</v>
      </c>
      <c r="P567" s="19" t="b">
        <v>0</v>
      </c>
    </row>
    <row r="568" spans="1:16" x14ac:dyDescent="0.2">
      <c r="A568" s="18">
        <v>4554677</v>
      </c>
      <c r="B568" s="18" t="s">
        <v>1673</v>
      </c>
      <c r="C568" s="18" t="s">
        <v>454</v>
      </c>
      <c r="D568" s="18" t="s">
        <v>139</v>
      </c>
      <c r="E568" s="19">
        <v>44581</v>
      </c>
      <c r="F568" s="18" t="s">
        <v>1674</v>
      </c>
      <c r="G568" s="19">
        <v>44591</v>
      </c>
      <c r="H568" s="19">
        <v>44647</v>
      </c>
      <c r="I568" s="18" t="s">
        <v>28</v>
      </c>
      <c r="J568" s="19" t="b">
        <v>1</v>
      </c>
      <c r="K568" s="19" t="b">
        <v>0</v>
      </c>
      <c r="L568" s="19" t="b">
        <v>0</v>
      </c>
      <c r="M568" s="19" t="b">
        <v>0</v>
      </c>
      <c r="N568" s="19" t="b">
        <v>0</v>
      </c>
      <c r="O568" s="19" t="b">
        <v>0</v>
      </c>
      <c r="P568" s="19" t="b">
        <v>1</v>
      </c>
    </row>
    <row r="569" spans="1:16" x14ac:dyDescent="0.2">
      <c r="A569" s="18">
        <v>7484783</v>
      </c>
      <c r="B569" s="18" t="s">
        <v>1675</v>
      </c>
      <c r="C569" s="18" t="s">
        <v>93</v>
      </c>
      <c r="D569" s="18" t="s">
        <v>60</v>
      </c>
      <c r="E569" s="19">
        <v>45058</v>
      </c>
      <c r="F569" s="18" t="s">
        <v>1621</v>
      </c>
      <c r="G569" s="19">
        <v>45086</v>
      </c>
      <c r="H569" s="19">
        <v>45125</v>
      </c>
      <c r="I569" s="18" t="s">
        <v>16</v>
      </c>
      <c r="J569" s="19" t="b">
        <v>1</v>
      </c>
      <c r="K569" s="19" t="b">
        <v>0</v>
      </c>
      <c r="L569" s="19" t="b">
        <v>0</v>
      </c>
      <c r="M569" s="19" t="b">
        <v>0</v>
      </c>
      <c r="N569" s="19" t="b">
        <v>1</v>
      </c>
      <c r="O569" s="19" t="b">
        <v>0</v>
      </c>
      <c r="P569" s="19" t="b">
        <v>0</v>
      </c>
    </row>
    <row r="570" spans="1:16" x14ac:dyDescent="0.2">
      <c r="A570" s="18">
        <v>7484783</v>
      </c>
      <c r="B570" s="18" t="s">
        <v>1676</v>
      </c>
      <c r="C570" s="18" t="s">
        <v>93</v>
      </c>
      <c r="D570" s="18" t="s">
        <v>60</v>
      </c>
      <c r="E570" s="19">
        <v>45030</v>
      </c>
      <c r="F570" s="18" t="s">
        <v>1677</v>
      </c>
      <c r="G570" s="19">
        <v>45048</v>
      </c>
      <c r="H570" s="19">
        <v>45108</v>
      </c>
      <c r="I570" s="18" t="s">
        <v>43</v>
      </c>
      <c r="J570" s="19" t="b">
        <v>1</v>
      </c>
      <c r="K570" s="19" t="b">
        <v>0</v>
      </c>
      <c r="L570" s="19" t="b">
        <v>0</v>
      </c>
      <c r="M570" s="19" t="b">
        <v>0</v>
      </c>
      <c r="N570" s="19" t="b">
        <v>0</v>
      </c>
      <c r="O570" s="19" t="b">
        <v>1</v>
      </c>
      <c r="P570" s="19" t="b">
        <v>0</v>
      </c>
    </row>
    <row r="571" spans="1:16" x14ac:dyDescent="0.2">
      <c r="A571" s="18">
        <v>7484783</v>
      </c>
      <c r="B571" s="18" t="s">
        <v>1678</v>
      </c>
      <c r="C571" s="18" t="s">
        <v>93</v>
      </c>
      <c r="D571" s="18" t="s">
        <v>60</v>
      </c>
      <c r="E571" s="19">
        <v>44874</v>
      </c>
      <c r="F571" s="18" t="s">
        <v>359</v>
      </c>
      <c r="G571" s="19">
        <v>44885</v>
      </c>
      <c r="H571" s="19">
        <v>44917</v>
      </c>
      <c r="I571" s="18" t="s">
        <v>16</v>
      </c>
      <c r="J571" s="19" t="b">
        <v>1</v>
      </c>
      <c r="K571" s="19" t="b">
        <v>0</v>
      </c>
      <c r="L571" s="19" t="b">
        <v>0</v>
      </c>
      <c r="M571" s="19" t="b">
        <v>0</v>
      </c>
      <c r="N571" s="19" t="b">
        <v>1</v>
      </c>
      <c r="O571" s="19" t="b">
        <v>0</v>
      </c>
      <c r="P571" s="19" t="b">
        <v>0</v>
      </c>
    </row>
    <row r="572" spans="1:16" x14ac:dyDescent="0.2">
      <c r="A572" s="18">
        <v>7484783</v>
      </c>
      <c r="B572" s="18" t="s">
        <v>1679</v>
      </c>
      <c r="C572" s="18" t="s">
        <v>93</v>
      </c>
      <c r="D572" s="18" t="s">
        <v>60</v>
      </c>
      <c r="E572" s="19">
        <v>44922</v>
      </c>
      <c r="F572" s="18" t="s">
        <v>1680</v>
      </c>
      <c r="G572" s="19">
        <v>44934</v>
      </c>
      <c r="H572" s="19">
        <v>44975</v>
      </c>
      <c r="I572" s="18" t="s">
        <v>43</v>
      </c>
      <c r="J572" s="19" t="b">
        <v>1</v>
      </c>
      <c r="K572" s="19" t="b">
        <v>0</v>
      </c>
      <c r="L572" s="19" t="b">
        <v>0</v>
      </c>
      <c r="M572" s="19" t="b">
        <v>0</v>
      </c>
      <c r="N572" s="19" t="b">
        <v>0</v>
      </c>
      <c r="O572" s="19" t="b">
        <v>1</v>
      </c>
      <c r="P572" s="19" t="b">
        <v>0</v>
      </c>
    </row>
    <row r="573" spans="1:16" x14ac:dyDescent="0.2">
      <c r="A573" s="18">
        <v>7484783</v>
      </c>
      <c r="B573" s="18" t="s">
        <v>1681</v>
      </c>
      <c r="C573" s="18" t="s">
        <v>93</v>
      </c>
      <c r="D573" s="18" t="s">
        <v>60</v>
      </c>
      <c r="E573" s="19">
        <v>44825</v>
      </c>
      <c r="F573" s="18" t="s">
        <v>1682</v>
      </c>
      <c r="G573" s="19">
        <v>44854</v>
      </c>
      <c r="H573" s="19">
        <v>44879</v>
      </c>
      <c r="I573" s="18" t="s">
        <v>28</v>
      </c>
      <c r="J573" s="19" t="b">
        <v>1</v>
      </c>
      <c r="K573" s="19" t="b">
        <v>0</v>
      </c>
      <c r="L573" s="19" t="b">
        <v>0</v>
      </c>
      <c r="M573" s="19" t="b">
        <v>0</v>
      </c>
      <c r="N573" s="19" t="b">
        <v>0</v>
      </c>
      <c r="O573" s="19" t="b">
        <v>0</v>
      </c>
      <c r="P573" s="19" t="b">
        <v>1</v>
      </c>
    </row>
    <row r="574" spans="1:16" x14ac:dyDescent="0.2">
      <c r="A574" s="18">
        <v>1494355</v>
      </c>
      <c r="B574" s="18" t="s">
        <v>1685</v>
      </c>
      <c r="C574" s="18" t="s">
        <v>18</v>
      </c>
      <c r="D574" s="18" t="s">
        <v>11</v>
      </c>
      <c r="E574" s="19">
        <v>44718</v>
      </c>
      <c r="F574" s="18" t="s">
        <v>1686</v>
      </c>
      <c r="G574" s="19">
        <v>44732</v>
      </c>
      <c r="H574" s="19">
        <v>44752</v>
      </c>
      <c r="I574" s="18" t="s">
        <v>43</v>
      </c>
      <c r="J574" s="19" t="b">
        <v>1</v>
      </c>
      <c r="K574" s="19" t="b">
        <v>0</v>
      </c>
      <c r="L574" s="19" t="b">
        <v>0</v>
      </c>
      <c r="M574" s="19" t="b">
        <v>0</v>
      </c>
      <c r="N574" s="19" t="b">
        <v>0</v>
      </c>
      <c r="O574" s="19" t="b">
        <v>1</v>
      </c>
      <c r="P574" s="19" t="b">
        <v>0</v>
      </c>
    </row>
    <row r="575" spans="1:16" x14ac:dyDescent="0.2">
      <c r="A575" s="18">
        <v>3269160</v>
      </c>
      <c r="B575" s="18" t="s">
        <v>1691</v>
      </c>
      <c r="C575" s="18" t="s">
        <v>315</v>
      </c>
      <c r="D575" s="18" t="s">
        <v>187</v>
      </c>
      <c r="E575" s="19">
        <v>45107</v>
      </c>
      <c r="F575" s="18" t="s">
        <v>1099</v>
      </c>
      <c r="G575" s="19">
        <v>45131</v>
      </c>
      <c r="H575" s="19">
        <v>45139</v>
      </c>
      <c r="I575" s="18" t="s">
        <v>28</v>
      </c>
      <c r="J575" s="19" t="b">
        <v>1</v>
      </c>
      <c r="K575" s="19" t="b">
        <v>0</v>
      </c>
      <c r="L575" s="19" t="b">
        <v>0</v>
      </c>
      <c r="M575" s="19" t="b">
        <v>0</v>
      </c>
      <c r="N575" s="19" t="b">
        <v>0</v>
      </c>
      <c r="O575" s="19" t="b">
        <v>0</v>
      </c>
      <c r="P575" s="19" t="b">
        <v>1</v>
      </c>
    </row>
    <row r="576" spans="1:16" x14ac:dyDescent="0.2">
      <c r="A576" s="18">
        <v>3269160</v>
      </c>
      <c r="B576" s="18" t="s">
        <v>1696</v>
      </c>
      <c r="C576" s="18" t="s">
        <v>315</v>
      </c>
      <c r="D576" s="18" t="s">
        <v>187</v>
      </c>
      <c r="E576" s="19">
        <v>44754</v>
      </c>
      <c r="F576" s="18" t="s">
        <v>1697</v>
      </c>
      <c r="G576" s="19">
        <v>44758</v>
      </c>
      <c r="H576" s="19">
        <v>44767</v>
      </c>
      <c r="I576" s="18" t="s">
        <v>28</v>
      </c>
      <c r="J576" s="19" t="b">
        <v>1</v>
      </c>
      <c r="K576" s="19" t="b">
        <v>0</v>
      </c>
      <c r="L576" s="19" t="b">
        <v>0</v>
      </c>
      <c r="M576" s="19" t="b">
        <v>0</v>
      </c>
      <c r="N576" s="19" t="b">
        <v>0</v>
      </c>
      <c r="O576" s="19" t="b">
        <v>0</v>
      </c>
      <c r="P576" s="19" t="b">
        <v>1</v>
      </c>
    </row>
    <row r="577" spans="1:16" x14ac:dyDescent="0.2">
      <c r="A577" s="18">
        <v>4874049</v>
      </c>
      <c r="B577" s="18" t="s">
        <v>1700</v>
      </c>
      <c r="C577" s="18" t="s">
        <v>121</v>
      </c>
      <c r="D577" s="18" t="s">
        <v>19</v>
      </c>
      <c r="E577" s="19">
        <v>45050</v>
      </c>
      <c r="F577" s="18" t="s">
        <v>1701</v>
      </c>
      <c r="G577" s="19">
        <v>45055</v>
      </c>
      <c r="H577" s="19">
        <v>45088</v>
      </c>
      <c r="I577" s="18" t="s">
        <v>28</v>
      </c>
      <c r="J577" s="19" t="b">
        <v>1</v>
      </c>
      <c r="K577" s="19" t="b">
        <v>0</v>
      </c>
      <c r="L577" s="19" t="b">
        <v>0</v>
      </c>
      <c r="M577" s="19" t="b">
        <v>0</v>
      </c>
      <c r="N577" s="19" t="b">
        <v>0</v>
      </c>
      <c r="O577" s="19" t="b">
        <v>0</v>
      </c>
      <c r="P577" s="19" t="b">
        <v>1</v>
      </c>
    </row>
    <row r="578" spans="1:16" x14ac:dyDescent="0.2">
      <c r="A578" s="18">
        <v>4874049</v>
      </c>
      <c r="B578" s="18" t="s">
        <v>1702</v>
      </c>
      <c r="C578" s="18" t="s">
        <v>121</v>
      </c>
      <c r="D578" s="18" t="s">
        <v>19</v>
      </c>
      <c r="E578" s="19">
        <v>44944</v>
      </c>
      <c r="F578" s="18" t="s">
        <v>1703</v>
      </c>
      <c r="G578" s="19">
        <v>44950</v>
      </c>
      <c r="H578" s="19">
        <v>45005</v>
      </c>
      <c r="I578" s="18"/>
      <c r="J578" s="19" t="b">
        <v>1</v>
      </c>
      <c r="K578" s="19" t="b">
        <v>0</v>
      </c>
      <c r="L578" s="19" t="b">
        <v>0</v>
      </c>
      <c r="M578" s="19" t="b">
        <v>0</v>
      </c>
      <c r="N578" s="19" t="b">
        <v>0</v>
      </c>
      <c r="O578" s="19" t="b">
        <v>0</v>
      </c>
      <c r="P578" s="19" t="b">
        <v>0</v>
      </c>
    </row>
    <row r="579" spans="1:16" x14ac:dyDescent="0.2">
      <c r="A579" s="18">
        <v>7500504</v>
      </c>
      <c r="B579" s="18" t="s">
        <v>1706</v>
      </c>
      <c r="C579" s="18" t="s">
        <v>363</v>
      </c>
      <c r="D579" s="18" t="s">
        <v>77</v>
      </c>
      <c r="E579" s="19">
        <v>44789</v>
      </c>
      <c r="F579" s="18" t="s">
        <v>1707</v>
      </c>
      <c r="G579" s="19">
        <v>44813</v>
      </c>
      <c r="H579" s="19">
        <v>44856</v>
      </c>
      <c r="I579" s="18" t="s">
        <v>28</v>
      </c>
      <c r="J579" s="19" t="b">
        <v>1</v>
      </c>
      <c r="K579" s="19" t="b">
        <v>0</v>
      </c>
      <c r="L579" s="19" t="b">
        <v>0</v>
      </c>
      <c r="M579" s="19" t="b">
        <v>0</v>
      </c>
      <c r="N579" s="19" t="b">
        <v>0</v>
      </c>
      <c r="O579" s="19" t="b">
        <v>0</v>
      </c>
      <c r="P579" s="19" t="b">
        <v>1</v>
      </c>
    </row>
    <row r="580" spans="1:16" x14ac:dyDescent="0.2">
      <c r="A580" s="18">
        <v>6450844</v>
      </c>
      <c r="B580" s="18" t="s">
        <v>1709</v>
      </c>
      <c r="C580" s="18" t="s">
        <v>90</v>
      </c>
      <c r="D580" s="18" t="s">
        <v>77</v>
      </c>
      <c r="E580" s="19">
        <v>44951</v>
      </c>
      <c r="F580" s="18" t="s">
        <v>241</v>
      </c>
      <c r="G580" s="19">
        <v>44975</v>
      </c>
      <c r="H580" s="19">
        <v>44996</v>
      </c>
      <c r="I580" s="18" t="s">
        <v>16</v>
      </c>
      <c r="J580" s="19" t="b">
        <v>1</v>
      </c>
      <c r="K580" s="19" t="b">
        <v>0</v>
      </c>
      <c r="L580" s="19" t="b">
        <v>0</v>
      </c>
      <c r="M580" s="19" t="b">
        <v>0</v>
      </c>
      <c r="N580" s="19" t="b">
        <v>1</v>
      </c>
      <c r="O580" s="19" t="b">
        <v>0</v>
      </c>
      <c r="P580" s="19" t="b">
        <v>0</v>
      </c>
    </row>
    <row r="581" spans="1:16" x14ac:dyDescent="0.2">
      <c r="A581" s="18">
        <v>6450844</v>
      </c>
      <c r="B581" s="18" t="s">
        <v>1710</v>
      </c>
      <c r="C581" s="18" t="s">
        <v>90</v>
      </c>
      <c r="D581" s="18" t="s">
        <v>77</v>
      </c>
      <c r="E581" s="19">
        <v>45024</v>
      </c>
      <c r="F581" s="18" t="s">
        <v>1306</v>
      </c>
      <c r="G581" s="19">
        <v>45039</v>
      </c>
      <c r="H581" s="19">
        <v>45092</v>
      </c>
      <c r="I581" s="18" t="s">
        <v>16</v>
      </c>
      <c r="J581" s="19" t="b">
        <v>1</v>
      </c>
      <c r="K581" s="19" t="b">
        <v>0</v>
      </c>
      <c r="L581" s="19" t="b">
        <v>0</v>
      </c>
      <c r="M581" s="19" t="b">
        <v>0</v>
      </c>
      <c r="N581" s="19" t="b">
        <v>1</v>
      </c>
      <c r="O581" s="19" t="b">
        <v>0</v>
      </c>
      <c r="P581" s="19" t="b">
        <v>0</v>
      </c>
    </row>
    <row r="582" spans="1:16" x14ac:dyDescent="0.2">
      <c r="A582" s="18">
        <v>1711620</v>
      </c>
      <c r="B582" s="18" t="s">
        <v>1711</v>
      </c>
      <c r="C582" s="18" t="s">
        <v>131</v>
      </c>
      <c r="D582" s="18" t="s">
        <v>19</v>
      </c>
      <c r="E582" s="19">
        <v>45090</v>
      </c>
      <c r="F582" s="18" t="s">
        <v>1712</v>
      </c>
      <c r="G582" s="19">
        <v>45115</v>
      </c>
      <c r="H582" s="19">
        <v>45156</v>
      </c>
      <c r="I582" s="18" t="s">
        <v>16</v>
      </c>
      <c r="J582" s="19" t="b">
        <v>1</v>
      </c>
      <c r="K582" s="19" t="b">
        <v>0</v>
      </c>
      <c r="L582" s="19" t="b">
        <v>0</v>
      </c>
      <c r="M582" s="19" t="b">
        <v>0</v>
      </c>
      <c r="N582" s="19" t="b">
        <v>1</v>
      </c>
      <c r="O582" s="19" t="b">
        <v>0</v>
      </c>
      <c r="P582" s="19" t="b">
        <v>0</v>
      </c>
    </row>
    <row r="583" spans="1:16" x14ac:dyDescent="0.2">
      <c r="A583" s="18">
        <v>1711620</v>
      </c>
      <c r="B583" s="18" t="s">
        <v>1713</v>
      </c>
      <c r="C583" s="18" t="s">
        <v>131</v>
      </c>
      <c r="D583" s="18" t="s">
        <v>19</v>
      </c>
      <c r="E583" s="19">
        <v>44969</v>
      </c>
      <c r="F583" s="18" t="s">
        <v>324</v>
      </c>
      <c r="G583" s="19">
        <v>44998</v>
      </c>
      <c r="H583" s="19">
        <v>45018</v>
      </c>
      <c r="I583" s="18" t="s">
        <v>43</v>
      </c>
      <c r="J583" s="19" t="b">
        <v>1</v>
      </c>
      <c r="K583" s="19" t="b">
        <v>0</v>
      </c>
      <c r="L583" s="19" t="b">
        <v>0</v>
      </c>
      <c r="M583" s="19" t="b">
        <v>0</v>
      </c>
      <c r="N583" s="19" t="b">
        <v>0</v>
      </c>
      <c r="O583" s="19" t="b">
        <v>1</v>
      </c>
      <c r="P583" s="19" t="b">
        <v>0</v>
      </c>
    </row>
    <row r="584" spans="1:16" x14ac:dyDescent="0.2">
      <c r="A584" s="18">
        <v>1711620</v>
      </c>
      <c r="B584" s="18" t="s">
        <v>1714</v>
      </c>
      <c r="C584" s="18" t="s">
        <v>131</v>
      </c>
      <c r="D584" s="18" t="s">
        <v>19</v>
      </c>
      <c r="E584" s="19">
        <v>44994</v>
      </c>
      <c r="F584" s="18" t="s">
        <v>792</v>
      </c>
      <c r="G584" s="19">
        <v>45004</v>
      </c>
      <c r="H584" s="19">
        <v>45044</v>
      </c>
      <c r="I584" s="18" t="s">
        <v>28</v>
      </c>
      <c r="J584" s="19" t="b">
        <v>1</v>
      </c>
      <c r="K584" s="19" t="b">
        <v>0</v>
      </c>
      <c r="L584" s="19" t="b">
        <v>0</v>
      </c>
      <c r="M584" s="19" t="b">
        <v>0</v>
      </c>
      <c r="N584" s="19" t="b">
        <v>0</v>
      </c>
      <c r="O584" s="19" t="b">
        <v>0</v>
      </c>
      <c r="P584" s="19" t="b">
        <v>1</v>
      </c>
    </row>
    <row r="585" spans="1:16" x14ac:dyDescent="0.2">
      <c r="A585" s="18">
        <v>1711620</v>
      </c>
      <c r="B585" s="18" t="s">
        <v>1715</v>
      </c>
      <c r="C585" s="18" t="s">
        <v>131</v>
      </c>
      <c r="D585" s="18" t="s">
        <v>19</v>
      </c>
      <c r="E585" s="19">
        <v>45024</v>
      </c>
      <c r="F585" s="18" t="s">
        <v>1716</v>
      </c>
      <c r="G585" s="19">
        <v>45027</v>
      </c>
      <c r="H585" s="19">
        <v>45074</v>
      </c>
      <c r="I585" s="18" t="s">
        <v>43</v>
      </c>
      <c r="J585" s="19" t="b">
        <v>1</v>
      </c>
      <c r="K585" s="19" t="b">
        <v>0</v>
      </c>
      <c r="L585" s="19" t="b">
        <v>0</v>
      </c>
      <c r="M585" s="19" t="b">
        <v>0</v>
      </c>
      <c r="N585" s="19" t="b">
        <v>0</v>
      </c>
      <c r="O585" s="19" t="b">
        <v>1</v>
      </c>
      <c r="P585" s="19" t="b">
        <v>0</v>
      </c>
    </row>
    <row r="586" spans="1:16" x14ac:dyDescent="0.2">
      <c r="A586" s="18">
        <v>1711620</v>
      </c>
      <c r="B586" s="18" t="s">
        <v>1717</v>
      </c>
      <c r="C586" s="18" t="s">
        <v>131</v>
      </c>
      <c r="D586" s="18" t="s">
        <v>19</v>
      </c>
      <c r="E586" s="19">
        <v>44700</v>
      </c>
      <c r="F586" s="18" t="s">
        <v>1022</v>
      </c>
      <c r="G586" s="19">
        <v>44713</v>
      </c>
      <c r="H586" s="19">
        <v>44740</v>
      </c>
      <c r="I586" s="18" t="s">
        <v>43</v>
      </c>
      <c r="J586" s="19" t="b">
        <v>1</v>
      </c>
      <c r="K586" s="19" t="b">
        <v>0</v>
      </c>
      <c r="L586" s="19" t="b">
        <v>0</v>
      </c>
      <c r="M586" s="19" t="b">
        <v>0</v>
      </c>
      <c r="N586" s="19" t="b">
        <v>0</v>
      </c>
      <c r="O586" s="19" t="b">
        <v>1</v>
      </c>
      <c r="P586" s="19" t="b">
        <v>0</v>
      </c>
    </row>
    <row r="587" spans="1:16" x14ac:dyDescent="0.2">
      <c r="A587" s="18">
        <v>6426773</v>
      </c>
      <c r="B587" s="18" t="s">
        <v>1718</v>
      </c>
      <c r="C587" s="18" t="s">
        <v>287</v>
      </c>
      <c r="D587" s="18" t="s">
        <v>56</v>
      </c>
      <c r="E587" s="19">
        <v>44654</v>
      </c>
      <c r="F587" s="18" t="s">
        <v>1719</v>
      </c>
      <c r="G587" s="19">
        <v>44663</v>
      </c>
      <c r="H587" s="19">
        <v>44684</v>
      </c>
      <c r="I587" s="18" t="s">
        <v>43</v>
      </c>
      <c r="J587" s="19" t="b">
        <v>1</v>
      </c>
      <c r="K587" s="19" t="b">
        <v>0</v>
      </c>
      <c r="L587" s="19" t="b">
        <v>0</v>
      </c>
      <c r="M587" s="19" t="b">
        <v>0</v>
      </c>
      <c r="N587" s="19" t="b">
        <v>0</v>
      </c>
      <c r="O587" s="19" t="b">
        <v>1</v>
      </c>
      <c r="P587" s="19" t="b">
        <v>0</v>
      </c>
    </row>
    <row r="588" spans="1:16" x14ac:dyDescent="0.2">
      <c r="A588" s="18">
        <v>6426773</v>
      </c>
      <c r="B588" s="18" t="s">
        <v>1720</v>
      </c>
      <c r="C588" s="18" t="s">
        <v>287</v>
      </c>
      <c r="D588" s="18" t="s">
        <v>56</v>
      </c>
      <c r="E588" s="19">
        <v>44688</v>
      </c>
      <c r="F588" s="18" t="s">
        <v>1721</v>
      </c>
      <c r="G588" s="19">
        <v>44691</v>
      </c>
      <c r="H588" s="19">
        <v>44699</v>
      </c>
      <c r="I588" s="18" t="s">
        <v>43</v>
      </c>
      <c r="J588" s="19" t="b">
        <v>1</v>
      </c>
      <c r="K588" s="19" t="b">
        <v>0</v>
      </c>
      <c r="L588" s="19" t="b">
        <v>0</v>
      </c>
      <c r="M588" s="19" t="b">
        <v>0</v>
      </c>
      <c r="N588" s="19" t="b">
        <v>0</v>
      </c>
      <c r="O588" s="19" t="b">
        <v>1</v>
      </c>
      <c r="P588" s="19" t="b">
        <v>0</v>
      </c>
    </row>
    <row r="589" spans="1:16" x14ac:dyDescent="0.2">
      <c r="A589" s="18">
        <v>8539654</v>
      </c>
      <c r="B589" s="18" t="s">
        <v>1722</v>
      </c>
      <c r="C589" s="18" t="s">
        <v>265</v>
      </c>
      <c r="D589" s="18" t="s">
        <v>39</v>
      </c>
      <c r="E589" s="19">
        <v>45085</v>
      </c>
      <c r="F589" s="18" t="s">
        <v>174</v>
      </c>
      <c r="G589" s="19">
        <v>45105</v>
      </c>
      <c r="H589" s="19">
        <v>45116</v>
      </c>
      <c r="I589" s="18"/>
      <c r="J589" s="19" t="b">
        <v>1</v>
      </c>
      <c r="K589" s="19" t="b">
        <v>0</v>
      </c>
      <c r="L589" s="19" t="b">
        <v>0</v>
      </c>
      <c r="M589" s="19" t="b">
        <v>0</v>
      </c>
      <c r="N589" s="19" t="b">
        <v>0</v>
      </c>
      <c r="O589" s="19" t="b">
        <v>0</v>
      </c>
      <c r="P589" s="19" t="b">
        <v>0</v>
      </c>
    </row>
    <row r="590" spans="1:16" x14ac:dyDescent="0.2">
      <c r="A590" s="18">
        <v>7353173</v>
      </c>
      <c r="B590" s="18" t="s">
        <v>1723</v>
      </c>
      <c r="C590" s="18" t="s">
        <v>18</v>
      </c>
      <c r="D590" s="18" t="s">
        <v>60</v>
      </c>
      <c r="E590" s="19">
        <v>44715</v>
      </c>
      <c r="F590" s="18" t="s">
        <v>1724</v>
      </c>
      <c r="G590" s="19">
        <v>44721</v>
      </c>
      <c r="H590" s="19">
        <v>44777</v>
      </c>
      <c r="I590" s="18" t="s">
        <v>28</v>
      </c>
      <c r="J590" s="19" t="b">
        <v>1</v>
      </c>
      <c r="K590" s="19" t="b">
        <v>0</v>
      </c>
      <c r="L590" s="19" t="b">
        <v>0</v>
      </c>
      <c r="M590" s="19" t="b">
        <v>0</v>
      </c>
      <c r="N590" s="19" t="b">
        <v>0</v>
      </c>
      <c r="O590" s="19" t="b">
        <v>0</v>
      </c>
      <c r="P590" s="19" t="b">
        <v>1</v>
      </c>
    </row>
    <row r="591" spans="1:16" x14ac:dyDescent="0.2">
      <c r="A591" s="18">
        <v>3426109</v>
      </c>
      <c r="B591" s="18" t="s">
        <v>1727</v>
      </c>
      <c r="C591" s="18" t="s">
        <v>38</v>
      </c>
      <c r="D591" s="18" t="s">
        <v>56</v>
      </c>
      <c r="E591" s="19">
        <v>44769</v>
      </c>
      <c r="F591" s="18" t="s">
        <v>1728</v>
      </c>
      <c r="G591" s="19">
        <v>44770</v>
      </c>
      <c r="H591" s="19">
        <v>44810</v>
      </c>
      <c r="I591" s="18" t="s">
        <v>16</v>
      </c>
      <c r="J591" s="19" t="b">
        <v>1</v>
      </c>
      <c r="K591" s="19" t="b">
        <v>0</v>
      </c>
      <c r="L591" s="19" t="b">
        <v>0</v>
      </c>
      <c r="M591" s="19" t="b">
        <v>0</v>
      </c>
      <c r="N591" s="19" t="b">
        <v>1</v>
      </c>
      <c r="O591" s="19" t="b">
        <v>0</v>
      </c>
      <c r="P591" s="19" t="b">
        <v>0</v>
      </c>
    </row>
    <row r="592" spans="1:16" x14ac:dyDescent="0.2">
      <c r="A592" s="18">
        <v>3426109</v>
      </c>
      <c r="B592" s="18" t="s">
        <v>1729</v>
      </c>
      <c r="C592" s="18" t="s">
        <v>38</v>
      </c>
      <c r="D592" s="18" t="s">
        <v>56</v>
      </c>
      <c r="E592" s="19">
        <v>45072</v>
      </c>
      <c r="F592" s="18" t="s">
        <v>1730</v>
      </c>
      <c r="G592" s="19">
        <v>45090</v>
      </c>
      <c r="H592" s="19">
        <v>45142</v>
      </c>
      <c r="I592" s="18" t="s">
        <v>16</v>
      </c>
      <c r="J592" s="19" t="b">
        <v>1</v>
      </c>
      <c r="K592" s="19" t="b">
        <v>0</v>
      </c>
      <c r="L592" s="19" t="b">
        <v>0</v>
      </c>
      <c r="M592" s="19" t="b">
        <v>0</v>
      </c>
      <c r="N592" s="19" t="b">
        <v>1</v>
      </c>
      <c r="O592" s="19" t="b">
        <v>0</v>
      </c>
      <c r="P592" s="19" t="b">
        <v>0</v>
      </c>
    </row>
    <row r="593" spans="1:16" x14ac:dyDescent="0.2">
      <c r="A593" s="18">
        <v>8981122</v>
      </c>
      <c r="B593" s="18" t="s">
        <v>1735</v>
      </c>
      <c r="C593" s="18" t="s">
        <v>287</v>
      </c>
      <c r="D593" s="18" t="s">
        <v>60</v>
      </c>
      <c r="E593" s="19">
        <v>44846</v>
      </c>
      <c r="F593" s="18" t="s">
        <v>1552</v>
      </c>
      <c r="G593" s="19">
        <v>44866</v>
      </c>
      <c r="H593" s="19">
        <v>44907</v>
      </c>
      <c r="I593" s="18" t="s">
        <v>43</v>
      </c>
      <c r="J593" s="19" t="b">
        <v>1</v>
      </c>
      <c r="K593" s="19" t="b">
        <v>0</v>
      </c>
      <c r="L593" s="19" t="b">
        <v>0</v>
      </c>
      <c r="M593" s="19" t="b">
        <v>0</v>
      </c>
      <c r="N593" s="19" t="b">
        <v>0</v>
      </c>
      <c r="O593" s="19" t="b">
        <v>1</v>
      </c>
      <c r="P593" s="19" t="b">
        <v>0</v>
      </c>
    </row>
    <row r="594" spans="1:16" x14ac:dyDescent="0.2">
      <c r="A594" s="18">
        <v>8981122</v>
      </c>
      <c r="B594" s="18" t="s">
        <v>1736</v>
      </c>
      <c r="C594" s="18" t="s">
        <v>287</v>
      </c>
      <c r="D594" s="18" t="s">
        <v>60</v>
      </c>
      <c r="E594" s="19">
        <v>44713</v>
      </c>
      <c r="F594" s="18" t="s">
        <v>1737</v>
      </c>
      <c r="G594" s="19">
        <v>44715</v>
      </c>
      <c r="H594" s="19">
        <v>44757</v>
      </c>
      <c r="I594" s="18" t="s">
        <v>43</v>
      </c>
      <c r="J594" s="19" t="b">
        <v>1</v>
      </c>
      <c r="K594" s="19" t="b">
        <v>0</v>
      </c>
      <c r="L594" s="19" t="b">
        <v>0</v>
      </c>
      <c r="M594" s="19" t="b">
        <v>0</v>
      </c>
      <c r="N594" s="19" t="b">
        <v>0</v>
      </c>
      <c r="O594" s="19" t="b">
        <v>1</v>
      </c>
      <c r="P594" s="19" t="b">
        <v>0</v>
      </c>
    </row>
    <row r="595" spans="1:16" x14ac:dyDescent="0.2">
      <c r="A595" s="18">
        <v>8981122</v>
      </c>
      <c r="B595" s="18" t="s">
        <v>1738</v>
      </c>
      <c r="C595" s="18" t="s">
        <v>287</v>
      </c>
      <c r="D595" s="18" t="s">
        <v>60</v>
      </c>
      <c r="E595" s="19">
        <v>44867</v>
      </c>
      <c r="F595" s="18" t="s">
        <v>1739</v>
      </c>
      <c r="G595" s="19">
        <v>44878</v>
      </c>
      <c r="H595" s="19">
        <v>44937</v>
      </c>
      <c r="I595" s="18" t="s">
        <v>43</v>
      </c>
      <c r="J595" s="19" t="b">
        <v>1</v>
      </c>
      <c r="K595" s="19" t="b">
        <v>0</v>
      </c>
      <c r="L595" s="19" t="b">
        <v>0</v>
      </c>
      <c r="M595" s="19" t="b">
        <v>0</v>
      </c>
      <c r="N595" s="19" t="b">
        <v>0</v>
      </c>
      <c r="O595" s="19" t="b">
        <v>1</v>
      </c>
      <c r="P595" s="19" t="b">
        <v>0</v>
      </c>
    </row>
    <row r="596" spans="1:16" x14ac:dyDescent="0.2">
      <c r="A596" s="18">
        <v>3990511</v>
      </c>
      <c r="B596" s="18" t="s">
        <v>1740</v>
      </c>
      <c r="C596" s="18" t="s">
        <v>38</v>
      </c>
      <c r="D596" s="18" t="s">
        <v>11</v>
      </c>
      <c r="E596" s="19">
        <v>44930</v>
      </c>
      <c r="F596" s="18" t="s">
        <v>1741</v>
      </c>
      <c r="G596" s="19">
        <v>44960</v>
      </c>
      <c r="H596" s="19">
        <v>44963</v>
      </c>
      <c r="I596" s="18" t="s">
        <v>43</v>
      </c>
      <c r="J596" s="19" t="b">
        <v>1</v>
      </c>
      <c r="K596" s="19" t="b">
        <v>0</v>
      </c>
      <c r="L596" s="19" t="b">
        <v>0</v>
      </c>
      <c r="M596" s="19" t="b">
        <v>0</v>
      </c>
      <c r="N596" s="19" t="b">
        <v>0</v>
      </c>
      <c r="O596" s="19" t="b">
        <v>1</v>
      </c>
      <c r="P596" s="19" t="b">
        <v>0</v>
      </c>
    </row>
    <row r="597" spans="1:16" x14ac:dyDescent="0.2">
      <c r="A597" s="18">
        <v>3990511</v>
      </c>
      <c r="B597" s="18" t="s">
        <v>1744</v>
      </c>
      <c r="C597" s="18" t="s">
        <v>38</v>
      </c>
      <c r="D597" s="18" t="s">
        <v>11</v>
      </c>
      <c r="E597" s="19">
        <v>44628</v>
      </c>
      <c r="F597" s="18" t="s">
        <v>1745</v>
      </c>
      <c r="G597" s="19">
        <v>44638</v>
      </c>
      <c r="H597" s="19">
        <v>44669</v>
      </c>
      <c r="I597" s="18" t="s">
        <v>16</v>
      </c>
      <c r="J597" s="19" t="b">
        <v>1</v>
      </c>
      <c r="K597" s="19" t="b">
        <v>0</v>
      </c>
      <c r="L597" s="19" t="b">
        <v>0</v>
      </c>
      <c r="M597" s="19" t="b">
        <v>0</v>
      </c>
      <c r="N597" s="19" t="b">
        <v>1</v>
      </c>
      <c r="O597" s="19" t="b">
        <v>0</v>
      </c>
      <c r="P597" s="19" t="b">
        <v>0</v>
      </c>
    </row>
    <row r="598" spans="1:16" x14ac:dyDescent="0.2">
      <c r="A598" s="18">
        <v>3990511</v>
      </c>
      <c r="B598" s="18" t="s">
        <v>1747</v>
      </c>
      <c r="C598" s="18" t="s">
        <v>38</v>
      </c>
      <c r="D598" s="18" t="s">
        <v>11</v>
      </c>
      <c r="E598" s="19">
        <v>44621</v>
      </c>
      <c r="F598" s="18" t="s">
        <v>678</v>
      </c>
      <c r="G598" s="19">
        <v>44625</v>
      </c>
      <c r="H598" s="19">
        <v>44662</v>
      </c>
      <c r="I598" s="18" t="s">
        <v>43</v>
      </c>
      <c r="J598" s="19" t="b">
        <v>1</v>
      </c>
      <c r="K598" s="19" t="b">
        <v>0</v>
      </c>
      <c r="L598" s="19" t="b">
        <v>0</v>
      </c>
      <c r="M598" s="19" t="b">
        <v>0</v>
      </c>
      <c r="N598" s="19" t="b">
        <v>0</v>
      </c>
      <c r="O598" s="19" t="b">
        <v>1</v>
      </c>
      <c r="P598" s="19" t="b">
        <v>0</v>
      </c>
    </row>
    <row r="599" spans="1:16" x14ac:dyDescent="0.2">
      <c r="A599" s="18">
        <v>9874251</v>
      </c>
      <c r="B599" s="18" t="s">
        <v>1748</v>
      </c>
      <c r="C599" s="18" t="s">
        <v>76</v>
      </c>
      <c r="D599" s="18" t="s">
        <v>77</v>
      </c>
      <c r="E599" s="19">
        <v>44886</v>
      </c>
      <c r="F599" s="18" t="s">
        <v>1749</v>
      </c>
      <c r="G599" s="19">
        <v>44895</v>
      </c>
      <c r="H599" s="19">
        <v>44929</v>
      </c>
      <c r="I599" s="18" t="s">
        <v>28</v>
      </c>
      <c r="J599" s="19" t="b">
        <v>1</v>
      </c>
      <c r="K599" s="19" t="b">
        <v>0</v>
      </c>
      <c r="L599" s="19" t="b">
        <v>0</v>
      </c>
      <c r="M599" s="19" t="b">
        <v>0</v>
      </c>
      <c r="N599" s="19" t="b">
        <v>0</v>
      </c>
      <c r="O599" s="19" t="b">
        <v>0</v>
      </c>
      <c r="P599" s="19" t="b">
        <v>1</v>
      </c>
    </row>
    <row r="600" spans="1:16" x14ac:dyDescent="0.2">
      <c r="A600" s="18">
        <v>9874251</v>
      </c>
      <c r="B600" s="18" t="s">
        <v>1750</v>
      </c>
      <c r="C600" s="18" t="s">
        <v>76</v>
      </c>
      <c r="D600" s="18" t="s">
        <v>77</v>
      </c>
      <c r="E600" s="19">
        <v>45070</v>
      </c>
      <c r="F600" s="18" t="s">
        <v>1751</v>
      </c>
      <c r="G600" s="19">
        <v>45087</v>
      </c>
      <c r="H600" s="19">
        <v>45134</v>
      </c>
      <c r="I600" s="18" t="s">
        <v>28</v>
      </c>
      <c r="J600" s="19" t="b">
        <v>1</v>
      </c>
      <c r="K600" s="19" t="b">
        <v>0</v>
      </c>
      <c r="L600" s="19" t="b">
        <v>0</v>
      </c>
      <c r="M600" s="19" t="b">
        <v>0</v>
      </c>
      <c r="N600" s="19" t="b">
        <v>0</v>
      </c>
      <c r="O600" s="19" t="b">
        <v>0</v>
      </c>
      <c r="P600" s="19" t="b">
        <v>1</v>
      </c>
    </row>
    <row r="601" spans="1:16" x14ac:dyDescent="0.2">
      <c r="A601" s="18">
        <v>9874251</v>
      </c>
      <c r="B601" s="18" t="s">
        <v>1752</v>
      </c>
      <c r="C601" s="18" t="s">
        <v>76</v>
      </c>
      <c r="D601" s="18" t="s">
        <v>77</v>
      </c>
      <c r="E601" s="19">
        <v>44800</v>
      </c>
      <c r="F601" s="18" t="s">
        <v>1753</v>
      </c>
      <c r="G601" s="19">
        <v>44823</v>
      </c>
      <c r="H601" s="19">
        <v>44842</v>
      </c>
      <c r="I601" s="18"/>
      <c r="J601" s="19" t="b">
        <v>1</v>
      </c>
      <c r="K601" s="19" t="b">
        <v>0</v>
      </c>
      <c r="L601" s="19" t="b">
        <v>0</v>
      </c>
      <c r="M601" s="19" t="b">
        <v>0</v>
      </c>
      <c r="N601" s="19" t="b">
        <v>0</v>
      </c>
      <c r="O601" s="19" t="b">
        <v>0</v>
      </c>
      <c r="P601" s="19" t="b">
        <v>0</v>
      </c>
    </row>
    <row r="602" spans="1:16" x14ac:dyDescent="0.2">
      <c r="A602" s="18">
        <v>9874251</v>
      </c>
      <c r="B602" s="18" t="s">
        <v>1754</v>
      </c>
      <c r="C602" s="18" t="s">
        <v>76</v>
      </c>
      <c r="D602" s="18" t="s">
        <v>77</v>
      </c>
      <c r="E602" s="19">
        <v>45038</v>
      </c>
      <c r="F602" s="18" t="s">
        <v>598</v>
      </c>
      <c r="G602" s="19">
        <v>45059</v>
      </c>
      <c r="H602" s="19">
        <v>45110</v>
      </c>
      <c r="I602" s="18" t="s">
        <v>16</v>
      </c>
      <c r="J602" s="19" t="b">
        <v>1</v>
      </c>
      <c r="K602" s="19" t="b">
        <v>0</v>
      </c>
      <c r="L602" s="19" t="b">
        <v>0</v>
      </c>
      <c r="M602" s="19" t="b">
        <v>0</v>
      </c>
      <c r="N602" s="19" t="b">
        <v>1</v>
      </c>
      <c r="O602" s="19" t="b">
        <v>0</v>
      </c>
      <c r="P602" s="19" t="b">
        <v>0</v>
      </c>
    </row>
    <row r="603" spans="1:16" x14ac:dyDescent="0.2">
      <c r="A603" s="18">
        <v>1763232</v>
      </c>
      <c r="B603" s="18" t="s">
        <v>1757</v>
      </c>
      <c r="C603" s="18" t="s">
        <v>720</v>
      </c>
      <c r="D603" s="18" t="s">
        <v>39</v>
      </c>
      <c r="E603" s="19">
        <v>44768</v>
      </c>
      <c r="F603" s="18" t="s">
        <v>1758</v>
      </c>
      <c r="G603" s="19">
        <v>44791</v>
      </c>
      <c r="H603" s="19">
        <v>44810</v>
      </c>
      <c r="I603" s="18" t="s">
        <v>43</v>
      </c>
      <c r="J603" s="19" t="b">
        <v>1</v>
      </c>
      <c r="K603" s="19" t="b">
        <v>0</v>
      </c>
      <c r="L603" s="19" t="b">
        <v>0</v>
      </c>
      <c r="M603" s="19" t="b">
        <v>0</v>
      </c>
      <c r="N603" s="19" t="b">
        <v>0</v>
      </c>
      <c r="O603" s="19" t="b">
        <v>1</v>
      </c>
      <c r="P603" s="19" t="b">
        <v>0</v>
      </c>
    </row>
    <row r="604" spans="1:16" x14ac:dyDescent="0.2">
      <c r="A604" s="18">
        <v>1763232</v>
      </c>
      <c r="B604" s="18" t="s">
        <v>1761</v>
      </c>
      <c r="C604" s="18" t="s">
        <v>720</v>
      </c>
      <c r="D604" s="18" t="s">
        <v>39</v>
      </c>
      <c r="E604" s="19">
        <v>44903</v>
      </c>
      <c r="F604" s="18" t="s">
        <v>734</v>
      </c>
      <c r="G604" s="19">
        <v>44914</v>
      </c>
      <c r="H604" s="19">
        <v>44940</v>
      </c>
      <c r="I604" s="18" t="s">
        <v>16</v>
      </c>
      <c r="J604" s="19" t="b">
        <v>1</v>
      </c>
      <c r="K604" s="19" t="b">
        <v>0</v>
      </c>
      <c r="L604" s="19" t="b">
        <v>0</v>
      </c>
      <c r="M604" s="19" t="b">
        <v>0</v>
      </c>
      <c r="N604" s="19" t="b">
        <v>1</v>
      </c>
      <c r="O604" s="19" t="b">
        <v>0</v>
      </c>
      <c r="P604" s="19" t="b">
        <v>0</v>
      </c>
    </row>
    <row r="605" spans="1:16" x14ac:dyDescent="0.2">
      <c r="A605" s="18">
        <v>1763232</v>
      </c>
      <c r="B605" s="18" t="s">
        <v>1762</v>
      </c>
      <c r="C605" s="18" t="s">
        <v>720</v>
      </c>
      <c r="D605" s="18" t="s">
        <v>39</v>
      </c>
      <c r="E605" s="19">
        <v>44760</v>
      </c>
      <c r="F605" s="18" t="s">
        <v>1763</v>
      </c>
      <c r="G605" s="19">
        <v>44771</v>
      </c>
      <c r="H605" s="19">
        <v>44825</v>
      </c>
      <c r="I605" s="18" t="s">
        <v>16</v>
      </c>
      <c r="J605" s="19" t="b">
        <v>1</v>
      </c>
      <c r="K605" s="19" t="b">
        <v>0</v>
      </c>
      <c r="L605" s="19" t="b">
        <v>0</v>
      </c>
      <c r="M605" s="19" t="b">
        <v>0</v>
      </c>
      <c r="N605" s="19" t="b">
        <v>1</v>
      </c>
      <c r="O605" s="19" t="b">
        <v>0</v>
      </c>
      <c r="P605" s="19" t="b">
        <v>0</v>
      </c>
    </row>
    <row r="606" spans="1:16" x14ac:dyDescent="0.2">
      <c r="A606" s="18">
        <v>1763232</v>
      </c>
      <c r="B606" s="18" t="s">
        <v>1764</v>
      </c>
      <c r="C606" s="18" t="s">
        <v>720</v>
      </c>
      <c r="D606" s="18" t="s">
        <v>39</v>
      </c>
      <c r="E606" s="19">
        <v>44598</v>
      </c>
      <c r="F606" s="18" t="s">
        <v>1765</v>
      </c>
      <c r="G606" s="19">
        <v>44619</v>
      </c>
      <c r="H606" s="19">
        <v>44628</v>
      </c>
      <c r="I606" s="18"/>
      <c r="J606" s="19" t="b">
        <v>1</v>
      </c>
      <c r="K606" s="19" t="b">
        <v>0</v>
      </c>
      <c r="L606" s="19" t="b">
        <v>0</v>
      </c>
      <c r="M606" s="19" t="b">
        <v>0</v>
      </c>
      <c r="N606" s="19" t="b">
        <v>0</v>
      </c>
      <c r="O606" s="19" t="b">
        <v>0</v>
      </c>
      <c r="P606" s="19" t="b">
        <v>0</v>
      </c>
    </row>
    <row r="607" spans="1:16" x14ac:dyDescent="0.2">
      <c r="A607" s="18">
        <v>9078154</v>
      </c>
      <c r="B607" s="18" t="s">
        <v>1766</v>
      </c>
      <c r="C607" s="18" t="s">
        <v>71</v>
      </c>
      <c r="D607" s="18" t="s">
        <v>77</v>
      </c>
      <c r="E607" s="19">
        <v>44985</v>
      </c>
      <c r="F607" s="18" t="s">
        <v>1767</v>
      </c>
      <c r="G607" s="19">
        <v>45015</v>
      </c>
      <c r="H607" s="19">
        <v>45063</v>
      </c>
      <c r="I607" s="18"/>
      <c r="J607" s="19" t="b">
        <v>1</v>
      </c>
      <c r="K607" s="19" t="b">
        <v>0</v>
      </c>
      <c r="L607" s="19" t="b">
        <v>0</v>
      </c>
      <c r="M607" s="19" t="b">
        <v>0</v>
      </c>
      <c r="N607" s="19" t="b">
        <v>0</v>
      </c>
      <c r="O607" s="19" t="b">
        <v>0</v>
      </c>
      <c r="P607" s="19" t="b">
        <v>0</v>
      </c>
    </row>
    <row r="608" spans="1:16" x14ac:dyDescent="0.2">
      <c r="A608" s="18">
        <v>9078154</v>
      </c>
      <c r="B608" s="18" t="s">
        <v>1769</v>
      </c>
      <c r="C608" s="18" t="s">
        <v>71</v>
      </c>
      <c r="D608" s="18" t="s">
        <v>77</v>
      </c>
      <c r="E608" s="19">
        <v>44901</v>
      </c>
      <c r="F608" s="18" t="s">
        <v>1770</v>
      </c>
      <c r="G608" s="19">
        <v>44927</v>
      </c>
      <c r="H608" s="19">
        <v>44986</v>
      </c>
      <c r="I608" s="18" t="s">
        <v>43</v>
      </c>
      <c r="J608" s="19" t="b">
        <v>1</v>
      </c>
      <c r="K608" s="19" t="b">
        <v>0</v>
      </c>
      <c r="L608" s="19" t="b">
        <v>0</v>
      </c>
      <c r="M608" s="19" t="b">
        <v>0</v>
      </c>
      <c r="N608" s="19" t="b">
        <v>0</v>
      </c>
      <c r="O608" s="19" t="b">
        <v>1</v>
      </c>
      <c r="P608" s="19" t="b">
        <v>0</v>
      </c>
    </row>
    <row r="609" spans="1:16" x14ac:dyDescent="0.2">
      <c r="A609" s="18">
        <v>9078154</v>
      </c>
      <c r="B609" s="18" t="s">
        <v>1771</v>
      </c>
      <c r="C609" s="18" t="s">
        <v>71</v>
      </c>
      <c r="D609" s="18" t="s">
        <v>77</v>
      </c>
      <c r="E609" s="19">
        <v>44849</v>
      </c>
      <c r="F609" s="18" t="s">
        <v>1772</v>
      </c>
      <c r="G609" s="19">
        <v>44876</v>
      </c>
      <c r="H609" s="19">
        <v>44878</v>
      </c>
      <c r="I609" s="18" t="s">
        <v>28</v>
      </c>
      <c r="J609" s="19" t="b">
        <v>1</v>
      </c>
      <c r="K609" s="19" t="b">
        <v>0</v>
      </c>
      <c r="L609" s="19" t="b">
        <v>0</v>
      </c>
      <c r="M609" s="19" t="b">
        <v>0</v>
      </c>
      <c r="N609" s="19" t="b">
        <v>0</v>
      </c>
      <c r="O609" s="19" t="b">
        <v>0</v>
      </c>
      <c r="P609" s="19" t="b">
        <v>1</v>
      </c>
    </row>
    <row r="610" spans="1:16" x14ac:dyDescent="0.2">
      <c r="A610" s="18">
        <v>9078154</v>
      </c>
      <c r="B610" s="18" t="s">
        <v>1773</v>
      </c>
      <c r="C610" s="18" t="s">
        <v>71</v>
      </c>
      <c r="D610" s="18" t="s">
        <v>77</v>
      </c>
      <c r="E610" s="19">
        <v>44731</v>
      </c>
      <c r="F610" s="18" t="s">
        <v>902</v>
      </c>
      <c r="G610" s="19">
        <v>44750</v>
      </c>
      <c r="H610" s="19">
        <v>44789</v>
      </c>
      <c r="I610" s="18"/>
      <c r="J610" s="19" t="b">
        <v>1</v>
      </c>
      <c r="K610" s="19" t="b">
        <v>0</v>
      </c>
      <c r="L610" s="19" t="b">
        <v>0</v>
      </c>
      <c r="M610" s="19" t="b">
        <v>0</v>
      </c>
      <c r="N610" s="19" t="b">
        <v>0</v>
      </c>
      <c r="O610" s="19" t="b">
        <v>0</v>
      </c>
      <c r="P610" s="19" t="b">
        <v>0</v>
      </c>
    </row>
    <row r="611" spans="1:16" x14ac:dyDescent="0.2">
      <c r="A611" s="18">
        <v>7535837</v>
      </c>
      <c r="B611" s="18" t="s">
        <v>1774</v>
      </c>
      <c r="C611" s="18" t="s">
        <v>38</v>
      </c>
      <c r="D611" s="18" t="s">
        <v>81</v>
      </c>
      <c r="E611" s="19">
        <v>44884</v>
      </c>
      <c r="F611" s="18" t="s">
        <v>1775</v>
      </c>
      <c r="G611" s="19">
        <v>44907</v>
      </c>
      <c r="H611" s="19">
        <v>44910</v>
      </c>
      <c r="I611" s="18" t="s">
        <v>28</v>
      </c>
      <c r="J611" s="19" t="b">
        <v>1</v>
      </c>
      <c r="K611" s="19" t="b">
        <v>0</v>
      </c>
      <c r="L611" s="19" t="b">
        <v>0</v>
      </c>
      <c r="M611" s="19" t="b">
        <v>0</v>
      </c>
      <c r="N611" s="19" t="b">
        <v>0</v>
      </c>
      <c r="O611" s="19" t="b">
        <v>0</v>
      </c>
      <c r="P611" s="19" t="b">
        <v>1</v>
      </c>
    </row>
    <row r="612" spans="1:16" x14ac:dyDescent="0.2">
      <c r="A612" s="18">
        <v>5554970</v>
      </c>
      <c r="B612" s="18" t="s">
        <v>1776</v>
      </c>
      <c r="C612" s="18" t="s">
        <v>315</v>
      </c>
      <c r="D612" s="18" t="s">
        <v>122</v>
      </c>
      <c r="E612" s="19">
        <v>44871</v>
      </c>
      <c r="F612" s="18" t="s">
        <v>132</v>
      </c>
      <c r="G612" s="19">
        <v>44878</v>
      </c>
      <c r="H612" s="19">
        <v>44912</v>
      </c>
      <c r="I612" s="18" t="s">
        <v>28</v>
      </c>
      <c r="J612" s="19" t="b">
        <v>1</v>
      </c>
      <c r="K612" s="19" t="b">
        <v>0</v>
      </c>
      <c r="L612" s="19" t="b">
        <v>0</v>
      </c>
      <c r="M612" s="19" t="b">
        <v>0</v>
      </c>
      <c r="N612" s="19" t="b">
        <v>0</v>
      </c>
      <c r="O612" s="19" t="b">
        <v>0</v>
      </c>
      <c r="P612" s="19" t="b">
        <v>1</v>
      </c>
    </row>
    <row r="613" spans="1:16" x14ac:dyDescent="0.2">
      <c r="A613" s="18">
        <v>5554970</v>
      </c>
      <c r="B613" s="18" t="s">
        <v>1777</v>
      </c>
      <c r="C613" s="18" t="s">
        <v>315</v>
      </c>
      <c r="D613" s="18" t="s">
        <v>122</v>
      </c>
      <c r="E613" s="19">
        <v>44600</v>
      </c>
      <c r="F613" s="18" t="s">
        <v>1778</v>
      </c>
      <c r="G613" s="19">
        <v>44625</v>
      </c>
      <c r="H613" s="19">
        <v>44638</v>
      </c>
      <c r="I613" s="18" t="s">
        <v>16</v>
      </c>
      <c r="J613" s="19" t="b">
        <v>1</v>
      </c>
      <c r="K613" s="19" t="b">
        <v>0</v>
      </c>
      <c r="L613" s="19" t="b">
        <v>0</v>
      </c>
      <c r="M613" s="19" t="b">
        <v>0</v>
      </c>
      <c r="N613" s="19" t="b">
        <v>1</v>
      </c>
      <c r="O613" s="19" t="b">
        <v>0</v>
      </c>
      <c r="P613" s="19" t="b">
        <v>0</v>
      </c>
    </row>
    <row r="614" spans="1:16" x14ac:dyDescent="0.2">
      <c r="A614" s="18">
        <v>5554970</v>
      </c>
      <c r="B614" s="18" t="s">
        <v>1779</v>
      </c>
      <c r="C614" s="18" t="s">
        <v>315</v>
      </c>
      <c r="D614" s="18" t="s">
        <v>122</v>
      </c>
      <c r="E614" s="19">
        <v>45056</v>
      </c>
      <c r="F614" s="18" t="s">
        <v>1780</v>
      </c>
      <c r="G614" s="19">
        <v>45085</v>
      </c>
      <c r="H614" s="19">
        <v>45118</v>
      </c>
      <c r="I614" s="18"/>
      <c r="J614" s="19" t="b">
        <v>1</v>
      </c>
      <c r="K614" s="19" t="b">
        <v>0</v>
      </c>
      <c r="L614" s="19" t="b">
        <v>0</v>
      </c>
      <c r="M614" s="19" t="b">
        <v>0</v>
      </c>
      <c r="N614" s="19" t="b">
        <v>0</v>
      </c>
      <c r="O614" s="19" t="b">
        <v>0</v>
      </c>
      <c r="P614" s="19" t="b">
        <v>0</v>
      </c>
    </row>
    <row r="615" spans="1:16" x14ac:dyDescent="0.2">
      <c r="A615" s="18">
        <v>6491819</v>
      </c>
      <c r="B615" s="18" t="s">
        <v>1783</v>
      </c>
      <c r="C615" s="18" t="s">
        <v>71</v>
      </c>
      <c r="D615" s="18" t="s">
        <v>122</v>
      </c>
      <c r="E615" s="19">
        <v>44599</v>
      </c>
      <c r="F615" s="18" t="s">
        <v>1784</v>
      </c>
      <c r="G615" s="19">
        <v>44614</v>
      </c>
      <c r="H615" s="19">
        <v>44639</v>
      </c>
      <c r="I615" s="18" t="s">
        <v>43</v>
      </c>
      <c r="J615" s="19" t="b">
        <v>1</v>
      </c>
      <c r="K615" s="19" t="b">
        <v>0</v>
      </c>
      <c r="L615" s="19" t="b">
        <v>0</v>
      </c>
      <c r="M615" s="19" t="b">
        <v>0</v>
      </c>
      <c r="N615" s="19" t="b">
        <v>0</v>
      </c>
      <c r="O615" s="19" t="b">
        <v>1</v>
      </c>
      <c r="P615" s="19" t="b">
        <v>0</v>
      </c>
    </row>
    <row r="616" spans="1:16" x14ac:dyDescent="0.2">
      <c r="A616" s="18">
        <v>6491819</v>
      </c>
      <c r="B616" s="18" t="s">
        <v>1785</v>
      </c>
      <c r="C616" s="18" t="s">
        <v>71</v>
      </c>
      <c r="D616" s="18" t="s">
        <v>122</v>
      </c>
      <c r="E616" s="19">
        <v>44607</v>
      </c>
      <c r="F616" s="18" t="s">
        <v>1786</v>
      </c>
      <c r="G616" s="19">
        <v>44629</v>
      </c>
      <c r="H616" s="19">
        <v>44684</v>
      </c>
      <c r="I616" s="18" t="s">
        <v>16</v>
      </c>
      <c r="J616" s="19" t="b">
        <v>1</v>
      </c>
      <c r="K616" s="19" t="b">
        <v>0</v>
      </c>
      <c r="L616" s="19" t="b">
        <v>0</v>
      </c>
      <c r="M616" s="19" t="b">
        <v>0</v>
      </c>
      <c r="N616" s="19" t="b">
        <v>1</v>
      </c>
      <c r="O616" s="19" t="b">
        <v>0</v>
      </c>
      <c r="P616" s="19" t="b">
        <v>0</v>
      </c>
    </row>
    <row r="617" spans="1:16" x14ac:dyDescent="0.2">
      <c r="A617" s="18">
        <v>6491819</v>
      </c>
      <c r="B617" s="18" t="s">
        <v>1787</v>
      </c>
      <c r="C617" s="18" t="s">
        <v>71</v>
      </c>
      <c r="D617" s="18" t="s">
        <v>122</v>
      </c>
      <c r="E617" s="19">
        <v>44609</v>
      </c>
      <c r="F617" s="18" t="s">
        <v>1788</v>
      </c>
      <c r="G617" s="19">
        <v>44613</v>
      </c>
      <c r="H617" s="19">
        <v>44647</v>
      </c>
      <c r="I617" s="18" t="s">
        <v>16</v>
      </c>
      <c r="J617" s="19" t="b">
        <v>1</v>
      </c>
      <c r="K617" s="19" t="b">
        <v>0</v>
      </c>
      <c r="L617" s="19" t="b">
        <v>0</v>
      </c>
      <c r="M617" s="19" t="b">
        <v>0</v>
      </c>
      <c r="N617" s="19" t="b">
        <v>1</v>
      </c>
      <c r="O617" s="19" t="b">
        <v>0</v>
      </c>
      <c r="P617" s="19" t="b">
        <v>0</v>
      </c>
    </row>
    <row r="618" spans="1:16" x14ac:dyDescent="0.2">
      <c r="A618" s="18">
        <v>6491819</v>
      </c>
      <c r="B618" s="18" t="s">
        <v>1789</v>
      </c>
      <c r="C618" s="18" t="s">
        <v>71</v>
      </c>
      <c r="D618" s="18" t="s">
        <v>122</v>
      </c>
      <c r="E618" s="19">
        <v>44881</v>
      </c>
      <c r="F618" s="18" t="s">
        <v>1790</v>
      </c>
      <c r="G618" s="19">
        <v>44902</v>
      </c>
      <c r="H618" s="19">
        <v>44960</v>
      </c>
      <c r="I618" s="18" t="s">
        <v>28</v>
      </c>
      <c r="J618" s="19" t="b">
        <v>1</v>
      </c>
      <c r="K618" s="19" t="b">
        <v>0</v>
      </c>
      <c r="L618" s="19" t="b">
        <v>0</v>
      </c>
      <c r="M618" s="19" t="b">
        <v>0</v>
      </c>
      <c r="N618" s="19" t="b">
        <v>0</v>
      </c>
      <c r="O618" s="19" t="b">
        <v>0</v>
      </c>
      <c r="P618" s="19" t="b">
        <v>1</v>
      </c>
    </row>
    <row r="619" spans="1:16" x14ac:dyDescent="0.2">
      <c r="A619" s="18">
        <v>9624506</v>
      </c>
      <c r="B619" s="18" t="s">
        <v>1796</v>
      </c>
      <c r="C619" s="18" t="s">
        <v>176</v>
      </c>
      <c r="D619" s="18" t="s">
        <v>19</v>
      </c>
      <c r="E619" s="19">
        <v>44880</v>
      </c>
      <c r="F619" s="18" t="s">
        <v>1797</v>
      </c>
      <c r="G619" s="19">
        <v>44900</v>
      </c>
      <c r="H619" s="19">
        <v>44958</v>
      </c>
      <c r="I619" s="18" t="s">
        <v>43</v>
      </c>
      <c r="J619" s="19" t="b">
        <v>1</v>
      </c>
      <c r="K619" s="19" t="b">
        <v>0</v>
      </c>
      <c r="L619" s="19" t="b">
        <v>0</v>
      </c>
      <c r="M619" s="19" t="b">
        <v>0</v>
      </c>
      <c r="N619" s="19" t="b">
        <v>0</v>
      </c>
      <c r="O619" s="19" t="b">
        <v>1</v>
      </c>
      <c r="P619" s="19" t="b">
        <v>0</v>
      </c>
    </row>
    <row r="620" spans="1:16" x14ac:dyDescent="0.2">
      <c r="A620" s="18">
        <v>9624506</v>
      </c>
      <c r="B620" s="18" t="s">
        <v>1798</v>
      </c>
      <c r="C620" s="18" t="s">
        <v>176</v>
      </c>
      <c r="D620" s="18" t="s">
        <v>19</v>
      </c>
      <c r="E620" s="19">
        <v>44591</v>
      </c>
      <c r="F620" s="18" t="s">
        <v>1799</v>
      </c>
      <c r="G620" s="19">
        <v>44607</v>
      </c>
      <c r="H620" s="19">
        <v>44665</v>
      </c>
      <c r="I620" s="18"/>
      <c r="J620" s="19" t="b">
        <v>1</v>
      </c>
      <c r="K620" s="19" t="b">
        <v>0</v>
      </c>
      <c r="L620" s="19" t="b">
        <v>0</v>
      </c>
      <c r="M620" s="19" t="b">
        <v>0</v>
      </c>
      <c r="N620" s="19" t="b">
        <v>0</v>
      </c>
      <c r="O620" s="19" t="b">
        <v>0</v>
      </c>
      <c r="P620" s="19" t="b">
        <v>0</v>
      </c>
    </row>
    <row r="621" spans="1:16" x14ac:dyDescent="0.2">
      <c r="A621" s="18">
        <v>9624506</v>
      </c>
      <c r="B621" s="18" t="s">
        <v>1800</v>
      </c>
      <c r="C621" s="18" t="s">
        <v>176</v>
      </c>
      <c r="D621" s="18" t="s">
        <v>19</v>
      </c>
      <c r="E621" s="19">
        <v>44650</v>
      </c>
      <c r="F621" s="18" t="s">
        <v>1801</v>
      </c>
      <c r="G621" s="19">
        <v>44664</v>
      </c>
      <c r="H621" s="19">
        <v>44690</v>
      </c>
      <c r="I621" s="18" t="s">
        <v>16</v>
      </c>
      <c r="J621" s="19" t="b">
        <v>1</v>
      </c>
      <c r="K621" s="19" t="b">
        <v>0</v>
      </c>
      <c r="L621" s="19" t="b">
        <v>0</v>
      </c>
      <c r="M621" s="19" t="b">
        <v>0</v>
      </c>
      <c r="N621" s="19" t="b">
        <v>1</v>
      </c>
      <c r="O621" s="19" t="b">
        <v>0</v>
      </c>
      <c r="P621" s="19" t="b">
        <v>0</v>
      </c>
    </row>
    <row r="622" spans="1:16" x14ac:dyDescent="0.2">
      <c r="A622" s="18">
        <v>6966385</v>
      </c>
      <c r="B622" s="18" t="s">
        <v>1804</v>
      </c>
      <c r="C622" s="18" t="s">
        <v>110</v>
      </c>
      <c r="D622" s="18" t="s">
        <v>39</v>
      </c>
      <c r="E622" s="19">
        <v>45038</v>
      </c>
      <c r="F622" s="18" t="s">
        <v>1586</v>
      </c>
      <c r="G622" s="19">
        <v>45057</v>
      </c>
      <c r="H622" s="19">
        <v>45066</v>
      </c>
      <c r="I622" s="18" t="s">
        <v>16</v>
      </c>
      <c r="J622" s="19" t="b">
        <v>1</v>
      </c>
      <c r="K622" s="19" t="b">
        <v>0</v>
      </c>
      <c r="L622" s="19" t="b">
        <v>0</v>
      </c>
      <c r="M622" s="19" t="b">
        <v>0</v>
      </c>
      <c r="N622" s="19" t="b">
        <v>1</v>
      </c>
      <c r="O622" s="19" t="b">
        <v>0</v>
      </c>
      <c r="P622" s="19" t="b">
        <v>0</v>
      </c>
    </row>
    <row r="623" spans="1:16" x14ac:dyDescent="0.2">
      <c r="A623" s="18">
        <v>8643434</v>
      </c>
      <c r="B623" s="18" t="s">
        <v>1811</v>
      </c>
      <c r="C623" s="18" t="s">
        <v>110</v>
      </c>
      <c r="D623" s="18" t="s">
        <v>77</v>
      </c>
      <c r="E623" s="19">
        <v>44592</v>
      </c>
      <c r="F623" s="18" t="s">
        <v>1730</v>
      </c>
      <c r="G623" s="19">
        <v>44595</v>
      </c>
      <c r="H623" s="19">
        <v>44626</v>
      </c>
      <c r="I623" s="18" t="s">
        <v>28</v>
      </c>
      <c r="J623" s="19" t="b">
        <v>1</v>
      </c>
      <c r="K623" s="19" t="b">
        <v>0</v>
      </c>
      <c r="L623" s="19" t="b">
        <v>0</v>
      </c>
      <c r="M623" s="19" t="b">
        <v>0</v>
      </c>
      <c r="N623" s="19" t="b">
        <v>0</v>
      </c>
      <c r="O623" s="19" t="b">
        <v>0</v>
      </c>
      <c r="P623" s="19" t="b">
        <v>1</v>
      </c>
    </row>
    <row r="624" spans="1:16" x14ac:dyDescent="0.2">
      <c r="A624" s="18">
        <v>6848796</v>
      </c>
      <c r="B624" s="18" t="s">
        <v>1814</v>
      </c>
      <c r="C624" s="18" t="s">
        <v>121</v>
      </c>
      <c r="D624" s="18" t="s">
        <v>81</v>
      </c>
      <c r="E624" s="19">
        <v>44671</v>
      </c>
      <c r="F624" s="18" t="s">
        <v>1815</v>
      </c>
      <c r="G624" s="19">
        <v>44682</v>
      </c>
      <c r="H624" s="19">
        <v>44718</v>
      </c>
      <c r="I624" s="18"/>
      <c r="J624" s="19" t="b">
        <v>1</v>
      </c>
      <c r="K624" s="19" t="b">
        <v>0</v>
      </c>
      <c r="L624" s="19" t="b">
        <v>0</v>
      </c>
      <c r="M624" s="19" t="b">
        <v>0</v>
      </c>
      <c r="N624" s="19" t="b">
        <v>0</v>
      </c>
      <c r="O624" s="19" t="b">
        <v>0</v>
      </c>
      <c r="P624" s="19" t="b">
        <v>0</v>
      </c>
    </row>
    <row r="625" spans="1:16" x14ac:dyDescent="0.2">
      <c r="A625" s="18">
        <v>6848796</v>
      </c>
      <c r="B625" s="18" t="s">
        <v>1816</v>
      </c>
      <c r="C625" s="18" t="s">
        <v>121</v>
      </c>
      <c r="D625" s="18" t="s">
        <v>81</v>
      </c>
      <c r="E625" s="19">
        <v>44972</v>
      </c>
      <c r="F625" s="18" t="s">
        <v>1817</v>
      </c>
      <c r="G625" s="19">
        <v>44991</v>
      </c>
      <c r="H625" s="19">
        <v>45018</v>
      </c>
      <c r="I625" s="18" t="s">
        <v>28</v>
      </c>
      <c r="J625" s="19" t="b">
        <v>1</v>
      </c>
      <c r="K625" s="19" t="b">
        <v>0</v>
      </c>
      <c r="L625" s="19" t="b">
        <v>0</v>
      </c>
      <c r="M625" s="19" t="b">
        <v>0</v>
      </c>
      <c r="N625" s="19" t="b">
        <v>0</v>
      </c>
      <c r="O625" s="19" t="b">
        <v>0</v>
      </c>
      <c r="P625" s="19" t="b">
        <v>1</v>
      </c>
    </row>
    <row r="626" spans="1:16" x14ac:dyDescent="0.2">
      <c r="A626" s="18">
        <v>5002629</v>
      </c>
      <c r="B626" s="18" t="s">
        <v>1822</v>
      </c>
      <c r="C626" s="18" t="s">
        <v>121</v>
      </c>
      <c r="D626" s="18" t="s">
        <v>19</v>
      </c>
      <c r="E626" s="19">
        <v>44803</v>
      </c>
      <c r="F626" s="18" t="s">
        <v>1823</v>
      </c>
      <c r="G626" s="19">
        <v>44809</v>
      </c>
      <c r="H626" s="19">
        <v>44852</v>
      </c>
      <c r="I626" s="18" t="s">
        <v>28</v>
      </c>
      <c r="J626" s="19" t="b">
        <v>1</v>
      </c>
      <c r="K626" s="19" t="b">
        <v>0</v>
      </c>
      <c r="L626" s="19" t="b">
        <v>0</v>
      </c>
      <c r="M626" s="19" t="b">
        <v>0</v>
      </c>
      <c r="N626" s="19" t="b">
        <v>0</v>
      </c>
      <c r="O626" s="19" t="b">
        <v>0</v>
      </c>
      <c r="P626" s="19" t="b">
        <v>1</v>
      </c>
    </row>
    <row r="627" spans="1:16" x14ac:dyDescent="0.2">
      <c r="A627" s="18">
        <v>5002629</v>
      </c>
      <c r="B627" s="18" t="s">
        <v>1824</v>
      </c>
      <c r="C627" s="18" t="s">
        <v>121</v>
      </c>
      <c r="D627" s="18" t="s">
        <v>19</v>
      </c>
      <c r="E627" s="19">
        <v>45036</v>
      </c>
      <c r="F627" s="18" t="s">
        <v>1825</v>
      </c>
      <c r="G627" s="19">
        <v>45047</v>
      </c>
      <c r="H627" s="19">
        <v>45083</v>
      </c>
      <c r="I627" s="18"/>
      <c r="J627" s="19" t="b">
        <v>1</v>
      </c>
      <c r="K627" s="19" t="b">
        <v>0</v>
      </c>
      <c r="L627" s="19" t="b">
        <v>0</v>
      </c>
      <c r="M627" s="19" t="b">
        <v>0</v>
      </c>
      <c r="N627" s="19" t="b">
        <v>0</v>
      </c>
      <c r="O627" s="19" t="b">
        <v>0</v>
      </c>
      <c r="P627" s="19" t="b">
        <v>0</v>
      </c>
    </row>
    <row r="628" spans="1:16" x14ac:dyDescent="0.2">
      <c r="A628" s="18">
        <v>2167822</v>
      </c>
      <c r="B628" s="18" t="s">
        <v>1827</v>
      </c>
      <c r="C628" s="18" t="s">
        <v>121</v>
      </c>
      <c r="D628" s="18" t="s">
        <v>122</v>
      </c>
      <c r="E628" s="19">
        <v>44624</v>
      </c>
      <c r="F628" s="18" t="s">
        <v>1828</v>
      </c>
      <c r="G628" s="19">
        <v>44627</v>
      </c>
      <c r="H628" s="19">
        <v>44641</v>
      </c>
      <c r="I628" s="18"/>
      <c r="J628" s="19" t="b">
        <v>1</v>
      </c>
      <c r="K628" s="19" t="b">
        <v>0</v>
      </c>
      <c r="L628" s="19" t="b">
        <v>0</v>
      </c>
      <c r="M628" s="19" t="b">
        <v>0</v>
      </c>
      <c r="N628" s="19" t="b">
        <v>0</v>
      </c>
      <c r="O628" s="19" t="b">
        <v>0</v>
      </c>
      <c r="P628" s="19" t="b">
        <v>0</v>
      </c>
    </row>
    <row r="629" spans="1:16" x14ac:dyDescent="0.2">
      <c r="A629" s="18">
        <v>2167822</v>
      </c>
      <c r="B629" s="18" t="s">
        <v>1829</v>
      </c>
      <c r="C629" s="18" t="s">
        <v>121</v>
      </c>
      <c r="D629" s="18" t="s">
        <v>122</v>
      </c>
      <c r="E629" s="19">
        <v>44714</v>
      </c>
      <c r="F629" s="18" t="s">
        <v>1830</v>
      </c>
      <c r="G629" s="19">
        <v>44729</v>
      </c>
      <c r="H629" s="19">
        <v>44764</v>
      </c>
      <c r="I629" s="18" t="s">
        <v>16</v>
      </c>
      <c r="J629" s="19" t="b">
        <v>1</v>
      </c>
      <c r="K629" s="19" t="b">
        <v>0</v>
      </c>
      <c r="L629" s="19" t="b">
        <v>0</v>
      </c>
      <c r="M629" s="19" t="b">
        <v>0</v>
      </c>
      <c r="N629" s="19" t="b">
        <v>1</v>
      </c>
      <c r="O629" s="19" t="b">
        <v>0</v>
      </c>
      <c r="P629" s="19" t="b">
        <v>0</v>
      </c>
    </row>
    <row r="630" spans="1:16" x14ac:dyDescent="0.2">
      <c r="A630" s="18">
        <v>2167822</v>
      </c>
      <c r="B630" s="18" t="s">
        <v>1835</v>
      </c>
      <c r="C630" s="18" t="s">
        <v>121</v>
      </c>
      <c r="D630" s="18" t="s">
        <v>122</v>
      </c>
      <c r="E630" s="19">
        <v>44914</v>
      </c>
      <c r="F630" s="18" t="s">
        <v>1836</v>
      </c>
      <c r="G630" s="19">
        <v>44917</v>
      </c>
      <c r="H630" s="19">
        <v>44955</v>
      </c>
      <c r="I630" s="18" t="s">
        <v>28</v>
      </c>
      <c r="J630" s="19" t="b">
        <v>1</v>
      </c>
      <c r="K630" s="19" t="b">
        <v>0</v>
      </c>
      <c r="L630" s="19" t="b">
        <v>0</v>
      </c>
      <c r="M630" s="19" t="b">
        <v>0</v>
      </c>
      <c r="N630" s="19" t="b">
        <v>0</v>
      </c>
      <c r="O630" s="19" t="b">
        <v>0</v>
      </c>
      <c r="P630" s="19" t="b">
        <v>1</v>
      </c>
    </row>
    <row r="631" spans="1:16" x14ac:dyDescent="0.2">
      <c r="A631" s="18">
        <v>1136218</v>
      </c>
      <c r="B631" s="18" t="s">
        <v>1837</v>
      </c>
      <c r="C631" s="18" t="s">
        <v>121</v>
      </c>
      <c r="D631" s="18" t="s">
        <v>139</v>
      </c>
      <c r="E631" s="19">
        <v>44616</v>
      </c>
      <c r="F631" s="18" t="s">
        <v>1838</v>
      </c>
      <c r="G631" s="19">
        <v>44617</v>
      </c>
      <c r="H631" s="19">
        <v>44663</v>
      </c>
      <c r="I631" s="18" t="s">
        <v>28</v>
      </c>
      <c r="J631" s="19" t="b">
        <v>1</v>
      </c>
      <c r="K631" s="19" t="b">
        <v>0</v>
      </c>
      <c r="L631" s="19" t="b">
        <v>0</v>
      </c>
      <c r="M631" s="19" t="b">
        <v>0</v>
      </c>
      <c r="N631" s="19" t="b">
        <v>0</v>
      </c>
      <c r="O631" s="19" t="b">
        <v>0</v>
      </c>
      <c r="P631" s="19" t="b">
        <v>1</v>
      </c>
    </row>
    <row r="632" spans="1:16" x14ac:dyDescent="0.2">
      <c r="A632" s="18">
        <v>1136218</v>
      </c>
      <c r="B632" s="18" t="s">
        <v>1839</v>
      </c>
      <c r="C632" s="18" t="s">
        <v>121</v>
      </c>
      <c r="D632" s="18" t="s">
        <v>139</v>
      </c>
      <c r="E632" s="19">
        <v>44850</v>
      </c>
      <c r="F632" s="18" t="s">
        <v>1840</v>
      </c>
      <c r="G632" s="19">
        <v>44878</v>
      </c>
      <c r="H632" s="19">
        <v>44880</v>
      </c>
      <c r="I632" s="18" t="s">
        <v>28</v>
      </c>
      <c r="J632" s="19" t="b">
        <v>1</v>
      </c>
      <c r="K632" s="19" t="b">
        <v>0</v>
      </c>
      <c r="L632" s="19" t="b">
        <v>0</v>
      </c>
      <c r="M632" s="19" t="b">
        <v>0</v>
      </c>
      <c r="N632" s="19" t="b">
        <v>0</v>
      </c>
      <c r="O632" s="19" t="b">
        <v>0</v>
      </c>
      <c r="P632" s="19" t="b">
        <v>1</v>
      </c>
    </row>
    <row r="633" spans="1:16" x14ac:dyDescent="0.2">
      <c r="A633" s="18">
        <v>1136218</v>
      </c>
      <c r="B633" s="18" t="s">
        <v>1842</v>
      </c>
      <c r="C633" s="18" t="s">
        <v>121</v>
      </c>
      <c r="D633" s="18" t="s">
        <v>139</v>
      </c>
      <c r="E633" s="19">
        <v>45007</v>
      </c>
      <c r="F633" s="18" t="s">
        <v>1843</v>
      </c>
      <c r="G633" s="19">
        <v>45025</v>
      </c>
      <c r="H633" s="19">
        <v>45039</v>
      </c>
      <c r="I633" s="18"/>
      <c r="J633" s="19" t="b">
        <v>1</v>
      </c>
      <c r="K633" s="19" t="b">
        <v>0</v>
      </c>
      <c r="L633" s="19" t="b">
        <v>0</v>
      </c>
      <c r="M633" s="19" t="b">
        <v>0</v>
      </c>
      <c r="N633" s="19" t="b">
        <v>0</v>
      </c>
      <c r="O633" s="19" t="b">
        <v>0</v>
      </c>
      <c r="P633" s="19" t="b">
        <v>0</v>
      </c>
    </row>
    <row r="634" spans="1:16" x14ac:dyDescent="0.2">
      <c r="A634" s="18">
        <v>3909338</v>
      </c>
      <c r="B634" s="18" t="s">
        <v>1844</v>
      </c>
      <c r="C634" s="18" t="s">
        <v>363</v>
      </c>
      <c r="D634" s="18" t="s">
        <v>187</v>
      </c>
      <c r="E634" s="19">
        <v>44719</v>
      </c>
      <c r="F634" s="18" t="s">
        <v>218</v>
      </c>
      <c r="G634" s="19">
        <v>44729</v>
      </c>
      <c r="H634" s="19">
        <v>44785</v>
      </c>
      <c r="I634" s="18" t="s">
        <v>28</v>
      </c>
      <c r="J634" s="19" t="b">
        <v>1</v>
      </c>
      <c r="K634" s="19" t="b">
        <v>0</v>
      </c>
      <c r="L634" s="19" t="b">
        <v>0</v>
      </c>
      <c r="M634" s="19" t="b">
        <v>0</v>
      </c>
      <c r="N634" s="19" t="b">
        <v>0</v>
      </c>
      <c r="O634" s="19" t="b">
        <v>0</v>
      </c>
      <c r="P634" s="19" t="b">
        <v>1</v>
      </c>
    </row>
    <row r="635" spans="1:16" x14ac:dyDescent="0.2">
      <c r="A635" s="18">
        <v>3909338</v>
      </c>
      <c r="B635" s="18" t="s">
        <v>1845</v>
      </c>
      <c r="C635" s="18" t="s">
        <v>363</v>
      </c>
      <c r="D635" s="18" t="s">
        <v>187</v>
      </c>
      <c r="E635" s="19">
        <v>44578</v>
      </c>
      <c r="F635" s="18" t="s">
        <v>1846</v>
      </c>
      <c r="G635" s="19">
        <v>44583</v>
      </c>
      <c r="H635" s="19">
        <v>44630</v>
      </c>
      <c r="I635" s="18" t="s">
        <v>43</v>
      </c>
      <c r="J635" s="19" t="b">
        <v>1</v>
      </c>
      <c r="K635" s="19" t="b">
        <v>0</v>
      </c>
      <c r="L635" s="19" t="b">
        <v>0</v>
      </c>
      <c r="M635" s="19" t="b">
        <v>0</v>
      </c>
      <c r="N635" s="19" t="b">
        <v>0</v>
      </c>
      <c r="O635" s="19" t="b">
        <v>1</v>
      </c>
      <c r="P635" s="19" t="b">
        <v>0</v>
      </c>
    </row>
    <row r="636" spans="1:16" x14ac:dyDescent="0.2">
      <c r="A636" s="18">
        <v>9165493</v>
      </c>
      <c r="B636" s="18" t="s">
        <v>1849</v>
      </c>
      <c r="C636" s="18" t="s">
        <v>167</v>
      </c>
      <c r="D636" s="18" t="s">
        <v>60</v>
      </c>
      <c r="E636" s="19">
        <v>44997</v>
      </c>
      <c r="F636" s="18" t="s">
        <v>1850</v>
      </c>
      <c r="G636" s="19">
        <v>45017</v>
      </c>
      <c r="H636" s="19">
        <v>45029</v>
      </c>
      <c r="I636" s="18"/>
      <c r="J636" s="19" t="b">
        <v>1</v>
      </c>
      <c r="K636" s="19" t="b">
        <v>0</v>
      </c>
      <c r="L636" s="19" t="b">
        <v>0</v>
      </c>
      <c r="M636" s="19" t="b">
        <v>0</v>
      </c>
      <c r="N636" s="19" t="b">
        <v>0</v>
      </c>
      <c r="O636" s="19" t="b">
        <v>0</v>
      </c>
      <c r="P636" s="19" t="b">
        <v>0</v>
      </c>
    </row>
    <row r="637" spans="1:16" x14ac:dyDescent="0.2">
      <c r="A637" s="18">
        <v>8550515</v>
      </c>
      <c r="B637" s="18" t="s">
        <v>1853</v>
      </c>
      <c r="C637" s="18" t="s">
        <v>59</v>
      </c>
      <c r="D637" s="18" t="s">
        <v>39</v>
      </c>
      <c r="E637" s="19">
        <v>44937</v>
      </c>
      <c r="F637" s="18" t="s">
        <v>1854</v>
      </c>
      <c r="G637" s="19">
        <v>44939</v>
      </c>
      <c r="H637" s="19">
        <v>44942</v>
      </c>
      <c r="I637" s="18" t="s">
        <v>28</v>
      </c>
      <c r="J637" s="19" t="b">
        <v>1</v>
      </c>
      <c r="K637" s="19" t="b">
        <v>0</v>
      </c>
      <c r="L637" s="19" t="b">
        <v>0</v>
      </c>
      <c r="M637" s="19" t="b">
        <v>0</v>
      </c>
      <c r="N637" s="19" t="b">
        <v>0</v>
      </c>
      <c r="O637" s="19" t="b">
        <v>0</v>
      </c>
      <c r="P637" s="19" t="b">
        <v>1</v>
      </c>
    </row>
    <row r="638" spans="1:16" x14ac:dyDescent="0.2">
      <c r="A638" s="18">
        <v>9107893</v>
      </c>
      <c r="B638" s="18" t="s">
        <v>1855</v>
      </c>
      <c r="C638" s="18" t="s">
        <v>240</v>
      </c>
      <c r="D638" s="18" t="s">
        <v>39</v>
      </c>
      <c r="E638" s="19">
        <v>45101</v>
      </c>
      <c r="F638" s="18" t="s">
        <v>1856</v>
      </c>
      <c r="G638" s="19">
        <v>45129</v>
      </c>
      <c r="H638" s="19">
        <v>45178</v>
      </c>
      <c r="I638" s="18" t="s">
        <v>16</v>
      </c>
      <c r="J638" s="19" t="b">
        <v>1</v>
      </c>
      <c r="K638" s="19" t="b">
        <v>0</v>
      </c>
      <c r="L638" s="19" t="b">
        <v>0</v>
      </c>
      <c r="M638" s="19" t="b">
        <v>0</v>
      </c>
      <c r="N638" s="19" t="b">
        <v>1</v>
      </c>
      <c r="O638" s="19" t="b">
        <v>0</v>
      </c>
      <c r="P638" s="19" t="b">
        <v>0</v>
      </c>
    </row>
    <row r="639" spans="1:16" x14ac:dyDescent="0.2">
      <c r="A639" s="18">
        <v>5687895</v>
      </c>
      <c r="B639" s="18" t="s">
        <v>1857</v>
      </c>
      <c r="C639" s="18" t="s">
        <v>287</v>
      </c>
      <c r="D639" s="18" t="s">
        <v>139</v>
      </c>
      <c r="E639" s="19">
        <v>44641</v>
      </c>
      <c r="F639" s="18" t="s">
        <v>1858</v>
      </c>
      <c r="G639" s="19">
        <v>44663</v>
      </c>
      <c r="H639" s="19">
        <v>44704</v>
      </c>
      <c r="I639" s="18" t="s">
        <v>16</v>
      </c>
      <c r="J639" s="19" t="b">
        <v>1</v>
      </c>
      <c r="K639" s="19" t="b">
        <v>0</v>
      </c>
      <c r="L639" s="19" t="b">
        <v>0</v>
      </c>
      <c r="M639" s="19" t="b">
        <v>0</v>
      </c>
      <c r="N639" s="19" t="b">
        <v>1</v>
      </c>
      <c r="O639" s="19" t="b">
        <v>0</v>
      </c>
      <c r="P639" s="19" t="b">
        <v>0</v>
      </c>
    </row>
    <row r="640" spans="1:16" x14ac:dyDescent="0.2">
      <c r="A640" s="18">
        <v>6242875</v>
      </c>
      <c r="B640" s="18" t="s">
        <v>1859</v>
      </c>
      <c r="C640" s="18" t="s">
        <v>121</v>
      </c>
      <c r="D640" s="18" t="s">
        <v>56</v>
      </c>
      <c r="E640" s="19">
        <v>45086</v>
      </c>
      <c r="F640" s="18" t="s">
        <v>1813</v>
      </c>
      <c r="G640" s="19">
        <v>45115</v>
      </c>
      <c r="H640" s="19">
        <v>45146</v>
      </c>
      <c r="I640" s="18" t="s">
        <v>16</v>
      </c>
      <c r="J640" s="19" t="b">
        <v>1</v>
      </c>
      <c r="K640" s="19" t="b">
        <v>0</v>
      </c>
      <c r="L640" s="19" t="b">
        <v>0</v>
      </c>
      <c r="M640" s="19" t="b">
        <v>0</v>
      </c>
      <c r="N640" s="19" t="b">
        <v>1</v>
      </c>
      <c r="O640" s="19" t="b">
        <v>0</v>
      </c>
      <c r="P640" s="19" t="b">
        <v>0</v>
      </c>
    </row>
    <row r="641" spans="1:16" x14ac:dyDescent="0.2">
      <c r="A641" s="18">
        <v>6242875</v>
      </c>
      <c r="B641" s="18" t="s">
        <v>1860</v>
      </c>
      <c r="C641" s="18" t="s">
        <v>121</v>
      </c>
      <c r="D641" s="18" t="s">
        <v>56</v>
      </c>
      <c r="E641" s="19">
        <v>44863</v>
      </c>
      <c r="F641" s="18" t="s">
        <v>1861</v>
      </c>
      <c r="G641" s="19">
        <v>44873</v>
      </c>
      <c r="H641" s="19">
        <v>44884</v>
      </c>
      <c r="I641" s="18" t="s">
        <v>28</v>
      </c>
      <c r="J641" s="19" t="b">
        <v>1</v>
      </c>
      <c r="K641" s="19" t="b">
        <v>0</v>
      </c>
      <c r="L641" s="19" t="b">
        <v>0</v>
      </c>
      <c r="M641" s="19" t="b">
        <v>0</v>
      </c>
      <c r="N641" s="19" t="b">
        <v>0</v>
      </c>
      <c r="O641" s="19" t="b">
        <v>0</v>
      </c>
      <c r="P641" s="19" t="b">
        <v>1</v>
      </c>
    </row>
    <row r="642" spans="1:16" x14ac:dyDescent="0.2">
      <c r="A642" s="18">
        <v>5369510</v>
      </c>
      <c r="B642" s="18" t="s">
        <v>1866</v>
      </c>
      <c r="C642" s="18" t="s">
        <v>521</v>
      </c>
      <c r="D642" s="18" t="s">
        <v>77</v>
      </c>
      <c r="E642" s="19">
        <v>44646</v>
      </c>
      <c r="F642" s="18" t="s">
        <v>1867</v>
      </c>
      <c r="G642" s="19">
        <v>44651</v>
      </c>
      <c r="H642" s="19">
        <v>44684</v>
      </c>
      <c r="I642" s="18" t="s">
        <v>16</v>
      </c>
      <c r="J642" s="19" t="b">
        <v>1</v>
      </c>
      <c r="K642" s="19" t="b">
        <v>0</v>
      </c>
      <c r="L642" s="19" t="b">
        <v>0</v>
      </c>
      <c r="M642" s="19" t="b">
        <v>0</v>
      </c>
      <c r="N642" s="19" t="b">
        <v>1</v>
      </c>
      <c r="O642" s="19" t="b">
        <v>0</v>
      </c>
      <c r="P642" s="19" t="b">
        <v>0</v>
      </c>
    </row>
    <row r="643" spans="1:16" x14ac:dyDescent="0.2">
      <c r="A643" s="18">
        <v>5369510</v>
      </c>
      <c r="B643" s="18" t="s">
        <v>1870</v>
      </c>
      <c r="C643" s="18" t="s">
        <v>521</v>
      </c>
      <c r="D643" s="18" t="s">
        <v>77</v>
      </c>
      <c r="E643" s="19">
        <v>44576</v>
      </c>
      <c r="F643" s="18" t="s">
        <v>1327</v>
      </c>
      <c r="G643" s="19">
        <v>44600</v>
      </c>
      <c r="H643" s="19">
        <v>44608</v>
      </c>
      <c r="I643" s="18" t="s">
        <v>28</v>
      </c>
      <c r="J643" s="19" t="b">
        <v>1</v>
      </c>
      <c r="K643" s="19" t="b">
        <v>0</v>
      </c>
      <c r="L643" s="19" t="b">
        <v>0</v>
      </c>
      <c r="M643" s="19" t="b">
        <v>0</v>
      </c>
      <c r="N643" s="19" t="b">
        <v>0</v>
      </c>
      <c r="O643" s="19" t="b">
        <v>0</v>
      </c>
      <c r="P643" s="19" t="b">
        <v>1</v>
      </c>
    </row>
    <row r="644" spans="1:16" x14ac:dyDescent="0.2">
      <c r="A644" s="18">
        <v>5369510</v>
      </c>
      <c r="B644" s="18" t="s">
        <v>1871</v>
      </c>
      <c r="C644" s="18" t="s">
        <v>521</v>
      </c>
      <c r="D644" s="18" t="s">
        <v>77</v>
      </c>
      <c r="E644" s="19">
        <v>44940</v>
      </c>
      <c r="F644" s="18" t="s">
        <v>1872</v>
      </c>
      <c r="G644" s="19">
        <v>44966</v>
      </c>
      <c r="H644" s="19">
        <v>44978</v>
      </c>
      <c r="I644" s="18" t="s">
        <v>43</v>
      </c>
      <c r="J644" s="19" t="b">
        <v>1</v>
      </c>
      <c r="K644" s="19" t="b">
        <v>0</v>
      </c>
      <c r="L644" s="19" t="b">
        <v>0</v>
      </c>
      <c r="M644" s="19" t="b">
        <v>0</v>
      </c>
      <c r="N644" s="19" t="b">
        <v>0</v>
      </c>
      <c r="O644" s="19" t="b">
        <v>1</v>
      </c>
      <c r="P644" s="19" t="b">
        <v>0</v>
      </c>
    </row>
    <row r="645" spans="1:16" x14ac:dyDescent="0.2">
      <c r="A645" s="18">
        <v>5383091</v>
      </c>
      <c r="B645" s="18" t="s">
        <v>1874</v>
      </c>
      <c r="C645" s="18" t="s">
        <v>47</v>
      </c>
      <c r="D645" s="18" t="s">
        <v>19</v>
      </c>
      <c r="E645" s="19">
        <v>44719</v>
      </c>
      <c r="F645" s="18" t="s">
        <v>1875</v>
      </c>
      <c r="G645" s="19">
        <v>44746</v>
      </c>
      <c r="H645" s="19">
        <v>44778</v>
      </c>
      <c r="I645" s="18" t="s">
        <v>43</v>
      </c>
      <c r="J645" s="19" t="b">
        <v>1</v>
      </c>
      <c r="K645" s="19" t="b">
        <v>0</v>
      </c>
      <c r="L645" s="19" t="b">
        <v>0</v>
      </c>
      <c r="M645" s="19" t="b">
        <v>0</v>
      </c>
      <c r="N645" s="19" t="b">
        <v>0</v>
      </c>
      <c r="O645" s="19" t="b">
        <v>1</v>
      </c>
      <c r="P645" s="19" t="b">
        <v>0</v>
      </c>
    </row>
    <row r="646" spans="1:16" x14ac:dyDescent="0.2">
      <c r="A646" s="18">
        <v>5383091</v>
      </c>
      <c r="B646" s="18" t="s">
        <v>1876</v>
      </c>
      <c r="C646" s="18" t="s">
        <v>47</v>
      </c>
      <c r="D646" s="18" t="s">
        <v>19</v>
      </c>
      <c r="E646" s="19">
        <v>44805</v>
      </c>
      <c r="F646" s="18" t="s">
        <v>1877</v>
      </c>
      <c r="G646" s="19">
        <v>44827</v>
      </c>
      <c r="H646" s="19">
        <v>44856</v>
      </c>
      <c r="I646" s="18"/>
      <c r="J646" s="19" t="b">
        <v>1</v>
      </c>
      <c r="K646" s="19" t="b">
        <v>0</v>
      </c>
      <c r="L646" s="19" t="b">
        <v>0</v>
      </c>
      <c r="M646" s="19" t="b">
        <v>0</v>
      </c>
      <c r="N646" s="19" t="b">
        <v>0</v>
      </c>
      <c r="O646" s="19" t="b">
        <v>0</v>
      </c>
      <c r="P646" s="19" t="b">
        <v>0</v>
      </c>
    </row>
    <row r="647" spans="1:16" x14ac:dyDescent="0.2">
      <c r="A647" s="18">
        <v>5383091</v>
      </c>
      <c r="B647" s="18" t="s">
        <v>1878</v>
      </c>
      <c r="C647" s="18" t="s">
        <v>47</v>
      </c>
      <c r="D647" s="18" t="s">
        <v>19</v>
      </c>
      <c r="E647" s="19">
        <v>44915</v>
      </c>
      <c r="F647" s="18" t="s">
        <v>1879</v>
      </c>
      <c r="G647" s="19">
        <v>44917</v>
      </c>
      <c r="H647" s="19">
        <v>44959</v>
      </c>
      <c r="I647" s="18" t="s">
        <v>43</v>
      </c>
      <c r="J647" s="19" t="b">
        <v>1</v>
      </c>
      <c r="K647" s="19" t="b">
        <v>0</v>
      </c>
      <c r="L647" s="19" t="b">
        <v>0</v>
      </c>
      <c r="M647" s="19" t="b">
        <v>0</v>
      </c>
      <c r="N647" s="19" t="b">
        <v>0</v>
      </c>
      <c r="O647" s="19" t="b">
        <v>1</v>
      </c>
      <c r="P647" s="19" t="b">
        <v>0</v>
      </c>
    </row>
    <row r="648" spans="1:16" x14ac:dyDescent="0.2">
      <c r="A648" s="18">
        <v>9934217</v>
      </c>
      <c r="B648" s="18" t="s">
        <v>1882</v>
      </c>
      <c r="C648" s="18" t="s">
        <v>93</v>
      </c>
      <c r="D648" s="18" t="s">
        <v>60</v>
      </c>
      <c r="E648" s="19">
        <v>45007</v>
      </c>
      <c r="F648" s="18" t="s">
        <v>1430</v>
      </c>
      <c r="G648" s="19">
        <v>45008</v>
      </c>
      <c r="H648" s="19">
        <v>45027</v>
      </c>
      <c r="I648" s="18" t="s">
        <v>43</v>
      </c>
      <c r="J648" s="19" t="b">
        <v>1</v>
      </c>
      <c r="K648" s="19" t="b">
        <v>0</v>
      </c>
      <c r="L648" s="19" t="b">
        <v>0</v>
      </c>
      <c r="M648" s="19" t="b">
        <v>0</v>
      </c>
      <c r="N648" s="19" t="b">
        <v>0</v>
      </c>
      <c r="O648" s="19" t="b">
        <v>1</v>
      </c>
      <c r="P648" s="19" t="b">
        <v>0</v>
      </c>
    </row>
    <row r="649" spans="1:16" x14ac:dyDescent="0.2">
      <c r="A649" s="18">
        <v>9934217</v>
      </c>
      <c r="B649" s="18" t="s">
        <v>1883</v>
      </c>
      <c r="C649" s="18" t="s">
        <v>93</v>
      </c>
      <c r="D649" s="18" t="s">
        <v>60</v>
      </c>
      <c r="E649" s="19">
        <v>44885</v>
      </c>
      <c r="F649" s="18" t="s">
        <v>1358</v>
      </c>
      <c r="G649" s="19">
        <v>44902</v>
      </c>
      <c r="H649" s="19">
        <v>44946</v>
      </c>
      <c r="I649" s="18"/>
      <c r="J649" s="19" t="b">
        <v>1</v>
      </c>
      <c r="K649" s="19" t="b">
        <v>0</v>
      </c>
      <c r="L649" s="19" t="b">
        <v>0</v>
      </c>
      <c r="M649" s="19" t="b">
        <v>0</v>
      </c>
      <c r="N649" s="19" t="b">
        <v>0</v>
      </c>
      <c r="O649" s="19" t="b">
        <v>0</v>
      </c>
      <c r="P649" s="19" t="b">
        <v>0</v>
      </c>
    </row>
    <row r="650" spans="1:16" x14ac:dyDescent="0.2">
      <c r="A650" s="18">
        <v>9934217</v>
      </c>
      <c r="B650" s="18" t="s">
        <v>1884</v>
      </c>
      <c r="C650" s="18" t="s">
        <v>93</v>
      </c>
      <c r="D650" s="18" t="s">
        <v>60</v>
      </c>
      <c r="E650" s="19">
        <v>44924</v>
      </c>
      <c r="F650" s="18" t="s">
        <v>1885</v>
      </c>
      <c r="G650" s="19">
        <v>44952</v>
      </c>
      <c r="H650" s="19">
        <v>44980</v>
      </c>
      <c r="I650" s="18" t="s">
        <v>16</v>
      </c>
      <c r="J650" s="19" t="b">
        <v>1</v>
      </c>
      <c r="K650" s="19" t="b">
        <v>0</v>
      </c>
      <c r="L650" s="19" t="b">
        <v>0</v>
      </c>
      <c r="M650" s="19" t="b">
        <v>0</v>
      </c>
      <c r="N650" s="19" t="b">
        <v>1</v>
      </c>
      <c r="O650" s="19" t="b">
        <v>0</v>
      </c>
      <c r="P650" s="19" t="b">
        <v>0</v>
      </c>
    </row>
    <row r="651" spans="1:16" x14ac:dyDescent="0.2">
      <c r="A651" s="18">
        <v>9934217</v>
      </c>
      <c r="B651" s="18" t="s">
        <v>1886</v>
      </c>
      <c r="C651" s="18" t="s">
        <v>93</v>
      </c>
      <c r="D651" s="18" t="s">
        <v>60</v>
      </c>
      <c r="E651" s="19">
        <v>44835</v>
      </c>
      <c r="F651" s="18" t="s">
        <v>1887</v>
      </c>
      <c r="G651" s="19">
        <v>44861</v>
      </c>
      <c r="H651" s="19">
        <v>44868</v>
      </c>
      <c r="I651" s="18" t="s">
        <v>28</v>
      </c>
      <c r="J651" s="19" t="b">
        <v>1</v>
      </c>
      <c r="K651" s="19" t="b">
        <v>0</v>
      </c>
      <c r="L651" s="19" t="b">
        <v>0</v>
      </c>
      <c r="M651" s="19" t="b">
        <v>0</v>
      </c>
      <c r="N651" s="19" t="b">
        <v>0</v>
      </c>
      <c r="O651" s="19" t="b">
        <v>0</v>
      </c>
      <c r="P651" s="19" t="b">
        <v>1</v>
      </c>
    </row>
    <row r="652" spans="1:16" x14ac:dyDescent="0.2">
      <c r="A652" s="18">
        <v>5283960</v>
      </c>
      <c r="B652" s="18" t="s">
        <v>1888</v>
      </c>
      <c r="C652" s="18" t="s">
        <v>265</v>
      </c>
      <c r="D652" s="18" t="s">
        <v>81</v>
      </c>
      <c r="E652" s="19">
        <v>44761</v>
      </c>
      <c r="F652" s="18" t="s">
        <v>1889</v>
      </c>
      <c r="G652" s="19">
        <v>44778</v>
      </c>
      <c r="H652" s="19">
        <v>44800</v>
      </c>
      <c r="I652" s="18" t="s">
        <v>43</v>
      </c>
      <c r="J652" s="19" t="b">
        <v>1</v>
      </c>
      <c r="K652" s="19" t="b">
        <v>0</v>
      </c>
      <c r="L652" s="19" t="b">
        <v>0</v>
      </c>
      <c r="M652" s="19" t="b">
        <v>0</v>
      </c>
      <c r="N652" s="19" t="b">
        <v>0</v>
      </c>
      <c r="O652" s="19" t="b">
        <v>1</v>
      </c>
      <c r="P652" s="19" t="b">
        <v>0</v>
      </c>
    </row>
    <row r="653" spans="1:16" x14ac:dyDescent="0.2">
      <c r="A653" s="18">
        <v>5283960</v>
      </c>
      <c r="B653" s="18" t="s">
        <v>1890</v>
      </c>
      <c r="C653" s="18" t="s">
        <v>265</v>
      </c>
      <c r="D653" s="18" t="s">
        <v>81</v>
      </c>
      <c r="E653" s="19">
        <v>44572</v>
      </c>
      <c r="F653" s="18" t="s">
        <v>1891</v>
      </c>
      <c r="G653" s="19">
        <v>44594</v>
      </c>
      <c r="H653" s="19">
        <v>44595</v>
      </c>
      <c r="I653" s="18" t="s">
        <v>43</v>
      </c>
      <c r="J653" s="19" t="b">
        <v>1</v>
      </c>
      <c r="K653" s="19" t="b">
        <v>0</v>
      </c>
      <c r="L653" s="19" t="b">
        <v>0</v>
      </c>
      <c r="M653" s="19" t="b">
        <v>0</v>
      </c>
      <c r="N653" s="19" t="b">
        <v>0</v>
      </c>
      <c r="O653" s="19" t="b">
        <v>1</v>
      </c>
      <c r="P653" s="19" t="b">
        <v>0</v>
      </c>
    </row>
    <row r="654" spans="1:16" x14ac:dyDescent="0.2">
      <c r="A654" s="18">
        <v>5283960</v>
      </c>
      <c r="B654" s="18" t="s">
        <v>1892</v>
      </c>
      <c r="C654" s="18" t="s">
        <v>265</v>
      </c>
      <c r="D654" s="18" t="s">
        <v>81</v>
      </c>
      <c r="E654" s="19">
        <v>45099</v>
      </c>
      <c r="F654" s="18" t="s">
        <v>1893</v>
      </c>
      <c r="G654" s="19">
        <v>45103</v>
      </c>
      <c r="H654" s="19">
        <v>45147</v>
      </c>
      <c r="I654" s="18" t="s">
        <v>16</v>
      </c>
      <c r="J654" s="19" t="b">
        <v>1</v>
      </c>
      <c r="K654" s="19" t="b">
        <v>0</v>
      </c>
      <c r="L654" s="19" t="b">
        <v>0</v>
      </c>
      <c r="M654" s="19" t="b">
        <v>0</v>
      </c>
      <c r="N654" s="19" t="b">
        <v>1</v>
      </c>
      <c r="O654" s="19" t="b">
        <v>0</v>
      </c>
      <c r="P654" s="19" t="b">
        <v>0</v>
      </c>
    </row>
    <row r="655" spans="1:16" x14ac:dyDescent="0.2">
      <c r="A655" s="18">
        <v>5283960</v>
      </c>
      <c r="B655" s="18" t="s">
        <v>1894</v>
      </c>
      <c r="C655" s="18" t="s">
        <v>265</v>
      </c>
      <c r="D655" s="18" t="s">
        <v>81</v>
      </c>
      <c r="E655" s="19">
        <v>44819</v>
      </c>
      <c r="F655" s="18" t="s">
        <v>1895</v>
      </c>
      <c r="G655" s="19">
        <v>44826</v>
      </c>
      <c r="H655" s="19">
        <v>44829</v>
      </c>
      <c r="I655" s="18" t="s">
        <v>43</v>
      </c>
      <c r="J655" s="19" t="b">
        <v>1</v>
      </c>
      <c r="K655" s="19" t="b">
        <v>0</v>
      </c>
      <c r="L655" s="19" t="b">
        <v>0</v>
      </c>
      <c r="M655" s="19" t="b">
        <v>0</v>
      </c>
      <c r="N655" s="19" t="b">
        <v>0</v>
      </c>
      <c r="O655" s="19" t="b">
        <v>1</v>
      </c>
      <c r="P655" s="19" t="b">
        <v>0</v>
      </c>
    </row>
    <row r="656" spans="1:16" x14ac:dyDescent="0.2">
      <c r="A656" s="18">
        <v>1397627</v>
      </c>
      <c r="B656" s="18" t="s">
        <v>1896</v>
      </c>
      <c r="C656" s="18" t="s">
        <v>121</v>
      </c>
      <c r="D656" s="18" t="s">
        <v>122</v>
      </c>
      <c r="E656" s="19">
        <v>44686</v>
      </c>
      <c r="F656" s="18" t="s">
        <v>1897</v>
      </c>
      <c r="G656" s="19">
        <v>44709</v>
      </c>
      <c r="H656" s="19">
        <v>44717</v>
      </c>
      <c r="I656" s="18" t="s">
        <v>43</v>
      </c>
      <c r="J656" s="19" t="b">
        <v>1</v>
      </c>
      <c r="K656" s="19" t="b">
        <v>0</v>
      </c>
      <c r="L656" s="19" t="b">
        <v>0</v>
      </c>
      <c r="M656" s="19" t="b">
        <v>0</v>
      </c>
      <c r="N656" s="19" t="b">
        <v>0</v>
      </c>
      <c r="O656" s="19" t="b">
        <v>1</v>
      </c>
      <c r="P656" s="19" t="b">
        <v>0</v>
      </c>
    </row>
    <row r="657" spans="1:16" x14ac:dyDescent="0.2">
      <c r="A657" s="18">
        <v>2270273</v>
      </c>
      <c r="B657" s="18" t="s">
        <v>1901</v>
      </c>
      <c r="C657" s="18" t="s">
        <v>265</v>
      </c>
      <c r="D657" s="18" t="s">
        <v>77</v>
      </c>
      <c r="E657" s="19">
        <v>44637</v>
      </c>
      <c r="F657" s="18" t="s">
        <v>1902</v>
      </c>
      <c r="G657" s="19">
        <v>44646</v>
      </c>
      <c r="H657" s="19">
        <v>44696</v>
      </c>
      <c r="I657" s="18" t="s">
        <v>28</v>
      </c>
      <c r="J657" s="19" t="b">
        <v>1</v>
      </c>
      <c r="K657" s="19" t="b">
        <v>0</v>
      </c>
      <c r="L657" s="19" t="b">
        <v>0</v>
      </c>
      <c r="M657" s="19" t="b">
        <v>0</v>
      </c>
      <c r="N657" s="19" t="b">
        <v>0</v>
      </c>
      <c r="O657" s="19" t="b">
        <v>0</v>
      </c>
      <c r="P657" s="19" t="b">
        <v>1</v>
      </c>
    </row>
    <row r="658" spans="1:16" x14ac:dyDescent="0.2">
      <c r="A658" s="18">
        <v>2270273</v>
      </c>
      <c r="B658" s="18" t="s">
        <v>1905</v>
      </c>
      <c r="C658" s="18" t="s">
        <v>265</v>
      </c>
      <c r="D658" s="18" t="s">
        <v>77</v>
      </c>
      <c r="E658" s="19">
        <v>44633</v>
      </c>
      <c r="F658" s="18" t="s">
        <v>1906</v>
      </c>
      <c r="G658" s="19">
        <v>44649</v>
      </c>
      <c r="H658" s="19">
        <v>44709</v>
      </c>
      <c r="I658" s="18" t="s">
        <v>28</v>
      </c>
      <c r="J658" s="19" t="b">
        <v>1</v>
      </c>
      <c r="K658" s="19" t="b">
        <v>0</v>
      </c>
      <c r="L658" s="19" t="b">
        <v>0</v>
      </c>
      <c r="M658" s="19" t="b">
        <v>0</v>
      </c>
      <c r="N658" s="19" t="b">
        <v>0</v>
      </c>
      <c r="O658" s="19" t="b">
        <v>0</v>
      </c>
      <c r="P658" s="19" t="b">
        <v>1</v>
      </c>
    </row>
    <row r="659" spans="1:16" x14ac:dyDescent="0.2">
      <c r="A659" s="18">
        <v>4366669</v>
      </c>
      <c r="B659" s="18" t="s">
        <v>1907</v>
      </c>
      <c r="C659" s="18" t="s">
        <v>121</v>
      </c>
      <c r="D659" s="18" t="s">
        <v>60</v>
      </c>
      <c r="E659" s="19">
        <v>45003</v>
      </c>
      <c r="F659" s="18" t="s">
        <v>1908</v>
      </c>
      <c r="G659" s="19">
        <v>45010</v>
      </c>
      <c r="H659" s="19">
        <v>45050</v>
      </c>
      <c r="I659" s="18" t="s">
        <v>16</v>
      </c>
      <c r="J659" s="19" t="b">
        <v>1</v>
      </c>
      <c r="K659" s="19" t="b">
        <v>0</v>
      </c>
      <c r="L659" s="19" t="b">
        <v>0</v>
      </c>
      <c r="M659" s="19" t="b">
        <v>0</v>
      </c>
      <c r="N659" s="19" t="b">
        <v>1</v>
      </c>
      <c r="O659" s="19" t="b">
        <v>0</v>
      </c>
      <c r="P659" s="19" t="b">
        <v>0</v>
      </c>
    </row>
    <row r="660" spans="1:16" x14ac:dyDescent="0.2">
      <c r="A660" s="18">
        <v>4366669</v>
      </c>
      <c r="B660" s="18" t="s">
        <v>1909</v>
      </c>
      <c r="C660" s="18" t="s">
        <v>121</v>
      </c>
      <c r="D660" s="18" t="s">
        <v>60</v>
      </c>
      <c r="E660" s="19">
        <v>44667</v>
      </c>
      <c r="F660" s="18" t="s">
        <v>1910</v>
      </c>
      <c r="G660" s="19">
        <v>44669</v>
      </c>
      <c r="H660" s="19">
        <v>44674</v>
      </c>
      <c r="I660" s="18"/>
      <c r="J660" s="19" t="b">
        <v>1</v>
      </c>
      <c r="K660" s="19" t="b">
        <v>0</v>
      </c>
      <c r="L660" s="19" t="b">
        <v>0</v>
      </c>
      <c r="M660" s="19" t="b">
        <v>0</v>
      </c>
      <c r="N660" s="19" t="b">
        <v>0</v>
      </c>
      <c r="O660" s="19" t="b">
        <v>0</v>
      </c>
      <c r="P660" s="19" t="b">
        <v>0</v>
      </c>
    </row>
    <row r="661" spans="1:16" x14ac:dyDescent="0.2">
      <c r="A661" s="18">
        <v>2181322</v>
      </c>
      <c r="B661" s="18" t="s">
        <v>1913</v>
      </c>
      <c r="C661" s="18" t="s">
        <v>32</v>
      </c>
      <c r="D661" s="18" t="s">
        <v>11</v>
      </c>
      <c r="E661" s="19">
        <v>44961</v>
      </c>
      <c r="F661" s="18" t="s">
        <v>1914</v>
      </c>
      <c r="G661" s="19">
        <v>44970</v>
      </c>
      <c r="H661" s="19">
        <v>44980</v>
      </c>
      <c r="I661" s="18" t="s">
        <v>16</v>
      </c>
      <c r="J661" s="19" t="b">
        <v>1</v>
      </c>
      <c r="K661" s="19" t="b">
        <v>0</v>
      </c>
      <c r="L661" s="19" t="b">
        <v>0</v>
      </c>
      <c r="M661" s="19" t="b">
        <v>0</v>
      </c>
      <c r="N661" s="19" t="b">
        <v>1</v>
      </c>
      <c r="O661" s="19" t="b">
        <v>0</v>
      </c>
      <c r="P661" s="19" t="b">
        <v>0</v>
      </c>
    </row>
    <row r="662" spans="1:16" x14ac:dyDescent="0.2">
      <c r="A662" s="18">
        <v>2181322</v>
      </c>
      <c r="B662" s="18" t="s">
        <v>1915</v>
      </c>
      <c r="C662" s="18" t="s">
        <v>32</v>
      </c>
      <c r="D662" s="18" t="s">
        <v>11</v>
      </c>
      <c r="E662" s="19">
        <v>45089</v>
      </c>
      <c r="F662" s="18" t="s">
        <v>1916</v>
      </c>
      <c r="G662" s="19">
        <v>45112</v>
      </c>
      <c r="H662" s="19">
        <v>45162</v>
      </c>
      <c r="I662" s="18"/>
      <c r="J662" s="19" t="b">
        <v>1</v>
      </c>
      <c r="K662" s="19" t="b">
        <v>0</v>
      </c>
      <c r="L662" s="19" t="b">
        <v>0</v>
      </c>
      <c r="M662" s="19" t="b">
        <v>0</v>
      </c>
      <c r="N662" s="19" t="b">
        <v>0</v>
      </c>
      <c r="O662" s="19" t="b">
        <v>0</v>
      </c>
      <c r="P662" s="19" t="b">
        <v>0</v>
      </c>
    </row>
    <row r="663" spans="1:16" x14ac:dyDescent="0.2">
      <c r="A663" s="18">
        <v>2181322</v>
      </c>
      <c r="B663" s="18" t="s">
        <v>1917</v>
      </c>
      <c r="C663" s="18" t="s">
        <v>32</v>
      </c>
      <c r="D663" s="18" t="s">
        <v>11</v>
      </c>
      <c r="E663" s="19">
        <v>44633</v>
      </c>
      <c r="F663" s="18" t="s">
        <v>1918</v>
      </c>
      <c r="G663" s="19">
        <v>44651</v>
      </c>
      <c r="H663" s="19">
        <v>44666</v>
      </c>
      <c r="I663" s="18"/>
      <c r="J663" s="19" t="b">
        <v>1</v>
      </c>
      <c r="K663" s="19" t="b">
        <v>0</v>
      </c>
      <c r="L663" s="19" t="b">
        <v>0</v>
      </c>
      <c r="M663" s="19" t="b">
        <v>0</v>
      </c>
      <c r="N663" s="19" t="b">
        <v>0</v>
      </c>
      <c r="O663" s="19" t="b">
        <v>0</v>
      </c>
      <c r="P663" s="19" t="b">
        <v>0</v>
      </c>
    </row>
    <row r="664" spans="1:16" x14ac:dyDescent="0.2">
      <c r="A664" s="18">
        <v>9980912</v>
      </c>
      <c r="B664" s="18" t="s">
        <v>1919</v>
      </c>
      <c r="C664" s="18" t="s">
        <v>310</v>
      </c>
      <c r="D664" s="18" t="s">
        <v>39</v>
      </c>
      <c r="E664" s="19">
        <v>44654</v>
      </c>
      <c r="F664" s="18" t="s">
        <v>1920</v>
      </c>
      <c r="G664" s="19">
        <v>44666</v>
      </c>
      <c r="H664" s="19">
        <v>44701</v>
      </c>
      <c r="I664" s="18"/>
      <c r="J664" s="19" t="b">
        <v>1</v>
      </c>
      <c r="K664" s="19" t="b">
        <v>0</v>
      </c>
      <c r="L664" s="19" t="b">
        <v>0</v>
      </c>
      <c r="M664" s="19" t="b">
        <v>0</v>
      </c>
      <c r="N664" s="19" t="b">
        <v>0</v>
      </c>
      <c r="O664" s="19" t="b">
        <v>0</v>
      </c>
      <c r="P664" s="19" t="b">
        <v>0</v>
      </c>
    </row>
    <row r="665" spans="1:16" x14ac:dyDescent="0.2">
      <c r="A665" s="18">
        <v>9980912</v>
      </c>
      <c r="B665" s="18" t="s">
        <v>1921</v>
      </c>
      <c r="C665" s="18" t="s">
        <v>310</v>
      </c>
      <c r="D665" s="18" t="s">
        <v>39</v>
      </c>
      <c r="E665" s="19">
        <v>45032</v>
      </c>
      <c r="F665" s="18" t="s">
        <v>1922</v>
      </c>
      <c r="G665" s="19">
        <v>45057</v>
      </c>
      <c r="H665" s="19">
        <v>45107</v>
      </c>
      <c r="I665" s="18" t="s">
        <v>28</v>
      </c>
      <c r="J665" s="19" t="b">
        <v>1</v>
      </c>
      <c r="K665" s="19" t="b">
        <v>0</v>
      </c>
      <c r="L665" s="19" t="b">
        <v>0</v>
      </c>
      <c r="M665" s="19" t="b">
        <v>0</v>
      </c>
      <c r="N665" s="19" t="b">
        <v>0</v>
      </c>
      <c r="O665" s="19" t="b">
        <v>0</v>
      </c>
      <c r="P665" s="19" t="b">
        <v>1</v>
      </c>
    </row>
    <row r="666" spans="1:16" x14ac:dyDescent="0.2">
      <c r="A666" s="18">
        <v>4204501</v>
      </c>
      <c r="B666" s="18" t="s">
        <v>1925</v>
      </c>
      <c r="C666" s="18" t="s">
        <v>110</v>
      </c>
      <c r="D666" s="18" t="s">
        <v>60</v>
      </c>
      <c r="E666" s="19">
        <v>45010</v>
      </c>
      <c r="F666" s="18" t="s">
        <v>1926</v>
      </c>
      <c r="G666" s="19">
        <v>45034</v>
      </c>
      <c r="H666" s="19">
        <v>45047</v>
      </c>
      <c r="I666" s="18" t="s">
        <v>28</v>
      </c>
      <c r="J666" s="19" t="b">
        <v>1</v>
      </c>
      <c r="K666" s="19" t="b">
        <v>0</v>
      </c>
      <c r="L666" s="19" t="b">
        <v>0</v>
      </c>
      <c r="M666" s="19" t="b">
        <v>0</v>
      </c>
      <c r="N666" s="19" t="b">
        <v>0</v>
      </c>
      <c r="O666" s="19" t="b">
        <v>0</v>
      </c>
      <c r="P666" s="19" t="b">
        <v>1</v>
      </c>
    </row>
    <row r="667" spans="1:16" x14ac:dyDescent="0.2">
      <c r="A667" s="18">
        <v>3347853</v>
      </c>
      <c r="B667" s="18" t="s">
        <v>1927</v>
      </c>
      <c r="C667" s="18" t="s">
        <v>521</v>
      </c>
      <c r="D667" s="18" t="s">
        <v>19</v>
      </c>
      <c r="E667" s="19">
        <v>44626</v>
      </c>
      <c r="F667" s="18" t="s">
        <v>1928</v>
      </c>
      <c r="G667" s="19">
        <v>44652</v>
      </c>
      <c r="H667" s="19">
        <v>44687</v>
      </c>
      <c r="I667" s="18" t="s">
        <v>43</v>
      </c>
      <c r="J667" s="19" t="b">
        <v>1</v>
      </c>
      <c r="K667" s="19" t="b">
        <v>0</v>
      </c>
      <c r="L667" s="19" t="b">
        <v>0</v>
      </c>
      <c r="M667" s="19" t="b">
        <v>0</v>
      </c>
      <c r="N667" s="19" t="b">
        <v>0</v>
      </c>
      <c r="O667" s="19" t="b">
        <v>1</v>
      </c>
      <c r="P667" s="19" t="b">
        <v>0</v>
      </c>
    </row>
    <row r="668" spans="1:16" x14ac:dyDescent="0.2">
      <c r="A668" s="18">
        <v>6162867</v>
      </c>
      <c r="B668" s="18" t="s">
        <v>1929</v>
      </c>
      <c r="C668" s="18" t="s">
        <v>363</v>
      </c>
      <c r="D668" s="18" t="s">
        <v>139</v>
      </c>
      <c r="E668" s="19">
        <v>44619</v>
      </c>
      <c r="F668" s="18" t="s">
        <v>1930</v>
      </c>
      <c r="G668" s="19">
        <v>44630</v>
      </c>
      <c r="H668" s="19">
        <v>44681</v>
      </c>
      <c r="I668" s="18" t="s">
        <v>16</v>
      </c>
      <c r="J668" s="19" t="b">
        <v>1</v>
      </c>
      <c r="K668" s="19" t="b">
        <v>0</v>
      </c>
      <c r="L668" s="19" t="b">
        <v>0</v>
      </c>
      <c r="M668" s="19" t="b">
        <v>0</v>
      </c>
      <c r="N668" s="19" t="b">
        <v>1</v>
      </c>
      <c r="O668" s="19" t="b">
        <v>0</v>
      </c>
      <c r="P668" s="19" t="b">
        <v>0</v>
      </c>
    </row>
    <row r="669" spans="1:16" x14ac:dyDescent="0.2">
      <c r="A669" s="18">
        <v>6162867</v>
      </c>
      <c r="B669" s="18" t="s">
        <v>1931</v>
      </c>
      <c r="C669" s="18" t="s">
        <v>363</v>
      </c>
      <c r="D669" s="18" t="s">
        <v>139</v>
      </c>
      <c r="E669" s="19">
        <v>45097</v>
      </c>
      <c r="F669" s="18" t="s">
        <v>1932</v>
      </c>
      <c r="G669" s="19">
        <v>45112</v>
      </c>
      <c r="H669" s="19">
        <v>45156</v>
      </c>
      <c r="I669" s="18"/>
      <c r="J669" s="19" t="b">
        <v>1</v>
      </c>
      <c r="K669" s="19" t="b">
        <v>0</v>
      </c>
      <c r="L669" s="19" t="b">
        <v>0</v>
      </c>
      <c r="M669" s="19" t="b">
        <v>0</v>
      </c>
      <c r="N669" s="19" t="b">
        <v>0</v>
      </c>
      <c r="O669" s="19" t="b">
        <v>0</v>
      </c>
      <c r="P669" s="19" t="b">
        <v>0</v>
      </c>
    </row>
    <row r="670" spans="1:16" x14ac:dyDescent="0.2">
      <c r="A670" s="18">
        <v>6162867</v>
      </c>
      <c r="B670" s="18" t="s">
        <v>1933</v>
      </c>
      <c r="C670" s="18" t="s">
        <v>363</v>
      </c>
      <c r="D670" s="18" t="s">
        <v>139</v>
      </c>
      <c r="E670" s="19">
        <v>44800</v>
      </c>
      <c r="F670" s="18" t="s">
        <v>1934</v>
      </c>
      <c r="G670" s="19">
        <v>44830</v>
      </c>
      <c r="H670" s="19">
        <v>44835</v>
      </c>
      <c r="I670" s="18" t="s">
        <v>43</v>
      </c>
      <c r="J670" s="19" t="b">
        <v>1</v>
      </c>
      <c r="K670" s="19" t="b">
        <v>0</v>
      </c>
      <c r="L670" s="19" t="b">
        <v>0</v>
      </c>
      <c r="M670" s="19" t="b">
        <v>0</v>
      </c>
      <c r="N670" s="19" t="b">
        <v>0</v>
      </c>
      <c r="O670" s="19" t="b">
        <v>1</v>
      </c>
      <c r="P670" s="19" t="b">
        <v>0</v>
      </c>
    </row>
    <row r="671" spans="1:16" x14ac:dyDescent="0.2">
      <c r="A671" s="18">
        <v>2632292</v>
      </c>
      <c r="B671" s="18" t="s">
        <v>1939</v>
      </c>
      <c r="C671" s="18" t="s">
        <v>287</v>
      </c>
      <c r="D671" s="18" t="s">
        <v>81</v>
      </c>
      <c r="E671" s="19">
        <v>44670</v>
      </c>
      <c r="F671" s="18" t="s">
        <v>1940</v>
      </c>
      <c r="G671" s="19">
        <v>44674</v>
      </c>
      <c r="H671" s="19">
        <v>44706</v>
      </c>
      <c r="I671" s="18" t="s">
        <v>16</v>
      </c>
      <c r="J671" s="19" t="b">
        <v>1</v>
      </c>
      <c r="K671" s="19" t="b">
        <v>0</v>
      </c>
      <c r="L671" s="19" t="b">
        <v>0</v>
      </c>
      <c r="M671" s="19" t="b">
        <v>0</v>
      </c>
      <c r="N671" s="19" t="b">
        <v>1</v>
      </c>
      <c r="O671" s="19" t="b">
        <v>0</v>
      </c>
      <c r="P671" s="19" t="b">
        <v>0</v>
      </c>
    </row>
    <row r="672" spans="1:16" x14ac:dyDescent="0.2">
      <c r="A672" s="18">
        <v>2632292</v>
      </c>
      <c r="B672" s="18" t="s">
        <v>1941</v>
      </c>
      <c r="C672" s="18" t="s">
        <v>287</v>
      </c>
      <c r="D672" s="18" t="s">
        <v>81</v>
      </c>
      <c r="E672" s="19">
        <v>44769</v>
      </c>
      <c r="F672" s="18" t="s">
        <v>1942</v>
      </c>
      <c r="G672" s="19">
        <v>44783</v>
      </c>
      <c r="H672" s="19">
        <v>44805</v>
      </c>
      <c r="I672" s="18" t="s">
        <v>43</v>
      </c>
      <c r="J672" s="19" t="b">
        <v>1</v>
      </c>
      <c r="K672" s="19" t="b">
        <v>0</v>
      </c>
      <c r="L672" s="19" t="b">
        <v>0</v>
      </c>
      <c r="M672" s="19" t="b">
        <v>0</v>
      </c>
      <c r="N672" s="19" t="b">
        <v>0</v>
      </c>
      <c r="O672" s="19" t="b">
        <v>1</v>
      </c>
      <c r="P672" s="19" t="b">
        <v>0</v>
      </c>
    </row>
    <row r="673" spans="1:16" x14ac:dyDescent="0.2">
      <c r="A673" s="18">
        <v>7744585</v>
      </c>
      <c r="B673" s="18" t="s">
        <v>1943</v>
      </c>
      <c r="C673" s="18" t="s">
        <v>720</v>
      </c>
      <c r="D673" s="18" t="s">
        <v>122</v>
      </c>
      <c r="E673" s="19">
        <v>44780</v>
      </c>
      <c r="F673" s="18" t="s">
        <v>1944</v>
      </c>
      <c r="G673" s="19">
        <v>44805</v>
      </c>
      <c r="H673" s="19">
        <v>44808</v>
      </c>
      <c r="I673" s="18" t="s">
        <v>28</v>
      </c>
      <c r="J673" s="19" t="b">
        <v>1</v>
      </c>
      <c r="K673" s="19" t="b">
        <v>0</v>
      </c>
      <c r="L673" s="19" t="b">
        <v>0</v>
      </c>
      <c r="M673" s="19" t="b">
        <v>0</v>
      </c>
      <c r="N673" s="19" t="b">
        <v>0</v>
      </c>
      <c r="O673" s="19" t="b">
        <v>0</v>
      </c>
      <c r="P673" s="19" t="b">
        <v>1</v>
      </c>
    </row>
    <row r="674" spans="1:16" x14ac:dyDescent="0.2">
      <c r="A674" s="18">
        <v>7744585</v>
      </c>
      <c r="B674" s="18" t="s">
        <v>1945</v>
      </c>
      <c r="C674" s="18" t="s">
        <v>720</v>
      </c>
      <c r="D674" s="18" t="s">
        <v>122</v>
      </c>
      <c r="E674" s="19">
        <v>44842</v>
      </c>
      <c r="F674" s="18" t="s">
        <v>553</v>
      </c>
      <c r="G674" s="19">
        <v>44847</v>
      </c>
      <c r="H674" s="19">
        <v>44896</v>
      </c>
      <c r="I674" s="18" t="s">
        <v>28</v>
      </c>
      <c r="J674" s="19" t="b">
        <v>1</v>
      </c>
      <c r="K674" s="19" t="b">
        <v>0</v>
      </c>
      <c r="L674" s="19" t="b">
        <v>0</v>
      </c>
      <c r="M674" s="19" t="b">
        <v>0</v>
      </c>
      <c r="N674" s="19" t="b">
        <v>0</v>
      </c>
      <c r="O674" s="19" t="b">
        <v>0</v>
      </c>
      <c r="P674" s="19" t="b">
        <v>1</v>
      </c>
    </row>
    <row r="675" spans="1:16" x14ac:dyDescent="0.2">
      <c r="A675" s="18">
        <v>7744585</v>
      </c>
      <c r="B675" s="18" t="s">
        <v>1946</v>
      </c>
      <c r="C675" s="18" t="s">
        <v>720</v>
      </c>
      <c r="D675" s="18" t="s">
        <v>122</v>
      </c>
      <c r="E675" s="19">
        <v>45011</v>
      </c>
      <c r="F675" s="18" t="s">
        <v>1947</v>
      </c>
      <c r="G675" s="19">
        <v>45019</v>
      </c>
      <c r="H675" s="19">
        <v>45079</v>
      </c>
      <c r="I675" s="18" t="s">
        <v>28</v>
      </c>
      <c r="J675" s="19" t="b">
        <v>1</v>
      </c>
      <c r="K675" s="19" t="b">
        <v>0</v>
      </c>
      <c r="L675" s="19" t="b">
        <v>0</v>
      </c>
      <c r="M675" s="19" t="b">
        <v>0</v>
      </c>
      <c r="N675" s="19" t="b">
        <v>0</v>
      </c>
      <c r="O675" s="19" t="b">
        <v>0</v>
      </c>
      <c r="P675" s="19" t="b">
        <v>1</v>
      </c>
    </row>
    <row r="676" spans="1:16" x14ac:dyDescent="0.2">
      <c r="A676" s="18">
        <v>7744585</v>
      </c>
      <c r="B676" s="18" t="s">
        <v>1948</v>
      </c>
      <c r="C676" s="18" t="s">
        <v>720</v>
      </c>
      <c r="D676" s="18" t="s">
        <v>122</v>
      </c>
      <c r="E676" s="19">
        <v>44947</v>
      </c>
      <c r="F676" s="18" t="s">
        <v>1949</v>
      </c>
      <c r="G676" s="19">
        <v>44972</v>
      </c>
      <c r="H676" s="19">
        <v>44983</v>
      </c>
      <c r="I676" s="18" t="s">
        <v>43</v>
      </c>
      <c r="J676" s="19" t="b">
        <v>1</v>
      </c>
      <c r="K676" s="19" t="b">
        <v>0</v>
      </c>
      <c r="L676" s="19" t="b">
        <v>0</v>
      </c>
      <c r="M676" s="19" t="b">
        <v>0</v>
      </c>
      <c r="N676" s="19" t="b">
        <v>0</v>
      </c>
      <c r="O676" s="19" t="b">
        <v>1</v>
      </c>
      <c r="P676" s="19" t="b">
        <v>0</v>
      </c>
    </row>
    <row r="677" spans="1:16" x14ac:dyDescent="0.2">
      <c r="A677" s="18">
        <v>4010048</v>
      </c>
      <c r="B677" s="18" t="s">
        <v>1951</v>
      </c>
      <c r="C677" s="18" t="s">
        <v>310</v>
      </c>
      <c r="D677" s="18" t="s">
        <v>122</v>
      </c>
      <c r="E677" s="19">
        <v>45049</v>
      </c>
      <c r="F677" s="18" t="s">
        <v>1952</v>
      </c>
      <c r="G677" s="19">
        <v>45072</v>
      </c>
      <c r="H677" s="19">
        <v>45081</v>
      </c>
      <c r="I677" s="18"/>
      <c r="J677" s="19" t="b">
        <v>1</v>
      </c>
      <c r="K677" s="19" t="b">
        <v>0</v>
      </c>
      <c r="L677" s="19" t="b">
        <v>0</v>
      </c>
      <c r="M677" s="19" t="b">
        <v>0</v>
      </c>
      <c r="N677" s="19" t="b">
        <v>0</v>
      </c>
      <c r="O677" s="19" t="b">
        <v>0</v>
      </c>
      <c r="P677" s="19" t="b">
        <v>0</v>
      </c>
    </row>
    <row r="678" spans="1:16" x14ac:dyDescent="0.2">
      <c r="A678" s="18">
        <v>4010048</v>
      </c>
      <c r="B678" s="18" t="s">
        <v>1955</v>
      </c>
      <c r="C678" s="18" t="s">
        <v>310</v>
      </c>
      <c r="D678" s="18" t="s">
        <v>122</v>
      </c>
      <c r="E678" s="19">
        <v>44600</v>
      </c>
      <c r="F678" s="18" t="s">
        <v>1956</v>
      </c>
      <c r="G678" s="19">
        <v>44620</v>
      </c>
      <c r="H678" s="19">
        <v>44632</v>
      </c>
      <c r="I678" s="18" t="s">
        <v>43</v>
      </c>
      <c r="J678" s="19" t="b">
        <v>1</v>
      </c>
      <c r="K678" s="19" t="b">
        <v>0</v>
      </c>
      <c r="L678" s="19" t="b">
        <v>0</v>
      </c>
      <c r="M678" s="19" t="b">
        <v>0</v>
      </c>
      <c r="N678" s="19" t="b">
        <v>0</v>
      </c>
      <c r="O678" s="19" t="b">
        <v>1</v>
      </c>
      <c r="P678" s="19" t="b">
        <v>0</v>
      </c>
    </row>
    <row r="679" spans="1:16" x14ac:dyDescent="0.2">
      <c r="A679" s="18">
        <v>4010048</v>
      </c>
      <c r="B679" s="18" t="s">
        <v>1957</v>
      </c>
      <c r="C679" s="18" t="s">
        <v>310</v>
      </c>
      <c r="D679" s="18" t="s">
        <v>122</v>
      </c>
      <c r="E679" s="19">
        <v>44870</v>
      </c>
      <c r="F679" s="18" t="s">
        <v>311</v>
      </c>
      <c r="G679" s="19">
        <v>44882</v>
      </c>
      <c r="H679" s="19">
        <v>44909</v>
      </c>
      <c r="I679" s="18" t="s">
        <v>16</v>
      </c>
      <c r="J679" s="19" t="b">
        <v>1</v>
      </c>
      <c r="K679" s="19" t="b">
        <v>0</v>
      </c>
      <c r="L679" s="19" t="b">
        <v>0</v>
      </c>
      <c r="M679" s="19" t="b">
        <v>0</v>
      </c>
      <c r="N679" s="19" t="b">
        <v>1</v>
      </c>
      <c r="O679" s="19" t="b">
        <v>0</v>
      </c>
      <c r="P679" s="19" t="b">
        <v>0</v>
      </c>
    </row>
    <row r="680" spans="1:16" x14ac:dyDescent="0.2">
      <c r="A680" s="18">
        <v>2605308</v>
      </c>
      <c r="B680" s="18" t="s">
        <v>1960</v>
      </c>
      <c r="C680" s="18" t="s">
        <v>121</v>
      </c>
      <c r="D680" s="18" t="s">
        <v>39</v>
      </c>
      <c r="E680" s="19">
        <v>44775</v>
      </c>
      <c r="F680" s="18" t="s">
        <v>1961</v>
      </c>
      <c r="G680" s="19">
        <v>44784</v>
      </c>
      <c r="H680" s="19">
        <v>44788</v>
      </c>
      <c r="I680" s="18"/>
      <c r="J680" s="19" t="b">
        <v>1</v>
      </c>
      <c r="K680" s="19" t="b">
        <v>0</v>
      </c>
      <c r="L680" s="19" t="b">
        <v>0</v>
      </c>
      <c r="M680" s="19" t="b">
        <v>0</v>
      </c>
      <c r="N680" s="19" t="b">
        <v>0</v>
      </c>
      <c r="O680" s="19" t="b">
        <v>0</v>
      </c>
      <c r="P680" s="19" t="b">
        <v>0</v>
      </c>
    </row>
    <row r="681" spans="1:16" x14ac:dyDescent="0.2">
      <c r="A681" s="18">
        <v>2605308</v>
      </c>
      <c r="B681" s="18" t="s">
        <v>1965</v>
      </c>
      <c r="C681" s="18" t="s">
        <v>121</v>
      </c>
      <c r="D681" s="18" t="s">
        <v>39</v>
      </c>
      <c r="E681" s="19">
        <v>44904</v>
      </c>
      <c r="F681" s="18" t="s">
        <v>1966</v>
      </c>
      <c r="G681" s="19">
        <v>44924</v>
      </c>
      <c r="H681" s="19">
        <v>44976</v>
      </c>
      <c r="I681" s="18" t="s">
        <v>43</v>
      </c>
      <c r="J681" s="19" t="b">
        <v>1</v>
      </c>
      <c r="K681" s="19" t="b">
        <v>0</v>
      </c>
      <c r="L681" s="19" t="b">
        <v>0</v>
      </c>
      <c r="M681" s="19" t="b">
        <v>0</v>
      </c>
      <c r="N681" s="19" t="b">
        <v>0</v>
      </c>
      <c r="O681" s="19" t="b">
        <v>1</v>
      </c>
      <c r="P681" s="19" t="b">
        <v>0</v>
      </c>
    </row>
    <row r="682" spans="1:16" x14ac:dyDescent="0.2">
      <c r="A682" s="18">
        <v>2605308</v>
      </c>
      <c r="B682" s="18" t="s">
        <v>1967</v>
      </c>
      <c r="C682" s="18" t="s">
        <v>121</v>
      </c>
      <c r="D682" s="18" t="s">
        <v>39</v>
      </c>
      <c r="E682" s="19">
        <v>44615</v>
      </c>
      <c r="F682" s="18" t="s">
        <v>944</v>
      </c>
      <c r="G682" s="19">
        <v>44645</v>
      </c>
      <c r="H682" s="19">
        <v>44680</v>
      </c>
      <c r="I682" s="18"/>
      <c r="J682" s="19" t="b">
        <v>1</v>
      </c>
      <c r="K682" s="19" t="b">
        <v>0</v>
      </c>
      <c r="L682" s="19" t="b">
        <v>0</v>
      </c>
      <c r="M682" s="19" t="b">
        <v>0</v>
      </c>
      <c r="N682" s="19" t="b">
        <v>0</v>
      </c>
      <c r="O682" s="19" t="b">
        <v>0</v>
      </c>
      <c r="P682" s="19" t="b">
        <v>0</v>
      </c>
    </row>
    <row r="683" spans="1:16" x14ac:dyDescent="0.2">
      <c r="A683" s="18">
        <v>3950904</v>
      </c>
      <c r="B683" s="18" t="s">
        <v>1968</v>
      </c>
      <c r="C683" s="18" t="s">
        <v>38</v>
      </c>
      <c r="D683" s="18" t="s">
        <v>56</v>
      </c>
      <c r="E683" s="19">
        <v>45017</v>
      </c>
      <c r="F683" s="18" t="s">
        <v>1969</v>
      </c>
      <c r="G683" s="19">
        <v>45036</v>
      </c>
      <c r="H683" s="19">
        <v>45074</v>
      </c>
      <c r="I683" s="18" t="s">
        <v>16</v>
      </c>
      <c r="J683" s="19" t="b">
        <v>1</v>
      </c>
      <c r="K683" s="19" t="b">
        <v>0</v>
      </c>
      <c r="L683" s="19" t="b">
        <v>0</v>
      </c>
      <c r="M683" s="19" t="b">
        <v>0</v>
      </c>
      <c r="N683" s="19" t="b">
        <v>1</v>
      </c>
      <c r="O683" s="19" t="b">
        <v>0</v>
      </c>
      <c r="P683" s="19" t="b">
        <v>0</v>
      </c>
    </row>
    <row r="684" spans="1:16" x14ac:dyDescent="0.2">
      <c r="A684" s="18">
        <v>3950904</v>
      </c>
      <c r="B684" s="18" t="s">
        <v>1970</v>
      </c>
      <c r="C684" s="18" t="s">
        <v>38</v>
      </c>
      <c r="D684" s="18" t="s">
        <v>56</v>
      </c>
      <c r="E684" s="19">
        <v>44895</v>
      </c>
      <c r="F684" s="18" t="s">
        <v>1481</v>
      </c>
      <c r="G684" s="19">
        <v>44903</v>
      </c>
      <c r="H684" s="19">
        <v>44953</v>
      </c>
      <c r="I684" s="18" t="s">
        <v>43</v>
      </c>
      <c r="J684" s="19" t="b">
        <v>1</v>
      </c>
      <c r="K684" s="19" t="b">
        <v>0</v>
      </c>
      <c r="L684" s="19" t="b">
        <v>0</v>
      </c>
      <c r="M684" s="19" t="b">
        <v>0</v>
      </c>
      <c r="N684" s="19" t="b">
        <v>0</v>
      </c>
      <c r="O684" s="19" t="b">
        <v>1</v>
      </c>
      <c r="P684" s="19" t="b">
        <v>0</v>
      </c>
    </row>
    <row r="685" spans="1:16" x14ac:dyDescent="0.2">
      <c r="A685" s="18">
        <v>3950904</v>
      </c>
      <c r="B685" s="18" t="s">
        <v>1973</v>
      </c>
      <c r="C685" s="18" t="s">
        <v>38</v>
      </c>
      <c r="D685" s="18" t="s">
        <v>56</v>
      </c>
      <c r="E685" s="19">
        <v>44787</v>
      </c>
      <c r="F685" s="18" t="s">
        <v>1974</v>
      </c>
      <c r="G685" s="19">
        <v>44790</v>
      </c>
      <c r="H685" s="19">
        <v>44821</v>
      </c>
      <c r="I685" s="18" t="s">
        <v>43</v>
      </c>
      <c r="J685" s="19" t="b">
        <v>1</v>
      </c>
      <c r="K685" s="19" t="b">
        <v>0</v>
      </c>
      <c r="L685" s="19" t="b">
        <v>0</v>
      </c>
      <c r="M685" s="19" t="b">
        <v>0</v>
      </c>
      <c r="N685" s="19" t="b">
        <v>0</v>
      </c>
      <c r="O685" s="19" t="b">
        <v>1</v>
      </c>
      <c r="P685" s="19" t="b">
        <v>0</v>
      </c>
    </row>
    <row r="686" spans="1:16" x14ac:dyDescent="0.2">
      <c r="A686" s="18">
        <v>3630468</v>
      </c>
      <c r="B686" s="18" t="s">
        <v>1984</v>
      </c>
      <c r="C686" s="18" t="s">
        <v>47</v>
      </c>
      <c r="D686" s="18" t="s">
        <v>81</v>
      </c>
      <c r="E686" s="19">
        <v>45096</v>
      </c>
      <c r="F686" s="18" t="s">
        <v>1985</v>
      </c>
      <c r="G686" s="19">
        <v>45112</v>
      </c>
      <c r="H686" s="19">
        <v>45168</v>
      </c>
      <c r="I686" s="18" t="s">
        <v>43</v>
      </c>
      <c r="J686" s="19" t="b">
        <v>1</v>
      </c>
      <c r="K686" s="19" t="b">
        <v>0</v>
      </c>
      <c r="L686" s="19" t="b">
        <v>0</v>
      </c>
      <c r="M686" s="19" t="b">
        <v>0</v>
      </c>
      <c r="N686" s="19" t="b">
        <v>0</v>
      </c>
      <c r="O686" s="19" t="b">
        <v>1</v>
      </c>
      <c r="P686" s="19" t="b">
        <v>0</v>
      </c>
    </row>
    <row r="687" spans="1:16" x14ac:dyDescent="0.2">
      <c r="A687" s="18">
        <v>3630468</v>
      </c>
      <c r="B687" s="18" t="s">
        <v>1986</v>
      </c>
      <c r="C687" s="18" t="s">
        <v>47</v>
      </c>
      <c r="D687" s="18" t="s">
        <v>81</v>
      </c>
      <c r="E687" s="19">
        <v>44847</v>
      </c>
      <c r="F687" s="18" t="s">
        <v>1987</v>
      </c>
      <c r="G687" s="19">
        <v>44848</v>
      </c>
      <c r="H687" s="19">
        <v>44895</v>
      </c>
      <c r="I687" s="18"/>
      <c r="J687" s="19" t="b">
        <v>1</v>
      </c>
      <c r="K687" s="19" t="b">
        <v>0</v>
      </c>
      <c r="L687" s="19" t="b">
        <v>0</v>
      </c>
      <c r="M687" s="19" t="b">
        <v>0</v>
      </c>
      <c r="N687" s="19" t="b">
        <v>0</v>
      </c>
      <c r="O687" s="19" t="b">
        <v>0</v>
      </c>
      <c r="P687" s="19" t="b">
        <v>0</v>
      </c>
    </row>
    <row r="688" spans="1:16" x14ac:dyDescent="0.2">
      <c r="A688" s="18">
        <v>8182500</v>
      </c>
      <c r="B688" s="18" t="s">
        <v>1990</v>
      </c>
      <c r="C688" s="18" t="s">
        <v>138</v>
      </c>
      <c r="D688" s="18" t="s">
        <v>19</v>
      </c>
      <c r="E688" s="19">
        <v>44603</v>
      </c>
      <c r="F688" s="18" t="s">
        <v>1287</v>
      </c>
      <c r="G688" s="19">
        <v>44619</v>
      </c>
      <c r="H688" s="19">
        <v>44666</v>
      </c>
      <c r="I688" s="18" t="s">
        <v>16</v>
      </c>
      <c r="J688" s="19" t="b">
        <v>1</v>
      </c>
      <c r="K688" s="19" t="b">
        <v>0</v>
      </c>
      <c r="L688" s="19" t="b">
        <v>0</v>
      </c>
      <c r="M688" s="19" t="b">
        <v>0</v>
      </c>
      <c r="N688" s="19" t="b">
        <v>1</v>
      </c>
      <c r="O688" s="19" t="b">
        <v>0</v>
      </c>
      <c r="P688" s="19" t="b">
        <v>0</v>
      </c>
    </row>
    <row r="689" spans="1:16" x14ac:dyDescent="0.2">
      <c r="A689" s="18">
        <v>9459346</v>
      </c>
      <c r="B689" s="18" t="s">
        <v>1993</v>
      </c>
      <c r="C689" s="18" t="s">
        <v>521</v>
      </c>
      <c r="D689" s="18" t="s">
        <v>60</v>
      </c>
      <c r="E689" s="19">
        <v>44574</v>
      </c>
      <c r="F689" s="18" t="s">
        <v>1994</v>
      </c>
      <c r="G689" s="19">
        <v>44597</v>
      </c>
      <c r="H689" s="19">
        <v>44644</v>
      </c>
      <c r="I689" s="18" t="s">
        <v>16</v>
      </c>
      <c r="J689" s="19" t="b">
        <v>1</v>
      </c>
      <c r="K689" s="19" t="b">
        <v>0</v>
      </c>
      <c r="L689" s="19" t="b">
        <v>0</v>
      </c>
      <c r="M689" s="19" t="b">
        <v>0</v>
      </c>
      <c r="N689" s="19" t="b">
        <v>1</v>
      </c>
      <c r="O689" s="19" t="b">
        <v>0</v>
      </c>
      <c r="P689" s="19" t="b">
        <v>0</v>
      </c>
    </row>
    <row r="690" spans="1:16" x14ac:dyDescent="0.2">
      <c r="A690" s="18">
        <v>9459346</v>
      </c>
      <c r="B690" s="18" t="s">
        <v>1995</v>
      </c>
      <c r="C690" s="18" t="s">
        <v>521</v>
      </c>
      <c r="D690" s="18" t="s">
        <v>60</v>
      </c>
      <c r="E690" s="19">
        <v>44864</v>
      </c>
      <c r="F690" s="18" t="s">
        <v>1996</v>
      </c>
      <c r="G690" s="19">
        <v>44872</v>
      </c>
      <c r="H690" s="19">
        <v>44914</v>
      </c>
      <c r="I690" s="18" t="s">
        <v>43</v>
      </c>
      <c r="J690" s="19" t="b">
        <v>1</v>
      </c>
      <c r="K690" s="19" t="b">
        <v>0</v>
      </c>
      <c r="L690" s="19" t="b">
        <v>0</v>
      </c>
      <c r="M690" s="19" t="b">
        <v>0</v>
      </c>
      <c r="N690" s="19" t="b">
        <v>0</v>
      </c>
      <c r="O690" s="19" t="b">
        <v>1</v>
      </c>
      <c r="P690" s="19" t="b">
        <v>0</v>
      </c>
    </row>
    <row r="691" spans="1:16" x14ac:dyDescent="0.2">
      <c r="A691" s="18">
        <v>9459346</v>
      </c>
      <c r="B691" s="18" t="s">
        <v>1997</v>
      </c>
      <c r="C691" s="18" t="s">
        <v>521</v>
      </c>
      <c r="D691" s="18" t="s">
        <v>60</v>
      </c>
      <c r="E691" s="19">
        <v>44874</v>
      </c>
      <c r="F691" s="18" t="s">
        <v>1433</v>
      </c>
      <c r="G691" s="19">
        <v>44880</v>
      </c>
      <c r="H691" s="19">
        <v>44926</v>
      </c>
      <c r="I691" s="18" t="s">
        <v>16</v>
      </c>
      <c r="J691" s="19" t="b">
        <v>1</v>
      </c>
      <c r="K691" s="19" t="b">
        <v>0</v>
      </c>
      <c r="L691" s="19" t="b">
        <v>0</v>
      </c>
      <c r="M691" s="19" t="b">
        <v>0</v>
      </c>
      <c r="N691" s="19" t="b">
        <v>1</v>
      </c>
      <c r="O691" s="19" t="b">
        <v>0</v>
      </c>
      <c r="P691" s="19" t="b">
        <v>0</v>
      </c>
    </row>
    <row r="692" spans="1:16" x14ac:dyDescent="0.2">
      <c r="A692" s="18">
        <v>9459346</v>
      </c>
      <c r="B692" s="18" t="s">
        <v>1998</v>
      </c>
      <c r="C692" s="18" t="s">
        <v>521</v>
      </c>
      <c r="D692" s="18" t="s">
        <v>60</v>
      </c>
      <c r="E692" s="19">
        <v>44703</v>
      </c>
      <c r="F692" s="18" t="s">
        <v>1999</v>
      </c>
      <c r="G692" s="19">
        <v>44731</v>
      </c>
      <c r="H692" s="19">
        <v>44777</v>
      </c>
      <c r="I692" s="18" t="s">
        <v>16</v>
      </c>
      <c r="J692" s="19" t="b">
        <v>1</v>
      </c>
      <c r="K692" s="19" t="b">
        <v>0</v>
      </c>
      <c r="L692" s="19" t="b">
        <v>0</v>
      </c>
      <c r="M692" s="19" t="b">
        <v>0</v>
      </c>
      <c r="N692" s="19" t="b">
        <v>1</v>
      </c>
      <c r="O692" s="19" t="b">
        <v>0</v>
      </c>
      <c r="P692" s="19" t="b">
        <v>0</v>
      </c>
    </row>
    <row r="693" spans="1:16" x14ac:dyDescent="0.2">
      <c r="A693" s="18">
        <v>7800818</v>
      </c>
      <c r="B693" s="18" t="s">
        <v>2000</v>
      </c>
      <c r="C693" s="18" t="s">
        <v>38</v>
      </c>
      <c r="D693" s="18" t="s">
        <v>39</v>
      </c>
      <c r="E693" s="19">
        <v>44634</v>
      </c>
      <c r="F693" s="18" t="s">
        <v>487</v>
      </c>
      <c r="G693" s="19">
        <v>44647</v>
      </c>
      <c r="H693" s="19">
        <v>44705</v>
      </c>
      <c r="I693" s="18" t="s">
        <v>16</v>
      </c>
      <c r="J693" s="19" t="b">
        <v>1</v>
      </c>
      <c r="K693" s="19" t="b">
        <v>0</v>
      </c>
      <c r="L693" s="19" t="b">
        <v>0</v>
      </c>
      <c r="M693" s="19" t="b">
        <v>0</v>
      </c>
      <c r="N693" s="19" t="b">
        <v>1</v>
      </c>
      <c r="O693" s="19" t="b">
        <v>0</v>
      </c>
      <c r="P693" s="19" t="b">
        <v>0</v>
      </c>
    </row>
    <row r="694" spans="1:16" x14ac:dyDescent="0.2">
      <c r="A694" s="18">
        <v>7800818</v>
      </c>
      <c r="B694" s="18" t="s">
        <v>2001</v>
      </c>
      <c r="C694" s="18" t="s">
        <v>38</v>
      </c>
      <c r="D694" s="18" t="s">
        <v>39</v>
      </c>
      <c r="E694" s="19">
        <v>44838</v>
      </c>
      <c r="F694" s="18" t="s">
        <v>65</v>
      </c>
      <c r="G694" s="19">
        <v>44861</v>
      </c>
      <c r="H694" s="19">
        <v>44901</v>
      </c>
      <c r="I694" s="18" t="s">
        <v>16</v>
      </c>
      <c r="J694" s="19" t="b">
        <v>1</v>
      </c>
      <c r="K694" s="19" t="b">
        <v>0</v>
      </c>
      <c r="L694" s="19" t="b">
        <v>0</v>
      </c>
      <c r="M694" s="19" t="b">
        <v>0</v>
      </c>
      <c r="N694" s="19" t="b">
        <v>1</v>
      </c>
      <c r="O694" s="19" t="b">
        <v>0</v>
      </c>
      <c r="P694" s="19" t="b">
        <v>0</v>
      </c>
    </row>
    <row r="695" spans="1:16" x14ac:dyDescent="0.2">
      <c r="A695" s="18">
        <v>7800818</v>
      </c>
      <c r="B695" s="18" t="s">
        <v>2002</v>
      </c>
      <c r="C695" s="18" t="s">
        <v>38</v>
      </c>
      <c r="D695" s="18" t="s">
        <v>39</v>
      </c>
      <c r="E695" s="19">
        <v>44644</v>
      </c>
      <c r="F695" s="18" t="s">
        <v>1360</v>
      </c>
      <c r="G695" s="19">
        <v>44664</v>
      </c>
      <c r="H695" s="19">
        <v>44721</v>
      </c>
      <c r="I695" s="18" t="s">
        <v>43</v>
      </c>
      <c r="J695" s="19" t="b">
        <v>1</v>
      </c>
      <c r="K695" s="19" t="b">
        <v>0</v>
      </c>
      <c r="L695" s="19" t="b">
        <v>0</v>
      </c>
      <c r="M695" s="19" t="b">
        <v>0</v>
      </c>
      <c r="N695" s="19" t="b">
        <v>0</v>
      </c>
      <c r="O695" s="19" t="b">
        <v>1</v>
      </c>
      <c r="P695" s="19" t="b">
        <v>0</v>
      </c>
    </row>
    <row r="696" spans="1:16" x14ac:dyDescent="0.2">
      <c r="A696" s="18">
        <v>7800818</v>
      </c>
      <c r="B696" s="18" t="s">
        <v>2003</v>
      </c>
      <c r="C696" s="18" t="s">
        <v>38</v>
      </c>
      <c r="D696" s="18" t="s">
        <v>39</v>
      </c>
      <c r="E696" s="19">
        <v>44934</v>
      </c>
      <c r="F696" s="18" t="s">
        <v>2004</v>
      </c>
      <c r="G696" s="19">
        <v>44963</v>
      </c>
      <c r="H696" s="19">
        <v>44967</v>
      </c>
      <c r="I696" s="18" t="s">
        <v>16</v>
      </c>
      <c r="J696" s="19" t="b">
        <v>1</v>
      </c>
      <c r="K696" s="19" t="b">
        <v>0</v>
      </c>
      <c r="L696" s="19" t="b">
        <v>0</v>
      </c>
      <c r="M696" s="19" t="b">
        <v>0</v>
      </c>
      <c r="N696" s="19" t="b">
        <v>1</v>
      </c>
      <c r="O696" s="19" t="b">
        <v>0</v>
      </c>
      <c r="P696" s="19" t="b">
        <v>0</v>
      </c>
    </row>
    <row r="697" spans="1:16" x14ac:dyDescent="0.2">
      <c r="A697" s="18">
        <v>2861709</v>
      </c>
      <c r="B697" s="18" t="s">
        <v>2005</v>
      </c>
      <c r="C697" s="18" t="s">
        <v>59</v>
      </c>
      <c r="D697" s="18" t="s">
        <v>39</v>
      </c>
      <c r="E697" s="19">
        <v>44630</v>
      </c>
      <c r="F697" s="18" t="s">
        <v>1500</v>
      </c>
      <c r="G697" s="19">
        <v>44648</v>
      </c>
      <c r="H697" s="19">
        <v>44694</v>
      </c>
      <c r="I697" s="18" t="s">
        <v>28</v>
      </c>
      <c r="J697" s="19" t="b">
        <v>1</v>
      </c>
      <c r="K697" s="19" t="b">
        <v>0</v>
      </c>
      <c r="L697" s="19" t="b">
        <v>0</v>
      </c>
      <c r="M697" s="19" t="b">
        <v>0</v>
      </c>
      <c r="N697" s="19" t="b">
        <v>0</v>
      </c>
      <c r="O697" s="19" t="b">
        <v>0</v>
      </c>
      <c r="P697" s="19" t="b">
        <v>1</v>
      </c>
    </row>
    <row r="698" spans="1:16" x14ac:dyDescent="0.2">
      <c r="A698" s="18">
        <v>2861709</v>
      </c>
      <c r="B698" s="18" t="s">
        <v>2006</v>
      </c>
      <c r="C698" s="18" t="s">
        <v>59</v>
      </c>
      <c r="D698" s="18" t="s">
        <v>39</v>
      </c>
      <c r="E698" s="19">
        <v>44678</v>
      </c>
      <c r="F698" s="18" t="s">
        <v>2007</v>
      </c>
      <c r="G698" s="19">
        <v>44699</v>
      </c>
      <c r="H698" s="19">
        <v>44730</v>
      </c>
      <c r="I698" s="18" t="s">
        <v>43</v>
      </c>
      <c r="J698" s="19" t="b">
        <v>1</v>
      </c>
      <c r="K698" s="19" t="b">
        <v>0</v>
      </c>
      <c r="L698" s="19" t="b">
        <v>0</v>
      </c>
      <c r="M698" s="19" t="b">
        <v>0</v>
      </c>
      <c r="N698" s="19" t="b">
        <v>0</v>
      </c>
      <c r="O698" s="19" t="b">
        <v>1</v>
      </c>
      <c r="P698" s="19" t="b">
        <v>0</v>
      </c>
    </row>
    <row r="699" spans="1:16" x14ac:dyDescent="0.2">
      <c r="A699" s="18">
        <v>2861709</v>
      </c>
      <c r="B699" s="18" t="s">
        <v>2008</v>
      </c>
      <c r="C699" s="18" t="s">
        <v>59</v>
      </c>
      <c r="D699" s="18" t="s">
        <v>39</v>
      </c>
      <c r="E699" s="19">
        <v>44792</v>
      </c>
      <c r="F699" s="18" t="s">
        <v>1362</v>
      </c>
      <c r="G699" s="19">
        <v>44803</v>
      </c>
      <c r="H699" s="19">
        <v>44826</v>
      </c>
      <c r="I699" s="18" t="s">
        <v>43</v>
      </c>
      <c r="J699" s="19" t="b">
        <v>1</v>
      </c>
      <c r="K699" s="19" t="b">
        <v>0</v>
      </c>
      <c r="L699" s="19" t="b">
        <v>0</v>
      </c>
      <c r="M699" s="19" t="b">
        <v>0</v>
      </c>
      <c r="N699" s="19" t="b">
        <v>0</v>
      </c>
      <c r="O699" s="19" t="b">
        <v>1</v>
      </c>
      <c r="P699" s="19" t="b">
        <v>0</v>
      </c>
    </row>
    <row r="700" spans="1:16" x14ac:dyDescent="0.2">
      <c r="A700" s="18">
        <v>2861709</v>
      </c>
      <c r="B700" s="18" t="s">
        <v>2009</v>
      </c>
      <c r="C700" s="18" t="s">
        <v>59</v>
      </c>
      <c r="D700" s="18" t="s">
        <v>39</v>
      </c>
      <c r="E700" s="19">
        <v>44626</v>
      </c>
      <c r="F700" s="18" t="s">
        <v>2010</v>
      </c>
      <c r="G700" s="19">
        <v>44638</v>
      </c>
      <c r="H700" s="19">
        <v>44661</v>
      </c>
      <c r="I700" s="18"/>
      <c r="J700" s="19" t="b">
        <v>1</v>
      </c>
      <c r="K700" s="19" t="b">
        <v>0</v>
      </c>
      <c r="L700" s="19" t="b">
        <v>0</v>
      </c>
      <c r="M700" s="19" t="b">
        <v>0</v>
      </c>
      <c r="N700" s="19" t="b">
        <v>0</v>
      </c>
      <c r="O700" s="19" t="b">
        <v>0</v>
      </c>
      <c r="P700" s="19" t="b">
        <v>0</v>
      </c>
    </row>
    <row r="701" spans="1:16" x14ac:dyDescent="0.2">
      <c r="A701" s="18">
        <v>8590191</v>
      </c>
      <c r="B701" s="18" t="s">
        <v>2011</v>
      </c>
      <c r="C701" s="18" t="s">
        <v>363</v>
      </c>
      <c r="D701" s="18" t="s">
        <v>139</v>
      </c>
      <c r="E701" s="19">
        <v>45107</v>
      </c>
      <c r="F701" s="18" t="s">
        <v>2012</v>
      </c>
      <c r="G701" s="19">
        <v>45136</v>
      </c>
      <c r="H701" s="19">
        <v>45155</v>
      </c>
      <c r="I701" s="18"/>
      <c r="J701" s="19" t="b">
        <v>1</v>
      </c>
      <c r="K701" s="19" t="b">
        <v>0</v>
      </c>
      <c r="L701" s="19" t="b">
        <v>0</v>
      </c>
      <c r="M701" s="19" t="b">
        <v>0</v>
      </c>
      <c r="N701" s="19" t="b">
        <v>0</v>
      </c>
      <c r="O701" s="19" t="b">
        <v>0</v>
      </c>
      <c r="P701" s="19" t="b">
        <v>0</v>
      </c>
    </row>
    <row r="702" spans="1:16" x14ac:dyDescent="0.2">
      <c r="A702" s="18">
        <v>8590191</v>
      </c>
      <c r="B702" s="18" t="s">
        <v>2013</v>
      </c>
      <c r="C702" s="18" t="s">
        <v>363</v>
      </c>
      <c r="D702" s="18" t="s">
        <v>139</v>
      </c>
      <c r="E702" s="19">
        <v>44629</v>
      </c>
      <c r="F702" s="18" t="s">
        <v>2014</v>
      </c>
      <c r="G702" s="19">
        <v>44636</v>
      </c>
      <c r="H702" s="19">
        <v>44694</v>
      </c>
      <c r="I702" s="18" t="s">
        <v>28</v>
      </c>
      <c r="J702" s="19" t="b">
        <v>1</v>
      </c>
      <c r="K702" s="19" t="b">
        <v>0</v>
      </c>
      <c r="L702" s="19" t="b">
        <v>0</v>
      </c>
      <c r="M702" s="19" t="b">
        <v>0</v>
      </c>
      <c r="N702" s="19" t="b">
        <v>0</v>
      </c>
      <c r="O702" s="19" t="b">
        <v>0</v>
      </c>
      <c r="P702" s="19" t="b">
        <v>1</v>
      </c>
    </row>
    <row r="703" spans="1:16" x14ac:dyDescent="0.2">
      <c r="A703" s="18">
        <v>8590191</v>
      </c>
      <c r="B703" s="18" t="s">
        <v>2015</v>
      </c>
      <c r="C703" s="18" t="s">
        <v>363</v>
      </c>
      <c r="D703" s="18" t="s">
        <v>139</v>
      </c>
      <c r="E703" s="19">
        <v>44745</v>
      </c>
      <c r="F703" s="18" t="s">
        <v>2016</v>
      </c>
      <c r="G703" s="19">
        <v>44755</v>
      </c>
      <c r="H703" s="19">
        <v>44760</v>
      </c>
      <c r="I703" s="18" t="s">
        <v>16</v>
      </c>
      <c r="J703" s="19" t="b">
        <v>1</v>
      </c>
      <c r="K703" s="19" t="b">
        <v>0</v>
      </c>
      <c r="L703" s="19" t="b">
        <v>0</v>
      </c>
      <c r="M703" s="19" t="b">
        <v>0</v>
      </c>
      <c r="N703" s="19" t="b">
        <v>1</v>
      </c>
      <c r="O703" s="19" t="b">
        <v>0</v>
      </c>
      <c r="P703" s="19" t="b">
        <v>0</v>
      </c>
    </row>
    <row r="704" spans="1:16" x14ac:dyDescent="0.2">
      <c r="A704" s="18">
        <v>7988325</v>
      </c>
      <c r="B704" s="18" t="s">
        <v>2020</v>
      </c>
      <c r="C704" s="18" t="s">
        <v>167</v>
      </c>
      <c r="D704" s="18" t="s">
        <v>139</v>
      </c>
      <c r="E704" s="19">
        <v>44583</v>
      </c>
      <c r="F704" s="18" t="s">
        <v>2021</v>
      </c>
      <c r="G704" s="19">
        <v>44593</v>
      </c>
      <c r="H704" s="19">
        <v>44606</v>
      </c>
      <c r="I704" s="18"/>
      <c r="J704" s="19" t="b">
        <v>1</v>
      </c>
      <c r="K704" s="19" t="b">
        <v>0</v>
      </c>
      <c r="L704" s="19" t="b">
        <v>0</v>
      </c>
      <c r="M704" s="19" t="b">
        <v>0</v>
      </c>
      <c r="N704" s="19" t="b">
        <v>0</v>
      </c>
      <c r="O704" s="19" t="b">
        <v>0</v>
      </c>
      <c r="P704" s="19" t="b">
        <v>0</v>
      </c>
    </row>
    <row r="705" spans="1:16" x14ac:dyDescent="0.2">
      <c r="A705" s="18">
        <v>9717785</v>
      </c>
      <c r="B705" s="18" t="s">
        <v>2024</v>
      </c>
      <c r="C705" s="18" t="s">
        <v>265</v>
      </c>
      <c r="D705" s="18" t="s">
        <v>39</v>
      </c>
      <c r="E705" s="19">
        <v>45104</v>
      </c>
      <c r="F705" s="18" t="s">
        <v>2025</v>
      </c>
      <c r="G705" s="19">
        <v>45131</v>
      </c>
      <c r="H705" s="19">
        <v>45167</v>
      </c>
      <c r="I705" s="18" t="s">
        <v>28</v>
      </c>
      <c r="J705" s="19" t="b">
        <v>1</v>
      </c>
      <c r="K705" s="19" t="b">
        <v>0</v>
      </c>
      <c r="L705" s="19" t="b">
        <v>0</v>
      </c>
      <c r="M705" s="19" t="b">
        <v>0</v>
      </c>
      <c r="N705" s="19" t="b">
        <v>0</v>
      </c>
      <c r="O705" s="19" t="b">
        <v>0</v>
      </c>
      <c r="P705" s="19" t="b">
        <v>1</v>
      </c>
    </row>
    <row r="706" spans="1:16" x14ac:dyDescent="0.2">
      <c r="A706" s="18">
        <v>9717785</v>
      </c>
      <c r="B706" s="18" t="s">
        <v>2026</v>
      </c>
      <c r="C706" s="18" t="s">
        <v>265</v>
      </c>
      <c r="D706" s="18" t="s">
        <v>39</v>
      </c>
      <c r="E706" s="19">
        <v>44875</v>
      </c>
      <c r="F706" s="18" t="s">
        <v>1491</v>
      </c>
      <c r="G706" s="19">
        <v>44881</v>
      </c>
      <c r="H706" s="19">
        <v>44932</v>
      </c>
      <c r="I706" s="18" t="s">
        <v>28</v>
      </c>
      <c r="J706" s="19" t="b">
        <v>1</v>
      </c>
      <c r="K706" s="19" t="b">
        <v>0</v>
      </c>
      <c r="L706" s="19" t="b">
        <v>0</v>
      </c>
      <c r="M706" s="19" t="b">
        <v>0</v>
      </c>
      <c r="N706" s="19" t="b">
        <v>0</v>
      </c>
      <c r="O706" s="19" t="b">
        <v>0</v>
      </c>
      <c r="P706" s="19" t="b">
        <v>1</v>
      </c>
    </row>
    <row r="707" spans="1:16" x14ac:dyDescent="0.2">
      <c r="A707" s="18">
        <v>9717785</v>
      </c>
      <c r="B707" s="18" t="s">
        <v>2029</v>
      </c>
      <c r="C707" s="18" t="s">
        <v>265</v>
      </c>
      <c r="D707" s="18" t="s">
        <v>39</v>
      </c>
      <c r="E707" s="19">
        <v>45028</v>
      </c>
      <c r="F707" s="18" t="s">
        <v>1547</v>
      </c>
      <c r="G707" s="19">
        <v>45034</v>
      </c>
      <c r="H707" s="19">
        <v>45074</v>
      </c>
      <c r="I707" s="18" t="s">
        <v>43</v>
      </c>
      <c r="J707" s="19" t="b">
        <v>1</v>
      </c>
      <c r="K707" s="19" t="b">
        <v>0</v>
      </c>
      <c r="L707" s="19" t="b">
        <v>0</v>
      </c>
      <c r="M707" s="19" t="b">
        <v>0</v>
      </c>
      <c r="N707" s="19" t="b">
        <v>0</v>
      </c>
      <c r="O707" s="19" t="b">
        <v>1</v>
      </c>
      <c r="P707" s="19" t="b">
        <v>0</v>
      </c>
    </row>
    <row r="708" spans="1:16" x14ac:dyDescent="0.2">
      <c r="A708" s="18">
        <v>6317433</v>
      </c>
      <c r="B708" s="18" t="s">
        <v>2036</v>
      </c>
      <c r="C708" s="18" t="s">
        <v>542</v>
      </c>
      <c r="D708" s="18" t="s">
        <v>187</v>
      </c>
      <c r="E708" s="19">
        <v>44686</v>
      </c>
      <c r="F708" s="18" t="s">
        <v>2037</v>
      </c>
      <c r="G708" s="19">
        <v>44716</v>
      </c>
      <c r="H708" s="19">
        <v>44718</v>
      </c>
      <c r="I708" s="18" t="s">
        <v>43</v>
      </c>
      <c r="J708" s="19" t="b">
        <v>1</v>
      </c>
      <c r="K708" s="19" t="b">
        <v>0</v>
      </c>
      <c r="L708" s="19" t="b">
        <v>0</v>
      </c>
      <c r="M708" s="19" t="b">
        <v>0</v>
      </c>
      <c r="N708" s="19" t="b">
        <v>0</v>
      </c>
      <c r="O708" s="19" t="b">
        <v>1</v>
      </c>
      <c r="P708" s="19" t="b">
        <v>0</v>
      </c>
    </row>
    <row r="709" spans="1:16" x14ac:dyDescent="0.2">
      <c r="A709" s="18">
        <v>6317433</v>
      </c>
      <c r="B709" s="18" t="s">
        <v>2038</v>
      </c>
      <c r="C709" s="18" t="s">
        <v>542</v>
      </c>
      <c r="D709" s="18" t="s">
        <v>187</v>
      </c>
      <c r="E709" s="19">
        <v>45031</v>
      </c>
      <c r="F709" s="18" t="s">
        <v>2039</v>
      </c>
      <c r="G709" s="19">
        <v>45061</v>
      </c>
      <c r="H709" s="19">
        <v>45082</v>
      </c>
      <c r="I709" s="18"/>
      <c r="J709" s="19" t="b">
        <v>1</v>
      </c>
      <c r="K709" s="19" t="b">
        <v>0</v>
      </c>
      <c r="L709" s="19" t="b">
        <v>0</v>
      </c>
      <c r="M709" s="19" t="b">
        <v>0</v>
      </c>
      <c r="N709" s="19" t="b">
        <v>0</v>
      </c>
      <c r="O709" s="19" t="b">
        <v>0</v>
      </c>
      <c r="P709" s="19" t="b">
        <v>0</v>
      </c>
    </row>
    <row r="710" spans="1:16" x14ac:dyDescent="0.2">
      <c r="A710" s="18">
        <v>5958621</v>
      </c>
      <c r="B710" s="18" t="s">
        <v>2042</v>
      </c>
      <c r="C710" s="18" t="s">
        <v>363</v>
      </c>
      <c r="D710" s="18" t="s">
        <v>11</v>
      </c>
      <c r="E710" s="19">
        <v>44677</v>
      </c>
      <c r="F710" s="18" t="s">
        <v>2043</v>
      </c>
      <c r="G710" s="19">
        <v>44701</v>
      </c>
      <c r="H710" s="19">
        <v>44732</v>
      </c>
      <c r="I710" s="18"/>
      <c r="J710" s="19" t="b">
        <v>1</v>
      </c>
      <c r="K710" s="19" t="b">
        <v>0</v>
      </c>
      <c r="L710" s="19" t="b">
        <v>0</v>
      </c>
      <c r="M710" s="19" t="b">
        <v>0</v>
      </c>
      <c r="N710" s="19" t="b">
        <v>0</v>
      </c>
      <c r="O710" s="19" t="b">
        <v>0</v>
      </c>
      <c r="P710" s="19" t="b">
        <v>0</v>
      </c>
    </row>
    <row r="711" spans="1:16" x14ac:dyDescent="0.2">
      <c r="A711" s="18">
        <v>5958621</v>
      </c>
      <c r="B711" s="18" t="s">
        <v>2044</v>
      </c>
      <c r="C711" s="18" t="s">
        <v>363</v>
      </c>
      <c r="D711" s="18" t="s">
        <v>11</v>
      </c>
      <c r="E711" s="19">
        <v>44681</v>
      </c>
      <c r="F711" s="18" t="s">
        <v>2045</v>
      </c>
      <c r="G711" s="19">
        <v>44691</v>
      </c>
      <c r="H711" s="19">
        <v>44693</v>
      </c>
      <c r="I711" s="18" t="s">
        <v>43</v>
      </c>
      <c r="J711" s="19" t="b">
        <v>1</v>
      </c>
      <c r="K711" s="19" t="b">
        <v>0</v>
      </c>
      <c r="L711" s="19" t="b">
        <v>0</v>
      </c>
      <c r="M711" s="19" t="b">
        <v>0</v>
      </c>
      <c r="N711" s="19" t="b">
        <v>0</v>
      </c>
      <c r="O711" s="19" t="b">
        <v>1</v>
      </c>
      <c r="P711" s="19" t="b">
        <v>0</v>
      </c>
    </row>
    <row r="712" spans="1:16" x14ac:dyDescent="0.2">
      <c r="A712" s="18">
        <v>5958621</v>
      </c>
      <c r="B712" s="18" t="s">
        <v>2046</v>
      </c>
      <c r="C712" s="18" t="s">
        <v>363</v>
      </c>
      <c r="D712" s="18" t="s">
        <v>11</v>
      </c>
      <c r="E712" s="19">
        <v>44656</v>
      </c>
      <c r="F712" s="18" t="s">
        <v>2047</v>
      </c>
      <c r="G712" s="19">
        <v>44667</v>
      </c>
      <c r="H712" s="19">
        <v>44671</v>
      </c>
      <c r="I712" s="18" t="s">
        <v>43</v>
      </c>
      <c r="J712" s="19" t="b">
        <v>1</v>
      </c>
      <c r="K712" s="19" t="b">
        <v>0</v>
      </c>
      <c r="L712" s="19" t="b">
        <v>0</v>
      </c>
      <c r="M712" s="19" t="b">
        <v>0</v>
      </c>
      <c r="N712" s="19" t="b">
        <v>0</v>
      </c>
      <c r="O712" s="19" t="b">
        <v>1</v>
      </c>
      <c r="P712" s="19" t="b">
        <v>0</v>
      </c>
    </row>
    <row r="713" spans="1:16" x14ac:dyDescent="0.2">
      <c r="A713" s="18">
        <v>5958621</v>
      </c>
      <c r="B713" s="18" t="s">
        <v>2048</v>
      </c>
      <c r="C713" s="18" t="s">
        <v>363</v>
      </c>
      <c r="D713" s="18" t="s">
        <v>11</v>
      </c>
      <c r="E713" s="19">
        <v>44789</v>
      </c>
      <c r="F713" s="18" t="s">
        <v>2049</v>
      </c>
      <c r="G713" s="19">
        <v>44815</v>
      </c>
      <c r="H713" s="19">
        <v>44875</v>
      </c>
      <c r="I713" s="18" t="s">
        <v>43</v>
      </c>
      <c r="J713" s="19" t="b">
        <v>1</v>
      </c>
      <c r="K713" s="19" t="b">
        <v>0</v>
      </c>
      <c r="L713" s="19" t="b">
        <v>0</v>
      </c>
      <c r="M713" s="19" t="b">
        <v>0</v>
      </c>
      <c r="N713" s="19" t="b">
        <v>0</v>
      </c>
      <c r="O713" s="19" t="b">
        <v>1</v>
      </c>
      <c r="P713" s="19" t="b">
        <v>0</v>
      </c>
    </row>
    <row r="714" spans="1:16" x14ac:dyDescent="0.2">
      <c r="A714" s="18">
        <v>5958621</v>
      </c>
      <c r="B714" s="18" t="s">
        <v>2050</v>
      </c>
      <c r="C714" s="18" t="s">
        <v>363</v>
      </c>
      <c r="D714" s="18" t="s">
        <v>11</v>
      </c>
      <c r="E714" s="19">
        <v>45018</v>
      </c>
      <c r="F714" s="18" t="s">
        <v>2051</v>
      </c>
      <c r="G714" s="19">
        <v>45040</v>
      </c>
      <c r="H714" s="19">
        <v>45083</v>
      </c>
      <c r="I714" s="18" t="s">
        <v>43</v>
      </c>
      <c r="J714" s="19" t="b">
        <v>1</v>
      </c>
      <c r="K714" s="19" t="b">
        <v>0</v>
      </c>
      <c r="L714" s="19" t="b">
        <v>0</v>
      </c>
      <c r="M714" s="19" t="b">
        <v>0</v>
      </c>
      <c r="N714" s="19" t="b">
        <v>0</v>
      </c>
      <c r="O714" s="19" t="b">
        <v>1</v>
      </c>
      <c r="P714" s="19" t="b">
        <v>0</v>
      </c>
    </row>
    <row r="715" spans="1:16" x14ac:dyDescent="0.2">
      <c r="A715" s="18">
        <v>2465941</v>
      </c>
      <c r="B715" s="18" t="s">
        <v>2052</v>
      </c>
      <c r="C715" s="18" t="s">
        <v>80</v>
      </c>
      <c r="D715" s="18" t="s">
        <v>60</v>
      </c>
      <c r="E715" s="19">
        <v>44931</v>
      </c>
      <c r="F715" s="18" t="s">
        <v>1183</v>
      </c>
      <c r="G715" s="19">
        <v>44944</v>
      </c>
      <c r="H715" s="19">
        <v>44954</v>
      </c>
      <c r="I715" s="18" t="s">
        <v>16</v>
      </c>
      <c r="J715" s="19" t="b">
        <v>1</v>
      </c>
      <c r="K715" s="19" t="b">
        <v>0</v>
      </c>
      <c r="L715" s="19" t="b">
        <v>0</v>
      </c>
      <c r="M715" s="19" t="b">
        <v>0</v>
      </c>
      <c r="N715" s="19" t="b">
        <v>1</v>
      </c>
      <c r="O715" s="19" t="b">
        <v>0</v>
      </c>
      <c r="P715" s="19" t="b">
        <v>0</v>
      </c>
    </row>
    <row r="716" spans="1:16" x14ac:dyDescent="0.2">
      <c r="A716" s="18">
        <v>2465941</v>
      </c>
      <c r="B716" s="18" t="s">
        <v>2053</v>
      </c>
      <c r="C716" s="18" t="s">
        <v>80</v>
      </c>
      <c r="D716" s="18" t="s">
        <v>60</v>
      </c>
      <c r="E716" s="19">
        <v>44943</v>
      </c>
      <c r="F716" s="18" t="s">
        <v>2054</v>
      </c>
      <c r="G716" s="19">
        <v>44944</v>
      </c>
      <c r="H716" s="19">
        <v>44963</v>
      </c>
      <c r="I716" s="18"/>
      <c r="J716" s="19" t="b">
        <v>1</v>
      </c>
      <c r="K716" s="19" t="b">
        <v>0</v>
      </c>
      <c r="L716" s="19" t="b">
        <v>0</v>
      </c>
      <c r="M716" s="19" t="b">
        <v>0</v>
      </c>
      <c r="N716" s="19" t="b">
        <v>0</v>
      </c>
      <c r="O716" s="19" t="b">
        <v>0</v>
      </c>
      <c r="P716" s="19" t="b">
        <v>0</v>
      </c>
    </row>
    <row r="717" spans="1:16" x14ac:dyDescent="0.2">
      <c r="A717" s="18">
        <v>6786800</v>
      </c>
      <c r="B717" s="18" t="s">
        <v>2055</v>
      </c>
      <c r="C717" s="18" t="s">
        <v>542</v>
      </c>
      <c r="D717" s="18" t="s">
        <v>11</v>
      </c>
      <c r="E717" s="19">
        <v>45016</v>
      </c>
      <c r="F717" s="18" t="s">
        <v>1784</v>
      </c>
      <c r="G717" s="19">
        <v>45040</v>
      </c>
      <c r="H717" s="19">
        <v>45067</v>
      </c>
      <c r="I717" s="18" t="s">
        <v>16</v>
      </c>
      <c r="J717" s="19" t="b">
        <v>1</v>
      </c>
      <c r="K717" s="19" t="b">
        <v>0</v>
      </c>
      <c r="L717" s="19" t="b">
        <v>0</v>
      </c>
      <c r="M717" s="19" t="b">
        <v>0</v>
      </c>
      <c r="N717" s="19" t="b">
        <v>1</v>
      </c>
      <c r="O717" s="19" t="b">
        <v>0</v>
      </c>
      <c r="P717" s="19" t="b">
        <v>0</v>
      </c>
    </row>
    <row r="718" spans="1:16" x14ac:dyDescent="0.2">
      <c r="A718" s="18">
        <v>6786800</v>
      </c>
      <c r="B718" s="18" t="s">
        <v>2056</v>
      </c>
      <c r="C718" s="18" t="s">
        <v>542</v>
      </c>
      <c r="D718" s="18" t="s">
        <v>11</v>
      </c>
      <c r="E718" s="19">
        <v>44996</v>
      </c>
      <c r="F718" s="18" t="s">
        <v>475</v>
      </c>
      <c r="G718" s="19">
        <v>45020</v>
      </c>
      <c r="H718" s="19">
        <v>45078</v>
      </c>
      <c r="I718" s="18" t="s">
        <v>28</v>
      </c>
      <c r="J718" s="19" t="b">
        <v>1</v>
      </c>
      <c r="K718" s="19" t="b">
        <v>0</v>
      </c>
      <c r="L718" s="19" t="b">
        <v>0</v>
      </c>
      <c r="M718" s="19" t="b">
        <v>0</v>
      </c>
      <c r="N718" s="19" t="b">
        <v>0</v>
      </c>
      <c r="O718" s="19" t="b">
        <v>0</v>
      </c>
      <c r="P718" s="19" t="b">
        <v>1</v>
      </c>
    </row>
    <row r="719" spans="1:16" x14ac:dyDescent="0.2">
      <c r="A719" s="18">
        <v>6786800</v>
      </c>
      <c r="B719" s="18" t="s">
        <v>2057</v>
      </c>
      <c r="C719" s="18" t="s">
        <v>542</v>
      </c>
      <c r="D719" s="18" t="s">
        <v>11</v>
      </c>
      <c r="E719" s="19">
        <v>44872</v>
      </c>
      <c r="F719" s="18" t="s">
        <v>2058</v>
      </c>
      <c r="G719" s="19">
        <v>44888</v>
      </c>
      <c r="H719" s="19">
        <v>44944</v>
      </c>
      <c r="I719" s="18" t="s">
        <v>16</v>
      </c>
      <c r="J719" s="19" t="b">
        <v>1</v>
      </c>
      <c r="K719" s="19" t="b">
        <v>0</v>
      </c>
      <c r="L719" s="19" t="b">
        <v>0</v>
      </c>
      <c r="M719" s="19" t="b">
        <v>0</v>
      </c>
      <c r="N719" s="19" t="b">
        <v>1</v>
      </c>
      <c r="O719" s="19" t="b">
        <v>0</v>
      </c>
      <c r="P719" s="19" t="b">
        <v>0</v>
      </c>
    </row>
    <row r="720" spans="1:16" x14ac:dyDescent="0.2">
      <c r="A720" s="18">
        <v>6786800</v>
      </c>
      <c r="B720" s="18" t="s">
        <v>2059</v>
      </c>
      <c r="C720" s="18" t="s">
        <v>542</v>
      </c>
      <c r="D720" s="18" t="s">
        <v>11</v>
      </c>
      <c r="E720" s="19">
        <v>44946</v>
      </c>
      <c r="F720" s="18" t="s">
        <v>2060</v>
      </c>
      <c r="G720" s="19">
        <v>44949</v>
      </c>
      <c r="H720" s="19">
        <v>44950</v>
      </c>
      <c r="I720" s="18" t="s">
        <v>28</v>
      </c>
      <c r="J720" s="19" t="b">
        <v>1</v>
      </c>
      <c r="K720" s="19" t="b">
        <v>0</v>
      </c>
      <c r="L720" s="19" t="b">
        <v>0</v>
      </c>
      <c r="M720" s="19" t="b">
        <v>0</v>
      </c>
      <c r="N720" s="19" t="b">
        <v>0</v>
      </c>
      <c r="O720" s="19" t="b">
        <v>0</v>
      </c>
      <c r="P720" s="19" t="b">
        <v>1</v>
      </c>
    </row>
    <row r="721" spans="1:16" x14ac:dyDescent="0.2">
      <c r="A721" s="18">
        <v>7869609</v>
      </c>
      <c r="B721" s="18" t="s">
        <v>2065</v>
      </c>
      <c r="C721" s="18" t="s">
        <v>265</v>
      </c>
      <c r="D721" s="18" t="s">
        <v>11</v>
      </c>
      <c r="E721" s="19">
        <v>44873</v>
      </c>
      <c r="F721" s="18" t="s">
        <v>2066</v>
      </c>
      <c r="G721" s="19">
        <v>44889</v>
      </c>
      <c r="H721" s="19">
        <v>44925</v>
      </c>
      <c r="I721" s="18" t="s">
        <v>28</v>
      </c>
      <c r="J721" s="19" t="b">
        <v>1</v>
      </c>
      <c r="K721" s="19" t="b">
        <v>0</v>
      </c>
      <c r="L721" s="19" t="b">
        <v>0</v>
      </c>
      <c r="M721" s="19" t="b">
        <v>0</v>
      </c>
      <c r="N721" s="19" t="b">
        <v>0</v>
      </c>
      <c r="O721" s="19" t="b">
        <v>0</v>
      </c>
      <c r="P721" s="19" t="b">
        <v>1</v>
      </c>
    </row>
    <row r="722" spans="1:16" x14ac:dyDescent="0.2">
      <c r="A722" s="18">
        <v>7869609</v>
      </c>
      <c r="B722" s="18" t="s">
        <v>2067</v>
      </c>
      <c r="C722" s="18" t="s">
        <v>265</v>
      </c>
      <c r="D722" s="18" t="s">
        <v>11</v>
      </c>
      <c r="E722" s="19">
        <v>44564</v>
      </c>
      <c r="F722" s="18" t="s">
        <v>910</v>
      </c>
      <c r="G722" s="19">
        <v>44569</v>
      </c>
      <c r="H722" s="19">
        <v>44586</v>
      </c>
      <c r="I722" s="18" t="s">
        <v>43</v>
      </c>
      <c r="J722" s="19" t="b">
        <v>1</v>
      </c>
      <c r="K722" s="19" t="b">
        <v>0</v>
      </c>
      <c r="L722" s="19" t="b">
        <v>0</v>
      </c>
      <c r="M722" s="19" t="b">
        <v>0</v>
      </c>
      <c r="N722" s="19" t="b">
        <v>0</v>
      </c>
      <c r="O722" s="19" t="b">
        <v>1</v>
      </c>
      <c r="P722" s="19" t="b">
        <v>0</v>
      </c>
    </row>
    <row r="723" spans="1:16" x14ac:dyDescent="0.2">
      <c r="A723" s="18">
        <v>6036006</v>
      </c>
      <c r="B723" s="18" t="s">
        <v>2068</v>
      </c>
      <c r="C723" s="18" t="s">
        <v>265</v>
      </c>
      <c r="D723" s="18" t="s">
        <v>77</v>
      </c>
      <c r="E723" s="19">
        <v>45065</v>
      </c>
      <c r="F723" s="18" t="s">
        <v>2069</v>
      </c>
      <c r="G723" s="19">
        <v>45095</v>
      </c>
      <c r="H723" s="19">
        <v>45140</v>
      </c>
      <c r="I723" s="18" t="s">
        <v>28</v>
      </c>
      <c r="J723" s="19" t="b">
        <v>1</v>
      </c>
      <c r="K723" s="19" t="b">
        <v>0</v>
      </c>
      <c r="L723" s="19" t="b">
        <v>0</v>
      </c>
      <c r="M723" s="19" t="b">
        <v>0</v>
      </c>
      <c r="N723" s="19" t="b">
        <v>0</v>
      </c>
      <c r="O723" s="19" t="b">
        <v>0</v>
      </c>
      <c r="P723" s="19" t="b">
        <v>1</v>
      </c>
    </row>
    <row r="724" spans="1:16" x14ac:dyDescent="0.2">
      <c r="A724" s="18">
        <v>5106228</v>
      </c>
      <c r="B724" s="18" t="s">
        <v>2070</v>
      </c>
      <c r="C724" s="18" t="s">
        <v>10</v>
      </c>
      <c r="D724" s="18" t="s">
        <v>122</v>
      </c>
      <c r="E724" s="19">
        <v>44932</v>
      </c>
      <c r="F724" s="18" t="s">
        <v>241</v>
      </c>
      <c r="G724" s="19">
        <v>44951</v>
      </c>
      <c r="H724" s="19">
        <v>44982</v>
      </c>
      <c r="I724" s="18" t="s">
        <v>16</v>
      </c>
      <c r="J724" s="19" t="b">
        <v>1</v>
      </c>
      <c r="K724" s="19" t="b">
        <v>0</v>
      </c>
      <c r="L724" s="19" t="b">
        <v>0</v>
      </c>
      <c r="M724" s="19" t="b">
        <v>0</v>
      </c>
      <c r="N724" s="19" t="b">
        <v>1</v>
      </c>
      <c r="O724" s="19" t="b">
        <v>0</v>
      </c>
      <c r="P724" s="19" t="b">
        <v>0</v>
      </c>
    </row>
    <row r="725" spans="1:16" x14ac:dyDescent="0.2">
      <c r="A725" s="18">
        <v>5106228</v>
      </c>
      <c r="B725" s="18" t="s">
        <v>2071</v>
      </c>
      <c r="C725" s="18" t="s">
        <v>10</v>
      </c>
      <c r="D725" s="18" t="s">
        <v>122</v>
      </c>
      <c r="E725" s="19">
        <v>45049</v>
      </c>
      <c r="F725" s="18" t="s">
        <v>763</v>
      </c>
      <c r="G725" s="19">
        <v>45072</v>
      </c>
      <c r="H725" s="19">
        <v>45125</v>
      </c>
      <c r="I725" s="18" t="s">
        <v>28</v>
      </c>
      <c r="J725" s="19" t="b">
        <v>1</v>
      </c>
      <c r="K725" s="19" t="b">
        <v>0</v>
      </c>
      <c r="L725" s="19" t="b">
        <v>0</v>
      </c>
      <c r="M725" s="19" t="b">
        <v>0</v>
      </c>
      <c r="N725" s="19" t="b">
        <v>0</v>
      </c>
      <c r="O725" s="19" t="b">
        <v>0</v>
      </c>
      <c r="P725" s="19" t="b">
        <v>1</v>
      </c>
    </row>
    <row r="726" spans="1:16" x14ac:dyDescent="0.2">
      <c r="A726" s="18">
        <v>3739867</v>
      </c>
      <c r="B726" s="18" t="s">
        <v>2076</v>
      </c>
      <c r="C726" s="18" t="s">
        <v>521</v>
      </c>
      <c r="D726" s="18" t="s">
        <v>11</v>
      </c>
      <c r="E726" s="19">
        <v>44860</v>
      </c>
      <c r="F726" s="18" t="s">
        <v>2077</v>
      </c>
      <c r="G726" s="19">
        <v>44877</v>
      </c>
      <c r="H726" s="19">
        <v>44918</v>
      </c>
      <c r="I726" s="18" t="s">
        <v>28</v>
      </c>
      <c r="J726" s="19" t="b">
        <v>1</v>
      </c>
      <c r="K726" s="19" t="b">
        <v>0</v>
      </c>
      <c r="L726" s="19" t="b">
        <v>0</v>
      </c>
      <c r="M726" s="19" t="b">
        <v>0</v>
      </c>
      <c r="N726" s="19" t="b">
        <v>0</v>
      </c>
      <c r="O726" s="19" t="b">
        <v>0</v>
      </c>
      <c r="P726" s="19" t="b">
        <v>1</v>
      </c>
    </row>
    <row r="727" spans="1:16" x14ac:dyDescent="0.2">
      <c r="A727" s="18">
        <v>3739867</v>
      </c>
      <c r="B727" s="18" t="s">
        <v>2078</v>
      </c>
      <c r="C727" s="18" t="s">
        <v>521</v>
      </c>
      <c r="D727" s="18" t="s">
        <v>11</v>
      </c>
      <c r="E727" s="19">
        <v>44749</v>
      </c>
      <c r="F727" s="18" t="s">
        <v>1961</v>
      </c>
      <c r="G727" s="19">
        <v>44774</v>
      </c>
      <c r="H727" s="19">
        <v>44781</v>
      </c>
      <c r="I727" s="18" t="s">
        <v>43</v>
      </c>
      <c r="J727" s="19" t="b">
        <v>1</v>
      </c>
      <c r="K727" s="19" t="b">
        <v>0</v>
      </c>
      <c r="L727" s="19" t="b">
        <v>0</v>
      </c>
      <c r="M727" s="19" t="b">
        <v>0</v>
      </c>
      <c r="N727" s="19" t="b">
        <v>0</v>
      </c>
      <c r="O727" s="19" t="b">
        <v>1</v>
      </c>
      <c r="P727" s="19" t="b">
        <v>0</v>
      </c>
    </row>
    <row r="728" spans="1:16" x14ac:dyDescent="0.2">
      <c r="A728" s="18">
        <v>3739867</v>
      </c>
      <c r="B728" s="18" t="s">
        <v>2079</v>
      </c>
      <c r="C728" s="18" t="s">
        <v>521</v>
      </c>
      <c r="D728" s="18" t="s">
        <v>11</v>
      </c>
      <c r="E728" s="19">
        <v>44885</v>
      </c>
      <c r="F728" s="18" t="s">
        <v>2080</v>
      </c>
      <c r="G728" s="19">
        <v>44912</v>
      </c>
      <c r="H728" s="19">
        <v>44967</v>
      </c>
      <c r="I728" s="18" t="s">
        <v>43</v>
      </c>
      <c r="J728" s="19" t="b">
        <v>1</v>
      </c>
      <c r="K728" s="19" t="b">
        <v>0</v>
      </c>
      <c r="L728" s="19" t="b">
        <v>0</v>
      </c>
      <c r="M728" s="19" t="b">
        <v>0</v>
      </c>
      <c r="N728" s="19" t="b">
        <v>0</v>
      </c>
      <c r="O728" s="19" t="b">
        <v>1</v>
      </c>
      <c r="P728" s="19" t="b">
        <v>0</v>
      </c>
    </row>
    <row r="729" spans="1:16" x14ac:dyDescent="0.2">
      <c r="A729" s="18">
        <v>6051155</v>
      </c>
      <c r="B729" s="18" t="s">
        <v>2081</v>
      </c>
      <c r="C729" s="18" t="s">
        <v>282</v>
      </c>
      <c r="D729" s="18" t="s">
        <v>39</v>
      </c>
      <c r="E729" s="19">
        <v>44575</v>
      </c>
      <c r="F729" s="18" t="s">
        <v>2082</v>
      </c>
      <c r="G729" s="19">
        <v>44580</v>
      </c>
      <c r="H729" s="19">
        <v>44614</v>
      </c>
      <c r="I729" s="18" t="s">
        <v>28</v>
      </c>
      <c r="J729" s="19" t="b">
        <v>1</v>
      </c>
      <c r="K729" s="19" t="b">
        <v>0</v>
      </c>
      <c r="L729" s="19" t="b">
        <v>0</v>
      </c>
      <c r="M729" s="19" t="b">
        <v>0</v>
      </c>
      <c r="N729" s="19" t="b">
        <v>0</v>
      </c>
      <c r="O729" s="19" t="b">
        <v>0</v>
      </c>
      <c r="P729" s="19" t="b">
        <v>1</v>
      </c>
    </row>
    <row r="730" spans="1:16" x14ac:dyDescent="0.2">
      <c r="A730" s="18">
        <v>5721406</v>
      </c>
      <c r="B730" s="18" t="s">
        <v>2086</v>
      </c>
      <c r="C730" s="18" t="s">
        <v>542</v>
      </c>
      <c r="D730" s="18" t="s">
        <v>77</v>
      </c>
      <c r="E730" s="19">
        <v>44640</v>
      </c>
      <c r="F730" s="18" t="s">
        <v>2087</v>
      </c>
      <c r="G730" s="19">
        <v>44644</v>
      </c>
      <c r="H730" s="19">
        <v>44697</v>
      </c>
      <c r="I730" s="18" t="s">
        <v>16</v>
      </c>
      <c r="J730" s="19" t="b">
        <v>1</v>
      </c>
      <c r="K730" s="19" t="b">
        <v>0</v>
      </c>
      <c r="L730" s="19" t="b">
        <v>0</v>
      </c>
      <c r="M730" s="19" t="b">
        <v>0</v>
      </c>
      <c r="N730" s="19" t="b">
        <v>1</v>
      </c>
      <c r="O730" s="19" t="b">
        <v>0</v>
      </c>
      <c r="P730" s="19" t="b">
        <v>0</v>
      </c>
    </row>
    <row r="731" spans="1:16" x14ac:dyDescent="0.2">
      <c r="A731" s="18">
        <v>7082891</v>
      </c>
      <c r="B731" s="18" t="s">
        <v>2090</v>
      </c>
      <c r="C731" s="18" t="s">
        <v>71</v>
      </c>
      <c r="D731" s="18" t="s">
        <v>77</v>
      </c>
      <c r="E731" s="19">
        <v>44873</v>
      </c>
      <c r="F731" s="18" t="s">
        <v>2091</v>
      </c>
      <c r="G731" s="19">
        <v>44874</v>
      </c>
      <c r="H731" s="19">
        <v>44922</v>
      </c>
      <c r="I731" s="18" t="s">
        <v>28</v>
      </c>
      <c r="J731" s="19" t="b">
        <v>1</v>
      </c>
      <c r="K731" s="19" t="b">
        <v>0</v>
      </c>
      <c r="L731" s="19" t="b">
        <v>0</v>
      </c>
      <c r="M731" s="19" t="b">
        <v>0</v>
      </c>
      <c r="N731" s="19" t="b">
        <v>0</v>
      </c>
      <c r="O731" s="19" t="b">
        <v>0</v>
      </c>
      <c r="P731" s="19" t="b">
        <v>1</v>
      </c>
    </row>
    <row r="732" spans="1:16" x14ac:dyDescent="0.2">
      <c r="A732" s="18">
        <v>7082891</v>
      </c>
      <c r="B732" s="18" t="s">
        <v>2092</v>
      </c>
      <c r="C732" s="18" t="s">
        <v>71</v>
      </c>
      <c r="D732" s="18" t="s">
        <v>77</v>
      </c>
      <c r="E732" s="19">
        <v>44707</v>
      </c>
      <c r="F732" s="18" t="s">
        <v>2093</v>
      </c>
      <c r="G732" s="19">
        <v>44730</v>
      </c>
      <c r="H732" s="19">
        <v>44745</v>
      </c>
      <c r="I732" s="18" t="s">
        <v>43</v>
      </c>
      <c r="J732" s="19" t="b">
        <v>1</v>
      </c>
      <c r="K732" s="19" t="b">
        <v>0</v>
      </c>
      <c r="L732" s="19" t="b">
        <v>0</v>
      </c>
      <c r="M732" s="19" t="b">
        <v>0</v>
      </c>
      <c r="N732" s="19" t="b">
        <v>0</v>
      </c>
      <c r="O732" s="19" t="b">
        <v>1</v>
      </c>
      <c r="P732" s="19" t="b">
        <v>0</v>
      </c>
    </row>
    <row r="733" spans="1:16" x14ac:dyDescent="0.2">
      <c r="A733" s="18">
        <v>7082891</v>
      </c>
      <c r="B733" s="18" t="s">
        <v>2094</v>
      </c>
      <c r="C733" s="18" t="s">
        <v>71</v>
      </c>
      <c r="D733" s="18" t="s">
        <v>77</v>
      </c>
      <c r="E733" s="19">
        <v>44997</v>
      </c>
      <c r="F733" s="18" t="s">
        <v>2095</v>
      </c>
      <c r="G733" s="19">
        <v>45020</v>
      </c>
      <c r="H733" s="19">
        <v>45069</v>
      </c>
      <c r="I733" s="18" t="s">
        <v>43</v>
      </c>
      <c r="J733" s="19" t="b">
        <v>1</v>
      </c>
      <c r="K733" s="19" t="b">
        <v>0</v>
      </c>
      <c r="L733" s="19" t="b">
        <v>0</v>
      </c>
      <c r="M733" s="19" t="b">
        <v>0</v>
      </c>
      <c r="N733" s="19" t="b">
        <v>0</v>
      </c>
      <c r="O733" s="19" t="b">
        <v>1</v>
      </c>
      <c r="P733" s="19" t="b">
        <v>0</v>
      </c>
    </row>
    <row r="734" spans="1:16" x14ac:dyDescent="0.2">
      <c r="A734" s="18">
        <v>7082891</v>
      </c>
      <c r="B734" s="18" t="s">
        <v>2096</v>
      </c>
      <c r="C734" s="18" t="s">
        <v>71</v>
      </c>
      <c r="D734" s="18" t="s">
        <v>77</v>
      </c>
      <c r="E734" s="19">
        <v>45057</v>
      </c>
      <c r="F734" s="18" t="s">
        <v>1531</v>
      </c>
      <c r="G734" s="19">
        <v>45082</v>
      </c>
      <c r="H734" s="19">
        <v>45110</v>
      </c>
      <c r="I734" s="18" t="s">
        <v>16</v>
      </c>
      <c r="J734" s="19" t="b">
        <v>1</v>
      </c>
      <c r="K734" s="19" t="b">
        <v>0</v>
      </c>
      <c r="L734" s="19" t="b">
        <v>0</v>
      </c>
      <c r="M734" s="19" t="b">
        <v>0</v>
      </c>
      <c r="N734" s="19" t="b">
        <v>1</v>
      </c>
      <c r="O734" s="19" t="b">
        <v>0</v>
      </c>
      <c r="P734" s="19" t="b">
        <v>0</v>
      </c>
    </row>
    <row r="735" spans="1:16" x14ac:dyDescent="0.2">
      <c r="A735" s="18">
        <v>6897756</v>
      </c>
      <c r="B735" s="18" t="s">
        <v>2102</v>
      </c>
      <c r="C735" s="18" t="s">
        <v>10</v>
      </c>
      <c r="D735" s="18" t="s">
        <v>122</v>
      </c>
      <c r="E735" s="19">
        <v>44918</v>
      </c>
      <c r="F735" s="18" t="s">
        <v>2103</v>
      </c>
      <c r="G735" s="19">
        <v>44930</v>
      </c>
      <c r="H735" s="19">
        <v>44941</v>
      </c>
      <c r="I735" s="18" t="s">
        <v>28</v>
      </c>
      <c r="J735" s="19" t="b">
        <v>1</v>
      </c>
      <c r="K735" s="19" t="b">
        <v>0</v>
      </c>
      <c r="L735" s="19" t="b">
        <v>0</v>
      </c>
      <c r="M735" s="19" t="b">
        <v>0</v>
      </c>
      <c r="N735" s="19" t="b">
        <v>0</v>
      </c>
      <c r="O735" s="19" t="b">
        <v>0</v>
      </c>
      <c r="P735" s="19" t="b">
        <v>1</v>
      </c>
    </row>
    <row r="736" spans="1:16" x14ac:dyDescent="0.2">
      <c r="A736" s="18">
        <v>6897756</v>
      </c>
      <c r="B736" s="18" t="s">
        <v>2104</v>
      </c>
      <c r="C736" s="18" t="s">
        <v>10</v>
      </c>
      <c r="D736" s="18" t="s">
        <v>122</v>
      </c>
      <c r="E736" s="19">
        <v>44631</v>
      </c>
      <c r="F736" s="18" t="s">
        <v>555</v>
      </c>
      <c r="G736" s="19">
        <v>44635</v>
      </c>
      <c r="H736" s="19">
        <v>44688</v>
      </c>
      <c r="I736" s="18" t="s">
        <v>43</v>
      </c>
      <c r="J736" s="19" t="b">
        <v>1</v>
      </c>
      <c r="K736" s="19" t="b">
        <v>0</v>
      </c>
      <c r="L736" s="19" t="b">
        <v>0</v>
      </c>
      <c r="M736" s="19" t="b">
        <v>0</v>
      </c>
      <c r="N736" s="19" t="b">
        <v>0</v>
      </c>
      <c r="O736" s="19" t="b">
        <v>1</v>
      </c>
      <c r="P736" s="19" t="b">
        <v>0</v>
      </c>
    </row>
    <row r="737" spans="1:16" x14ac:dyDescent="0.2">
      <c r="A737" s="18">
        <v>1234617</v>
      </c>
      <c r="B737" s="18" t="s">
        <v>2105</v>
      </c>
      <c r="C737" s="18" t="s">
        <v>80</v>
      </c>
      <c r="D737" s="18" t="s">
        <v>19</v>
      </c>
      <c r="E737" s="19">
        <v>44566</v>
      </c>
      <c r="F737" s="18" t="s">
        <v>2106</v>
      </c>
      <c r="G737" s="19">
        <v>44590</v>
      </c>
      <c r="H737" s="19">
        <v>44597</v>
      </c>
      <c r="I737" s="18" t="s">
        <v>43</v>
      </c>
      <c r="J737" s="19" t="b">
        <v>1</v>
      </c>
      <c r="K737" s="19" t="b">
        <v>0</v>
      </c>
      <c r="L737" s="19" t="b">
        <v>0</v>
      </c>
      <c r="M737" s="19" t="b">
        <v>0</v>
      </c>
      <c r="N737" s="19" t="b">
        <v>0</v>
      </c>
      <c r="O737" s="19" t="b">
        <v>1</v>
      </c>
      <c r="P737" s="19" t="b">
        <v>0</v>
      </c>
    </row>
    <row r="738" spans="1:16" x14ac:dyDescent="0.2">
      <c r="A738" s="18">
        <v>1234617</v>
      </c>
      <c r="B738" s="18" t="s">
        <v>2107</v>
      </c>
      <c r="C738" s="18" t="s">
        <v>80</v>
      </c>
      <c r="D738" s="18" t="s">
        <v>19</v>
      </c>
      <c r="E738" s="19">
        <v>44751</v>
      </c>
      <c r="F738" s="18" t="s">
        <v>723</v>
      </c>
      <c r="G738" s="19">
        <v>44766</v>
      </c>
      <c r="H738" s="19">
        <v>44810</v>
      </c>
      <c r="I738" s="18"/>
      <c r="J738" s="19" t="b">
        <v>1</v>
      </c>
      <c r="K738" s="19" t="b">
        <v>0</v>
      </c>
      <c r="L738" s="19" t="b">
        <v>0</v>
      </c>
      <c r="M738" s="19" t="b">
        <v>0</v>
      </c>
      <c r="N738" s="19" t="b">
        <v>0</v>
      </c>
      <c r="O738" s="19" t="b">
        <v>0</v>
      </c>
      <c r="P738" s="19" t="b">
        <v>0</v>
      </c>
    </row>
    <row r="739" spans="1:16" x14ac:dyDescent="0.2">
      <c r="A739" s="18">
        <v>2800606</v>
      </c>
      <c r="B739" s="18" t="s">
        <v>2108</v>
      </c>
      <c r="C739" s="18" t="s">
        <v>38</v>
      </c>
      <c r="D739" s="18" t="s">
        <v>39</v>
      </c>
      <c r="E739" s="19">
        <v>44883</v>
      </c>
      <c r="F739" s="18" t="s">
        <v>2109</v>
      </c>
      <c r="G739" s="19">
        <v>44887</v>
      </c>
      <c r="H739" s="19">
        <v>44917</v>
      </c>
      <c r="I739" s="18" t="s">
        <v>43</v>
      </c>
      <c r="J739" s="19" t="b">
        <v>1</v>
      </c>
      <c r="K739" s="19" t="b">
        <v>0</v>
      </c>
      <c r="L739" s="19" t="b">
        <v>0</v>
      </c>
      <c r="M739" s="19" t="b">
        <v>0</v>
      </c>
      <c r="N739" s="19" t="b">
        <v>0</v>
      </c>
      <c r="O739" s="19" t="b">
        <v>1</v>
      </c>
      <c r="P739" s="19" t="b">
        <v>0</v>
      </c>
    </row>
    <row r="740" spans="1:16" x14ac:dyDescent="0.2">
      <c r="A740" s="18">
        <v>2800606</v>
      </c>
      <c r="B740" s="18" t="s">
        <v>2113</v>
      </c>
      <c r="C740" s="18" t="s">
        <v>38</v>
      </c>
      <c r="D740" s="18" t="s">
        <v>39</v>
      </c>
      <c r="E740" s="19">
        <v>44881</v>
      </c>
      <c r="F740" s="18" t="s">
        <v>2114</v>
      </c>
      <c r="G740" s="19">
        <v>44903</v>
      </c>
      <c r="H740" s="19">
        <v>44957</v>
      </c>
      <c r="I740" s="18"/>
      <c r="J740" s="19" t="b">
        <v>1</v>
      </c>
      <c r="K740" s="19" t="b">
        <v>0</v>
      </c>
      <c r="L740" s="19" t="b">
        <v>0</v>
      </c>
      <c r="M740" s="19" t="b">
        <v>0</v>
      </c>
      <c r="N740" s="19" t="b">
        <v>0</v>
      </c>
      <c r="O740" s="19" t="b">
        <v>0</v>
      </c>
      <c r="P740" s="19" t="b">
        <v>0</v>
      </c>
    </row>
    <row r="741" spans="1:16" x14ac:dyDescent="0.2">
      <c r="A741" s="18">
        <v>8448343</v>
      </c>
      <c r="B741" s="18" t="s">
        <v>2119</v>
      </c>
      <c r="C741" s="18" t="s">
        <v>93</v>
      </c>
      <c r="D741" s="18" t="s">
        <v>139</v>
      </c>
      <c r="E741" s="19">
        <v>44938</v>
      </c>
      <c r="F741" s="18" t="s">
        <v>2120</v>
      </c>
      <c r="G741" s="19">
        <v>44944</v>
      </c>
      <c r="H741" s="19">
        <v>44945</v>
      </c>
      <c r="I741" s="18"/>
      <c r="J741" s="19" t="b">
        <v>1</v>
      </c>
      <c r="K741" s="19" t="b">
        <v>0</v>
      </c>
      <c r="L741" s="19" t="b">
        <v>0</v>
      </c>
      <c r="M741" s="19" t="b">
        <v>0</v>
      </c>
      <c r="N741" s="19" t="b">
        <v>0</v>
      </c>
      <c r="O741" s="19" t="b">
        <v>0</v>
      </c>
      <c r="P741" s="19" t="b">
        <v>0</v>
      </c>
    </row>
    <row r="742" spans="1:16" x14ac:dyDescent="0.2">
      <c r="A742" s="18">
        <v>8448343</v>
      </c>
      <c r="B742" s="18" t="s">
        <v>2121</v>
      </c>
      <c r="C742" s="18" t="s">
        <v>93</v>
      </c>
      <c r="D742" s="18" t="s">
        <v>139</v>
      </c>
      <c r="E742" s="19">
        <v>44967</v>
      </c>
      <c r="F742" s="18" t="s">
        <v>427</v>
      </c>
      <c r="G742" s="19">
        <v>44982</v>
      </c>
      <c r="H742" s="19">
        <v>45016</v>
      </c>
      <c r="I742" s="18"/>
      <c r="J742" s="19" t="b">
        <v>1</v>
      </c>
      <c r="K742" s="19" t="b">
        <v>0</v>
      </c>
      <c r="L742" s="19" t="b">
        <v>0</v>
      </c>
      <c r="M742" s="19" t="b">
        <v>0</v>
      </c>
      <c r="N742" s="19" t="b">
        <v>0</v>
      </c>
      <c r="O742" s="19" t="b">
        <v>0</v>
      </c>
      <c r="P742" s="19" t="b">
        <v>0</v>
      </c>
    </row>
    <row r="743" spans="1:16" x14ac:dyDescent="0.2">
      <c r="A743" s="18">
        <v>3405308</v>
      </c>
      <c r="B743" s="18" t="s">
        <v>2122</v>
      </c>
      <c r="C743" s="18" t="s">
        <v>59</v>
      </c>
      <c r="D743" s="18" t="s">
        <v>60</v>
      </c>
      <c r="E743" s="19">
        <v>44765</v>
      </c>
      <c r="F743" s="18" t="s">
        <v>2123</v>
      </c>
      <c r="G743" s="19">
        <v>44776</v>
      </c>
      <c r="H743" s="19">
        <v>44789</v>
      </c>
      <c r="I743" s="18" t="s">
        <v>43</v>
      </c>
      <c r="J743" s="19" t="b">
        <v>1</v>
      </c>
      <c r="K743" s="19" t="b">
        <v>0</v>
      </c>
      <c r="L743" s="19" t="b">
        <v>0</v>
      </c>
      <c r="M743" s="19" t="b">
        <v>0</v>
      </c>
      <c r="N743" s="19" t="b">
        <v>0</v>
      </c>
      <c r="O743" s="19" t="b">
        <v>1</v>
      </c>
      <c r="P743" s="19" t="b">
        <v>0</v>
      </c>
    </row>
    <row r="744" spans="1:16" x14ac:dyDescent="0.2">
      <c r="A744" s="18">
        <v>3405308</v>
      </c>
      <c r="B744" s="18" t="s">
        <v>2124</v>
      </c>
      <c r="C744" s="18" t="s">
        <v>59</v>
      </c>
      <c r="D744" s="18" t="s">
        <v>60</v>
      </c>
      <c r="E744" s="19">
        <v>44996</v>
      </c>
      <c r="F744" s="18" t="s">
        <v>2125</v>
      </c>
      <c r="G744" s="19">
        <v>45020</v>
      </c>
      <c r="H744" s="19">
        <v>45052</v>
      </c>
      <c r="I744" s="18"/>
      <c r="J744" s="19" t="b">
        <v>1</v>
      </c>
      <c r="K744" s="19" t="b">
        <v>0</v>
      </c>
      <c r="L744" s="19" t="b">
        <v>0</v>
      </c>
      <c r="M744" s="19" t="b">
        <v>0</v>
      </c>
      <c r="N744" s="19" t="b">
        <v>0</v>
      </c>
      <c r="O744" s="19" t="b">
        <v>0</v>
      </c>
      <c r="P744" s="19" t="b">
        <v>0</v>
      </c>
    </row>
    <row r="745" spans="1:16" x14ac:dyDescent="0.2">
      <c r="A745" s="18">
        <v>3405308</v>
      </c>
      <c r="B745" s="18" t="s">
        <v>2128</v>
      </c>
      <c r="C745" s="18" t="s">
        <v>59</v>
      </c>
      <c r="D745" s="18" t="s">
        <v>60</v>
      </c>
      <c r="E745" s="19">
        <v>44976</v>
      </c>
      <c r="F745" s="18" t="s">
        <v>2129</v>
      </c>
      <c r="G745" s="19">
        <v>44992</v>
      </c>
      <c r="H745" s="19">
        <v>45025</v>
      </c>
      <c r="I745" s="18"/>
      <c r="J745" s="19" t="b">
        <v>1</v>
      </c>
      <c r="K745" s="19" t="b">
        <v>0</v>
      </c>
      <c r="L745" s="19" t="b">
        <v>0</v>
      </c>
      <c r="M745" s="19" t="b">
        <v>0</v>
      </c>
      <c r="N745" s="19" t="b">
        <v>0</v>
      </c>
      <c r="O745" s="19" t="b">
        <v>0</v>
      </c>
      <c r="P745" s="19" t="b">
        <v>0</v>
      </c>
    </row>
    <row r="746" spans="1:16" x14ac:dyDescent="0.2">
      <c r="A746" s="18">
        <v>5205877</v>
      </c>
      <c r="B746" s="18" t="s">
        <v>2131</v>
      </c>
      <c r="C746" s="18" t="s">
        <v>363</v>
      </c>
      <c r="D746" s="18" t="s">
        <v>77</v>
      </c>
      <c r="E746" s="19">
        <v>44616</v>
      </c>
      <c r="F746" s="18" t="s">
        <v>2132</v>
      </c>
      <c r="G746" s="19">
        <v>44643</v>
      </c>
      <c r="H746" s="19">
        <v>44648</v>
      </c>
      <c r="I746" s="18" t="s">
        <v>43</v>
      </c>
      <c r="J746" s="19" t="b">
        <v>1</v>
      </c>
      <c r="K746" s="19" t="b">
        <v>0</v>
      </c>
      <c r="L746" s="19" t="b">
        <v>0</v>
      </c>
      <c r="M746" s="19" t="b">
        <v>0</v>
      </c>
      <c r="N746" s="19" t="b">
        <v>0</v>
      </c>
      <c r="O746" s="19" t="b">
        <v>1</v>
      </c>
      <c r="P746" s="19" t="b">
        <v>0</v>
      </c>
    </row>
    <row r="747" spans="1:16" x14ac:dyDescent="0.2">
      <c r="A747" s="18">
        <v>5205877</v>
      </c>
      <c r="B747" s="18" t="s">
        <v>2133</v>
      </c>
      <c r="C747" s="18" t="s">
        <v>363</v>
      </c>
      <c r="D747" s="18" t="s">
        <v>77</v>
      </c>
      <c r="E747" s="19">
        <v>44896</v>
      </c>
      <c r="F747" s="18" t="s">
        <v>2134</v>
      </c>
      <c r="G747" s="19">
        <v>44901</v>
      </c>
      <c r="H747" s="19">
        <v>44921</v>
      </c>
      <c r="I747" s="18" t="s">
        <v>16</v>
      </c>
      <c r="J747" s="19" t="b">
        <v>1</v>
      </c>
      <c r="K747" s="19" t="b">
        <v>0</v>
      </c>
      <c r="L747" s="19" t="b">
        <v>0</v>
      </c>
      <c r="M747" s="19" t="b">
        <v>0</v>
      </c>
      <c r="N747" s="19" t="b">
        <v>1</v>
      </c>
      <c r="O747" s="19" t="b">
        <v>0</v>
      </c>
      <c r="P747" s="19" t="b">
        <v>0</v>
      </c>
    </row>
    <row r="748" spans="1:16" x14ac:dyDescent="0.2">
      <c r="A748" s="18">
        <v>2616210</v>
      </c>
      <c r="B748" s="18" t="s">
        <v>2135</v>
      </c>
      <c r="C748" s="18" t="s">
        <v>35</v>
      </c>
      <c r="D748" s="18" t="s">
        <v>122</v>
      </c>
      <c r="E748" s="19">
        <v>45071</v>
      </c>
      <c r="F748" s="18" t="s">
        <v>2136</v>
      </c>
      <c r="G748" s="19">
        <v>45087</v>
      </c>
      <c r="H748" s="19">
        <v>45120</v>
      </c>
      <c r="I748" s="18"/>
      <c r="J748" s="19" t="b">
        <v>1</v>
      </c>
      <c r="K748" s="19" t="b">
        <v>0</v>
      </c>
      <c r="L748" s="19" t="b">
        <v>0</v>
      </c>
      <c r="M748" s="19" t="b">
        <v>0</v>
      </c>
      <c r="N748" s="19" t="b">
        <v>0</v>
      </c>
      <c r="O748" s="19" t="b">
        <v>0</v>
      </c>
      <c r="P748" s="19" t="b">
        <v>0</v>
      </c>
    </row>
    <row r="749" spans="1:16" x14ac:dyDescent="0.2">
      <c r="A749" s="18">
        <v>2616210</v>
      </c>
      <c r="B749" s="18" t="s">
        <v>2140</v>
      </c>
      <c r="C749" s="18" t="s">
        <v>35</v>
      </c>
      <c r="D749" s="18" t="s">
        <v>122</v>
      </c>
      <c r="E749" s="19">
        <v>44598</v>
      </c>
      <c r="F749" s="18" t="s">
        <v>946</v>
      </c>
      <c r="G749" s="19">
        <v>44600</v>
      </c>
      <c r="H749" s="19">
        <v>44612</v>
      </c>
      <c r="I749" s="18"/>
      <c r="J749" s="19" t="b">
        <v>1</v>
      </c>
      <c r="K749" s="19" t="b">
        <v>0</v>
      </c>
      <c r="L749" s="19" t="b">
        <v>0</v>
      </c>
      <c r="M749" s="19" t="b">
        <v>0</v>
      </c>
      <c r="N749" s="19" t="b">
        <v>0</v>
      </c>
      <c r="O749" s="19" t="b">
        <v>0</v>
      </c>
      <c r="P749" s="19" t="b">
        <v>0</v>
      </c>
    </row>
    <row r="750" spans="1:16" x14ac:dyDescent="0.2">
      <c r="A750" s="18">
        <v>2616210</v>
      </c>
      <c r="B750" s="18" t="s">
        <v>2141</v>
      </c>
      <c r="C750" s="18" t="s">
        <v>35</v>
      </c>
      <c r="D750" s="18" t="s">
        <v>122</v>
      </c>
      <c r="E750" s="19">
        <v>44730</v>
      </c>
      <c r="F750" s="18" t="s">
        <v>2142</v>
      </c>
      <c r="G750" s="19">
        <v>44746</v>
      </c>
      <c r="H750" s="19">
        <v>44774</v>
      </c>
      <c r="I750" s="18" t="s">
        <v>28</v>
      </c>
      <c r="J750" s="19" t="b">
        <v>1</v>
      </c>
      <c r="K750" s="19" t="b">
        <v>0</v>
      </c>
      <c r="L750" s="19" t="b">
        <v>0</v>
      </c>
      <c r="M750" s="19" t="b">
        <v>0</v>
      </c>
      <c r="N750" s="19" t="b">
        <v>0</v>
      </c>
      <c r="O750" s="19" t="b">
        <v>0</v>
      </c>
      <c r="P750" s="19" t="b">
        <v>1</v>
      </c>
    </row>
    <row r="751" spans="1:16" x14ac:dyDescent="0.2">
      <c r="A751" s="18">
        <v>3256338</v>
      </c>
      <c r="B751" s="18" t="s">
        <v>2143</v>
      </c>
      <c r="C751" s="18" t="s">
        <v>110</v>
      </c>
      <c r="D751" s="18" t="s">
        <v>60</v>
      </c>
      <c r="E751" s="19">
        <v>45043</v>
      </c>
      <c r="F751" s="18" t="s">
        <v>2144</v>
      </c>
      <c r="G751" s="19">
        <v>45059</v>
      </c>
      <c r="H751" s="19">
        <v>45095</v>
      </c>
      <c r="I751" s="18"/>
      <c r="J751" s="19" t="b">
        <v>1</v>
      </c>
      <c r="K751" s="19" t="b">
        <v>0</v>
      </c>
      <c r="L751" s="19" t="b">
        <v>0</v>
      </c>
      <c r="M751" s="19" t="b">
        <v>0</v>
      </c>
      <c r="N751" s="19" t="b">
        <v>0</v>
      </c>
      <c r="O751" s="19" t="b">
        <v>0</v>
      </c>
      <c r="P751" s="19" t="b">
        <v>0</v>
      </c>
    </row>
    <row r="752" spans="1:16" x14ac:dyDescent="0.2">
      <c r="A752" s="18">
        <v>3256338</v>
      </c>
      <c r="B752" s="18" t="s">
        <v>2145</v>
      </c>
      <c r="C752" s="18" t="s">
        <v>110</v>
      </c>
      <c r="D752" s="18" t="s">
        <v>60</v>
      </c>
      <c r="E752" s="19">
        <v>45068</v>
      </c>
      <c r="F752" s="18" t="s">
        <v>2146</v>
      </c>
      <c r="G752" s="19">
        <v>45087</v>
      </c>
      <c r="H752" s="19">
        <v>45112</v>
      </c>
      <c r="I752" s="18" t="s">
        <v>16</v>
      </c>
      <c r="J752" s="19" t="b">
        <v>1</v>
      </c>
      <c r="K752" s="19" t="b">
        <v>0</v>
      </c>
      <c r="L752" s="19" t="b">
        <v>0</v>
      </c>
      <c r="M752" s="19" t="b">
        <v>0</v>
      </c>
      <c r="N752" s="19" t="b">
        <v>1</v>
      </c>
      <c r="O752" s="19" t="b">
        <v>0</v>
      </c>
      <c r="P752" s="19" t="b">
        <v>0</v>
      </c>
    </row>
    <row r="753" spans="1:16" x14ac:dyDescent="0.2">
      <c r="A753" s="18">
        <v>3256338</v>
      </c>
      <c r="B753" s="18" t="s">
        <v>2147</v>
      </c>
      <c r="C753" s="18" t="s">
        <v>110</v>
      </c>
      <c r="D753" s="18" t="s">
        <v>60</v>
      </c>
      <c r="E753" s="19">
        <v>44890</v>
      </c>
      <c r="F753" s="18" t="s">
        <v>2148</v>
      </c>
      <c r="G753" s="19">
        <v>44892</v>
      </c>
      <c r="H753" s="19">
        <v>44894</v>
      </c>
      <c r="I753" s="18" t="s">
        <v>28</v>
      </c>
      <c r="J753" s="19" t="b">
        <v>1</v>
      </c>
      <c r="K753" s="19" t="b">
        <v>0</v>
      </c>
      <c r="L753" s="19" t="b">
        <v>0</v>
      </c>
      <c r="M753" s="19" t="b">
        <v>0</v>
      </c>
      <c r="N753" s="19" t="b">
        <v>0</v>
      </c>
      <c r="O753" s="19" t="b">
        <v>0</v>
      </c>
      <c r="P753" s="19" t="b">
        <v>1</v>
      </c>
    </row>
    <row r="754" spans="1:16" x14ac:dyDescent="0.2">
      <c r="A754" s="18">
        <v>3256338</v>
      </c>
      <c r="B754" s="18" t="s">
        <v>2149</v>
      </c>
      <c r="C754" s="18" t="s">
        <v>110</v>
      </c>
      <c r="D754" s="18" t="s">
        <v>60</v>
      </c>
      <c r="E754" s="19">
        <v>44919</v>
      </c>
      <c r="F754" s="18" t="s">
        <v>2150</v>
      </c>
      <c r="G754" s="19">
        <v>44945</v>
      </c>
      <c r="H754" s="19">
        <v>44993</v>
      </c>
      <c r="I754" s="18" t="s">
        <v>43</v>
      </c>
      <c r="J754" s="19" t="b">
        <v>1</v>
      </c>
      <c r="K754" s="19" t="b">
        <v>0</v>
      </c>
      <c r="L754" s="19" t="b">
        <v>0</v>
      </c>
      <c r="M754" s="19" t="b">
        <v>0</v>
      </c>
      <c r="N754" s="19" t="b">
        <v>0</v>
      </c>
      <c r="O754" s="19" t="b">
        <v>1</v>
      </c>
      <c r="P754" s="19" t="b">
        <v>0</v>
      </c>
    </row>
    <row r="755" spans="1:16" x14ac:dyDescent="0.2">
      <c r="A755" s="18">
        <v>1451304</v>
      </c>
      <c r="B755" s="18" t="s">
        <v>2155</v>
      </c>
      <c r="C755" s="18" t="s">
        <v>35</v>
      </c>
      <c r="D755" s="18" t="s">
        <v>39</v>
      </c>
      <c r="E755" s="19">
        <v>44881</v>
      </c>
      <c r="F755" s="18" t="s">
        <v>2156</v>
      </c>
      <c r="G755" s="19">
        <v>44900</v>
      </c>
      <c r="H755" s="19">
        <v>44906</v>
      </c>
      <c r="I755" s="18" t="s">
        <v>43</v>
      </c>
      <c r="J755" s="19" t="b">
        <v>1</v>
      </c>
      <c r="K755" s="19" t="b">
        <v>0</v>
      </c>
      <c r="L755" s="19" t="b">
        <v>0</v>
      </c>
      <c r="M755" s="19" t="b">
        <v>0</v>
      </c>
      <c r="N755" s="19" t="b">
        <v>0</v>
      </c>
      <c r="O755" s="19" t="b">
        <v>1</v>
      </c>
      <c r="P755" s="19" t="b">
        <v>0</v>
      </c>
    </row>
    <row r="756" spans="1:16" x14ac:dyDescent="0.2">
      <c r="A756" s="18">
        <v>1451304</v>
      </c>
      <c r="B756" s="18" t="s">
        <v>2157</v>
      </c>
      <c r="C756" s="18" t="s">
        <v>35</v>
      </c>
      <c r="D756" s="18" t="s">
        <v>39</v>
      </c>
      <c r="E756" s="19">
        <v>44679</v>
      </c>
      <c r="F756" s="18" t="s">
        <v>2158</v>
      </c>
      <c r="G756" s="19">
        <v>44690</v>
      </c>
      <c r="H756" s="19">
        <v>44701</v>
      </c>
      <c r="I756" s="18" t="s">
        <v>16</v>
      </c>
      <c r="J756" s="19" t="b">
        <v>1</v>
      </c>
      <c r="K756" s="19" t="b">
        <v>0</v>
      </c>
      <c r="L756" s="19" t="b">
        <v>0</v>
      </c>
      <c r="M756" s="19" t="b">
        <v>0</v>
      </c>
      <c r="N756" s="19" t="b">
        <v>1</v>
      </c>
      <c r="O756" s="19" t="b">
        <v>0</v>
      </c>
      <c r="P756" s="19" t="b">
        <v>0</v>
      </c>
    </row>
    <row r="757" spans="1:16" x14ac:dyDescent="0.2">
      <c r="A757" s="18">
        <v>8732776</v>
      </c>
      <c r="B757" s="18" t="s">
        <v>2159</v>
      </c>
      <c r="C757" s="18" t="s">
        <v>167</v>
      </c>
      <c r="D757" s="18" t="s">
        <v>60</v>
      </c>
      <c r="E757" s="19">
        <v>45042</v>
      </c>
      <c r="F757" s="18" t="s">
        <v>2160</v>
      </c>
      <c r="G757" s="19">
        <v>45061</v>
      </c>
      <c r="H757" s="19">
        <v>45063</v>
      </c>
      <c r="I757" s="18"/>
      <c r="J757" s="19" t="b">
        <v>1</v>
      </c>
      <c r="K757" s="19" t="b">
        <v>0</v>
      </c>
      <c r="L757" s="19" t="b">
        <v>0</v>
      </c>
      <c r="M757" s="19" t="b">
        <v>0</v>
      </c>
      <c r="N757" s="19" t="b">
        <v>0</v>
      </c>
      <c r="O757" s="19" t="b">
        <v>0</v>
      </c>
      <c r="P757" s="19" t="b">
        <v>0</v>
      </c>
    </row>
    <row r="758" spans="1:16" x14ac:dyDescent="0.2">
      <c r="A758" s="18">
        <v>8732776</v>
      </c>
      <c r="B758" s="18" t="s">
        <v>2161</v>
      </c>
      <c r="C758" s="18" t="s">
        <v>167</v>
      </c>
      <c r="D758" s="18" t="s">
        <v>60</v>
      </c>
      <c r="E758" s="19">
        <v>44892</v>
      </c>
      <c r="F758" s="18" t="s">
        <v>2162</v>
      </c>
      <c r="G758" s="19">
        <v>44911</v>
      </c>
      <c r="H758" s="19">
        <v>44918</v>
      </c>
      <c r="I758" s="18"/>
      <c r="J758" s="19" t="b">
        <v>1</v>
      </c>
      <c r="K758" s="19" t="b">
        <v>0</v>
      </c>
      <c r="L758" s="19" t="b">
        <v>0</v>
      </c>
      <c r="M758" s="19" t="b">
        <v>0</v>
      </c>
      <c r="N758" s="19" t="b">
        <v>0</v>
      </c>
      <c r="O758" s="19" t="b">
        <v>0</v>
      </c>
      <c r="P758" s="19" t="b">
        <v>0</v>
      </c>
    </row>
    <row r="759" spans="1:16" x14ac:dyDescent="0.2">
      <c r="A759" s="18">
        <v>8732776</v>
      </c>
      <c r="B759" s="18" t="s">
        <v>2163</v>
      </c>
      <c r="C759" s="18" t="s">
        <v>167</v>
      </c>
      <c r="D759" s="18" t="s">
        <v>60</v>
      </c>
      <c r="E759" s="19">
        <v>44772</v>
      </c>
      <c r="F759" s="18" t="s">
        <v>2164</v>
      </c>
      <c r="G759" s="19">
        <v>44783</v>
      </c>
      <c r="H759" s="19">
        <v>44815</v>
      </c>
      <c r="I759" s="18" t="s">
        <v>16</v>
      </c>
      <c r="J759" s="19" t="b">
        <v>1</v>
      </c>
      <c r="K759" s="19" t="b">
        <v>0</v>
      </c>
      <c r="L759" s="19" t="b">
        <v>0</v>
      </c>
      <c r="M759" s="19" t="b">
        <v>0</v>
      </c>
      <c r="N759" s="19" t="b">
        <v>1</v>
      </c>
      <c r="O759" s="19" t="b">
        <v>0</v>
      </c>
      <c r="P759" s="19" t="b">
        <v>0</v>
      </c>
    </row>
    <row r="760" spans="1:16" x14ac:dyDescent="0.2">
      <c r="A760" s="18">
        <v>8732776</v>
      </c>
      <c r="B760" s="18" t="s">
        <v>2165</v>
      </c>
      <c r="C760" s="18" t="s">
        <v>167</v>
      </c>
      <c r="D760" s="18" t="s">
        <v>60</v>
      </c>
      <c r="E760" s="19">
        <v>44868</v>
      </c>
      <c r="F760" s="18" t="s">
        <v>2166</v>
      </c>
      <c r="G760" s="19">
        <v>44880</v>
      </c>
      <c r="H760" s="19">
        <v>44908</v>
      </c>
      <c r="I760" s="18" t="s">
        <v>28</v>
      </c>
      <c r="J760" s="19" t="b">
        <v>1</v>
      </c>
      <c r="K760" s="19" t="b">
        <v>0</v>
      </c>
      <c r="L760" s="19" t="b">
        <v>0</v>
      </c>
      <c r="M760" s="19" t="b">
        <v>0</v>
      </c>
      <c r="N760" s="19" t="b">
        <v>0</v>
      </c>
      <c r="O760" s="19" t="b">
        <v>0</v>
      </c>
      <c r="P760" s="19" t="b">
        <v>1</v>
      </c>
    </row>
    <row r="761" spans="1:16" x14ac:dyDescent="0.2">
      <c r="A761" s="18">
        <v>9989803</v>
      </c>
      <c r="B761" s="18" t="s">
        <v>2171</v>
      </c>
      <c r="C761" s="18" t="s">
        <v>454</v>
      </c>
      <c r="D761" s="18" t="s">
        <v>11</v>
      </c>
      <c r="E761" s="19">
        <v>44656</v>
      </c>
      <c r="F761" s="18" t="s">
        <v>2172</v>
      </c>
      <c r="G761" s="19">
        <v>44679</v>
      </c>
      <c r="H761" s="19">
        <v>44734</v>
      </c>
      <c r="I761" s="18"/>
      <c r="J761" s="19" t="b">
        <v>1</v>
      </c>
      <c r="K761" s="19" t="b">
        <v>0</v>
      </c>
      <c r="L761" s="19" t="b">
        <v>0</v>
      </c>
      <c r="M761" s="19" t="b">
        <v>0</v>
      </c>
      <c r="N761" s="19" t="b">
        <v>0</v>
      </c>
      <c r="O761" s="19" t="b">
        <v>0</v>
      </c>
      <c r="P761" s="19" t="b">
        <v>0</v>
      </c>
    </row>
    <row r="762" spans="1:16" x14ac:dyDescent="0.2">
      <c r="A762" s="18">
        <v>9989803</v>
      </c>
      <c r="B762" s="18" t="s">
        <v>2173</v>
      </c>
      <c r="C762" s="18" t="s">
        <v>454</v>
      </c>
      <c r="D762" s="18" t="s">
        <v>11</v>
      </c>
      <c r="E762" s="19">
        <v>45105</v>
      </c>
      <c r="F762" s="18" t="s">
        <v>2174</v>
      </c>
      <c r="G762" s="19">
        <v>45121</v>
      </c>
      <c r="H762" s="19">
        <v>45149</v>
      </c>
      <c r="I762" s="18" t="s">
        <v>28</v>
      </c>
      <c r="J762" s="19" t="b">
        <v>1</v>
      </c>
      <c r="K762" s="19" t="b">
        <v>0</v>
      </c>
      <c r="L762" s="19" t="b">
        <v>0</v>
      </c>
      <c r="M762" s="19" t="b">
        <v>0</v>
      </c>
      <c r="N762" s="19" t="b">
        <v>0</v>
      </c>
      <c r="O762" s="19" t="b">
        <v>0</v>
      </c>
      <c r="P762" s="19" t="b">
        <v>1</v>
      </c>
    </row>
    <row r="763" spans="1:16" x14ac:dyDescent="0.2">
      <c r="A763" s="18">
        <v>6064152</v>
      </c>
      <c r="B763" s="18" t="s">
        <v>2175</v>
      </c>
      <c r="C763" s="18" t="s">
        <v>80</v>
      </c>
      <c r="D763" s="18" t="s">
        <v>11</v>
      </c>
      <c r="E763" s="19">
        <v>44973</v>
      </c>
      <c r="F763" s="18" t="s">
        <v>2176</v>
      </c>
      <c r="G763" s="19">
        <v>44982</v>
      </c>
      <c r="H763" s="19">
        <v>45022</v>
      </c>
      <c r="I763" s="18" t="s">
        <v>28</v>
      </c>
      <c r="J763" s="19" t="b">
        <v>1</v>
      </c>
      <c r="K763" s="19" t="b">
        <v>0</v>
      </c>
      <c r="L763" s="19" t="b">
        <v>0</v>
      </c>
      <c r="M763" s="19" t="b">
        <v>0</v>
      </c>
      <c r="N763" s="19" t="b">
        <v>0</v>
      </c>
      <c r="O763" s="19" t="b">
        <v>0</v>
      </c>
      <c r="P763" s="19" t="b">
        <v>1</v>
      </c>
    </row>
    <row r="764" spans="1:16" x14ac:dyDescent="0.2">
      <c r="A764" s="18">
        <v>6064152</v>
      </c>
      <c r="B764" s="18" t="s">
        <v>2177</v>
      </c>
      <c r="C764" s="18" t="s">
        <v>80</v>
      </c>
      <c r="D764" s="18" t="s">
        <v>11</v>
      </c>
      <c r="E764" s="19">
        <v>45090</v>
      </c>
      <c r="F764" s="18" t="s">
        <v>2178</v>
      </c>
      <c r="G764" s="19">
        <v>45118</v>
      </c>
      <c r="H764" s="19">
        <v>45130</v>
      </c>
      <c r="I764" s="18" t="s">
        <v>43</v>
      </c>
      <c r="J764" s="19" t="b">
        <v>1</v>
      </c>
      <c r="K764" s="19" t="b">
        <v>0</v>
      </c>
      <c r="L764" s="19" t="b">
        <v>0</v>
      </c>
      <c r="M764" s="19" t="b">
        <v>0</v>
      </c>
      <c r="N764" s="19" t="b">
        <v>0</v>
      </c>
      <c r="O764" s="19" t="b">
        <v>1</v>
      </c>
      <c r="P764" s="19" t="b">
        <v>0</v>
      </c>
    </row>
    <row r="765" spans="1:16" x14ac:dyDescent="0.2">
      <c r="A765" s="18">
        <v>6064152</v>
      </c>
      <c r="B765" s="18" t="s">
        <v>2179</v>
      </c>
      <c r="C765" s="18" t="s">
        <v>80</v>
      </c>
      <c r="D765" s="18" t="s">
        <v>11</v>
      </c>
      <c r="E765" s="19">
        <v>45040</v>
      </c>
      <c r="F765" s="18" t="s">
        <v>134</v>
      </c>
      <c r="G765" s="19">
        <v>45049</v>
      </c>
      <c r="H765" s="19">
        <v>45109</v>
      </c>
      <c r="I765" s="18" t="s">
        <v>43</v>
      </c>
      <c r="J765" s="19" t="b">
        <v>1</v>
      </c>
      <c r="K765" s="19" t="b">
        <v>0</v>
      </c>
      <c r="L765" s="19" t="b">
        <v>0</v>
      </c>
      <c r="M765" s="19" t="b">
        <v>0</v>
      </c>
      <c r="N765" s="19" t="b">
        <v>0</v>
      </c>
      <c r="O765" s="19" t="b">
        <v>1</v>
      </c>
      <c r="P765" s="19" t="b">
        <v>0</v>
      </c>
    </row>
    <row r="766" spans="1:16" x14ac:dyDescent="0.2">
      <c r="A766" s="18">
        <v>6064152</v>
      </c>
      <c r="B766" s="18" t="s">
        <v>2180</v>
      </c>
      <c r="C766" s="18" t="s">
        <v>80</v>
      </c>
      <c r="D766" s="18" t="s">
        <v>11</v>
      </c>
      <c r="E766" s="19">
        <v>44623</v>
      </c>
      <c r="F766" s="18" t="s">
        <v>1047</v>
      </c>
      <c r="G766" s="19">
        <v>44640</v>
      </c>
      <c r="H766" s="19">
        <v>44653</v>
      </c>
      <c r="I766" s="18"/>
      <c r="J766" s="19" t="b">
        <v>1</v>
      </c>
      <c r="K766" s="19" t="b">
        <v>0</v>
      </c>
      <c r="L766" s="19" t="b">
        <v>0</v>
      </c>
      <c r="M766" s="19" t="b">
        <v>0</v>
      </c>
      <c r="N766" s="19" t="b">
        <v>0</v>
      </c>
      <c r="O766" s="19" t="b">
        <v>0</v>
      </c>
      <c r="P766" s="19" t="b">
        <v>0</v>
      </c>
    </row>
    <row r="767" spans="1:16" x14ac:dyDescent="0.2">
      <c r="A767" s="18">
        <v>7111514</v>
      </c>
      <c r="B767" s="18" t="s">
        <v>2183</v>
      </c>
      <c r="C767" s="18" t="s">
        <v>287</v>
      </c>
      <c r="D767" s="18" t="s">
        <v>187</v>
      </c>
      <c r="E767" s="19">
        <v>44627</v>
      </c>
      <c r="F767" s="18" t="s">
        <v>2184</v>
      </c>
      <c r="G767" s="19">
        <v>44648</v>
      </c>
      <c r="H767" s="19">
        <v>44662</v>
      </c>
      <c r="I767" s="18" t="s">
        <v>28</v>
      </c>
      <c r="J767" s="19" t="b">
        <v>1</v>
      </c>
      <c r="K767" s="19" t="b">
        <v>0</v>
      </c>
      <c r="L767" s="19" t="b">
        <v>0</v>
      </c>
      <c r="M767" s="19" t="b">
        <v>0</v>
      </c>
      <c r="N767" s="19" t="b">
        <v>0</v>
      </c>
      <c r="O767" s="19" t="b">
        <v>0</v>
      </c>
      <c r="P767" s="19" t="b">
        <v>1</v>
      </c>
    </row>
    <row r="768" spans="1:16" x14ac:dyDescent="0.2">
      <c r="A768" s="18">
        <v>6210006</v>
      </c>
      <c r="B768" s="18" t="s">
        <v>2188</v>
      </c>
      <c r="C768" s="18" t="s">
        <v>287</v>
      </c>
      <c r="D768" s="18" t="s">
        <v>77</v>
      </c>
      <c r="E768" s="19">
        <v>44599</v>
      </c>
      <c r="F768" s="18" t="s">
        <v>2189</v>
      </c>
      <c r="G768" s="19">
        <v>44606</v>
      </c>
      <c r="H768" s="19">
        <v>44617</v>
      </c>
      <c r="I768" s="18"/>
      <c r="J768" s="19" t="b">
        <v>1</v>
      </c>
      <c r="K768" s="19" t="b">
        <v>0</v>
      </c>
      <c r="L768" s="19" t="b">
        <v>0</v>
      </c>
      <c r="M768" s="19" t="b">
        <v>0</v>
      </c>
      <c r="N768" s="19" t="b">
        <v>0</v>
      </c>
      <c r="O768" s="19" t="b">
        <v>0</v>
      </c>
      <c r="P768" s="19" t="b">
        <v>0</v>
      </c>
    </row>
    <row r="769" spans="1:16" x14ac:dyDescent="0.2">
      <c r="A769" s="18">
        <v>6210006</v>
      </c>
      <c r="B769" s="18" t="s">
        <v>2191</v>
      </c>
      <c r="C769" s="18" t="s">
        <v>287</v>
      </c>
      <c r="D769" s="18" t="s">
        <v>77</v>
      </c>
      <c r="E769" s="19">
        <v>44582</v>
      </c>
      <c r="F769" s="18" t="s">
        <v>2192</v>
      </c>
      <c r="G769" s="19">
        <v>44584</v>
      </c>
      <c r="H769" s="19">
        <v>44640</v>
      </c>
      <c r="I769" s="18" t="s">
        <v>16</v>
      </c>
      <c r="J769" s="19" t="b">
        <v>1</v>
      </c>
      <c r="K769" s="19" t="b">
        <v>0</v>
      </c>
      <c r="L769" s="19" t="b">
        <v>0</v>
      </c>
      <c r="M769" s="19" t="b">
        <v>0</v>
      </c>
      <c r="N769" s="19" t="b">
        <v>1</v>
      </c>
      <c r="O769" s="19" t="b">
        <v>0</v>
      </c>
      <c r="P769" s="19" t="b">
        <v>0</v>
      </c>
    </row>
    <row r="770" spans="1:16" x14ac:dyDescent="0.2">
      <c r="A770" s="18">
        <v>6210006</v>
      </c>
      <c r="B770" s="18" t="s">
        <v>2193</v>
      </c>
      <c r="C770" s="18" t="s">
        <v>287</v>
      </c>
      <c r="D770" s="18" t="s">
        <v>77</v>
      </c>
      <c r="E770" s="19">
        <v>44627</v>
      </c>
      <c r="F770" s="18" t="s">
        <v>2194</v>
      </c>
      <c r="G770" s="19">
        <v>44656</v>
      </c>
      <c r="H770" s="19">
        <v>44683</v>
      </c>
      <c r="I770" s="18" t="s">
        <v>28</v>
      </c>
      <c r="J770" s="19" t="b">
        <v>1</v>
      </c>
      <c r="K770" s="19" t="b">
        <v>0</v>
      </c>
      <c r="L770" s="19" t="b">
        <v>0</v>
      </c>
      <c r="M770" s="19" t="b">
        <v>0</v>
      </c>
      <c r="N770" s="19" t="b">
        <v>0</v>
      </c>
      <c r="O770" s="19" t="b">
        <v>0</v>
      </c>
      <c r="P770" s="19" t="b">
        <v>1</v>
      </c>
    </row>
    <row r="771" spans="1:16" x14ac:dyDescent="0.2">
      <c r="A771" s="18">
        <v>6210006</v>
      </c>
      <c r="B771" s="18" t="s">
        <v>2195</v>
      </c>
      <c r="C771" s="18" t="s">
        <v>287</v>
      </c>
      <c r="D771" s="18" t="s">
        <v>77</v>
      </c>
      <c r="E771" s="19">
        <v>44705</v>
      </c>
      <c r="F771" s="18" t="s">
        <v>2196</v>
      </c>
      <c r="G771" s="19">
        <v>44713</v>
      </c>
      <c r="H771" s="19">
        <v>44721</v>
      </c>
      <c r="I771" s="18" t="s">
        <v>16</v>
      </c>
      <c r="J771" s="19" t="b">
        <v>1</v>
      </c>
      <c r="K771" s="19" t="b">
        <v>0</v>
      </c>
      <c r="L771" s="19" t="b">
        <v>0</v>
      </c>
      <c r="M771" s="19" t="b">
        <v>0</v>
      </c>
      <c r="N771" s="19" t="b">
        <v>1</v>
      </c>
      <c r="O771" s="19" t="b">
        <v>0</v>
      </c>
      <c r="P771" s="19" t="b">
        <v>0</v>
      </c>
    </row>
    <row r="772" spans="1:16" x14ac:dyDescent="0.2">
      <c r="A772" s="18">
        <v>9392777</v>
      </c>
      <c r="B772" s="18" t="s">
        <v>2197</v>
      </c>
      <c r="C772" s="18" t="s">
        <v>310</v>
      </c>
      <c r="D772" s="18" t="s">
        <v>122</v>
      </c>
      <c r="E772" s="19">
        <v>44654</v>
      </c>
      <c r="F772" s="18" t="s">
        <v>646</v>
      </c>
      <c r="G772" s="19">
        <v>44662</v>
      </c>
      <c r="H772" s="19">
        <v>44701</v>
      </c>
      <c r="I772" s="18" t="s">
        <v>28</v>
      </c>
      <c r="J772" s="19" t="b">
        <v>1</v>
      </c>
      <c r="K772" s="19" t="b">
        <v>0</v>
      </c>
      <c r="L772" s="19" t="b">
        <v>0</v>
      </c>
      <c r="M772" s="19" t="b">
        <v>0</v>
      </c>
      <c r="N772" s="19" t="b">
        <v>0</v>
      </c>
      <c r="O772" s="19" t="b">
        <v>0</v>
      </c>
      <c r="P772" s="19" t="b">
        <v>1</v>
      </c>
    </row>
    <row r="773" spans="1:16" x14ac:dyDescent="0.2">
      <c r="A773" s="18">
        <v>9392777</v>
      </c>
      <c r="B773" s="18" t="s">
        <v>2200</v>
      </c>
      <c r="C773" s="18" t="s">
        <v>310</v>
      </c>
      <c r="D773" s="18" t="s">
        <v>122</v>
      </c>
      <c r="E773" s="19">
        <v>44803</v>
      </c>
      <c r="F773" s="18" t="s">
        <v>2201</v>
      </c>
      <c r="G773" s="19">
        <v>44833</v>
      </c>
      <c r="H773" s="19">
        <v>44861</v>
      </c>
      <c r="I773" s="18"/>
      <c r="J773" s="19" t="b">
        <v>1</v>
      </c>
      <c r="K773" s="19" t="b">
        <v>0</v>
      </c>
      <c r="L773" s="19" t="b">
        <v>0</v>
      </c>
      <c r="M773" s="19" t="b">
        <v>0</v>
      </c>
      <c r="N773" s="19" t="b">
        <v>0</v>
      </c>
      <c r="O773" s="19" t="b">
        <v>0</v>
      </c>
      <c r="P773" s="19" t="b">
        <v>0</v>
      </c>
    </row>
    <row r="774" spans="1:16" x14ac:dyDescent="0.2">
      <c r="A774" s="18">
        <v>9392777</v>
      </c>
      <c r="B774" s="18" t="s">
        <v>2204</v>
      </c>
      <c r="C774" s="18" t="s">
        <v>310</v>
      </c>
      <c r="D774" s="18" t="s">
        <v>122</v>
      </c>
      <c r="E774" s="19">
        <v>44619</v>
      </c>
      <c r="F774" s="18" t="s">
        <v>2205</v>
      </c>
      <c r="G774" s="19">
        <v>44635</v>
      </c>
      <c r="H774" s="19">
        <v>44670</v>
      </c>
      <c r="I774" s="18" t="s">
        <v>28</v>
      </c>
      <c r="J774" s="19" t="b">
        <v>1</v>
      </c>
      <c r="K774" s="19" t="b">
        <v>0</v>
      </c>
      <c r="L774" s="19" t="b">
        <v>0</v>
      </c>
      <c r="M774" s="19" t="b">
        <v>0</v>
      </c>
      <c r="N774" s="19" t="b">
        <v>0</v>
      </c>
      <c r="O774" s="19" t="b">
        <v>0</v>
      </c>
      <c r="P774" s="19" t="b">
        <v>1</v>
      </c>
    </row>
    <row r="775" spans="1:16" x14ac:dyDescent="0.2">
      <c r="A775" s="18">
        <v>7286506</v>
      </c>
      <c r="B775" s="18" t="s">
        <v>2206</v>
      </c>
      <c r="C775" s="18" t="s">
        <v>240</v>
      </c>
      <c r="D775" s="18" t="s">
        <v>122</v>
      </c>
      <c r="E775" s="19">
        <v>44846</v>
      </c>
      <c r="F775" s="18" t="s">
        <v>2207</v>
      </c>
      <c r="G775" s="19">
        <v>44875</v>
      </c>
      <c r="H775" s="19">
        <v>44926</v>
      </c>
      <c r="I775" s="18"/>
      <c r="J775" s="19" t="b">
        <v>1</v>
      </c>
      <c r="K775" s="19" t="b">
        <v>0</v>
      </c>
      <c r="L775" s="19" t="b">
        <v>0</v>
      </c>
      <c r="M775" s="19" t="b">
        <v>0</v>
      </c>
      <c r="N775" s="19" t="b">
        <v>0</v>
      </c>
      <c r="O775" s="19" t="b">
        <v>0</v>
      </c>
      <c r="P775" s="19" t="b">
        <v>0</v>
      </c>
    </row>
    <row r="776" spans="1:16" x14ac:dyDescent="0.2">
      <c r="A776" s="18">
        <v>7286506</v>
      </c>
      <c r="B776" s="18" t="s">
        <v>2208</v>
      </c>
      <c r="C776" s="18" t="s">
        <v>240</v>
      </c>
      <c r="D776" s="18" t="s">
        <v>122</v>
      </c>
      <c r="E776" s="19">
        <v>44938</v>
      </c>
      <c r="F776" s="18" t="s">
        <v>2209</v>
      </c>
      <c r="G776" s="19">
        <v>44965</v>
      </c>
      <c r="H776" s="19">
        <v>44985</v>
      </c>
      <c r="I776" s="18" t="s">
        <v>28</v>
      </c>
      <c r="J776" s="19" t="b">
        <v>1</v>
      </c>
      <c r="K776" s="19" t="b">
        <v>0</v>
      </c>
      <c r="L776" s="19" t="b">
        <v>0</v>
      </c>
      <c r="M776" s="19" t="b">
        <v>0</v>
      </c>
      <c r="N776" s="19" t="b">
        <v>0</v>
      </c>
      <c r="O776" s="19" t="b">
        <v>0</v>
      </c>
      <c r="P776" s="19" t="b">
        <v>1</v>
      </c>
    </row>
    <row r="777" spans="1:16" x14ac:dyDescent="0.2">
      <c r="A777" s="18">
        <v>1917249</v>
      </c>
      <c r="B777" s="18" t="s">
        <v>2211</v>
      </c>
      <c r="C777" s="18" t="s">
        <v>240</v>
      </c>
      <c r="D777" s="18" t="s">
        <v>19</v>
      </c>
      <c r="E777" s="19">
        <v>44933</v>
      </c>
      <c r="F777" s="18" t="s">
        <v>2212</v>
      </c>
      <c r="G777" s="19">
        <v>44962</v>
      </c>
      <c r="H777" s="19">
        <v>45014</v>
      </c>
      <c r="I777" s="18" t="s">
        <v>28</v>
      </c>
      <c r="J777" s="19" t="b">
        <v>1</v>
      </c>
      <c r="K777" s="19" t="b">
        <v>0</v>
      </c>
      <c r="L777" s="19" t="b">
        <v>0</v>
      </c>
      <c r="M777" s="19" t="b">
        <v>0</v>
      </c>
      <c r="N777" s="19" t="b">
        <v>0</v>
      </c>
      <c r="O777" s="19" t="b">
        <v>0</v>
      </c>
      <c r="P777" s="19" t="b">
        <v>1</v>
      </c>
    </row>
    <row r="778" spans="1:16" x14ac:dyDescent="0.2">
      <c r="A778" s="18">
        <v>1917249</v>
      </c>
      <c r="B778" s="18" t="s">
        <v>2213</v>
      </c>
      <c r="C778" s="18" t="s">
        <v>240</v>
      </c>
      <c r="D778" s="18" t="s">
        <v>19</v>
      </c>
      <c r="E778" s="19">
        <v>44959</v>
      </c>
      <c r="F778" s="18" t="s">
        <v>2214</v>
      </c>
      <c r="G778" s="19">
        <v>44960</v>
      </c>
      <c r="H778" s="19">
        <v>45019</v>
      </c>
      <c r="I778" s="18" t="s">
        <v>43</v>
      </c>
      <c r="J778" s="19" t="b">
        <v>1</v>
      </c>
      <c r="K778" s="19" t="b">
        <v>0</v>
      </c>
      <c r="L778" s="19" t="b">
        <v>0</v>
      </c>
      <c r="M778" s="19" t="b">
        <v>0</v>
      </c>
      <c r="N778" s="19" t="b">
        <v>0</v>
      </c>
      <c r="O778" s="19" t="b">
        <v>1</v>
      </c>
      <c r="P778" s="19" t="b">
        <v>0</v>
      </c>
    </row>
    <row r="779" spans="1:16" x14ac:dyDescent="0.2">
      <c r="A779" s="18">
        <v>1917249</v>
      </c>
      <c r="B779" s="18" t="s">
        <v>2215</v>
      </c>
      <c r="C779" s="18" t="s">
        <v>240</v>
      </c>
      <c r="D779" s="18" t="s">
        <v>19</v>
      </c>
      <c r="E779" s="19">
        <v>44803</v>
      </c>
      <c r="F779" s="18" t="s">
        <v>1124</v>
      </c>
      <c r="G779" s="19">
        <v>44813</v>
      </c>
      <c r="H779" s="19">
        <v>44827</v>
      </c>
      <c r="I779" s="18" t="s">
        <v>28</v>
      </c>
      <c r="J779" s="19" t="b">
        <v>1</v>
      </c>
      <c r="K779" s="19" t="b">
        <v>0</v>
      </c>
      <c r="L779" s="19" t="b">
        <v>0</v>
      </c>
      <c r="M779" s="19" t="b">
        <v>0</v>
      </c>
      <c r="N779" s="19" t="b">
        <v>0</v>
      </c>
      <c r="O779" s="19" t="b">
        <v>0</v>
      </c>
      <c r="P779" s="19" t="b">
        <v>1</v>
      </c>
    </row>
    <row r="780" spans="1:16" x14ac:dyDescent="0.2">
      <c r="A780" s="18">
        <v>3688166</v>
      </c>
      <c r="B780" s="18" t="s">
        <v>2216</v>
      </c>
      <c r="C780" s="18" t="s">
        <v>310</v>
      </c>
      <c r="D780" s="18" t="s">
        <v>77</v>
      </c>
      <c r="E780" s="19">
        <v>44842</v>
      </c>
      <c r="F780" s="18" t="s">
        <v>2217</v>
      </c>
      <c r="G780" s="19">
        <v>44870</v>
      </c>
      <c r="H780" s="19">
        <v>44876</v>
      </c>
      <c r="I780" s="18"/>
      <c r="J780" s="19" t="b">
        <v>1</v>
      </c>
      <c r="K780" s="19" t="b">
        <v>0</v>
      </c>
      <c r="L780" s="19" t="b">
        <v>0</v>
      </c>
      <c r="M780" s="19" t="b">
        <v>0</v>
      </c>
      <c r="N780" s="19" t="b">
        <v>0</v>
      </c>
      <c r="O780" s="19" t="b">
        <v>0</v>
      </c>
      <c r="P780" s="19" t="b">
        <v>0</v>
      </c>
    </row>
    <row r="781" spans="1:16" x14ac:dyDescent="0.2">
      <c r="A781" s="18">
        <v>3688166</v>
      </c>
      <c r="B781" s="18" t="s">
        <v>2218</v>
      </c>
      <c r="C781" s="18" t="s">
        <v>310</v>
      </c>
      <c r="D781" s="18" t="s">
        <v>77</v>
      </c>
      <c r="E781" s="19">
        <v>44984</v>
      </c>
      <c r="F781" s="18" t="s">
        <v>2219</v>
      </c>
      <c r="G781" s="19">
        <v>45014</v>
      </c>
      <c r="H781" s="19">
        <v>45068</v>
      </c>
      <c r="I781" s="18"/>
      <c r="J781" s="19" t="b">
        <v>1</v>
      </c>
      <c r="K781" s="19" t="b">
        <v>0</v>
      </c>
      <c r="L781" s="19" t="b">
        <v>0</v>
      </c>
      <c r="M781" s="19" t="b">
        <v>0</v>
      </c>
      <c r="N781" s="19" t="b">
        <v>0</v>
      </c>
      <c r="O781" s="19" t="b">
        <v>0</v>
      </c>
      <c r="P781" s="19" t="b">
        <v>0</v>
      </c>
    </row>
    <row r="782" spans="1:16" x14ac:dyDescent="0.2">
      <c r="A782" s="18">
        <v>3688166</v>
      </c>
      <c r="B782" s="18" t="s">
        <v>2220</v>
      </c>
      <c r="C782" s="18" t="s">
        <v>310</v>
      </c>
      <c r="D782" s="18" t="s">
        <v>77</v>
      </c>
      <c r="E782" s="19">
        <v>44664</v>
      </c>
      <c r="F782" s="18" t="s">
        <v>50</v>
      </c>
      <c r="G782" s="19">
        <v>44691</v>
      </c>
      <c r="H782" s="19">
        <v>44702</v>
      </c>
      <c r="I782" s="18"/>
      <c r="J782" s="19" t="b">
        <v>1</v>
      </c>
      <c r="K782" s="19" t="b">
        <v>0</v>
      </c>
      <c r="L782" s="19" t="b">
        <v>0</v>
      </c>
      <c r="M782" s="19" t="b">
        <v>0</v>
      </c>
      <c r="N782" s="19" t="b">
        <v>0</v>
      </c>
      <c r="O782" s="19" t="b">
        <v>0</v>
      </c>
      <c r="P782" s="19" t="b">
        <v>0</v>
      </c>
    </row>
    <row r="783" spans="1:16" x14ac:dyDescent="0.2">
      <c r="A783" s="18">
        <v>5378351</v>
      </c>
      <c r="B783" s="18" t="s">
        <v>2221</v>
      </c>
      <c r="C783" s="18" t="s">
        <v>80</v>
      </c>
      <c r="D783" s="18" t="s">
        <v>122</v>
      </c>
      <c r="E783" s="19">
        <v>44590</v>
      </c>
      <c r="F783" s="18" t="s">
        <v>2222</v>
      </c>
      <c r="G783" s="19">
        <v>44615</v>
      </c>
      <c r="H783" s="19">
        <v>44619</v>
      </c>
      <c r="I783" s="18" t="s">
        <v>28</v>
      </c>
      <c r="J783" s="19" t="b">
        <v>1</v>
      </c>
      <c r="K783" s="19" t="b">
        <v>0</v>
      </c>
      <c r="L783" s="19" t="b">
        <v>0</v>
      </c>
      <c r="M783" s="19" t="b">
        <v>0</v>
      </c>
      <c r="N783" s="19" t="b">
        <v>0</v>
      </c>
      <c r="O783" s="19" t="b">
        <v>0</v>
      </c>
      <c r="P783" s="19" t="b">
        <v>1</v>
      </c>
    </row>
    <row r="784" spans="1:16" x14ac:dyDescent="0.2">
      <c r="A784" s="18">
        <v>5378351</v>
      </c>
      <c r="B784" s="18" t="s">
        <v>2223</v>
      </c>
      <c r="C784" s="18" t="s">
        <v>80</v>
      </c>
      <c r="D784" s="18" t="s">
        <v>122</v>
      </c>
      <c r="E784" s="19">
        <v>44701</v>
      </c>
      <c r="F784" s="18" t="s">
        <v>2224</v>
      </c>
      <c r="G784" s="19">
        <v>44702</v>
      </c>
      <c r="H784" s="19">
        <v>44728</v>
      </c>
      <c r="I784" s="18" t="s">
        <v>43</v>
      </c>
      <c r="J784" s="19" t="b">
        <v>1</v>
      </c>
      <c r="K784" s="19" t="b">
        <v>0</v>
      </c>
      <c r="L784" s="19" t="b">
        <v>0</v>
      </c>
      <c r="M784" s="19" t="b">
        <v>0</v>
      </c>
      <c r="N784" s="19" t="b">
        <v>0</v>
      </c>
      <c r="O784" s="19" t="b">
        <v>1</v>
      </c>
      <c r="P784" s="19" t="b">
        <v>0</v>
      </c>
    </row>
    <row r="785" spans="1:16" x14ac:dyDescent="0.2">
      <c r="A785" s="18">
        <v>3647821</v>
      </c>
      <c r="B785" s="18" t="s">
        <v>2226</v>
      </c>
      <c r="C785" s="18" t="s">
        <v>93</v>
      </c>
      <c r="D785" s="18" t="s">
        <v>139</v>
      </c>
      <c r="E785" s="19">
        <v>45024</v>
      </c>
      <c r="F785" s="18" t="s">
        <v>2227</v>
      </c>
      <c r="G785" s="19">
        <v>45040</v>
      </c>
      <c r="H785" s="19">
        <v>45096</v>
      </c>
      <c r="I785" s="18"/>
      <c r="J785" s="19" t="b">
        <v>1</v>
      </c>
      <c r="K785" s="19" t="b">
        <v>0</v>
      </c>
      <c r="L785" s="19" t="b">
        <v>0</v>
      </c>
      <c r="M785" s="19" t="b">
        <v>0</v>
      </c>
      <c r="N785" s="19" t="b">
        <v>0</v>
      </c>
      <c r="O785" s="19" t="b">
        <v>0</v>
      </c>
      <c r="P785" s="19" t="b">
        <v>0</v>
      </c>
    </row>
    <row r="786" spans="1:16" x14ac:dyDescent="0.2">
      <c r="A786" s="18">
        <v>3647821</v>
      </c>
      <c r="B786" s="18" t="s">
        <v>2228</v>
      </c>
      <c r="C786" s="18" t="s">
        <v>93</v>
      </c>
      <c r="D786" s="18" t="s">
        <v>139</v>
      </c>
      <c r="E786" s="19">
        <v>44897</v>
      </c>
      <c r="F786" s="18" t="s">
        <v>2229</v>
      </c>
      <c r="G786" s="19">
        <v>44923</v>
      </c>
      <c r="H786" s="19">
        <v>44942</v>
      </c>
      <c r="I786" s="18" t="s">
        <v>28</v>
      </c>
      <c r="J786" s="19" t="b">
        <v>1</v>
      </c>
      <c r="K786" s="19" t="b">
        <v>0</v>
      </c>
      <c r="L786" s="19" t="b">
        <v>0</v>
      </c>
      <c r="M786" s="19" t="b">
        <v>0</v>
      </c>
      <c r="N786" s="19" t="b">
        <v>0</v>
      </c>
      <c r="O786" s="19" t="b">
        <v>0</v>
      </c>
      <c r="P786" s="19" t="b">
        <v>1</v>
      </c>
    </row>
    <row r="787" spans="1:16" x14ac:dyDescent="0.2">
      <c r="A787" s="18">
        <v>4333024</v>
      </c>
      <c r="B787" s="18" t="s">
        <v>2232</v>
      </c>
      <c r="C787" s="18" t="s">
        <v>76</v>
      </c>
      <c r="D787" s="18" t="s">
        <v>60</v>
      </c>
      <c r="E787" s="19">
        <v>45035</v>
      </c>
      <c r="F787" s="18" t="s">
        <v>2233</v>
      </c>
      <c r="G787" s="19">
        <v>45042</v>
      </c>
      <c r="H787" s="19">
        <v>45059</v>
      </c>
      <c r="I787" s="18" t="s">
        <v>43</v>
      </c>
      <c r="J787" s="19" t="b">
        <v>1</v>
      </c>
      <c r="K787" s="19" t="b">
        <v>0</v>
      </c>
      <c r="L787" s="19" t="b">
        <v>0</v>
      </c>
      <c r="M787" s="19" t="b">
        <v>0</v>
      </c>
      <c r="N787" s="19" t="b">
        <v>0</v>
      </c>
      <c r="O787" s="19" t="b">
        <v>1</v>
      </c>
      <c r="P787" s="19" t="b">
        <v>0</v>
      </c>
    </row>
    <row r="788" spans="1:16" x14ac:dyDescent="0.2">
      <c r="A788" s="18">
        <v>4333024</v>
      </c>
      <c r="B788" s="18" t="s">
        <v>2234</v>
      </c>
      <c r="C788" s="18" t="s">
        <v>76</v>
      </c>
      <c r="D788" s="18" t="s">
        <v>60</v>
      </c>
      <c r="E788" s="19">
        <v>45001</v>
      </c>
      <c r="F788" s="18" t="s">
        <v>98</v>
      </c>
      <c r="G788" s="19">
        <v>45021</v>
      </c>
      <c r="H788" s="19">
        <v>45038</v>
      </c>
      <c r="I788" s="18" t="s">
        <v>43</v>
      </c>
      <c r="J788" s="19" t="b">
        <v>1</v>
      </c>
      <c r="K788" s="19" t="b">
        <v>0</v>
      </c>
      <c r="L788" s="19" t="b">
        <v>0</v>
      </c>
      <c r="M788" s="19" t="b">
        <v>0</v>
      </c>
      <c r="N788" s="19" t="b">
        <v>0</v>
      </c>
      <c r="O788" s="19" t="b">
        <v>1</v>
      </c>
      <c r="P788" s="19" t="b">
        <v>0</v>
      </c>
    </row>
    <row r="789" spans="1:16" x14ac:dyDescent="0.2">
      <c r="A789" s="18">
        <v>3504019</v>
      </c>
      <c r="B789" s="18" t="s">
        <v>2235</v>
      </c>
      <c r="C789" s="18" t="s">
        <v>76</v>
      </c>
      <c r="D789" s="18" t="s">
        <v>39</v>
      </c>
      <c r="E789" s="19">
        <v>45100</v>
      </c>
      <c r="F789" s="18" t="s">
        <v>2236</v>
      </c>
      <c r="G789" s="19">
        <v>45114</v>
      </c>
      <c r="H789" s="19">
        <v>45164</v>
      </c>
      <c r="I789" s="18" t="s">
        <v>16</v>
      </c>
      <c r="J789" s="19" t="b">
        <v>1</v>
      </c>
      <c r="K789" s="19" t="b">
        <v>0</v>
      </c>
      <c r="L789" s="19" t="b">
        <v>0</v>
      </c>
      <c r="M789" s="19" t="b">
        <v>0</v>
      </c>
      <c r="N789" s="19" t="b">
        <v>1</v>
      </c>
      <c r="O789" s="19" t="b">
        <v>0</v>
      </c>
      <c r="P789" s="19" t="b">
        <v>0</v>
      </c>
    </row>
    <row r="790" spans="1:16" x14ac:dyDescent="0.2">
      <c r="A790" s="18">
        <v>3504019</v>
      </c>
      <c r="B790" s="18" t="s">
        <v>2237</v>
      </c>
      <c r="C790" s="18" t="s">
        <v>76</v>
      </c>
      <c r="D790" s="18" t="s">
        <v>39</v>
      </c>
      <c r="E790" s="19">
        <v>45068</v>
      </c>
      <c r="F790" s="18" t="s">
        <v>2238</v>
      </c>
      <c r="G790" s="19">
        <v>45072</v>
      </c>
      <c r="H790" s="19">
        <v>45087</v>
      </c>
      <c r="I790" s="18"/>
      <c r="J790" s="19" t="b">
        <v>1</v>
      </c>
      <c r="K790" s="19" t="b">
        <v>0</v>
      </c>
      <c r="L790" s="19" t="b">
        <v>0</v>
      </c>
      <c r="M790" s="19" t="b">
        <v>0</v>
      </c>
      <c r="N790" s="19" t="b">
        <v>0</v>
      </c>
      <c r="O790" s="19" t="b">
        <v>0</v>
      </c>
      <c r="P790" s="19" t="b">
        <v>0</v>
      </c>
    </row>
    <row r="791" spans="1:16" x14ac:dyDescent="0.2">
      <c r="A791" s="18">
        <v>4408213</v>
      </c>
      <c r="B791" s="18" t="s">
        <v>2239</v>
      </c>
      <c r="C791" s="18" t="s">
        <v>454</v>
      </c>
      <c r="D791" s="18" t="s">
        <v>11</v>
      </c>
      <c r="E791" s="19">
        <v>44773</v>
      </c>
      <c r="F791" s="18" t="s">
        <v>2240</v>
      </c>
      <c r="G791" s="19">
        <v>44793</v>
      </c>
      <c r="H791" s="19">
        <v>44807</v>
      </c>
      <c r="I791" s="18"/>
      <c r="J791" s="19" t="b">
        <v>1</v>
      </c>
      <c r="K791" s="19" t="b">
        <v>0</v>
      </c>
      <c r="L791" s="19" t="b">
        <v>0</v>
      </c>
      <c r="M791" s="19" t="b">
        <v>0</v>
      </c>
      <c r="N791" s="19" t="b">
        <v>0</v>
      </c>
      <c r="O791" s="19" t="b">
        <v>0</v>
      </c>
      <c r="P791" s="19" t="b">
        <v>0</v>
      </c>
    </row>
    <row r="792" spans="1:16" x14ac:dyDescent="0.2">
      <c r="A792" s="18">
        <v>4408213</v>
      </c>
      <c r="B792" s="18" t="s">
        <v>2241</v>
      </c>
      <c r="C792" s="18" t="s">
        <v>454</v>
      </c>
      <c r="D792" s="18" t="s">
        <v>11</v>
      </c>
      <c r="E792" s="19">
        <v>44755</v>
      </c>
      <c r="F792" s="18" t="s">
        <v>1889</v>
      </c>
      <c r="G792" s="19">
        <v>44769</v>
      </c>
      <c r="H792" s="19">
        <v>44781</v>
      </c>
      <c r="I792" s="18" t="s">
        <v>28</v>
      </c>
      <c r="J792" s="19" t="b">
        <v>1</v>
      </c>
      <c r="K792" s="19" t="b">
        <v>0</v>
      </c>
      <c r="L792" s="19" t="b">
        <v>0</v>
      </c>
      <c r="M792" s="19" t="b">
        <v>0</v>
      </c>
      <c r="N792" s="19" t="b">
        <v>0</v>
      </c>
      <c r="O792" s="19" t="b">
        <v>0</v>
      </c>
      <c r="P792" s="19" t="b">
        <v>1</v>
      </c>
    </row>
    <row r="793" spans="1:16" x14ac:dyDescent="0.2">
      <c r="A793" s="18">
        <v>4408213</v>
      </c>
      <c r="B793" s="18" t="s">
        <v>2242</v>
      </c>
      <c r="C793" s="18" t="s">
        <v>454</v>
      </c>
      <c r="D793" s="18" t="s">
        <v>11</v>
      </c>
      <c r="E793" s="19">
        <v>44830</v>
      </c>
      <c r="F793" s="18" t="s">
        <v>2243</v>
      </c>
      <c r="G793" s="19">
        <v>44838</v>
      </c>
      <c r="H793" s="19">
        <v>44878</v>
      </c>
      <c r="I793" s="18" t="s">
        <v>43</v>
      </c>
      <c r="J793" s="19" t="b">
        <v>1</v>
      </c>
      <c r="K793" s="19" t="b">
        <v>0</v>
      </c>
      <c r="L793" s="19" t="b">
        <v>0</v>
      </c>
      <c r="M793" s="19" t="b">
        <v>0</v>
      </c>
      <c r="N793" s="19" t="b">
        <v>0</v>
      </c>
      <c r="O793" s="19" t="b">
        <v>1</v>
      </c>
      <c r="P793" s="19" t="b">
        <v>0</v>
      </c>
    </row>
    <row r="794" spans="1:16" x14ac:dyDescent="0.2">
      <c r="A794" s="18">
        <v>8566133</v>
      </c>
      <c r="B794" s="18" t="s">
        <v>2244</v>
      </c>
      <c r="C794" s="18" t="s">
        <v>310</v>
      </c>
      <c r="D794" s="18" t="s">
        <v>19</v>
      </c>
      <c r="E794" s="19">
        <v>45042</v>
      </c>
      <c r="F794" s="18" t="s">
        <v>2245</v>
      </c>
      <c r="G794" s="19">
        <v>45047</v>
      </c>
      <c r="H794" s="19">
        <v>45103</v>
      </c>
      <c r="I794" s="18"/>
      <c r="J794" s="19" t="b">
        <v>1</v>
      </c>
      <c r="K794" s="19" t="b">
        <v>0</v>
      </c>
      <c r="L794" s="19" t="b">
        <v>0</v>
      </c>
      <c r="M794" s="19" t="b">
        <v>0</v>
      </c>
      <c r="N794" s="19" t="b">
        <v>0</v>
      </c>
      <c r="O794" s="19" t="b">
        <v>0</v>
      </c>
      <c r="P794" s="19" t="b">
        <v>0</v>
      </c>
    </row>
    <row r="795" spans="1:16" x14ac:dyDescent="0.2">
      <c r="A795" s="18">
        <v>8566133</v>
      </c>
      <c r="B795" s="18" t="s">
        <v>2246</v>
      </c>
      <c r="C795" s="18" t="s">
        <v>310</v>
      </c>
      <c r="D795" s="18" t="s">
        <v>19</v>
      </c>
      <c r="E795" s="19">
        <v>44954</v>
      </c>
      <c r="F795" s="18" t="s">
        <v>2247</v>
      </c>
      <c r="G795" s="19">
        <v>44977</v>
      </c>
      <c r="H795" s="19">
        <v>45005</v>
      </c>
      <c r="I795" s="18"/>
      <c r="J795" s="19" t="b">
        <v>1</v>
      </c>
      <c r="K795" s="19" t="b">
        <v>0</v>
      </c>
      <c r="L795" s="19" t="b">
        <v>0</v>
      </c>
      <c r="M795" s="19" t="b">
        <v>0</v>
      </c>
      <c r="N795" s="19" t="b">
        <v>0</v>
      </c>
      <c r="O795" s="19" t="b">
        <v>0</v>
      </c>
      <c r="P795" s="19" t="b">
        <v>0</v>
      </c>
    </row>
    <row r="796" spans="1:16" x14ac:dyDescent="0.2">
      <c r="A796" s="18">
        <v>8566133</v>
      </c>
      <c r="B796" s="18" t="s">
        <v>2248</v>
      </c>
      <c r="C796" s="18" t="s">
        <v>310</v>
      </c>
      <c r="D796" s="18" t="s">
        <v>19</v>
      </c>
      <c r="E796" s="19">
        <v>44622</v>
      </c>
      <c r="F796" s="18" t="s">
        <v>2249</v>
      </c>
      <c r="G796" s="19">
        <v>44624</v>
      </c>
      <c r="H796" s="19">
        <v>44646</v>
      </c>
      <c r="I796" s="18" t="s">
        <v>28</v>
      </c>
      <c r="J796" s="19" t="b">
        <v>1</v>
      </c>
      <c r="K796" s="19" t="b">
        <v>0</v>
      </c>
      <c r="L796" s="19" t="b">
        <v>0</v>
      </c>
      <c r="M796" s="19" t="b">
        <v>0</v>
      </c>
      <c r="N796" s="19" t="b">
        <v>0</v>
      </c>
      <c r="O796" s="19" t="b">
        <v>0</v>
      </c>
      <c r="P796" s="19" t="b">
        <v>1</v>
      </c>
    </row>
    <row r="797" spans="1:16" x14ac:dyDescent="0.2">
      <c r="A797" s="18">
        <v>4939985</v>
      </c>
      <c r="B797" s="18" t="s">
        <v>2250</v>
      </c>
      <c r="C797" s="18" t="s">
        <v>363</v>
      </c>
      <c r="D797" s="18" t="s">
        <v>39</v>
      </c>
      <c r="E797" s="19">
        <v>45078</v>
      </c>
      <c r="F797" s="18" t="s">
        <v>2251</v>
      </c>
      <c r="G797" s="19">
        <v>45098</v>
      </c>
      <c r="H797" s="19">
        <v>45123</v>
      </c>
      <c r="I797" s="18" t="s">
        <v>16</v>
      </c>
      <c r="J797" s="19" t="b">
        <v>1</v>
      </c>
      <c r="K797" s="19" t="b">
        <v>0</v>
      </c>
      <c r="L797" s="19" t="b">
        <v>0</v>
      </c>
      <c r="M797" s="19" t="b">
        <v>0</v>
      </c>
      <c r="N797" s="19" t="b">
        <v>1</v>
      </c>
      <c r="O797" s="19" t="b">
        <v>0</v>
      </c>
      <c r="P797" s="19" t="b">
        <v>0</v>
      </c>
    </row>
    <row r="798" spans="1:16" x14ac:dyDescent="0.2">
      <c r="A798" s="18">
        <v>4939985</v>
      </c>
      <c r="B798" s="18" t="s">
        <v>2252</v>
      </c>
      <c r="C798" s="18" t="s">
        <v>363</v>
      </c>
      <c r="D798" s="18" t="s">
        <v>39</v>
      </c>
      <c r="E798" s="19">
        <v>44697</v>
      </c>
      <c r="F798" s="18" t="s">
        <v>2253</v>
      </c>
      <c r="G798" s="19">
        <v>44726</v>
      </c>
      <c r="H798" s="19">
        <v>44762</v>
      </c>
      <c r="I798" s="18"/>
      <c r="J798" s="19" t="b">
        <v>1</v>
      </c>
      <c r="K798" s="19" t="b">
        <v>0</v>
      </c>
      <c r="L798" s="19" t="b">
        <v>0</v>
      </c>
      <c r="M798" s="19" t="b">
        <v>0</v>
      </c>
      <c r="N798" s="19" t="b">
        <v>0</v>
      </c>
      <c r="O798" s="19" t="b">
        <v>0</v>
      </c>
      <c r="P798" s="19" t="b">
        <v>0</v>
      </c>
    </row>
    <row r="799" spans="1:16" x14ac:dyDescent="0.2">
      <c r="A799" s="18">
        <v>4939985</v>
      </c>
      <c r="B799" s="18" t="s">
        <v>2255</v>
      </c>
      <c r="C799" s="18" t="s">
        <v>363</v>
      </c>
      <c r="D799" s="18" t="s">
        <v>39</v>
      </c>
      <c r="E799" s="19">
        <v>44697</v>
      </c>
      <c r="F799" s="18" t="s">
        <v>1719</v>
      </c>
      <c r="G799" s="19">
        <v>44700</v>
      </c>
      <c r="H799" s="19">
        <v>44721</v>
      </c>
      <c r="I799" s="18" t="s">
        <v>28</v>
      </c>
      <c r="J799" s="19" t="b">
        <v>1</v>
      </c>
      <c r="K799" s="19" t="b">
        <v>0</v>
      </c>
      <c r="L799" s="19" t="b">
        <v>0</v>
      </c>
      <c r="M799" s="19" t="b">
        <v>0</v>
      </c>
      <c r="N799" s="19" t="b">
        <v>0</v>
      </c>
      <c r="O799" s="19" t="b">
        <v>0</v>
      </c>
      <c r="P799" s="19" t="b">
        <v>1</v>
      </c>
    </row>
    <row r="800" spans="1:16" x14ac:dyDescent="0.2">
      <c r="A800" s="18">
        <v>4939985</v>
      </c>
      <c r="B800" s="18" t="s">
        <v>2256</v>
      </c>
      <c r="C800" s="18" t="s">
        <v>363</v>
      </c>
      <c r="D800" s="18" t="s">
        <v>39</v>
      </c>
      <c r="E800" s="19">
        <v>44681</v>
      </c>
      <c r="F800" s="18" t="s">
        <v>2257</v>
      </c>
      <c r="G800" s="19">
        <v>44692</v>
      </c>
      <c r="H800" s="19">
        <v>44695</v>
      </c>
      <c r="I800" s="18"/>
      <c r="J800" s="19" t="b">
        <v>1</v>
      </c>
      <c r="K800" s="19" t="b">
        <v>0</v>
      </c>
      <c r="L800" s="19" t="b">
        <v>0</v>
      </c>
      <c r="M800" s="19" t="b">
        <v>0</v>
      </c>
      <c r="N800" s="19" t="b">
        <v>0</v>
      </c>
      <c r="O800" s="19" t="b">
        <v>0</v>
      </c>
      <c r="P800" s="19" t="b">
        <v>0</v>
      </c>
    </row>
    <row r="801" spans="1:16" x14ac:dyDescent="0.2">
      <c r="A801" s="18">
        <v>3145327</v>
      </c>
      <c r="B801" s="18" t="s">
        <v>2258</v>
      </c>
      <c r="C801" s="18" t="s">
        <v>363</v>
      </c>
      <c r="D801" s="18" t="s">
        <v>11</v>
      </c>
      <c r="E801" s="19">
        <v>44831</v>
      </c>
      <c r="F801" s="18" t="s">
        <v>2259</v>
      </c>
      <c r="G801" s="19">
        <v>44851</v>
      </c>
      <c r="H801" s="19">
        <v>44905</v>
      </c>
      <c r="I801" s="18" t="s">
        <v>28</v>
      </c>
      <c r="J801" s="19" t="b">
        <v>1</v>
      </c>
      <c r="K801" s="19" t="b">
        <v>0</v>
      </c>
      <c r="L801" s="19" t="b">
        <v>0</v>
      </c>
      <c r="M801" s="19" t="b">
        <v>0</v>
      </c>
      <c r="N801" s="19" t="b">
        <v>0</v>
      </c>
      <c r="O801" s="19" t="b">
        <v>0</v>
      </c>
      <c r="P801" s="19" t="b">
        <v>1</v>
      </c>
    </row>
    <row r="802" spans="1:16" x14ac:dyDescent="0.2">
      <c r="A802" s="18">
        <v>3145327</v>
      </c>
      <c r="B802" s="18" t="s">
        <v>2260</v>
      </c>
      <c r="C802" s="18" t="s">
        <v>363</v>
      </c>
      <c r="D802" s="18" t="s">
        <v>11</v>
      </c>
      <c r="E802" s="19">
        <v>45008</v>
      </c>
      <c r="F802" s="18" t="s">
        <v>2261</v>
      </c>
      <c r="G802" s="19">
        <v>45037</v>
      </c>
      <c r="H802" s="19">
        <v>45048</v>
      </c>
      <c r="I802" s="18" t="s">
        <v>28</v>
      </c>
      <c r="J802" s="19" t="b">
        <v>1</v>
      </c>
      <c r="K802" s="19" t="b">
        <v>0</v>
      </c>
      <c r="L802" s="19" t="b">
        <v>0</v>
      </c>
      <c r="M802" s="19" t="b">
        <v>0</v>
      </c>
      <c r="N802" s="19" t="b">
        <v>0</v>
      </c>
      <c r="O802" s="19" t="b">
        <v>0</v>
      </c>
      <c r="P802" s="19" t="b">
        <v>1</v>
      </c>
    </row>
    <row r="803" spans="1:16" x14ac:dyDescent="0.2">
      <c r="A803" s="18">
        <v>3145327</v>
      </c>
      <c r="B803" s="18" t="s">
        <v>2262</v>
      </c>
      <c r="C803" s="18" t="s">
        <v>363</v>
      </c>
      <c r="D803" s="18" t="s">
        <v>11</v>
      </c>
      <c r="E803" s="19">
        <v>45012</v>
      </c>
      <c r="F803" s="18" t="s">
        <v>1830</v>
      </c>
      <c r="G803" s="19">
        <v>45014</v>
      </c>
      <c r="H803" s="19">
        <v>45027</v>
      </c>
      <c r="I803" s="18"/>
      <c r="J803" s="19" t="b">
        <v>1</v>
      </c>
      <c r="K803" s="19" t="b">
        <v>0</v>
      </c>
      <c r="L803" s="19" t="b">
        <v>0</v>
      </c>
      <c r="M803" s="19" t="b">
        <v>0</v>
      </c>
      <c r="N803" s="19" t="b">
        <v>0</v>
      </c>
      <c r="O803" s="19" t="b">
        <v>0</v>
      </c>
      <c r="P803" s="19" t="b">
        <v>0</v>
      </c>
    </row>
    <row r="804" spans="1:16" x14ac:dyDescent="0.2">
      <c r="A804" s="18">
        <v>9303225</v>
      </c>
      <c r="B804" s="18" t="s">
        <v>2266</v>
      </c>
      <c r="C804" s="18" t="s">
        <v>521</v>
      </c>
      <c r="D804" s="18" t="s">
        <v>77</v>
      </c>
      <c r="E804" s="19">
        <v>44677</v>
      </c>
      <c r="F804" s="18" t="s">
        <v>1730</v>
      </c>
      <c r="G804" s="19">
        <v>44705</v>
      </c>
      <c r="H804" s="19">
        <v>44752</v>
      </c>
      <c r="I804" s="18"/>
      <c r="J804" s="19" t="b">
        <v>1</v>
      </c>
      <c r="K804" s="19" t="b">
        <v>0</v>
      </c>
      <c r="L804" s="19" t="b">
        <v>0</v>
      </c>
      <c r="M804" s="19" t="b">
        <v>0</v>
      </c>
      <c r="N804" s="19" t="b">
        <v>0</v>
      </c>
      <c r="O804" s="19" t="b">
        <v>0</v>
      </c>
      <c r="P804" s="19" t="b">
        <v>0</v>
      </c>
    </row>
    <row r="805" spans="1:16" x14ac:dyDescent="0.2">
      <c r="A805" s="18">
        <v>9303225</v>
      </c>
      <c r="B805" s="18" t="s">
        <v>2267</v>
      </c>
      <c r="C805" s="18" t="s">
        <v>521</v>
      </c>
      <c r="D805" s="18" t="s">
        <v>77</v>
      </c>
      <c r="E805" s="19">
        <v>44770</v>
      </c>
      <c r="F805" s="18" t="s">
        <v>2268</v>
      </c>
      <c r="G805" s="19">
        <v>44798</v>
      </c>
      <c r="H805" s="19">
        <v>44817</v>
      </c>
      <c r="I805" s="18" t="s">
        <v>16</v>
      </c>
      <c r="J805" s="19" t="b">
        <v>1</v>
      </c>
      <c r="K805" s="19" t="b">
        <v>0</v>
      </c>
      <c r="L805" s="19" t="b">
        <v>0</v>
      </c>
      <c r="M805" s="19" t="b">
        <v>0</v>
      </c>
      <c r="N805" s="19" t="b">
        <v>1</v>
      </c>
      <c r="O805" s="19" t="b">
        <v>0</v>
      </c>
      <c r="P805" s="19" t="b">
        <v>0</v>
      </c>
    </row>
    <row r="806" spans="1:16" x14ac:dyDescent="0.2">
      <c r="A806" s="18">
        <v>5576682</v>
      </c>
      <c r="B806" s="18" t="s">
        <v>2271</v>
      </c>
      <c r="C806" s="18" t="s">
        <v>32</v>
      </c>
      <c r="D806" s="18" t="s">
        <v>81</v>
      </c>
      <c r="E806" s="19">
        <v>44746</v>
      </c>
      <c r="F806" s="18" t="s">
        <v>2272</v>
      </c>
      <c r="G806" s="19">
        <v>44760</v>
      </c>
      <c r="H806" s="19">
        <v>44819</v>
      </c>
      <c r="I806" s="18" t="s">
        <v>16</v>
      </c>
      <c r="J806" s="19" t="b">
        <v>1</v>
      </c>
      <c r="K806" s="19" t="b">
        <v>0</v>
      </c>
      <c r="L806" s="19" t="b">
        <v>0</v>
      </c>
      <c r="M806" s="19" t="b">
        <v>0</v>
      </c>
      <c r="N806" s="19" t="b">
        <v>1</v>
      </c>
      <c r="O806" s="19" t="b">
        <v>0</v>
      </c>
      <c r="P806" s="19" t="b">
        <v>0</v>
      </c>
    </row>
    <row r="807" spans="1:16" x14ac:dyDescent="0.2">
      <c r="A807" s="18">
        <v>1484433</v>
      </c>
      <c r="B807" s="18" t="s">
        <v>2276</v>
      </c>
      <c r="C807" s="18" t="s">
        <v>76</v>
      </c>
      <c r="D807" s="18" t="s">
        <v>77</v>
      </c>
      <c r="E807" s="19">
        <v>44567</v>
      </c>
      <c r="F807" s="18" t="s">
        <v>447</v>
      </c>
      <c r="G807" s="19">
        <v>44578</v>
      </c>
      <c r="H807" s="19">
        <v>44581</v>
      </c>
      <c r="I807" s="18" t="s">
        <v>28</v>
      </c>
      <c r="J807" s="19" t="b">
        <v>1</v>
      </c>
      <c r="K807" s="19" t="b">
        <v>0</v>
      </c>
      <c r="L807" s="19" t="b">
        <v>0</v>
      </c>
      <c r="M807" s="19" t="b">
        <v>0</v>
      </c>
      <c r="N807" s="19" t="b">
        <v>0</v>
      </c>
      <c r="O807" s="19" t="b">
        <v>0</v>
      </c>
      <c r="P807" s="19" t="b">
        <v>1</v>
      </c>
    </row>
    <row r="808" spans="1:16" x14ac:dyDescent="0.2">
      <c r="A808" s="18">
        <v>1484433</v>
      </c>
      <c r="B808" s="18" t="s">
        <v>2277</v>
      </c>
      <c r="C808" s="18" t="s">
        <v>76</v>
      </c>
      <c r="D808" s="18" t="s">
        <v>77</v>
      </c>
      <c r="E808" s="19">
        <v>44694</v>
      </c>
      <c r="F808" s="18" t="s">
        <v>2278</v>
      </c>
      <c r="G808" s="19">
        <v>44701</v>
      </c>
      <c r="H808" s="19">
        <v>44757</v>
      </c>
      <c r="I808" s="18"/>
      <c r="J808" s="19" t="b">
        <v>1</v>
      </c>
      <c r="K808" s="19" t="b">
        <v>0</v>
      </c>
      <c r="L808" s="19" t="b">
        <v>0</v>
      </c>
      <c r="M808" s="19" t="b">
        <v>0</v>
      </c>
      <c r="N808" s="19" t="b">
        <v>0</v>
      </c>
      <c r="O808" s="19" t="b">
        <v>0</v>
      </c>
      <c r="P808" s="19" t="b">
        <v>0</v>
      </c>
    </row>
    <row r="809" spans="1:16" x14ac:dyDescent="0.2">
      <c r="A809" s="18">
        <v>7691735</v>
      </c>
      <c r="B809" s="18" t="s">
        <v>2282</v>
      </c>
      <c r="C809" s="18" t="s">
        <v>282</v>
      </c>
      <c r="D809" s="18" t="s">
        <v>187</v>
      </c>
      <c r="E809" s="19">
        <v>44775</v>
      </c>
      <c r="F809" s="18" t="s">
        <v>2283</v>
      </c>
      <c r="G809" s="19">
        <v>44781</v>
      </c>
      <c r="H809" s="19">
        <v>44806</v>
      </c>
      <c r="I809" s="18"/>
      <c r="J809" s="19" t="b">
        <v>1</v>
      </c>
      <c r="K809" s="19" t="b">
        <v>0</v>
      </c>
      <c r="L809" s="19" t="b">
        <v>0</v>
      </c>
      <c r="M809" s="19" t="b">
        <v>0</v>
      </c>
      <c r="N809" s="19" t="b">
        <v>0</v>
      </c>
      <c r="O809" s="19" t="b">
        <v>0</v>
      </c>
      <c r="P809" s="19" t="b">
        <v>0</v>
      </c>
    </row>
    <row r="810" spans="1:16" x14ac:dyDescent="0.2">
      <c r="A810" s="18">
        <v>7691735</v>
      </c>
      <c r="B810" s="18" t="s">
        <v>2284</v>
      </c>
      <c r="C810" s="18" t="s">
        <v>282</v>
      </c>
      <c r="D810" s="18" t="s">
        <v>187</v>
      </c>
      <c r="E810" s="19">
        <v>44719</v>
      </c>
      <c r="F810" s="18" t="s">
        <v>2285</v>
      </c>
      <c r="G810" s="19">
        <v>44723</v>
      </c>
      <c r="H810" s="19">
        <v>44743</v>
      </c>
      <c r="I810" s="18" t="s">
        <v>28</v>
      </c>
      <c r="J810" s="19" t="b">
        <v>1</v>
      </c>
      <c r="K810" s="19" t="b">
        <v>0</v>
      </c>
      <c r="L810" s="19" t="b">
        <v>0</v>
      </c>
      <c r="M810" s="19" t="b">
        <v>0</v>
      </c>
      <c r="N810" s="19" t="b">
        <v>0</v>
      </c>
      <c r="O810" s="19" t="b">
        <v>0</v>
      </c>
      <c r="P810" s="19" t="b">
        <v>1</v>
      </c>
    </row>
    <row r="811" spans="1:16" x14ac:dyDescent="0.2">
      <c r="A811" s="18">
        <v>9235014</v>
      </c>
      <c r="B811" s="18" t="s">
        <v>2286</v>
      </c>
      <c r="C811" s="18" t="s">
        <v>47</v>
      </c>
      <c r="D811" s="18" t="s">
        <v>60</v>
      </c>
      <c r="E811" s="19">
        <v>44660</v>
      </c>
      <c r="F811" s="18" t="s">
        <v>2287</v>
      </c>
      <c r="G811" s="19">
        <v>44687</v>
      </c>
      <c r="H811" s="19">
        <v>44711</v>
      </c>
      <c r="I811" s="18" t="s">
        <v>43</v>
      </c>
      <c r="J811" s="19" t="b">
        <v>1</v>
      </c>
      <c r="K811" s="19" t="b">
        <v>0</v>
      </c>
      <c r="L811" s="19" t="b">
        <v>0</v>
      </c>
      <c r="M811" s="19" t="b">
        <v>0</v>
      </c>
      <c r="N811" s="19" t="b">
        <v>0</v>
      </c>
      <c r="O811" s="19" t="b">
        <v>1</v>
      </c>
      <c r="P811" s="19" t="b">
        <v>0</v>
      </c>
    </row>
    <row r="812" spans="1:16" x14ac:dyDescent="0.2">
      <c r="A812" s="18">
        <v>9235014</v>
      </c>
      <c r="B812" s="18" t="s">
        <v>2288</v>
      </c>
      <c r="C812" s="18" t="s">
        <v>47</v>
      </c>
      <c r="D812" s="18" t="s">
        <v>60</v>
      </c>
      <c r="E812" s="19">
        <v>44959</v>
      </c>
      <c r="F812" s="18" t="s">
        <v>2289</v>
      </c>
      <c r="G812" s="19">
        <v>44975</v>
      </c>
      <c r="H812" s="19">
        <v>44993</v>
      </c>
      <c r="I812" s="18"/>
      <c r="J812" s="19" t="b">
        <v>1</v>
      </c>
      <c r="K812" s="19" t="b">
        <v>0</v>
      </c>
      <c r="L812" s="19" t="b">
        <v>0</v>
      </c>
      <c r="M812" s="19" t="b">
        <v>0</v>
      </c>
      <c r="N812" s="19" t="b">
        <v>0</v>
      </c>
      <c r="O812" s="19" t="b">
        <v>0</v>
      </c>
      <c r="P812" s="19" t="b">
        <v>0</v>
      </c>
    </row>
    <row r="813" spans="1:16" x14ac:dyDescent="0.2">
      <c r="A813" s="18">
        <v>9235014</v>
      </c>
      <c r="B813" s="18" t="s">
        <v>2290</v>
      </c>
      <c r="C813" s="18" t="s">
        <v>47</v>
      </c>
      <c r="D813" s="18" t="s">
        <v>60</v>
      </c>
      <c r="E813" s="19">
        <v>44994</v>
      </c>
      <c r="F813" s="18" t="s">
        <v>2291</v>
      </c>
      <c r="G813" s="19">
        <v>45020</v>
      </c>
      <c r="H813" s="19">
        <v>45044</v>
      </c>
      <c r="I813" s="18"/>
      <c r="J813" s="19" t="b">
        <v>1</v>
      </c>
      <c r="K813" s="19" t="b">
        <v>0</v>
      </c>
      <c r="L813" s="19" t="b">
        <v>0</v>
      </c>
      <c r="M813" s="19" t="b">
        <v>0</v>
      </c>
      <c r="N813" s="19" t="b">
        <v>0</v>
      </c>
      <c r="O813" s="19" t="b">
        <v>0</v>
      </c>
      <c r="P813" s="19" t="b">
        <v>0</v>
      </c>
    </row>
    <row r="814" spans="1:16" x14ac:dyDescent="0.2">
      <c r="A814" s="18">
        <v>6733527</v>
      </c>
      <c r="B814" s="18" t="s">
        <v>2293</v>
      </c>
      <c r="C814" s="18" t="s">
        <v>287</v>
      </c>
      <c r="D814" s="18" t="s">
        <v>19</v>
      </c>
      <c r="E814" s="19">
        <v>45009</v>
      </c>
      <c r="F814" s="18" t="s">
        <v>2114</v>
      </c>
      <c r="G814" s="19">
        <v>45012</v>
      </c>
      <c r="H814" s="19">
        <v>45071</v>
      </c>
      <c r="I814" s="18" t="s">
        <v>16</v>
      </c>
      <c r="J814" s="19" t="b">
        <v>1</v>
      </c>
      <c r="K814" s="19" t="b">
        <v>0</v>
      </c>
      <c r="L814" s="19" t="b">
        <v>0</v>
      </c>
      <c r="M814" s="19" t="b">
        <v>0</v>
      </c>
      <c r="N814" s="19" t="b">
        <v>1</v>
      </c>
      <c r="O814" s="19" t="b">
        <v>0</v>
      </c>
      <c r="P814" s="19" t="b">
        <v>0</v>
      </c>
    </row>
    <row r="815" spans="1:16" x14ac:dyDescent="0.2">
      <c r="A815" s="18">
        <v>6733527</v>
      </c>
      <c r="B815" s="18" t="s">
        <v>2294</v>
      </c>
      <c r="C815" s="18" t="s">
        <v>287</v>
      </c>
      <c r="D815" s="18" t="s">
        <v>19</v>
      </c>
      <c r="E815" s="19">
        <v>44869</v>
      </c>
      <c r="F815" s="18" t="s">
        <v>2295</v>
      </c>
      <c r="G815" s="19">
        <v>44896</v>
      </c>
      <c r="H815" s="19">
        <v>44912</v>
      </c>
      <c r="I815" s="18" t="s">
        <v>28</v>
      </c>
      <c r="J815" s="19" t="b">
        <v>1</v>
      </c>
      <c r="K815" s="19" t="b">
        <v>0</v>
      </c>
      <c r="L815" s="19" t="b">
        <v>0</v>
      </c>
      <c r="M815" s="19" t="b">
        <v>0</v>
      </c>
      <c r="N815" s="19" t="b">
        <v>0</v>
      </c>
      <c r="O815" s="19" t="b">
        <v>0</v>
      </c>
      <c r="P815" s="19" t="b">
        <v>1</v>
      </c>
    </row>
    <row r="816" spans="1:16" x14ac:dyDescent="0.2">
      <c r="A816" s="18">
        <v>9776028</v>
      </c>
      <c r="B816" s="18" t="s">
        <v>2303</v>
      </c>
      <c r="C816" s="18" t="s">
        <v>315</v>
      </c>
      <c r="D816" s="18" t="s">
        <v>11</v>
      </c>
      <c r="E816" s="19">
        <v>44645</v>
      </c>
      <c r="F816" s="18" t="s">
        <v>2304</v>
      </c>
      <c r="G816" s="19">
        <v>44670</v>
      </c>
      <c r="H816" s="19">
        <v>44703</v>
      </c>
      <c r="I816" s="18" t="s">
        <v>28</v>
      </c>
      <c r="J816" s="19" t="b">
        <v>1</v>
      </c>
      <c r="K816" s="19" t="b">
        <v>0</v>
      </c>
      <c r="L816" s="19" t="b">
        <v>0</v>
      </c>
      <c r="M816" s="19" t="b">
        <v>0</v>
      </c>
      <c r="N816" s="19" t="b">
        <v>0</v>
      </c>
      <c r="O816" s="19" t="b">
        <v>0</v>
      </c>
      <c r="P816" s="19" t="b">
        <v>1</v>
      </c>
    </row>
    <row r="817" spans="1:16" x14ac:dyDescent="0.2">
      <c r="A817" s="18">
        <v>8633602</v>
      </c>
      <c r="B817" s="18" t="s">
        <v>2305</v>
      </c>
      <c r="C817" s="18" t="s">
        <v>35</v>
      </c>
      <c r="D817" s="18" t="s">
        <v>77</v>
      </c>
      <c r="E817" s="19">
        <v>44753</v>
      </c>
      <c r="F817" s="18" t="s">
        <v>2306</v>
      </c>
      <c r="G817" s="19">
        <v>44760</v>
      </c>
      <c r="H817" s="19">
        <v>44772</v>
      </c>
      <c r="I817" s="18" t="s">
        <v>28</v>
      </c>
      <c r="J817" s="19" t="b">
        <v>1</v>
      </c>
      <c r="K817" s="19" t="b">
        <v>0</v>
      </c>
      <c r="L817" s="19" t="b">
        <v>0</v>
      </c>
      <c r="M817" s="19" t="b">
        <v>0</v>
      </c>
      <c r="N817" s="19" t="b">
        <v>0</v>
      </c>
      <c r="O817" s="19" t="b">
        <v>0</v>
      </c>
      <c r="P817" s="19" t="b">
        <v>1</v>
      </c>
    </row>
    <row r="818" spans="1:16" x14ac:dyDescent="0.2">
      <c r="A818" s="18">
        <v>8633602</v>
      </c>
      <c r="B818" s="18" t="s">
        <v>2309</v>
      </c>
      <c r="C818" s="18" t="s">
        <v>35</v>
      </c>
      <c r="D818" s="18" t="s">
        <v>77</v>
      </c>
      <c r="E818" s="19">
        <v>44575</v>
      </c>
      <c r="F818" s="18" t="s">
        <v>2310</v>
      </c>
      <c r="G818" s="19">
        <v>44581</v>
      </c>
      <c r="H818" s="19">
        <v>44623</v>
      </c>
      <c r="I818" s="18" t="s">
        <v>16</v>
      </c>
      <c r="J818" s="19" t="b">
        <v>1</v>
      </c>
      <c r="K818" s="19" t="b">
        <v>0</v>
      </c>
      <c r="L818" s="19" t="b">
        <v>0</v>
      </c>
      <c r="M818" s="19" t="b">
        <v>0</v>
      </c>
      <c r="N818" s="19" t="b">
        <v>1</v>
      </c>
      <c r="O818" s="19" t="b">
        <v>0</v>
      </c>
      <c r="P818" s="19" t="b">
        <v>0</v>
      </c>
    </row>
    <row r="819" spans="1:16" x14ac:dyDescent="0.2">
      <c r="A819" s="18">
        <v>8633602</v>
      </c>
      <c r="B819" s="18" t="s">
        <v>2311</v>
      </c>
      <c r="C819" s="18" t="s">
        <v>35</v>
      </c>
      <c r="D819" s="18" t="s">
        <v>77</v>
      </c>
      <c r="E819" s="19">
        <v>45060</v>
      </c>
      <c r="F819" s="18" t="s">
        <v>2312</v>
      </c>
      <c r="G819" s="19">
        <v>45070</v>
      </c>
      <c r="H819" s="19">
        <v>45110</v>
      </c>
      <c r="I819" s="18"/>
      <c r="J819" s="19" t="b">
        <v>1</v>
      </c>
      <c r="K819" s="19" t="b">
        <v>0</v>
      </c>
      <c r="L819" s="19" t="b">
        <v>0</v>
      </c>
      <c r="M819" s="19" t="b">
        <v>0</v>
      </c>
      <c r="N819" s="19" t="b">
        <v>0</v>
      </c>
      <c r="O819" s="19" t="b">
        <v>0</v>
      </c>
      <c r="P819" s="19" t="b">
        <v>0</v>
      </c>
    </row>
    <row r="820" spans="1:16" x14ac:dyDescent="0.2">
      <c r="A820" s="18">
        <v>8633602</v>
      </c>
      <c r="B820" s="18" t="s">
        <v>2313</v>
      </c>
      <c r="C820" s="18" t="s">
        <v>35</v>
      </c>
      <c r="D820" s="18" t="s">
        <v>77</v>
      </c>
      <c r="E820" s="19">
        <v>44966</v>
      </c>
      <c r="F820" s="18" t="s">
        <v>2164</v>
      </c>
      <c r="G820" s="19">
        <v>44992</v>
      </c>
      <c r="H820" s="19">
        <v>45012</v>
      </c>
      <c r="I820" s="18" t="s">
        <v>28</v>
      </c>
      <c r="J820" s="19" t="b">
        <v>1</v>
      </c>
      <c r="K820" s="19" t="b">
        <v>0</v>
      </c>
      <c r="L820" s="19" t="b">
        <v>0</v>
      </c>
      <c r="M820" s="19" t="b">
        <v>0</v>
      </c>
      <c r="N820" s="19" t="b">
        <v>0</v>
      </c>
      <c r="O820" s="19" t="b">
        <v>0</v>
      </c>
      <c r="P820" s="19" t="b">
        <v>1</v>
      </c>
    </row>
    <row r="821" spans="1:16" x14ac:dyDescent="0.2">
      <c r="A821" s="18">
        <v>1449886</v>
      </c>
      <c r="B821" s="18" t="s">
        <v>2316</v>
      </c>
      <c r="C821" s="18" t="s">
        <v>454</v>
      </c>
      <c r="D821" s="18" t="s">
        <v>77</v>
      </c>
      <c r="E821" s="19">
        <v>44757</v>
      </c>
      <c r="F821" s="18" t="s">
        <v>1512</v>
      </c>
      <c r="G821" s="19">
        <v>44760</v>
      </c>
      <c r="H821" s="19">
        <v>44780</v>
      </c>
      <c r="I821" s="18"/>
      <c r="J821" s="19" t="b">
        <v>1</v>
      </c>
      <c r="K821" s="19" t="b">
        <v>0</v>
      </c>
      <c r="L821" s="19" t="b">
        <v>0</v>
      </c>
      <c r="M821" s="19" t="b">
        <v>0</v>
      </c>
      <c r="N821" s="19" t="b">
        <v>0</v>
      </c>
      <c r="O821" s="19" t="b">
        <v>0</v>
      </c>
      <c r="P821" s="19" t="b">
        <v>0</v>
      </c>
    </row>
    <row r="822" spans="1:16" x14ac:dyDescent="0.2">
      <c r="A822" s="18">
        <v>1449886</v>
      </c>
      <c r="B822" s="18" t="s">
        <v>2317</v>
      </c>
      <c r="C822" s="18" t="s">
        <v>454</v>
      </c>
      <c r="D822" s="18" t="s">
        <v>77</v>
      </c>
      <c r="E822" s="19">
        <v>44584</v>
      </c>
      <c r="F822" s="18" t="s">
        <v>2318</v>
      </c>
      <c r="G822" s="19">
        <v>44588</v>
      </c>
      <c r="H822" s="19">
        <v>44599</v>
      </c>
      <c r="I822" s="18" t="s">
        <v>43</v>
      </c>
      <c r="J822" s="19" t="b">
        <v>1</v>
      </c>
      <c r="K822" s="19" t="b">
        <v>0</v>
      </c>
      <c r="L822" s="19" t="b">
        <v>0</v>
      </c>
      <c r="M822" s="19" t="b">
        <v>0</v>
      </c>
      <c r="N822" s="19" t="b">
        <v>0</v>
      </c>
      <c r="O822" s="19" t="b">
        <v>1</v>
      </c>
      <c r="P822" s="19" t="b">
        <v>0</v>
      </c>
    </row>
    <row r="823" spans="1:16" x14ac:dyDescent="0.2">
      <c r="A823" s="18">
        <v>3557220</v>
      </c>
      <c r="B823" s="18" t="s">
        <v>2319</v>
      </c>
      <c r="C823" s="18" t="s">
        <v>138</v>
      </c>
      <c r="D823" s="18" t="s">
        <v>77</v>
      </c>
      <c r="E823" s="19">
        <v>44768</v>
      </c>
      <c r="F823" s="18" t="s">
        <v>2320</v>
      </c>
      <c r="G823" s="19">
        <v>44778</v>
      </c>
      <c r="H823" s="19">
        <v>44815</v>
      </c>
      <c r="I823" s="18"/>
      <c r="J823" s="19" t="b">
        <v>1</v>
      </c>
      <c r="K823" s="19" t="b">
        <v>0</v>
      </c>
      <c r="L823" s="19" t="b">
        <v>0</v>
      </c>
      <c r="M823" s="19" t="b">
        <v>0</v>
      </c>
      <c r="N823" s="19" t="b">
        <v>0</v>
      </c>
      <c r="O823" s="19" t="b">
        <v>0</v>
      </c>
      <c r="P823" s="19" t="b">
        <v>0</v>
      </c>
    </row>
    <row r="824" spans="1:16" x14ac:dyDescent="0.2">
      <c r="A824" s="18">
        <v>3557220</v>
      </c>
      <c r="B824" s="18" t="s">
        <v>2321</v>
      </c>
      <c r="C824" s="18" t="s">
        <v>138</v>
      </c>
      <c r="D824" s="18" t="s">
        <v>77</v>
      </c>
      <c r="E824" s="19">
        <v>44570</v>
      </c>
      <c r="F824" s="18" t="s">
        <v>2322</v>
      </c>
      <c r="G824" s="19">
        <v>44574</v>
      </c>
      <c r="H824" s="19">
        <v>44615</v>
      </c>
      <c r="I824" s="18"/>
      <c r="J824" s="19" t="b">
        <v>1</v>
      </c>
      <c r="K824" s="19" t="b">
        <v>0</v>
      </c>
      <c r="L824" s="19" t="b">
        <v>0</v>
      </c>
      <c r="M824" s="19" t="b">
        <v>0</v>
      </c>
      <c r="N824" s="19" t="b">
        <v>0</v>
      </c>
      <c r="O824" s="19" t="b">
        <v>0</v>
      </c>
      <c r="P824" s="19" t="b">
        <v>0</v>
      </c>
    </row>
    <row r="825" spans="1:16" x14ac:dyDescent="0.2">
      <c r="A825" s="18">
        <v>3557220</v>
      </c>
      <c r="B825" s="18" t="s">
        <v>2323</v>
      </c>
      <c r="C825" s="18" t="s">
        <v>138</v>
      </c>
      <c r="D825" s="18" t="s">
        <v>77</v>
      </c>
      <c r="E825" s="19">
        <v>45069</v>
      </c>
      <c r="F825" s="18" t="s">
        <v>2324</v>
      </c>
      <c r="G825" s="19">
        <v>45093</v>
      </c>
      <c r="H825" s="19">
        <v>45131</v>
      </c>
      <c r="I825" s="18"/>
      <c r="J825" s="19" t="b">
        <v>1</v>
      </c>
      <c r="K825" s="19" t="b">
        <v>0</v>
      </c>
      <c r="L825" s="19" t="b">
        <v>0</v>
      </c>
      <c r="M825" s="19" t="b">
        <v>0</v>
      </c>
      <c r="N825" s="19" t="b">
        <v>0</v>
      </c>
      <c r="O825" s="19" t="b">
        <v>0</v>
      </c>
      <c r="P825" s="19" t="b">
        <v>0</v>
      </c>
    </row>
    <row r="826" spans="1:16" x14ac:dyDescent="0.2">
      <c r="A826" s="18">
        <v>3557220</v>
      </c>
      <c r="B826" s="18" t="s">
        <v>2325</v>
      </c>
      <c r="C826" s="18" t="s">
        <v>138</v>
      </c>
      <c r="D826" s="18" t="s">
        <v>77</v>
      </c>
      <c r="E826" s="19">
        <v>44971</v>
      </c>
      <c r="F826" s="18" t="s">
        <v>2326</v>
      </c>
      <c r="G826" s="19">
        <v>44987</v>
      </c>
      <c r="H826" s="19">
        <v>45020</v>
      </c>
      <c r="I826" s="18" t="s">
        <v>28</v>
      </c>
      <c r="J826" s="19" t="b">
        <v>1</v>
      </c>
      <c r="K826" s="19" t="b">
        <v>0</v>
      </c>
      <c r="L826" s="19" t="b">
        <v>0</v>
      </c>
      <c r="M826" s="19" t="b">
        <v>0</v>
      </c>
      <c r="N826" s="19" t="b">
        <v>0</v>
      </c>
      <c r="O826" s="19" t="b">
        <v>0</v>
      </c>
      <c r="P826" s="19" t="b">
        <v>1</v>
      </c>
    </row>
    <row r="827" spans="1:16" x14ac:dyDescent="0.2">
      <c r="A827" s="18">
        <v>9185628</v>
      </c>
      <c r="B827" s="18" t="s">
        <v>2329</v>
      </c>
      <c r="C827" s="18" t="s">
        <v>93</v>
      </c>
      <c r="D827" s="18" t="s">
        <v>56</v>
      </c>
      <c r="E827" s="19">
        <v>44989</v>
      </c>
      <c r="F827" s="18" t="s">
        <v>2330</v>
      </c>
      <c r="G827" s="19">
        <v>45018</v>
      </c>
      <c r="H827" s="19">
        <v>45049</v>
      </c>
      <c r="I827" s="18" t="s">
        <v>16</v>
      </c>
      <c r="J827" s="19" t="b">
        <v>1</v>
      </c>
      <c r="K827" s="19" t="b">
        <v>0</v>
      </c>
      <c r="L827" s="19" t="b">
        <v>0</v>
      </c>
      <c r="M827" s="19" t="b">
        <v>0</v>
      </c>
      <c r="N827" s="19" t="b">
        <v>1</v>
      </c>
      <c r="O827" s="19" t="b">
        <v>0</v>
      </c>
      <c r="P827" s="19" t="b">
        <v>0</v>
      </c>
    </row>
    <row r="828" spans="1:16" x14ac:dyDescent="0.2">
      <c r="A828" s="18">
        <v>9185628</v>
      </c>
      <c r="B828" s="18" t="s">
        <v>2333</v>
      </c>
      <c r="C828" s="18" t="s">
        <v>93</v>
      </c>
      <c r="D828" s="18" t="s">
        <v>56</v>
      </c>
      <c r="E828" s="19">
        <v>44758</v>
      </c>
      <c r="F828" s="18" t="s">
        <v>2334</v>
      </c>
      <c r="G828" s="19">
        <v>44774</v>
      </c>
      <c r="H828" s="19">
        <v>44797</v>
      </c>
      <c r="I828" s="18" t="s">
        <v>16</v>
      </c>
      <c r="J828" s="19" t="b">
        <v>1</v>
      </c>
      <c r="K828" s="19" t="b">
        <v>0</v>
      </c>
      <c r="L828" s="19" t="b">
        <v>0</v>
      </c>
      <c r="M828" s="19" t="b">
        <v>0</v>
      </c>
      <c r="N828" s="19" t="b">
        <v>1</v>
      </c>
      <c r="O828" s="19" t="b">
        <v>0</v>
      </c>
      <c r="P828" s="19" t="b">
        <v>0</v>
      </c>
    </row>
    <row r="829" spans="1:16" x14ac:dyDescent="0.2">
      <c r="A829" s="18">
        <v>9185628</v>
      </c>
      <c r="B829" s="18" t="s">
        <v>2335</v>
      </c>
      <c r="C829" s="18" t="s">
        <v>93</v>
      </c>
      <c r="D829" s="18" t="s">
        <v>56</v>
      </c>
      <c r="E829" s="19">
        <v>44909</v>
      </c>
      <c r="F829" s="18" t="s">
        <v>2336</v>
      </c>
      <c r="G829" s="19">
        <v>44939</v>
      </c>
      <c r="H829" s="19">
        <v>44978</v>
      </c>
      <c r="I829" s="18" t="s">
        <v>43</v>
      </c>
      <c r="J829" s="19" t="b">
        <v>1</v>
      </c>
      <c r="K829" s="19" t="b">
        <v>0</v>
      </c>
      <c r="L829" s="19" t="b">
        <v>0</v>
      </c>
      <c r="M829" s="19" t="b">
        <v>0</v>
      </c>
      <c r="N829" s="19" t="b">
        <v>0</v>
      </c>
      <c r="O829" s="19" t="b">
        <v>1</v>
      </c>
      <c r="P829" s="19" t="b">
        <v>0</v>
      </c>
    </row>
    <row r="830" spans="1:16" x14ac:dyDescent="0.2">
      <c r="A830" s="18">
        <v>5922335</v>
      </c>
      <c r="B830" s="18" t="s">
        <v>2337</v>
      </c>
      <c r="C830" s="18" t="s">
        <v>138</v>
      </c>
      <c r="D830" s="18" t="s">
        <v>60</v>
      </c>
      <c r="E830" s="19">
        <v>44727</v>
      </c>
      <c r="F830" s="18" t="s">
        <v>2338</v>
      </c>
      <c r="G830" s="19">
        <v>44747</v>
      </c>
      <c r="H830" s="19">
        <v>44761</v>
      </c>
      <c r="I830" s="18" t="s">
        <v>28</v>
      </c>
      <c r="J830" s="19" t="b">
        <v>1</v>
      </c>
      <c r="K830" s="19" t="b">
        <v>0</v>
      </c>
      <c r="L830" s="19" t="b">
        <v>0</v>
      </c>
      <c r="M830" s="19" t="b">
        <v>0</v>
      </c>
      <c r="N830" s="19" t="b">
        <v>0</v>
      </c>
      <c r="O830" s="19" t="b">
        <v>0</v>
      </c>
      <c r="P830" s="19" t="b">
        <v>1</v>
      </c>
    </row>
    <row r="831" spans="1:16" x14ac:dyDescent="0.2">
      <c r="A831" s="18">
        <v>5922335</v>
      </c>
      <c r="B831" s="18" t="s">
        <v>2343</v>
      </c>
      <c r="C831" s="18" t="s">
        <v>138</v>
      </c>
      <c r="D831" s="18" t="s">
        <v>60</v>
      </c>
      <c r="E831" s="19">
        <v>44776</v>
      </c>
      <c r="F831" s="18" t="s">
        <v>2344</v>
      </c>
      <c r="G831" s="19">
        <v>44794</v>
      </c>
      <c r="H831" s="19">
        <v>44798</v>
      </c>
      <c r="I831" s="18"/>
      <c r="J831" s="19" t="b">
        <v>1</v>
      </c>
      <c r="K831" s="19" t="b">
        <v>0</v>
      </c>
      <c r="L831" s="19" t="b">
        <v>0</v>
      </c>
      <c r="M831" s="19" t="b">
        <v>0</v>
      </c>
      <c r="N831" s="19" t="b">
        <v>0</v>
      </c>
      <c r="O831" s="19" t="b">
        <v>0</v>
      </c>
      <c r="P831" s="19" t="b">
        <v>0</v>
      </c>
    </row>
    <row r="832" spans="1:16" x14ac:dyDescent="0.2">
      <c r="A832" s="18">
        <v>1304180</v>
      </c>
      <c r="B832" s="18" t="s">
        <v>2345</v>
      </c>
      <c r="C832" s="18" t="s">
        <v>542</v>
      </c>
      <c r="D832" s="18" t="s">
        <v>11</v>
      </c>
      <c r="E832" s="19">
        <v>45077</v>
      </c>
      <c r="F832" s="18" t="s">
        <v>1410</v>
      </c>
      <c r="G832" s="19">
        <v>45079</v>
      </c>
      <c r="H832" s="19">
        <v>45131</v>
      </c>
      <c r="I832" s="18" t="s">
        <v>43</v>
      </c>
      <c r="J832" s="19" t="b">
        <v>1</v>
      </c>
      <c r="K832" s="19" t="b">
        <v>0</v>
      </c>
      <c r="L832" s="19" t="b">
        <v>0</v>
      </c>
      <c r="M832" s="19" t="b">
        <v>0</v>
      </c>
      <c r="N832" s="19" t="b">
        <v>0</v>
      </c>
      <c r="O832" s="19" t="b">
        <v>1</v>
      </c>
      <c r="P832" s="19" t="b">
        <v>0</v>
      </c>
    </row>
    <row r="833" spans="1:16" x14ac:dyDescent="0.2">
      <c r="A833" s="18">
        <v>1304180</v>
      </c>
      <c r="B833" s="18" t="s">
        <v>2347</v>
      </c>
      <c r="C833" s="18" t="s">
        <v>542</v>
      </c>
      <c r="D833" s="18" t="s">
        <v>11</v>
      </c>
      <c r="E833" s="19">
        <v>44925</v>
      </c>
      <c r="F833" s="18" t="s">
        <v>2348</v>
      </c>
      <c r="G833" s="19">
        <v>44950</v>
      </c>
      <c r="H833" s="19">
        <v>44953</v>
      </c>
      <c r="I833" s="18"/>
      <c r="J833" s="19" t="b">
        <v>1</v>
      </c>
      <c r="K833" s="19" t="b">
        <v>0</v>
      </c>
      <c r="L833" s="19" t="b">
        <v>0</v>
      </c>
      <c r="M833" s="19" t="b">
        <v>0</v>
      </c>
      <c r="N833" s="19" t="b">
        <v>0</v>
      </c>
      <c r="O833" s="19" t="b">
        <v>0</v>
      </c>
      <c r="P833" s="19" t="b">
        <v>0</v>
      </c>
    </row>
    <row r="834" spans="1:16" x14ac:dyDescent="0.2">
      <c r="A834" s="18">
        <v>5487758</v>
      </c>
      <c r="B834" s="18" t="s">
        <v>2349</v>
      </c>
      <c r="C834" s="18" t="s">
        <v>131</v>
      </c>
      <c r="D834" s="18" t="s">
        <v>187</v>
      </c>
      <c r="E834" s="19">
        <v>45010</v>
      </c>
      <c r="F834" s="18" t="s">
        <v>2350</v>
      </c>
      <c r="G834" s="19">
        <v>45036</v>
      </c>
      <c r="H834" s="19">
        <v>45066</v>
      </c>
      <c r="I834" s="18" t="s">
        <v>16</v>
      </c>
      <c r="J834" s="19" t="b">
        <v>1</v>
      </c>
      <c r="K834" s="19" t="b">
        <v>0</v>
      </c>
      <c r="L834" s="19" t="b">
        <v>0</v>
      </c>
      <c r="M834" s="19" t="b">
        <v>0</v>
      </c>
      <c r="N834" s="19" t="b">
        <v>1</v>
      </c>
      <c r="O834" s="19" t="b">
        <v>0</v>
      </c>
      <c r="P834" s="19" t="b">
        <v>0</v>
      </c>
    </row>
    <row r="835" spans="1:16" x14ac:dyDescent="0.2">
      <c r="A835" s="18">
        <v>5487758</v>
      </c>
      <c r="B835" s="18" t="s">
        <v>2351</v>
      </c>
      <c r="C835" s="18" t="s">
        <v>131</v>
      </c>
      <c r="D835" s="18" t="s">
        <v>187</v>
      </c>
      <c r="E835" s="19">
        <v>44666</v>
      </c>
      <c r="F835" s="18" t="s">
        <v>1949</v>
      </c>
      <c r="G835" s="19">
        <v>44693</v>
      </c>
      <c r="H835" s="19">
        <v>44729</v>
      </c>
      <c r="I835" s="18" t="s">
        <v>16</v>
      </c>
      <c r="J835" s="19" t="b">
        <v>1</v>
      </c>
      <c r="K835" s="19" t="b">
        <v>0</v>
      </c>
      <c r="L835" s="19" t="b">
        <v>0</v>
      </c>
      <c r="M835" s="19" t="b">
        <v>0</v>
      </c>
      <c r="N835" s="19" t="b">
        <v>1</v>
      </c>
      <c r="O835" s="19" t="b">
        <v>0</v>
      </c>
      <c r="P835" s="19" t="b">
        <v>0</v>
      </c>
    </row>
    <row r="836" spans="1:16" x14ac:dyDescent="0.2">
      <c r="A836" s="18">
        <v>5487758</v>
      </c>
      <c r="B836" s="18" t="s">
        <v>2356</v>
      </c>
      <c r="C836" s="18" t="s">
        <v>131</v>
      </c>
      <c r="D836" s="18" t="s">
        <v>187</v>
      </c>
      <c r="E836" s="19">
        <v>44663</v>
      </c>
      <c r="F836" s="18" t="s">
        <v>2357</v>
      </c>
      <c r="G836" s="19">
        <v>44668</v>
      </c>
      <c r="H836" s="19">
        <v>44710</v>
      </c>
      <c r="I836" s="18"/>
      <c r="J836" s="19" t="b">
        <v>1</v>
      </c>
      <c r="K836" s="19" t="b">
        <v>0</v>
      </c>
      <c r="L836" s="19" t="b">
        <v>0</v>
      </c>
      <c r="M836" s="19" t="b">
        <v>0</v>
      </c>
      <c r="N836" s="19" t="b">
        <v>0</v>
      </c>
      <c r="O836" s="19" t="b">
        <v>0</v>
      </c>
      <c r="P836" s="19" t="b">
        <v>0</v>
      </c>
    </row>
    <row r="837" spans="1:16" x14ac:dyDescent="0.2">
      <c r="A837" s="18">
        <v>7102492</v>
      </c>
      <c r="B837" s="18" t="s">
        <v>2358</v>
      </c>
      <c r="C837" s="18" t="s">
        <v>720</v>
      </c>
      <c r="D837" s="18" t="s">
        <v>187</v>
      </c>
      <c r="E837" s="19">
        <v>44568</v>
      </c>
      <c r="F837" s="18" t="s">
        <v>505</v>
      </c>
      <c r="G837" s="19">
        <v>44576</v>
      </c>
      <c r="H837" s="19">
        <v>44630</v>
      </c>
      <c r="I837" s="18"/>
      <c r="J837" s="19" t="b">
        <v>1</v>
      </c>
      <c r="K837" s="19" t="b">
        <v>0</v>
      </c>
      <c r="L837" s="19" t="b">
        <v>0</v>
      </c>
      <c r="M837" s="19" t="b">
        <v>0</v>
      </c>
      <c r="N837" s="19" t="b">
        <v>0</v>
      </c>
      <c r="O837" s="19" t="b">
        <v>0</v>
      </c>
      <c r="P837" s="19" t="b">
        <v>0</v>
      </c>
    </row>
    <row r="838" spans="1:16" x14ac:dyDescent="0.2">
      <c r="A838" s="18">
        <v>8946752</v>
      </c>
      <c r="B838" s="18" t="s">
        <v>2360</v>
      </c>
      <c r="C838" s="18" t="s">
        <v>720</v>
      </c>
      <c r="D838" s="18" t="s">
        <v>11</v>
      </c>
      <c r="E838" s="19">
        <v>45104</v>
      </c>
      <c r="F838" s="18" t="s">
        <v>485</v>
      </c>
      <c r="G838" s="19">
        <v>45118</v>
      </c>
      <c r="H838" s="19">
        <v>45169</v>
      </c>
      <c r="I838" s="18" t="s">
        <v>43</v>
      </c>
      <c r="J838" s="19" t="b">
        <v>1</v>
      </c>
      <c r="K838" s="19" t="b">
        <v>0</v>
      </c>
      <c r="L838" s="19" t="b">
        <v>0</v>
      </c>
      <c r="M838" s="19" t="b">
        <v>0</v>
      </c>
      <c r="N838" s="19" t="b">
        <v>0</v>
      </c>
      <c r="O838" s="19" t="b">
        <v>1</v>
      </c>
      <c r="P838" s="19" t="b">
        <v>0</v>
      </c>
    </row>
    <row r="839" spans="1:16" x14ac:dyDescent="0.2">
      <c r="A839" s="18">
        <v>8946752</v>
      </c>
      <c r="B839" s="18" t="s">
        <v>2362</v>
      </c>
      <c r="C839" s="18" t="s">
        <v>720</v>
      </c>
      <c r="D839" s="18" t="s">
        <v>11</v>
      </c>
      <c r="E839" s="19">
        <v>45090</v>
      </c>
      <c r="F839" s="18" t="s">
        <v>2363</v>
      </c>
      <c r="G839" s="19">
        <v>45116</v>
      </c>
      <c r="H839" s="19">
        <v>45160</v>
      </c>
      <c r="I839" s="18"/>
      <c r="J839" s="19" t="b">
        <v>1</v>
      </c>
      <c r="K839" s="19" t="b">
        <v>0</v>
      </c>
      <c r="L839" s="19" t="b">
        <v>0</v>
      </c>
      <c r="M839" s="19" t="b">
        <v>0</v>
      </c>
      <c r="N839" s="19" t="b">
        <v>0</v>
      </c>
      <c r="O839" s="19" t="b">
        <v>0</v>
      </c>
      <c r="P839" s="19" t="b">
        <v>0</v>
      </c>
    </row>
    <row r="840" spans="1:16" x14ac:dyDescent="0.2">
      <c r="A840" s="18">
        <v>8946752</v>
      </c>
      <c r="B840" s="18" t="s">
        <v>2364</v>
      </c>
      <c r="C840" s="18" t="s">
        <v>720</v>
      </c>
      <c r="D840" s="18" t="s">
        <v>11</v>
      </c>
      <c r="E840" s="19">
        <v>44572</v>
      </c>
      <c r="F840" s="18" t="s">
        <v>2365</v>
      </c>
      <c r="G840" s="19">
        <v>44595</v>
      </c>
      <c r="H840" s="19">
        <v>44647</v>
      </c>
      <c r="I840" s="18" t="s">
        <v>16</v>
      </c>
      <c r="J840" s="19" t="b">
        <v>1</v>
      </c>
      <c r="K840" s="19" t="b">
        <v>0</v>
      </c>
      <c r="L840" s="19" t="b">
        <v>0</v>
      </c>
      <c r="M840" s="19" t="b">
        <v>0</v>
      </c>
      <c r="N840" s="19" t="b">
        <v>1</v>
      </c>
      <c r="O840" s="19" t="b">
        <v>0</v>
      </c>
      <c r="P840" s="19" t="b">
        <v>0</v>
      </c>
    </row>
    <row r="841" spans="1:16" x14ac:dyDescent="0.2">
      <c r="A841" s="18">
        <v>9679670</v>
      </c>
      <c r="B841" s="18" t="s">
        <v>2369</v>
      </c>
      <c r="C841" s="18" t="s">
        <v>76</v>
      </c>
      <c r="D841" s="18" t="s">
        <v>122</v>
      </c>
      <c r="E841" s="19">
        <v>44873</v>
      </c>
      <c r="F841" s="18" t="s">
        <v>2370</v>
      </c>
      <c r="G841" s="19">
        <v>44897</v>
      </c>
      <c r="H841" s="19">
        <v>44945</v>
      </c>
      <c r="I841" s="18" t="s">
        <v>28</v>
      </c>
      <c r="J841" s="19" t="b">
        <v>1</v>
      </c>
      <c r="K841" s="19" t="b">
        <v>0</v>
      </c>
      <c r="L841" s="19" t="b">
        <v>0</v>
      </c>
      <c r="M841" s="19" t="b">
        <v>0</v>
      </c>
      <c r="N841" s="19" t="b">
        <v>0</v>
      </c>
      <c r="O841" s="19" t="b">
        <v>0</v>
      </c>
      <c r="P841" s="19" t="b">
        <v>1</v>
      </c>
    </row>
    <row r="842" spans="1:16" x14ac:dyDescent="0.2">
      <c r="A842" s="18">
        <v>6262932</v>
      </c>
      <c r="B842" s="18" t="s">
        <v>2371</v>
      </c>
      <c r="C842" s="18" t="s">
        <v>310</v>
      </c>
      <c r="D842" s="18" t="s">
        <v>39</v>
      </c>
      <c r="E842" s="19">
        <v>45018</v>
      </c>
      <c r="F842" s="18" t="s">
        <v>2372</v>
      </c>
      <c r="G842" s="19">
        <v>45039</v>
      </c>
      <c r="H842" s="19">
        <v>45053</v>
      </c>
      <c r="I842" s="18" t="s">
        <v>43</v>
      </c>
      <c r="J842" s="19" t="b">
        <v>1</v>
      </c>
      <c r="K842" s="19" t="b">
        <v>0</v>
      </c>
      <c r="L842" s="19" t="b">
        <v>0</v>
      </c>
      <c r="M842" s="19" t="b">
        <v>0</v>
      </c>
      <c r="N842" s="19" t="b">
        <v>0</v>
      </c>
      <c r="O842" s="19" t="b">
        <v>1</v>
      </c>
      <c r="P842" s="19" t="b">
        <v>0</v>
      </c>
    </row>
    <row r="843" spans="1:16" x14ac:dyDescent="0.2">
      <c r="A843" s="18">
        <v>8417942</v>
      </c>
      <c r="B843" s="18" t="s">
        <v>2373</v>
      </c>
      <c r="C843" s="18" t="s">
        <v>240</v>
      </c>
      <c r="D843" s="18" t="s">
        <v>39</v>
      </c>
      <c r="E843" s="19">
        <v>44904</v>
      </c>
      <c r="F843" s="18" t="s">
        <v>630</v>
      </c>
      <c r="G843" s="19">
        <v>44917</v>
      </c>
      <c r="H843" s="19">
        <v>44964</v>
      </c>
      <c r="I843" s="18" t="s">
        <v>28</v>
      </c>
      <c r="J843" s="19" t="b">
        <v>1</v>
      </c>
      <c r="K843" s="19" t="b">
        <v>0</v>
      </c>
      <c r="L843" s="19" t="b">
        <v>0</v>
      </c>
      <c r="M843" s="19" t="b">
        <v>0</v>
      </c>
      <c r="N843" s="19" t="b">
        <v>0</v>
      </c>
      <c r="O843" s="19" t="b">
        <v>0</v>
      </c>
      <c r="P843" s="19" t="b">
        <v>1</v>
      </c>
    </row>
    <row r="844" spans="1:16" x14ac:dyDescent="0.2">
      <c r="A844" s="18">
        <v>8417942</v>
      </c>
      <c r="B844" s="18" t="s">
        <v>2374</v>
      </c>
      <c r="C844" s="18" t="s">
        <v>240</v>
      </c>
      <c r="D844" s="18" t="s">
        <v>39</v>
      </c>
      <c r="E844" s="19">
        <v>44852</v>
      </c>
      <c r="F844" s="18" t="s">
        <v>1477</v>
      </c>
      <c r="G844" s="19">
        <v>44859</v>
      </c>
      <c r="H844" s="19">
        <v>44865</v>
      </c>
      <c r="I844" s="18" t="s">
        <v>43</v>
      </c>
      <c r="J844" s="19" t="b">
        <v>1</v>
      </c>
      <c r="K844" s="19" t="b">
        <v>0</v>
      </c>
      <c r="L844" s="19" t="b">
        <v>0</v>
      </c>
      <c r="M844" s="19" t="b">
        <v>0</v>
      </c>
      <c r="N844" s="19" t="b">
        <v>0</v>
      </c>
      <c r="O844" s="19" t="b">
        <v>1</v>
      </c>
      <c r="P844" s="19" t="b">
        <v>0</v>
      </c>
    </row>
    <row r="845" spans="1:16" x14ac:dyDescent="0.2">
      <c r="A845" s="18">
        <v>8417942</v>
      </c>
      <c r="B845" s="18" t="s">
        <v>2375</v>
      </c>
      <c r="C845" s="18" t="s">
        <v>240</v>
      </c>
      <c r="D845" s="18" t="s">
        <v>39</v>
      </c>
      <c r="E845" s="19">
        <v>44725</v>
      </c>
      <c r="F845" s="18" t="s">
        <v>2376</v>
      </c>
      <c r="G845" s="19">
        <v>44726</v>
      </c>
      <c r="H845" s="19">
        <v>44728</v>
      </c>
      <c r="I845" s="18" t="s">
        <v>28</v>
      </c>
      <c r="J845" s="19" t="b">
        <v>1</v>
      </c>
      <c r="K845" s="19" t="b">
        <v>0</v>
      </c>
      <c r="L845" s="19" t="b">
        <v>0</v>
      </c>
      <c r="M845" s="19" t="b">
        <v>0</v>
      </c>
      <c r="N845" s="19" t="b">
        <v>0</v>
      </c>
      <c r="O845" s="19" t="b">
        <v>0</v>
      </c>
      <c r="P845" s="19" t="b">
        <v>1</v>
      </c>
    </row>
    <row r="846" spans="1:16" x14ac:dyDescent="0.2">
      <c r="A846" s="18">
        <v>8417942</v>
      </c>
      <c r="B846" s="18" t="s">
        <v>2377</v>
      </c>
      <c r="C846" s="18" t="s">
        <v>240</v>
      </c>
      <c r="D846" s="18" t="s">
        <v>39</v>
      </c>
      <c r="E846" s="19">
        <v>44873</v>
      </c>
      <c r="F846" s="18" t="s">
        <v>1485</v>
      </c>
      <c r="G846" s="19">
        <v>44897</v>
      </c>
      <c r="H846" s="19">
        <v>44925</v>
      </c>
      <c r="I846" s="18" t="s">
        <v>28</v>
      </c>
      <c r="J846" s="19" t="b">
        <v>1</v>
      </c>
      <c r="K846" s="19" t="b">
        <v>0</v>
      </c>
      <c r="L846" s="19" t="b">
        <v>0</v>
      </c>
      <c r="M846" s="19" t="b">
        <v>0</v>
      </c>
      <c r="N846" s="19" t="b">
        <v>0</v>
      </c>
      <c r="O846" s="19" t="b">
        <v>0</v>
      </c>
      <c r="P846" s="19" t="b">
        <v>1</v>
      </c>
    </row>
    <row r="847" spans="1:16" x14ac:dyDescent="0.2">
      <c r="A847" s="18">
        <v>9477100</v>
      </c>
      <c r="B847" s="18" t="s">
        <v>2380</v>
      </c>
      <c r="C847" s="18" t="s">
        <v>176</v>
      </c>
      <c r="D847" s="18" t="s">
        <v>56</v>
      </c>
      <c r="E847" s="19">
        <v>44567</v>
      </c>
      <c r="F847" s="18" t="s">
        <v>2381</v>
      </c>
      <c r="G847" s="19">
        <v>44582</v>
      </c>
      <c r="H847" s="19">
        <v>44604</v>
      </c>
      <c r="I847" s="18" t="s">
        <v>16</v>
      </c>
      <c r="J847" s="19" t="b">
        <v>1</v>
      </c>
      <c r="K847" s="19" t="b">
        <v>0</v>
      </c>
      <c r="L847" s="19" t="b">
        <v>0</v>
      </c>
      <c r="M847" s="19" t="b">
        <v>0</v>
      </c>
      <c r="N847" s="19" t="b">
        <v>1</v>
      </c>
      <c r="O847" s="19" t="b">
        <v>0</v>
      </c>
      <c r="P847" s="19" t="b">
        <v>0</v>
      </c>
    </row>
    <row r="848" spans="1:16" x14ac:dyDescent="0.2">
      <c r="A848" s="18">
        <v>9477100</v>
      </c>
      <c r="B848" s="18" t="s">
        <v>2382</v>
      </c>
      <c r="C848" s="18" t="s">
        <v>176</v>
      </c>
      <c r="D848" s="18" t="s">
        <v>56</v>
      </c>
      <c r="E848" s="19">
        <v>44853</v>
      </c>
      <c r="F848" s="18" t="s">
        <v>2383</v>
      </c>
      <c r="G848" s="19">
        <v>44875</v>
      </c>
      <c r="H848" s="19">
        <v>44926</v>
      </c>
      <c r="I848" s="18" t="s">
        <v>43</v>
      </c>
      <c r="J848" s="19" t="b">
        <v>1</v>
      </c>
      <c r="K848" s="19" t="b">
        <v>0</v>
      </c>
      <c r="L848" s="19" t="b">
        <v>0</v>
      </c>
      <c r="M848" s="19" t="b">
        <v>0</v>
      </c>
      <c r="N848" s="19" t="b">
        <v>0</v>
      </c>
      <c r="O848" s="19" t="b">
        <v>1</v>
      </c>
      <c r="P848" s="19" t="b">
        <v>0</v>
      </c>
    </row>
    <row r="849" spans="1:16" x14ac:dyDescent="0.2">
      <c r="A849" s="18">
        <v>3348331</v>
      </c>
      <c r="B849" s="18" t="s">
        <v>2384</v>
      </c>
      <c r="C849" s="18" t="s">
        <v>240</v>
      </c>
      <c r="D849" s="18" t="s">
        <v>60</v>
      </c>
      <c r="E849" s="19">
        <v>44759</v>
      </c>
      <c r="F849" s="18" t="s">
        <v>2385</v>
      </c>
      <c r="G849" s="19">
        <v>44786</v>
      </c>
      <c r="H849" s="19">
        <v>44836</v>
      </c>
      <c r="I849" s="18" t="s">
        <v>16</v>
      </c>
      <c r="J849" s="19" t="b">
        <v>1</v>
      </c>
      <c r="K849" s="19" t="b">
        <v>0</v>
      </c>
      <c r="L849" s="19" t="b">
        <v>0</v>
      </c>
      <c r="M849" s="19" t="b">
        <v>0</v>
      </c>
      <c r="N849" s="19" t="b">
        <v>1</v>
      </c>
      <c r="O849" s="19" t="b">
        <v>0</v>
      </c>
      <c r="P849" s="19" t="b">
        <v>0</v>
      </c>
    </row>
    <row r="850" spans="1:16" x14ac:dyDescent="0.2">
      <c r="A850" s="18">
        <v>3348331</v>
      </c>
      <c r="B850" s="18" t="s">
        <v>2386</v>
      </c>
      <c r="C850" s="18" t="s">
        <v>240</v>
      </c>
      <c r="D850" s="18" t="s">
        <v>60</v>
      </c>
      <c r="E850" s="19">
        <v>44997</v>
      </c>
      <c r="F850" s="18" t="s">
        <v>2387</v>
      </c>
      <c r="G850" s="19">
        <v>45024</v>
      </c>
      <c r="H850" s="19">
        <v>45051</v>
      </c>
      <c r="I850" s="18" t="s">
        <v>16</v>
      </c>
      <c r="J850" s="19" t="b">
        <v>1</v>
      </c>
      <c r="K850" s="19" t="b">
        <v>0</v>
      </c>
      <c r="L850" s="19" t="b">
        <v>0</v>
      </c>
      <c r="M850" s="19" t="b">
        <v>0</v>
      </c>
      <c r="N850" s="19" t="b">
        <v>1</v>
      </c>
      <c r="O850" s="19" t="b">
        <v>0</v>
      </c>
      <c r="P850" s="19" t="b">
        <v>0</v>
      </c>
    </row>
    <row r="851" spans="1:16" x14ac:dyDescent="0.2">
      <c r="A851" s="18">
        <v>3348331</v>
      </c>
      <c r="B851" s="18" t="s">
        <v>2391</v>
      </c>
      <c r="C851" s="18" t="s">
        <v>240</v>
      </c>
      <c r="D851" s="18" t="s">
        <v>60</v>
      </c>
      <c r="E851" s="19">
        <v>45072</v>
      </c>
      <c r="F851" s="18" t="s">
        <v>2392</v>
      </c>
      <c r="G851" s="19">
        <v>45093</v>
      </c>
      <c r="H851" s="19">
        <v>45121</v>
      </c>
      <c r="I851" s="18"/>
      <c r="J851" s="19" t="b">
        <v>1</v>
      </c>
      <c r="K851" s="19" t="b">
        <v>0</v>
      </c>
      <c r="L851" s="19" t="b">
        <v>0</v>
      </c>
      <c r="M851" s="19" t="b">
        <v>0</v>
      </c>
      <c r="N851" s="19" t="b">
        <v>0</v>
      </c>
      <c r="O851" s="19" t="b">
        <v>0</v>
      </c>
      <c r="P851" s="19" t="b">
        <v>0</v>
      </c>
    </row>
    <row r="852" spans="1:16" x14ac:dyDescent="0.2">
      <c r="A852" s="18">
        <v>8383316</v>
      </c>
      <c r="B852" s="18" t="s">
        <v>2393</v>
      </c>
      <c r="C852" s="18" t="s">
        <v>240</v>
      </c>
      <c r="D852" s="18" t="s">
        <v>77</v>
      </c>
      <c r="E852" s="19">
        <v>45058</v>
      </c>
      <c r="F852" s="18" t="s">
        <v>2394</v>
      </c>
      <c r="G852" s="19">
        <v>45081</v>
      </c>
      <c r="H852" s="19">
        <v>45111</v>
      </c>
      <c r="I852" s="18" t="s">
        <v>43</v>
      </c>
      <c r="J852" s="19" t="b">
        <v>1</v>
      </c>
      <c r="K852" s="19" t="b">
        <v>0</v>
      </c>
      <c r="L852" s="19" t="b">
        <v>0</v>
      </c>
      <c r="M852" s="19" t="b">
        <v>0</v>
      </c>
      <c r="N852" s="19" t="b">
        <v>0</v>
      </c>
      <c r="O852" s="19" t="b">
        <v>1</v>
      </c>
      <c r="P852" s="19" t="b">
        <v>0</v>
      </c>
    </row>
    <row r="853" spans="1:16" x14ac:dyDescent="0.2">
      <c r="A853" s="18">
        <v>8383316</v>
      </c>
      <c r="B853" s="18" t="s">
        <v>2397</v>
      </c>
      <c r="C853" s="18" t="s">
        <v>240</v>
      </c>
      <c r="D853" s="18" t="s">
        <v>77</v>
      </c>
      <c r="E853" s="19">
        <v>44722</v>
      </c>
      <c r="F853" s="18" t="s">
        <v>2398</v>
      </c>
      <c r="G853" s="19">
        <v>44740</v>
      </c>
      <c r="H853" s="19">
        <v>44764</v>
      </c>
      <c r="I853" s="18"/>
      <c r="J853" s="19" t="b">
        <v>1</v>
      </c>
      <c r="K853" s="19" t="b">
        <v>0</v>
      </c>
      <c r="L853" s="19" t="b">
        <v>0</v>
      </c>
      <c r="M853" s="19" t="b">
        <v>0</v>
      </c>
      <c r="N853" s="19" t="b">
        <v>0</v>
      </c>
      <c r="O853" s="19" t="b">
        <v>0</v>
      </c>
      <c r="P853" s="19" t="b">
        <v>0</v>
      </c>
    </row>
    <row r="854" spans="1:16" x14ac:dyDescent="0.2">
      <c r="A854" s="18">
        <v>8383316</v>
      </c>
      <c r="B854" s="18" t="s">
        <v>2399</v>
      </c>
      <c r="C854" s="18" t="s">
        <v>240</v>
      </c>
      <c r="D854" s="18" t="s">
        <v>77</v>
      </c>
      <c r="E854" s="19">
        <v>44980</v>
      </c>
      <c r="F854" s="18" t="s">
        <v>2400</v>
      </c>
      <c r="G854" s="19">
        <v>44984</v>
      </c>
      <c r="H854" s="19">
        <v>44992</v>
      </c>
      <c r="I854" s="18" t="s">
        <v>16</v>
      </c>
      <c r="J854" s="19" t="b">
        <v>1</v>
      </c>
      <c r="K854" s="19" t="b">
        <v>0</v>
      </c>
      <c r="L854" s="19" t="b">
        <v>0</v>
      </c>
      <c r="M854" s="19" t="b">
        <v>0</v>
      </c>
      <c r="N854" s="19" t="b">
        <v>1</v>
      </c>
      <c r="O854" s="19" t="b">
        <v>0</v>
      </c>
      <c r="P854" s="19" t="b">
        <v>0</v>
      </c>
    </row>
    <row r="855" spans="1:16" x14ac:dyDescent="0.2">
      <c r="A855" s="18">
        <v>7200623</v>
      </c>
      <c r="B855" s="18" t="s">
        <v>2401</v>
      </c>
      <c r="C855" s="18" t="s">
        <v>32</v>
      </c>
      <c r="D855" s="18" t="s">
        <v>11</v>
      </c>
      <c r="E855" s="19">
        <v>44945</v>
      </c>
      <c r="F855" s="18" t="s">
        <v>455</v>
      </c>
      <c r="G855" s="19">
        <v>44955</v>
      </c>
      <c r="H855" s="19">
        <v>44974</v>
      </c>
      <c r="I855" s="18" t="s">
        <v>16</v>
      </c>
      <c r="J855" s="19" t="b">
        <v>1</v>
      </c>
      <c r="K855" s="19" t="b">
        <v>0</v>
      </c>
      <c r="L855" s="19" t="b">
        <v>0</v>
      </c>
      <c r="M855" s="19" t="b">
        <v>0</v>
      </c>
      <c r="N855" s="19" t="b">
        <v>1</v>
      </c>
      <c r="O855" s="19" t="b">
        <v>0</v>
      </c>
      <c r="P855" s="19" t="b">
        <v>0</v>
      </c>
    </row>
    <row r="856" spans="1:16" x14ac:dyDescent="0.2">
      <c r="A856" s="18">
        <v>9152477</v>
      </c>
      <c r="B856" s="18" t="s">
        <v>2402</v>
      </c>
      <c r="C856" s="18" t="s">
        <v>10</v>
      </c>
      <c r="D856" s="18" t="s">
        <v>187</v>
      </c>
      <c r="E856" s="19">
        <v>44874</v>
      </c>
      <c r="F856" s="18" t="s">
        <v>1938</v>
      </c>
      <c r="G856" s="19">
        <v>44903</v>
      </c>
      <c r="H856" s="19">
        <v>44922</v>
      </c>
      <c r="I856" s="18"/>
      <c r="J856" s="19" t="b">
        <v>1</v>
      </c>
      <c r="K856" s="19" t="b">
        <v>0</v>
      </c>
      <c r="L856" s="19" t="b">
        <v>0</v>
      </c>
      <c r="M856" s="19" t="b">
        <v>0</v>
      </c>
      <c r="N856" s="19" t="b">
        <v>0</v>
      </c>
      <c r="O856" s="19" t="b">
        <v>0</v>
      </c>
      <c r="P856" s="19" t="b">
        <v>0</v>
      </c>
    </row>
    <row r="857" spans="1:16" x14ac:dyDescent="0.2">
      <c r="A857" s="18">
        <v>3052321</v>
      </c>
      <c r="B857" s="18" t="s">
        <v>2405</v>
      </c>
      <c r="C857" s="18" t="s">
        <v>18</v>
      </c>
      <c r="D857" s="18" t="s">
        <v>39</v>
      </c>
      <c r="E857" s="19">
        <v>44879</v>
      </c>
      <c r="F857" s="18" t="s">
        <v>2406</v>
      </c>
      <c r="G857" s="19">
        <v>44898</v>
      </c>
      <c r="H857" s="19">
        <v>44927</v>
      </c>
      <c r="I857" s="18"/>
      <c r="J857" s="19" t="b">
        <v>1</v>
      </c>
      <c r="K857" s="19" t="b">
        <v>0</v>
      </c>
      <c r="L857" s="19" t="b">
        <v>0</v>
      </c>
      <c r="M857" s="19" t="b">
        <v>0</v>
      </c>
      <c r="N857" s="19" t="b">
        <v>0</v>
      </c>
      <c r="O857" s="19" t="b">
        <v>0</v>
      </c>
      <c r="P857" s="19" t="b">
        <v>0</v>
      </c>
    </row>
    <row r="858" spans="1:16" x14ac:dyDescent="0.2">
      <c r="A858" s="18">
        <v>6667733</v>
      </c>
      <c r="B858" s="18" t="s">
        <v>2407</v>
      </c>
      <c r="C858" s="18" t="s">
        <v>47</v>
      </c>
      <c r="D858" s="18" t="s">
        <v>60</v>
      </c>
      <c r="E858" s="19">
        <v>45078</v>
      </c>
      <c r="F858" s="18" t="s">
        <v>1653</v>
      </c>
      <c r="G858" s="19">
        <v>45099</v>
      </c>
      <c r="H858" s="19">
        <v>45129</v>
      </c>
      <c r="I858" s="18" t="s">
        <v>43</v>
      </c>
      <c r="J858" s="19" t="b">
        <v>1</v>
      </c>
      <c r="K858" s="19" t="b">
        <v>0</v>
      </c>
      <c r="L858" s="19" t="b">
        <v>0</v>
      </c>
      <c r="M858" s="19" t="b">
        <v>0</v>
      </c>
      <c r="N858" s="19" t="b">
        <v>0</v>
      </c>
      <c r="O858" s="19" t="b">
        <v>1</v>
      </c>
      <c r="P858" s="19" t="b">
        <v>0</v>
      </c>
    </row>
    <row r="859" spans="1:16" x14ac:dyDescent="0.2">
      <c r="A859" s="18">
        <v>6667733</v>
      </c>
      <c r="B859" s="18" t="s">
        <v>2408</v>
      </c>
      <c r="C859" s="18" t="s">
        <v>47</v>
      </c>
      <c r="D859" s="18" t="s">
        <v>60</v>
      </c>
      <c r="E859" s="19">
        <v>44895</v>
      </c>
      <c r="F859" s="18" t="s">
        <v>2409</v>
      </c>
      <c r="G859" s="19">
        <v>44898</v>
      </c>
      <c r="H859" s="19">
        <v>44950</v>
      </c>
      <c r="I859" s="18"/>
      <c r="J859" s="19" t="b">
        <v>1</v>
      </c>
      <c r="K859" s="19" t="b">
        <v>0</v>
      </c>
      <c r="L859" s="19" t="b">
        <v>0</v>
      </c>
      <c r="M859" s="19" t="b">
        <v>0</v>
      </c>
      <c r="N859" s="19" t="b">
        <v>0</v>
      </c>
      <c r="O859" s="19" t="b">
        <v>0</v>
      </c>
      <c r="P859" s="19" t="b">
        <v>0</v>
      </c>
    </row>
    <row r="860" spans="1:16" x14ac:dyDescent="0.2">
      <c r="A860" s="18">
        <v>6667733</v>
      </c>
      <c r="B860" s="18" t="s">
        <v>2410</v>
      </c>
      <c r="C860" s="18" t="s">
        <v>47</v>
      </c>
      <c r="D860" s="18" t="s">
        <v>60</v>
      </c>
      <c r="E860" s="19">
        <v>44966</v>
      </c>
      <c r="F860" s="18" t="s">
        <v>2411</v>
      </c>
      <c r="G860" s="19">
        <v>44977</v>
      </c>
      <c r="H860" s="19">
        <v>45012</v>
      </c>
      <c r="I860" s="18"/>
      <c r="J860" s="19" t="b">
        <v>1</v>
      </c>
      <c r="K860" s="19" t="b">
        <v>0</v>
      </c>
      <c r="L860" s="19" t="b">
        <v>0</v>
      </c>
      <c r="M860" s="19" t="b">
        <v>0</v>
      </c>
      <c r="N860" s="19" t="b">
        <v>0</v>
      </c>
      <c r="O860" s="19" t="b">
        <v>0</v>
      </c>
      <c r="P860" s="19" t="b">
        <v>0</v>
      </c>
    </row>
    <row r="861" spans="1:16" x14ac:dyDescent="0.2">
      <c r="A861" s="18">
        <v>5653581</v>
      </c>
      <c r="B861" s="18" t="s">
        <v>2414</v>
      </c>
      <c r="C861" s="18" t="s">
        <v>265</v>
      </c>
      <c r="D861" s="18" t="s">
        <v>122</v>
      </c>
      <c r="E861" s="19">
        <v>44688</v>
      </c>
      <c r="F861" s="18" t="s">
        <v>1173</v>
      </c>
      <c r="G861" s="19">
        <v>44709</v>
      </c>
      <c r="H861" s="19">
        <v>44745</v>
      </c>
      <c r="I861" s="18" t="s">
        <v>28</v>
      </c>
      <c r="J861" s="19" t="b">
        <v>1</v>
      </c>
      <c r="K861" s="19" t="b">
        <v>0</v>
      </c>
      <c r="L861" s="19" t="b">
        <v>0</v>
      </c>
      <c r="M861" s="19" t="b">
        <v>0</v>
      </c>
      <c r="N861" s="19" t="b">
        <v>0</v>
      </c>
      <c r="O861" s="19" t="b">
        <v>0</v>
      </c>
      <c r="P861" s="19" t="b">
        <v>1</v>
      </c>
    </row>
    <row r="862" spans="1:16" x14ac:dyDescent="0.2">
      <c r="A862" s="18">
        <v>9753576</v>
      </c>
      <c r="B862" s="18" t="s">
        <v>2417</v>
      </c>
      <c r="C862" s="18" t="s">
        <v>454</v>
      </c>
      <c r="D862" s="18" t="s">
        <v>77</v>
      </c>
      <c r="E862" s="19">
        <v>44746</v>
      </c>
      <c r="F862" s="18" t="s">
        <v>2418</v>
      </c>
      <c r="G862" s="19">
        <v>44747</v>
      </c>
      <c r="H862" s="19">
        <v>44765</v>
      </c>
      <c r="I862" s="18" t="s">
        <v>16</v>
      </c>
      <c r="J862" s="19" t="b">
        <v>1</v>
      </c>
      <c r="K862" s="19" t="b">
        <v>0</v>
      </c>
      <c r="L862" s="19" t="b">
        <v>0</v>
      </c>
      <c r="M862" s="19" t="b">
        <v>0</v>
      </c>
      <c r="N862" s="19" t="b">
        <v>1</v>
      </c>
      <c r="O862" s="19" t="b">
        <v>0</v>
      </c>
      <c r="P862" s="19" t="b">
        <v>0</v>
      </c>
    </row>
    <row r="863" spans="1:16" x14ac:dyDescent="0.2">
      <c r="A863" s="18">
        <v>9753576</v>
      </c>
      <c r="B863" s="18" t="s">
        <v>2419</v>
      </c>
      <c r="C863" s="18" t="s">
        <v>454</v>
      </c>
      <c r="D863" s="18" t="s">
        <v>77</v>
      </c>
      <c r="E863" s="19">
        <v>45016</v>
      </c>
      <c r="F863" s="18" t="s">
        <v>2420</v>
      </c>
      <c r="G863" s="19">
        <v>45019</v>
      </c>
      <c r="H863" s="19">
        <v>45071</v>
      </c>
      <c r="I863" s="18" t="s">
        <v>43</v>
      </c>
      <c r="J863" s="19" t="b">
        <v>1</v>
      </c>
      <c r="K863" s="19" t="b">
        <v>0</v>
      </c>
      <c r="L863" s="19" t="b">
        <v>0</v>
      </c>
      <c r="M863" s="19" t="b">
        <v>0</v>
      </c>
      <c r="N863" s="19" t="b">
        <v>0</v>
      </c>
      <c r="O863" s="19" t="b">
        <v>1</v>
      </c>
      <c r="P863" s="19" t="b">
        <v>0</v>
      </c>
    </row>
    <row r="864" spans="1:16" x14ac:dyDescent="0.2">
      <c r="A864" s="18">
        <v>9753576</v>
      </c>
      <c r="B864" s="18" t="s">
        <v>2421</v>
      </c>
      <c r="C864" s="18" t="s">
        <v>454</v>
      </c>
      <c r="D864" s="18" t="s">
        <v>77</v>
      </c>
      <c r="E864" s="19">
        <v>44608</v>
      </c>
      <c r="F864" s="18" t="s">
        <v>2422</v>
      </c>
      <c r="G864" s="19">
        <v>44624</v>
      </c>
      <c r="H864" s="19">
        <v>44680</v>
      </c>
      <c r="I864" s="18" t="s">
        <v>28</v>
      </c>
      <c r="J864" s="19" t="b">
        <v>1</v>
      </c>
      <c r="K864" s="19" t="b">
        <v>0</v>
      </c>
      <c r="L864" s="19" t="b">
        <v>0</v>
      </c>
      <c r="M864" s="19" t="b">
        <v>0</v>
      </c>
      <c r="N864" s="19" t="b">
        <v>0</v>
      </c>
      <c r="O864" s="19" t="b">
        <v>0</v>
      </c>
      <c r="P864" s="19" t="b">
        <v>1</v>
      </c>
    </row>
    <row r="865" spans="1:16" x14ac:dyDescent="0.2">
      <c r="A865" s="18">
        <v>9753576</v>
      </c>
      <c r="B865" s="18" t="s">
        <v>2423</v>
      </c>
      <c r="C865" s="18" t="s">
        <v>454</v>
      </c>
      <c r="D865" s="18" t="s">
        <v>77</v>
      </c>
      <c r="E865" s="19">
        <v>44986</v>
      </c>
      <c r="F865" s="18" t="s">
        <v>253</v>
      </c>
      <c r="G865" s="19">
        <v>44987</v>
      </c>
      <c r="H865" s="19">
        <v>45043</v>
      </c>
      <c r="I865" s="18" t="s">
        <v>28</v>
      </c>
      <c r="J865" s="19" t="b">
        <v>1</v>
      </c>
      <c r="K865" s="19" t="b">
        <v>0</v>
      </c>
      <c r="L865" s="19" t="b">
        <v>0</v>
      </c>
      <c r="M865" s="19" t="b">
        <v>0</v>
      </c>
      <c r="N865" s="19" t="b">
        <v>0</v>
      </c>
      <c r="O865" s="19" t="b">
        <v>0</v>
      </c>
      <c r="P865" s="19" t="b">
        <v>1</v>
      </c>
    </row>
    <row r="866" spans="1:16" x14ac:dyDescent="0.2">
      <c r="A866" s="18">
        <v>9753576</v>
      </c>
      <c r="B866" s="18" t="s">
        <v>2424</v>
      </c>
      <c r="C866" s="18" t="s">
        <v>454</v>
      </c>
      <c r="D866" s="18" t="s">
        <v>77</v>
      </c>
      <c r="E866" s="19">
        <v>44679</v>
      </c>
      <c r="F866" s="18" t="s">
        <v>2425</v>
      </c>
      <c r="G866" s="19">
        <v>44683</v>
      </c>
      <c r="H866" s="19">
        <v>44718</v>
      </c>
      <c r="I866" s="18"/>
      <c r="J866" s="19" t="b">
        <v>1</v>
      </c>
      <c r="K866" s="19" t="b">
        <v>0</v>
      </c>
      <c r="L866" s="19" t="b">
        <v>0</v>
      </c>
      <c r="M866" s="19" t="b">
        <v>0</v>
      </c>
      <c r="N866" s="19" t="b">
        <v>0</v>
      </c>
      <c r="O866" s="19" t="b">
        <v>0</v>
      </c>
      <c r="P866" s="19" t="b">
        <v>0</v>
      </c>
    </row>
    <row r="867" spans="1:16" x14ac:dyDescent="0.2">
      <c r="A867" s="18">
        <v>3821189</v>
      </c>
      <c r="B867" s="18" t="s">
        <v>2428</v>
      </c>
      <c r="C867" s="18" t="s">
        <v>110</v>
      </c>
      <c r="D867" s="18" t="s">
        <v>187</v>
      </c>
      <c r="E867" s="19">
        <v>44747</v>
      </c>
      <c r="F867" s="18" t="s">
        <v>2429</v>
      </c>
      <c r="G867" s="19">
        <v>44748</v>
      </c>
      <c r="H867" s="19">
        <v>44794</v>
      </c>
      <c r="I867" s="18" t="s">
        <v>16</v>
      </c>
      <c r="J867" s="19" t="b">
        <v>1</v>
      </c>
      <c r="K867" s="19" t="b">
        <v>0</v>
      </c>
      <c r="L867" s="19" t="b">
        <v>0</v>
      </c>
      <c r="M867" s="19" t="b">
        <v>0</v>
      </c>
      <c r="N867" s="19" t="b">
        <v>1</v>
      </c>
      <c r="O867" s="19" t="b">
        <v>0</v>
      </c>
      <c r="P867" s="19" t="b">
        <v>0</v>
      </c>
    </row>
    <row r="868" spans="1:16" x14ac:dyDescent="0.2">
      <c r="A868" s="18">
        <v>9533248</v>
      </c>
      <c r="B868" s="18" t="s">
        <v>2434</v>
      </c>
      <c r="C868" s="18" t="s">
        <v>35</v>
      </c>
      <c r="D868" s="18" t="s">
        <v>139</v>
      </c>
      <c r="E868" s="19">
        <v>45037</v>
      </c>
      <c r="F868" s="18" t="s">
        <v>2435</v>
      </c>
      <c r="G868" s="19">
        <v>45055</v>
      </c>
      <c r="H868" s="19">
        <v>45082</v>
      </c>
      <c r="I868" s="18" t="s">
        <v>28</v>
      </c>
      <c r="J868" s="19" t="b">
        <v>1</v>
      </c>
      <c r="K868" s="19" t="b">
        <v>0</v>
      </c>
      <c r="L868" s="19" t="b">
        <v>0</v>
      </c>
      <c r="M868" s="19" t="b">
        <v>0</v>
      </c>
      <c r="N868" s="19" t="b">
        <v>0</v>
      </c>
      <c r="O868" s="19" t="b">
        <v>0</v>
      </c>
      <c r="P868" s="19" t="b">
        <v>1</v>
      </c>
    </row>
    <row r="869" spans="1:16" x14ac:dyDescent="0.2">
      <c r="A869" s="18">
        <v>9533248</v>
      </c>
      <c r="B869" s="18" t="s">
        <v>2438</v>
      </c>
      <c r="C869" s="18" t="s">
        <v>35</v>
      </c>
      <c r="D869" s="18" t="s">
        <v>139</v>
      </c>
      <c r="E869" s="19">
        <v>44665</v>
      </c>
      <c r="F869" s="18" t="s">
        <v>2439</v>
      </c>
      <c r="G869" s="19">
        <v>44673</v>
      </c>
      <c r="H869" s="19">
        <v>44722</v>
      </c>
      <c r="I869" s="18" t="s">
        <v>28</v>
      </c>
      <c r="J869" s="19" t="b">
        <v>1</v>
      </c>
      <c r="K869" s="19" t="b">
        <v>0</v>
      </c>
      <c r="L869" s="19" t="b">
        <v>0</v>
      </c>
      <c r="M869" s="19" t="b">
        <v>0</v>
      </c>
      <c r="N869" s="19" t="b">
        <v>0</v>
      </c>
      <c r="O869" s="19" t="b">
        <v>0</v>
      </c>
      <c r="P869" s="19" t="b">
        <v>1</v>
      </c>
    </row>
    <row r="870" spans="1:16" x14ac:dyDescent="0.2">
      <c r="A870" s="18">
        <v>9533248</v>
      </c>
      <c r="B870" s="18" t="s">
        <v>2440</v>
      </c>
      <c r="C870" s="18" t="s">
        <v>35</v>
      </c>
      <c r="D870" s="18" t="s">
        <v>139</v>
      </c>
      <c r="E870" s="19">
        <v>44978</v>
      </c>
      <c r="F870" s="18" t="s">
        <v>288</v>
      </c>
      <c r="G870" s="19">
        <v>44993</v>
      </c>
      <c r="H870" s="19">
        <v>44999</v>
      </c>
      <c r="I870" s="18" t="s">
        <v>43</v>
      </c>
      <c r="J870" s="19" t="b">
        <v>1</v>
      </c>
      <c r="K870" s="19" t="b">
        <v>0</v>
      </c>
      <c r="L870" s="19" t="b">
        <v>0</v>
      </c>
      <c r="M870" s="19" t="b">
        <v>0</v>
      </c>
      <c r="N870" s="19" t="b">
        <v>0</v>
      </c>
      <c r="O870" s="19" t="b">
        <v>1</v>
      </c>
      <c r="P870" s="19" t="b">
        <v>0</v>
      </c>
    </row>
    <row r="871" spans="1:16" x14ac:dyDescent="0.2">
      <c r="A871" s="18">
        <v>9395862</v>
      </c>
      <c r="B871" s="18" t="s">
        <v>2441</v>
      </c>
      <c r="C871" s="18" t="s">
        <v>454</v>
      </c>
      <c r="D871" s="18" t="s">
        <v>187</v>
      </c>
      <c r="E871" s="19">
        <v>44995</v>
      </c>
      <c r="F871" s="18" t="s">
        <v>2442</v>
      </c>
      <c r="G871" s="19">
        <v>45025</v>
      </c>
      <c r="H871" s="19">
        <v>45061</v>
      </c>
      <c r="I871" s="18" t="s">
        <v>43</v>
      </c>
      <c r="J871" s="19" t="b">
        <v>1</v>
      </c>
      <c r="K871" s="19" t="b">
        <v>0</v>
      </c>
      <c r="L871" s="19" t="b">
        <v>0</v>
      </c>
      <c r="M871" s="19" t="b">
        <v>0</v>
      </c>
      <c r="N871" s="19" t="b">
        <v>0</v>
      </c>
      <c r="O871" s="19" t="b">
        <v>1</v>
      </c>
      <c r="P871" s="19" t="b">
        <v>0</v>
      </c>
    </row>
    <row r="872" spans="1:16" x14ac:dyDescent="0.2">
      <c r="A872" s="18">
        <v>9395862</v>
      </c>
      <c r="B872" s="18" t="s">
        <v>2443</v>
      </c>
      <c r="C872" s="18" t="s">
        <v>454</v>
      </c>
      <c r="D872" s="18" t="s">
        <v>187</v>
      </c>
      <c r="E872" s="19">
        <v>44858</v>
      </c>
      <c r="F872" s="18" t="s">
        <v>2444</v>
      </c>
      <c r="G872" s="19">
        <v>44879</v>
      </c>
      <c r="H872" s="19">
        <v>44890</v>
      </c>
      <c r="I872" s="18" t="s">
        <v>16</v>
      </c>
      <c r="J872" s="19" t="b">
        <v>1</v>
      </c>
      <c r="K872" s="19" t="b">
        <v>0</v>
      </c>
      <c r="L872" s="19" t="b">
        <v>0</v>
      </c>
      <c r="M872" s="19" t="b">
        <v>0</v>
      </c>
      <c r="N872" s="19" t="b">
        <v>1</v>
      </c>
      <c r="O872" s="19" t="b">
        <v>0</v>
      </c>
      <c r="P872" s="19" t="b">
        <v>0</v>
      </c>
    </row>
    <row r="873" spans="1:16" x14ac:dyDescent="0.2">
      <c r="A873" s="18">
        <v>5209218</v>
      </c>
      <c r="B873" s="18" t="s">
        <v>2447</v>
      </c>
      <c r="C873" s="18" t="s">
        <v>150</v>
      </c>
      <c r="D873" s="18" t="s">
        <v>60</v>
      </c>
      <c r="E873" s="19">
        <v>45084</v>
      </c>
      <c r="F873" s="18" t="s">
        <v>2448</v>
      </c>
      <c r="G873" s="19">
        <v>45094</v>
      </c>
      <c r="H873" s="19">
        <v>45097</v>
      </c>
      <c r="I873" s="18" t="s">
        <v>43</v>
      </c>
      <c r="J873" s="19" t="b">
        <v>1</v>
      </c>
      <c r="K873" s="19" t="b">
        <v>0</v>
      </c>
      <c r="L873" s="19" t="b">
        <v>0</v>
      </c>
      <c r="M873" s="19" t="b">
        <v>0</v>
      </c>
      <c r="N873" s="19" t="b">
        <v>0</v>
      </c>
      <c r="O873" s="19" t="b">
        <v>1</v>
      </c>
      <c r="P873" s="19" t="b">
        <v>0</v>
      </c>
    </row>
    <row r="874" spans="1:16" x14ac:dyDescent="0.2">
      <c r="A874" s="18">
        <v>5688532</v>
      </c>
      <c r="B874" s="18" t="s">
        <v>2451</v>
      </c>
      <c r="C874" s="18" t="s">
        <v>131</v>
      </c>
      <c r="D874" s="18" t="s">
        <v>60</v>
      </c>
      <c r="E874" s="19">
        <v>44912</v>
      </c>
      <c r="F874" s="18" t="s">
        <v>2452</v>
      </c>
      <c r="G874" s="19">
        <v>44933</v>
      </c>
      <c r="H874" s="19">
        <v>44950</v>
      </c>
      <c r="I874" s="18" t="s">
        <v>28</v>
      </c>
      <c r="J874" s="19" t="b">
        <v>1</v>
      </c>
      <c r="K874" s="19" t="b">
        <v>0</v>
      </c>
      <c r="L874" s="19" t="b">
        <v>0</v>
      </c>
      <c r="M874" s="19" t="b">
        <v>0</v>
      </c>
      <c r="N874" s="19" t="b">
        <v>0</v>
      </c>
      <c r="O874" s="19" t="b">
        <v>0</v>
      </c>
      <c r="P874" s="19" t="b">
        <v>1</v>
      </c>
    </row>
    <row r="875" spans="1:16" x14ac:dyDescent="0.2">
      <c r="A875" s="18">
        <v>5688532</v>
      </c>
      <c r="B875" s="18" t="s">
        <v>2453</v>
      </c>
      <c r="C875" s="18" t="s">
        <v>131</v>
      </c>
      <c r="D875" s="18" t="s">
        <v>60</v>
      </c>
      <c r="E875" s="19">
        <v>44891</v>
      </c>
      <c r="F875" s="18" t="s">
        <v>2454</v>
      </c>
      <c r="G875" s="19">
        <v>44902</v>
      </c>
      <c r="H875" s="19">
        <v>44916</v>
      </c>
      <c r="I875" s="18"/>
      <c r="J875" s="19" t="b">
        <v>1</v>
      </c>
      <c r="K875" s="19" t="b">
        <v>0</v>
      </c>
      <c r="L875" s="19" t="b">
        <v>0</v>
      </c>
      <c r="M875" s="19" t="b">
        <v>0</v>
      </c>
      <c r="N875" s="19" t="b">
        <v>0</v>
      </c>
      <c r="O875" s="19" t="b">
        <v>0</v>
      </c>
      <c r="P875" s="19" t="b">
        <v>0</v>
      </c>
    </row>
    <row r="876" spans="1:16" x14ac:dyDescent="0.2">
      <c r="A876" s="18">
        <v>8714152</v>
      </c>
      <c r="B876" s="18" t="s">
        <v>2455</v>
      </c>
      <c r="C876" s="18" t="s">
        <v>121</v>
      </c>
      <c r="D876" s="18" t="s">
        <v>39</v>
      </c>
      <c r="E876" s="19">
        <v>45049</v>
      </c>
      <c r="F876" s="18" t="s">
        <v>2456</v>
      </c>
      <c r="G876" s="19">
        <v>45050</v>
      </c>
      <c r="H876" s="19">
        <v>45108</v>
      </c>
      <c r="I876" s="18" t="s">
        <v>43</v>
      </c>
      <c r="J876" s="19" t="b">
        <v>1</v>
      </c>
      <c r="K876" s="19" t="b">
        <v>0</v>
      </c>
      <c r="L876" s="19" t="b">
        <v>0</v>
      </c>
      <c r="M876" s="19" t="b">
        <v>0</v>
      </c>
      <c r="N876" s="19" t="b">
        <v>0</v>
      </c>
      <c r="O876" s="19" t="b">
        <v>1</v>
      </c>
      <c r="P876" s="19" t="b">
        <v>0</v>
      </c>
    </row>
    <row r="877" spans="1:16" x14ac:dyDescent="0.2">
      <c r="A877" s="18">
        <v>1160702</v>
      </c>
      <c r="B877" s="18" t="s">
        <v>2457</v>
      </c>
      <c r="C877" s="18" t="s">
        <v>167</v>
      </c>
      <c r="D877" s="18" t="s">
        <v>187</v>
      </c>
      <c r="E877" s="19">
        <v>44645</v>
      </c>
      <c r="F877" s="18" t="s">
        <v>2458</v>
      </c>
      <c r="G877" s="19">
        <v>44671</v>
      </c>
      <c r="H877" s="19">
        <v>44728</v>
      </c>
      <c r="I877" s="18"/>
      <c r="J877" s="19" t="b">
        <v>1</v>
      </c>
      <c r="K877" s="19" t="b">
        <v>0</v>
      </c>
      <c r="L877" s="19" t="b">
        <v>0</v>
      </c>
      <c r="M877" s="19" t="b">
        <v>0</v>
      </c>
      <c r="N877" s="19" t="b">
        <v>0</v>
      </c>
      <c r="O877" s="19" t="b">
        <v>0</v>
      </c>
      <c r="P877" s="19" t="b">
        <v>0</v>
      </c>
    </row>
    <row r="878" spans="1:16" x14ac:dyDescent="0.2">
      <c r="A878" s="18">
        <v>1160702</v>
      </c>
      <c r="B878" s="18" t="s">
        <v>2459</v>
      </c>
      <c r="C878" s="18" t="s">
        <v>167</v>
      </c>
      <c r="D878" s="18" t="s">
        <v>187</v>
      </c>
      <c r="E878" s="19">
        <v>45017</v>
      </c>
      <c r="F878" s="18" t="s">
        <v>2460</v>
      </c>
      <c r="G878" s="19">
        <v>45039</v>
      </c>
      <c r="H878" s="19">
        <v>45047</v>
      </c>
      <c r="I878" s="18" t="s">
        <v>16</v>
      </c>
      <c r="J878" s="19" t="b">
        <v>1</v>
      </c>
      <c r="K878" s="19" t="b">
        <v>0</v>
      </c>
      <c r="L878" s="19" t="b">
        <v>0</v>
      </c>
      <c r="M878" s="19" t="b">
        <v>0</v>
      </c>
      <c r="N878" s="19" t="b">
        <v>1</v>
      </c>
      <c r="O878" s="19" t="b">
        <v>0</v>
      </c>
      <c r="P878" s="19" t="b">
        <v>0</v>
      </c>
    </row>
    <row r="879" spans="1:16" x14ac:dyDescent="0.2">
      <c r="A879" s="18">
        <v>1160702</v>
      </c>
      <c r="B879" s="18" t="s">
        <v>2461</v>
      </c>
      <c r="C879" s="18" t="s">
        <v>167</v>
      </c>
      <c r="D879" s="18" t="s">
        <v>187</v>
      </c>
      <c r="E879" s="19">
        <v>44928</v>
      </c>
      <c r="F879" s="18" t="s">
        <v>2462</v>
      </c>
      <c r="G879" s="19">
        <v>44941</v>
      </c>
      <c r="H879" s="19">
        <v>44953</v>
      </c>
      <c r="I879" s="18"/>
      <c r="J879" s="19" t="b">
        <v>1</v>
      </c>
      <c r="K879" s="19" t="b">
        <v>0</v>
      </c>
      <c r="L879" s="19" t="b">
        <v>0</v>
      </c>
      <c r="M879" s="19" t="b">
        <v>0</v>
      </c>
      <c r="N879" s="19" t="b">
        <v>0</v>
      </c>
      <c r="O879" s="19" t="b">
        <v>0</v>
      </c>
      <c r="P879" s="19" t="b">
        <v>0</v>
      </c>
    </row>
    <row r="880" spans="1:16" x14ac:dyDescent="0.2">
      <c r="A880" s="18">
        <v>1160702</v>
      </c>
      <c r="B880" s="18" t="s">
        <v>2463</v>
      </c>
      <c r="C880" s="18" t="s">
        <v>167</v>
      </c>
      <c r="D880" s="18" t="s">
        <v>187</v>
      </c>
      <c r="E880" s="19">
        <v>44941</v>
      </c>
      <c r="F880" s="18" t="s">
        <v>2464</v>
      </c>
      <c r="G880" s="19">
        <v>44971</v>
      </c>
      <c r="H880" s="19">
        <v>44984</v>
      </c>
      <c r="I880" s="18" t="s">
        <v>16</v>
      </c>
      <c r="J880" s="19" t="b">
        <v>1</v>
      </c>
      <c r="K880" s="19" t="b">
        <v>0</v>
      </c>
      <c r="L880" s="19" t="b">
        <v>0</v>
      </c>
      <c r="M880" s="19" t="b">
        <v>0</v>
      </c>
      <c r="N880" s="19" t="b">
        <v>1</v>
      </c>
      <c r="O880" s="19" t="b">
        <v>0</v>
      </c>
      <c r="P880" s="19" t="b">
        <v>0</v>
      </c>
    </row>
    <row r="881" spans="1:16" x14ac:dyDescent="0.2">
      <c r="A881" s="18">
        <v>8458775</v>
      </c>
      <c r="B881" s="18" t="s">
        <v>2465</v>
      </c>
      <c r="C881" s="18" t="s">
        <v>10</v>
      </c>
      <c r="D881" s="18" t="s">
        <v>19</v>
      </c>
      <c r="E881" s="19">
        <v>44872</v>
      </c>
      <c r="F881" s="18" t="s">
        <v>2466</v>
      </c>
      <c r="G881" s="19">
        <v>44898</v>
      </c>
      <c r="H881" s="19">
        <v>44944</v>
      </c>
      <c r="I881" s="18" t="s">
        <v>28</v>
      </c>
      <c r="J881" s="19" t="b">
        <v>1</v>
      </c>
      <c r="K881" s="19" t="b">
        <v>0</v>
      </c>
      <c r="L881" s="19" t="b">
        <v>0</v>
      </c>
      <c r="M881" s="19" t="b">
        <v>0</v>
      </c>
      <c r="N881" s="19" t="b">
        <v>0</v>
      </c>
      <c r="O881" s="19" t="b">
        <v>0</v>
      </c>
      <c r="P881" s="19" t="b">
        <v>1</v>
      </c>
    </row>
    <row r="882" spans="1:16" x14ac:dyDescent="0.2">
      <c r="A882" s="18">
        <v>4710242</v>
      </c>
      <c r="B882" s="18" t="s">
        <v>2469</v>
      </c>
      <c r="C882" s="18" t="s">
        <v>93</v>
      </c>
      <c r="D882" s="18" t="s">
        <v>77</v>
      </c>
      <c r="E882" s="19">
        <v>44967</v>
      </c>
      <c r="F882" s="18" t="s">
        <v>2470</v>
      </c>
      <c r="G882" s="19">
        <v>44971</v>
      </c>
      <c r="H882" s="19">
        <v>45027</v>
      </c>
      <c r="I882" s="18" t="s">
        <v>43</v>
      </c>
      <c r="J882" s="19" t="b">
        <v>1</v>
      </c>
      <c r="K882" s="19" t="b">
        <v>0</v>
      </c>
      <c r="L882" s="19" t="b">
        <v>0</v>
      </c>
      <c r="M882" s="19" t="b">
        <v>0</v>
      </c>
      <c r="N882" s="19" t="b">
        <v>0</v>
      </c>
      <c r="O882" s="19" t="b">
        <v>1</v>
      </c>
      <c r="P882" s="19" t="b">
        <v>0</v>
      </c>
    </row>
    <row r="883" spans="1:16" x14ac:dyDescent="0.2">
      <c r="A883" s="18">
        <v>3151617</v>
      </c>
      <c r="B883" s="18" t="s">
        <v>2473</v>
      </c>
      <c r="C883" s="18" t="s">
        <v>138</v>
      </c>
      <c r="D883" s="18" t="s">
        <v>122</v>
      </c>
      <c r="E883" s="19">
        <v>44585</v>
      </c>
      <c r="F883" s="18" t="s">
        <v>2474</v>
      </c>
      <c r="G883" s="19">
        <v>44608</v>
      </c>
      <c r="H883" s="19">
        <v>44652</v>
      </c>
      <c r="I883" s="18" t="s">
        <v>28</v>
      </c>
      <c r="J883" s="19" t="b">
        <v>1</v>
      </c>
      <c r="K883" s="19" t="b">
        <v>0</v>
      </c>
      <c r="L883" s="19" t="b">
        <v>0</v>
      </c>
      <c r="M883" s="19" t="b">
        <v>0</v>
      </c>
      <c r="N883" s="19" t="b">
        <v>0</v>
      </c>
      <c r="O883" s="19" t="b">
        <v>0</v>
      </c>
      <c r="P883" s="19" t="b">
        <v>1</v>
      </c>
    </row>
    <row r="884" spans="1:16" x14ac:dyDescent="0.2">
      <c r="A884" s="18">
        <v>9941274</v>
      </c>
      <c r="B884" s="18" t="s">
        <v>2475</v>
      </c>
      <c r="C884" s="18" t="s">
        <v>121</v>
      </c>
      <c r="D884" s="18" t="s">
        <v>11</v>
      </c>
      <c r="E884" s="19">
        <v>44615</v>
      </c>
      <c r="F884" s="18" t="s">
        <v>2476</v>
      </c>
      <c r="G884" s="19">
        <v>44643</v>
      </c>
      <c r="H884" s="19">
        <v>44664</v>
      </c>
      <c r="I884" s="18" t="s">
        <v>16</v>
      </c>
      <c r="J884" s="19" t="b">
        <v>1</v>
      </c>
      <c r="K884" s="19" t="b">
        <v>0</v>
      </c>
      <c r="L884" s="19" t="b">
        <v>0</v>
      </c>
      <c r="M884" s="19" t="b">
        <v>0</v>
      </c>
      <c r="N884" s="19" t="b">
        <v>1</v>
      </c>
      <c r="O884" s="19" t="b">
        <v>0</v>
      </c>
      <c r="P884" s="19" t="b">
        <v>0</v>
      </c>
    </row>
    <row r="885" spans="1:16" x14ac:dyDescent="0.2">
      <c r="A885" s="18">
        <v>9941274</v>
      </c>
      <c r="B885" s="18" t="s">
        <v>2477</v>
      </c>
      <c r="C885" s="18" t="s">
        <v>121</v>
      </c>
      <c r="D885" s="18" t="s">
        <v>11</v>
      </c>
      <c r="E885" s="19">
        <v>45092</v>
      </c>
      <c r="F885" s="18" t="s">
        <v>2018</v>
      </c>
      <c r="G885" s="19">
        <v>45107</v>
      </c>
      <c r="H885" s="19">
        <v>45139</v>
      </c>
      <c r="I885" s="18"/>
      <c r="J885" s="19" t="b">
        <v>1</v>
      </c>
      <c r="K885" s="19" t="b">
        <v>0</v>
      </c>
      <c r="L885" s="19" t="b">
        <v>0</v>
      </c>
      <c r="M885" s="19" t="b">
        <v>0</v>
      </c>
      <c r="N885" s="19" t="b">
        <v>0</v>
      </c>
      <c r="O885" s="19" t="b">
        <v>0</v>
      </c>
      <c r="P885" s="19" t="b">
        <v>0</v>
      </c>
    </row>
    <row r="886" spans="1:16" x14ac:dyDescent="0.2">
      <c r="A886" s="18">
        <v>9941274</v>
      </c>
      <c r="B886" s="18" t="s">
        <v>2478</v>
      </c>
      <c r="C886" s="18" t="s">
        <v>121</v>
      </c>
      <c r="D886" s="18" t="s">
        <v>11</v>
      </c>
      <c r="E886" s="19">
        <v>44791</v>
      </c>
      <c r="F886" s="18" t="s">
        <v>2479</v>
      </c>
      <c r="G886" s="19">
        <v>44793</v>
      </c>
      <c r="H886" s="19">
        <v>44811</v>
      </c>
      <c r="I886" s="18" t="s">
        <v>16</v>
      </c>
      <c r="J886" s="19" t="b">
        <v>1</v>
      </c>
      <c r="K886" s="19" t="b">
        <v>0</v>
      </c>
      <c r="L886" s="19" t="b">
        <v>0</v>
      </c>
      <c r="M886" s="19" t="b">
        <v>0</v>
      </c>
      <c r="N886" s="19" t="b">
        <v>1</v>
      </c>
      <c r="O886" s="19" t="b">
        <v>0</v>
      </c>
      <c r="P886" s="19" t="b">
        <v>0</v>
      </c>
    </row>
    <row r="887" spans="1:16" x14ac:dyDescent="0.2">
      <c r="A887" s="18">
        <v>9941274</v>
      </c>
      <c r="B887" s="18" t="s">
        <v>2480</v>
      </c>
      <c r="C887" s="18" t="s">
        <v>121</v>
      </c>
      <c r="D887" s="18" t="s">
        <v>11</v>
      </c>
      <c r="E887" s="19">
        <v>44963</v>
      </c>
      <c r="F887" s="18" t="s">
        <v>2481</v>
      </c>
      <c r="G887" s="19">
        <v>44970</v>
      </c>
      <c r="H887" s="19">
        <v>44992</v>
      </c>
      <c r="I887" s="18"/>
      <c r="J887" s="19" t="b">
        <v>1</v>
      </c>
      <c r="K887" s="19" t="b">
        <v>0</v>
      </c>
      <c r="L887" s="19" t="b">
        <v>0</v>
      </c>
      <c r="M887" s="19" t="b">
        <v>0</v>
      </c>
      <c r="N887" s="19" t="b">
        <v>0</v>
      </c>
      <c r="O887" s="19" t="b">
        <v>0</v>
      </c>
      <c r="P887" s="19" t="b">
        <v>0</v>
      </c>
    </row>
    <row r="888" spans="1:16" x14ac:dyDescent="0.2">
      <c r="A888" s="18">
        <v>4785409</v>
      </c>
      <c r="B888" s="18" t="s">
        <v>2484</v>
      </c>
      <c r="C888" s="18" t="s">
        <v>240</v>
      </c>
      <c r="D888" s="18" t="s">
        <v>60</v>
      </c>
      <c r="E888" s="19">
        <v>44880</v>
      </c>
      <c r="F888" s="18" t="s">
        <v>2485</v>
      </c>
      <c r="G888" s="19">
        <v>44883</v>
      </c>
      <c r="H888" s="19">
        <v>44924</v>
      </c>
      <c r="I888" s="18" t="s">
        <v>43</v>
      </c>
      <c r="J888" s="19" t="b">
        <v>1</v>
      </c>
      <c r="K888" s="19" t="b">
        <v>0</v>
      </c>
      <c r="L888" s="19" t="b">
        <v>0</v>
      </c>
      <c r="M888" s="19" t="b">
        <v>0</v>
      </c>
      <c r="N888" s="19" t="b">
        <v>0</v>
      </c>
      <c r="O888" s="19" t="b">
        <v>1</v>
      </c>
      <c r="P888" s="19" t="b">
        <v>0</v>
      </c>
    </row>
    <row r="889" spans="1:16" x14ac:dyDescent="0.2">
      <c r="A889" s="18">
        <v>2622794</v>
      </c>
      <c r="B889" s="18" t="s">
        <v>2486</v>
      </c>
      <c r="C889" s="18" t="s">
        <v>10</v>
      </c>
      <c r="D889" s="18" t="s">
        <v>77</v>
      </c>
      <c r="E889" s="19">
        <v>44815</v>
      </c>
      <c r="F889" s="18" t="s">
        <v>2487</v>
      </c>
      <c r="G889" s="19">
        <v>44819</v>
      </c>
      <c r="H889" s="19">
        <v>44850</v>
      </c>
      <c r="I889" s="18" t="s">
        <v>28</v>
      </c>
      <c r="J889" s="19" t="b">
        <v>1</v>
      </c>
      <c r="K889" s="19" t="b">
        <v>0</v>
      </c>
      <c r="L889" s="19" t="b">
        <v>0</v>
      </c>
      <c r="M889" s="19" t="b">
        <v>0</v>
      </c>
      <c r="N889" s="19" t="b">
        <v>0</v>
      </c>
      <c r="O889" s="19" t="b">
        <v>0</v>
      </c>
      <c r="P889" s="19" t="b">
        <v>1</v>
      </c>
    </row>
    <row r="890" spans="1:16" x14ac:dyDescent="0.2">
      <c r="A890" s="18">
        <v>2622794</v>
      </c>
      <c r="B890" s="18" t="s">
        <v>2490</v>
      </c>
      <c r="C890" s="18" t="s">
        <v>10</v>
      </c>
      <c r="D890" s="18" t="s">
        <v>77</v>
      </c>
      <c r="E890" s="19">
        <v>45011</v>
      </c>
      <c r="F890" s="18" t="s">
        <v>2491</v>
      </c>
      <c r="G890" s="19">
        <v>45036</v>
      </c>
      <c r="H890" s="19">
        <v>45043</v>
      </c>
      <c r="I890" s="18" t="s">
        <v>43</v>
      </c>
      <c r="J890" s="19" t="b">
        <v>1</v>
      </c>
      <c r="K890" s="19" t="b">
        <v>0</v>
      </c>
      <c r="L890" s="19" t="b">
        <v>0</v>
      </c>
      <c r="M890" s="19" t="b">
        <v>0</v>
      </c>
      <c r="N890" s="19" t="b">
        <v>0</v>
      </c>
      <c r="O890" s="19" t="b">
        <v>1</v>
      </c>
      <c r="P890" s="19" t="b">
        <v>0</v>
      </c>
    </row>
    <row r="891" spans="1:16" x14ac:dyDescent="0.2">
      <c r="A891" s="18">
        <v>2622794</v>
      </c>
      <c r="B891" s="18" t="s">
        <v>2492</v>
      </c>
      <c r="C891" s="18" t="s">
        <v>10</v>
      </c>
      <c r="D891" s="18" t="s">
        <v>77</v>
      </c>
      <c r="E891" s="19">
        <v>44596</v>
      </c>
      <c r="F891" s="18" t="s">
        <v>1734</v>
      </c>
      <c r="G891" s="19">
        <v>44609</v>
      </c>
      <c r="H891" s="19">
        <v>44630</v>
      </c>
      <c r="I891" s="18" t="s">
        <v>16</v>
      </c>
      <c r="J891" s="19" t="b">
        <v>1</v>
      </c>
      <c r="K891" s="19" t="b">
        <v>0</v>
      </c>
      <c r="L891" s="19" t="b">
        <v>0</v>
      </c>
      <c r="M891" s="19" t="b">
        <v>0</v>
      </c>
      <c r="N891" s="19" t="b">
        <v>1</v>
      </c>
      <c r="O891" s="19" t="b">
        <v>0</v>
      </c>
      <c r="P891" s="19" t="b">
        <v>0</v>
      </c>
    </row>
    <row r="892" spans="1:16" x14ac:dyDescent="0.2">
      <c r="A892" s="18">
        <v>2090992</v>
      </c>
      <c r="B892" s="18" t="s">
        <v>2493</v>
      </c>
      <c r="C892" s="18" t="s">
        <v>47</v>
      </c>
      <c r="D892" s="18" t="s">
        <v>187</v>
      </c>
      <c r="E892" s="19">
        <v>45004</v>
      </c>
      <c r="F892" s="18" t="s">
        <v>2494</v>
      </c>
      <c r="G892" s="19">
        <v>45007</v>
      </c>
      <c r="H892" s="19">
        <v>45014</v>
      </c>
      <c r="I892" s="18"/>
      <c r="J892" s="19" t="b">
        <v>1</v>
      </c>
      <c r="K892" s="19" t="b">
        <v>0</v>
      </c>
      <c r="L892" s="19" t="b">
        <v>0</v>
      </c>
      <c r="M892" s="19" t="b">
        <v>0</v>
      </c>
      <c r="N892" s="19" t="b">
        <v>0</v>
      </c>
      <c r="O892" s="19" t="b">
        <v>0</v>
      </c>
      <c r="P892" s="19" t="b">
        <v>0</v>
      </c>
    </row>
    <row r="893" spans="1:16" x14ac:dyDescent="0.2">
      <c r="A893" s="18">
        <v>1936000</v>
      </c>
      <c r="B893" s="18" t="s">
        <v>2495</v>
      </c>
      <c r="C893" s="18" t="s">
        <v>18</v>
      </c>
      <c r="D893" s="18" t="s">
        <v>56</v>
      </c>
      <c r="E893" s="19">
        <v>44982</v>
      </c>
      <c r="F893" s="18" t="s">
        <v>2496</v>
      </c>
      <c r="G893" s="19">
        <v>44990</v>
      </c>
      <c r="H893" s="19">
        <v>45046</v>
      </c>
      <c r="I893" s="18"/>
      <c r="J893" s="19" t="b">
        <v>1</v>
      </c>
      <c r="K893" s="19" t="b">
        <v>0</v>
      </c>
      <c r="L893" s="19" t="b">
        <v>0</v>
      </c>
      <c r="M893" s="19" t="b">
        <v>0</v>
      </c>
      <c r="N893" s="19" t="b">
        <v>0</v>
      </c>
      <c r="O893" s="19" t="b">
        <v>0</v>
      </c>
      <c r="P893" s="19" t="b">
        <v>0</v>
      </c>
    </row>
    <row r="894" spans="1:16" x14ac:dyDescent="0.2">
      <c r="A894" s="18">
        <v>1936000</v>
      </c>
      <c r="B894" s="18" t="s">
        <v>2497</v>
      </c>
      <c r="C894" s="18" t="s">
        <v>18</v>
      </c>
      <c r="D894" s="18" t="s">
        <v>56</v>
      </c>
      <c r="E894" s="19">
        <v>45037</v>
      </c>
      <c r="F894" s="18" t="s">
        <v>2498</v>
      </c>
      <c r="G894" s="19">
        <v>45063</v>
      </c>
      <c r="H894" s="19">
        <v>45091</v>
      </c>
      <c r="I894" s="18" t="s">
        <v>16</v>
      </c>
      <c r="J894" s="19" t="b">
        <v>1</v>
      </c>
      <c r="K894" s="19" t="b">
        <v>0</v>
      </c>
      <c r="L894" s="19" t="b">
        <v>0</v>
      </c>
      <c r="M894" s="19" t="b">
        <v>0</v>
      </c>
      <c r="N894" s="19" t="b">
        <v>1</v>
      </c>
      <c r="O894" s="19" t="b">
        <v>0</v>
      </c>
      <c r="P894" s="19" t="b">
        <v>0</v>
      </c>
    </row>
    <row r="895" spans="1:16" x14ac:dyDescent="0.2">
      <c r="A895" s="18">
        <v>1936000</v>
      </c>
      <c r="B895" s="18" t="s">
        <v>2499</v>
      </c>
      <c r="C895" s="18" t="s">
        <v>18</v>
      </c>
      <c r="D895" s="18" t="s">
        <v>56</v>
      </c>
      <c r="E895" s="19">
        <v>44588</v>
      </c>
      <c r="F895" s="18" t="s">
        <v>2500</v>
      </c>
      <c r="G895" s="19">
        <v>44603</v>
      </c>
      <c r="H895" s="19">
        <v>44637</v>
      </c>
      <c r="I895" s="18" t="s">
        <v>16</v>
      </c>
      <c r="J895" s="19" t="b">
        <v>1</v>
      </c>
      <c r="K895" s="19" t="b">
        <v>0</v>
      </c>
      <c r="L895" s="19" t="b">
        <v>0</v>
      </c>
      <c r="M895" s="19" t="b">
        <v>0</v>
      </c>
      <c r="N895" s="19" t="b">
        <v>1</v>
      </c>
      <c r="O895" s="19" t="b">
        <v>0</v>
      </c>
      <c r="P895" s="19" t="b">
        <v>0</v>
      </c>
    </row>
    <row r="896" spans="1:16" x14ac:dyDescent="0.2">
      <c r="A896" s="18">
        <v>4248312</v>
      </c>
      <c r="B896" s="18" t="s">
        <v>2503</v>
      </c>
      <c r="C896" s="18" t="s">
        <v>131</v>
      </c>
      <c r="D896" s="18" t="s">
        <v>81</v>
      </c>
      <c r="E896" s="19">
        <v>45054</v>
      </c>
      <c r="F896" s="18" t="s">
        <v>2154</v>
      </c>
      <c r="G896" s="19">
        <v>45078</v>
      </c>
      <c r="H896" s="19">
        <v>45118</v>
      </c>
      <c r="I896" s="18" t="s">
        <v>28</v>
      </c>
      <c r="J896" s="19" t="b">
        <v>1</v>
      </c>
      <c r="K896" s="19" t="b">
        <v>0</v>
      </c>
      <c r="L896" s="19" t="b">
        <v>0</v>
      </c>
      <c r="M896" s="19" t="b">
        <v>0</v>
      </c>
      <c r="N896" s="19" t="b">
        <v>0</v>
      </c>
      <c r="O896" s="19" t="b">
        <v>0</v>
      </c>
      <c r="P896" s="19" t="b">
        <v>1</v>
      </c>
    </row>
    <row r="897" spans="1:16" x14ac:dyDescent="0.2">
      <c r="A897" s="18">
        <v>4248312</v>
      </c>
      <c r="B897" s="18" t="s">
        <v>2504</v>
      </c>
      <c r="C897" s="18" t="s">
        <v>131</v>
      </c>
      <c r="D897" s="18" t="s">
        <v>81</v>
      </c>
      <c r="E897" s="19">
        <v>44607</v>
      </c>
      <c r="F897" s="18" t="s">
        <v>2505</v>
      </c>
      <c r="G897" s="19">
        <v>44609</v>
      </c>
      <c r="H897" s="19">
        <v>44618</v>
      </c>
      <c r="I897" s="18" t="s">
        <v>43</v>
      </c>
      <c r="J897" s="19" t="b">
        <v>1</v>
      </c>
      <c r="K897" s="19" t="b">
        <v>0</v>
      </c>
      <c r="L897" s="19" t="b">
        <v>0</v>
      </c>
      <c r="M897" s="19" t="b">
        <v>0</v>
      </c>
      <c r="N897" s="19" t="b">
        <v>0</v>
      </c>
      <c r="O897" s="19" t="b">
        <v>1</v>
      </c>
      <c r="P897" s="19" t="b">
        <v>0</v>
      </c>
    </row>
    <row r="898" spans="1:16" x14ac:dyDescent="0.2">
      <c r="A898" s="18">
        <v>6228902</v>
      </c>
      <c r="B898" s="18" t="s">
        <v>2506</v>
      </c>
      <c r="C898" s="18" t="s">
        <v>32</v>
      </c>
      <c r="D898" s="18" t="s">
        <v>60</v>
      </c>
      <c r="E898" s="19">
        <v>44711</v>
      </c>
      <c r="F898" s="18" t="s">
        <v>2507</v>
      </c>
      <c r="G898" s="19">
        <v>44716</v>
      </c>
      <c r="H898" s="19">
        <v>44747</v>
      </c>
      <c r="I898" s="18" t="s">
        <v>28</v>
      </c>
      <c r="J898" s="19" t="b">
        <v>1</v>
      </c>
      <c r="K898" s="19" t="b">
        <v>0</v>
      </c>
      <c r="L898" s="19" t="b">
        <v>0</v>
      </c>
      <c r="M898" s="19" t="b">
        <v>0</v>
      </c>
      <c r="N898" s="19" t="b">
        <v>0</v>
      </c>
      <c r="O898" s="19" t="b">
        <v>0</v>
      </c>
      <c r="P898" s="19" t="b">
        <v>1</v>
      </c>
    </row>
    <row r="899" spans="1:16" x14ac:dyDescent="0.2">
      <c r="A899" s="18">
        <v>6228902</v>
      </c>
      <c r="B899" s="18" t="s">
        <v>2508</v>
      </c>
      <c r="C899" s="18" t="s">
        <v>32</v>
      </c>
      <c r="D899" s="18" t="s">
        <v>60</v>
      </c>
      <c r="E899" s="19">
        <v>44570</v>
      </c>
      <c r="F899" s="18" t="s">
        <v>2509</v>
      </c>
      <c r="G899" s="19">
        <v>44587</v>
      </c>
      <c r="H899" s="19">
        <v>44625</v>
      </c>
      <c r="I899" s="18" t="s">
        <v>28</v>
      </c>
      <c r="J899" s="19" t="b">
        <v>1</v>
      </c>
      <c r="K899" s="19" t="b">
        <v>0</v>
      </c>
      <c r="L899" s="19" t="b">
        <v>0</v>
      </c>
      <c r="M899" s="19" t="b">
        <v>0</v>
      </c>
      <c r="N899" s="19" t="b">
        <v>0</v>
      </c>
      <c r="O899" s="19" t="b">
        <v>0</v>
      </c>
      <c r="P899" s="19" t="b">
        <v>1</v>
      </c>
    </row>
    <row r="900" spans="1:16" x14ac:dyDescent="0.2">
      <c r="A900" s="18">
        <v>6228902</v>
      </c>
      <c r="B900" s="18" t="s">
        <v>2510</v>
      </c>
      <c r="C900" s="18" t="s">
        <v>32</v>
      </c>
      <c r="D900" s="18" t="s">
        <v>60</v>
      </c>
      <c r="E900" s="19">
        <v>45081</v>
      </c>
      <c r="F900" s="18" t="s">
        <v>2511</v>
      </c>
      <c r="G900" s="19">
        <v>45108</v>
      </c>
      <c r="H900" s="19">
        <v>45162</v>
      </c>
      <c r="I900" s="18" t="s">
        <v>43</v>
      </c>
      <c r="J900" s="19" t="b">
        <v>1</v>
      </c>
      <c r="K900" s="19" t="b">
        <v>0</v>
      </c>
      <c r="L900" s="19" t="b">
        <v>0</v>
      </c>
      <c r="M900" s="19" t="b">
        <v>0</v>
      </c>
      <c r="N900" s="19" t="b">
        <v>0</v>
      </c>
      <c r="O900" s="19" t="b">
        <v>1</v>
      </c>
      <c r="P900" s="19" t="b">
        <v>0</v>
      </c>
    </row>
    <row r="901" spans="1:16" x14ac:dyDescent="0.2">
      <c r="A901" s="18">
        <v>6228902</v>
      </c>
      <c r="B901" s="18" t="s">
        <v>2512</v>
      </c>
      <c r="C901" s="18" t="s">
        <v>32</v>
      </c>
      <c r="D901" s="18" t="s">
        <v>60</v>
      </c>
      <c r="E901" s="19">
        <v>44762</v>
      </c>
      <c r="F901" s="18" t="s">
        <v>2513</v>
      </c>
      <c r="G901" s="19">
        <v>44769</v>
      </c>
      <c r="H901" s="19">
        <v>44810</v>
      </c>
      <c r="I901" s="18" t="s">
        <v>16</v>
      </c>
      <c r="J901" s="19" t="b">
        <v>1</v>
      </c>
      <c r="K901" s="19" t="b">
        <v>0</v>
      </c>
      <c r="L901" s="19" t="b">
        <v>0</v>
      </c>
      <c r="M901" s="19" t="b">
        <v>0</v>
      </c>
      <c r="N901" s="19" t="b">
        <v>1</v>
      </c>
      <c r="O901" s="19" t="b">
        <v>0</v>
      </c>
      <c r="P901" s="19" t="b">
        <v>0</v>
      </c>
    </row>
    <row r="902" spans="1:16" x14ac:dyDescent="0.2">
      <c r="A902" s="18">
        <v>6228902</v>
      </c>
      <c r="B902" s="18" t="s">
        <v>2514</v>
      </c>
      <c r="C902" s="18" t="s">
        <v>32</v>
      </c>
      <c r="D902" s="18" t="s">
        <v>60</v>
      </c>
      <c r="E902" s="19">
        <v>45049</v>
      </c>
      <c r="F902" s="18" t="s">
        <v>2515</v>
      </c>
      <c r="G902" s="19">
        <v>45072</v>
      </c>
      <c r="H902" s="19">
        <v>45117</v>
      </c>
      <c r="I902" s="18" t="s">
        <v>16</v>
      </c>
      <c r="J902" s="19" t="b">
        <v>1</v>
      </c>
      <c r="K902" s="19" t="b">
        <v>0</v>
      </c>
      <c r="L902" s="19" t="b">
        <v>0</v>
      </c>
      <c r="M902" s="19" t="b">
        <v>0</v>
      </c>
      <c r="N902" s="19" t="b">
        <v>1</v>
      </c>
      <c r="O902" s="19" t="b">
        <v>0</v>
      </c>
      <c r="P902" s="19" t="b">
        <v>0</v>
      </c>
    </row>
    <row r="903" spans="1:16" x14ac:dyDescent="0.2">
      <c r="A903" s="18">
        <v>8841710</v>
      </c>
      <c r="B903" s="18" t="s">
        <v>2516</v>
      </c>
      <c r="C903" s="18" t="s">
        <v>121</v>
      </c>
      <c r="D903" s="18" t="s">
        <v>39</v>
      </c>
      <c r="E903" s="19">
        <v>44990</v>
      </c>
      <c r="F903" s="18" t="s">
        <v>2517</v>
      </c>
      <c r="G903" s="19">
        <v>45001</v>
      </c>
      <c r="H903" s="19">
        <v>45012</v>
      </c>
      <c r="I903" s="18" t="s">
        <v>28</v>
      </c>
      <c r="J903" s="19" t="b">
        <v>1</v>
      </c>
      <c r="K903" s="19" t="b">
        <v>0</v>
      </c>
      <c r="L903" s="19" t="b">
        <v>0</v>
      </c>
      <c r="M903" s="19" t="b">
        <v>0</v>
      </c>
      <c r="N903" s="19" t="b">
        <v>0</v>
      </c>
      <c r="O903" s="19" t="b">
        <v>0</v>
      </c>
      <c r="P903" s="19" t="b">
        <v>1</v>
      </c>
    </row>
    <row r="904" spans="1:16" x14ac:dyDescent="0.2">
      <c r="A904" s="18">
        <v>8841710</v>
      </c>
      <c r="B904" s="18" t="s">
        <v>2523</v>
      </c>
      <c r="C904" s="18" t="s">
        <v>121</v>
      </c>
      <c r="D904" s="18" t="s">
        <v>39</v>
      </c>
      <c r="E904" s="19">
        <v>44946</v>
      </c>
      <c r="F904" s="18" t="s">
        <v>2201</v>
      </c>
      <c r="G904" s="19">
        <v>44953</v>
      </c>
      <c r="H904" s="19">
        <v>44979</v>
      </c>
      <c r="I904" s="18" t="s">
        <v>28</v>
      </c>
      <c r="J904" s="19" t="b">
        <v>1</v>
      </c>
      <c r="K904" s="19" t="b">
        <v>0</v>
      </c>
      <c r="L904" s="19" t="b">
        <v>0</v>
      </c>
      <c r="M904" s="19" t="b">
        <v>0</v>
      </c>
      <c r="N904" s="19" t="b">
        <v>0</v>
      </c>
      <c r="O904" s="19" t="b">
        <v>0</v>
      </c>
      <c r="P904" s="19" t="b">
        <v>1</v>
      </c>
    </row>
    <row r="905" spans="1:16" x14ac:dyDescent="0.2">
      <c r="A905" s="18">
        <v>4091109</v>
      </c>
      <c r="B905" s="18" t="s">
        <v>2528</v>
      </c>
      <c r="C905" s="18" t="s">
        <v>150</v>
      </c>
      <c r="D905" s="18" t="s">
        <v>56</v>
      </c>
      <c r="E905" s="19">
        <v>44765</v>
      </c>
      <c r="F905" s="18" t="s">
        <v>2529</v>
      </c>
      <c r="G905" s="19">
        <v>44772</v>
      </c>
      <c r="H905" s="19">
        <v>44791</v>
      </c>
      <c r="I905" s="18" t="s">
        <v>28</v>
      </c>
      <c r="J905" s="19" t="b">
        <v>1</v>
      </c>
      <c r="K905" s="19" t="b">
        <v>0</v>
      </c>
      <c r="L905" s="19" t="b">
        <v>0</v>
      </c>
      <c r="M905" s="19" t="b">
        <v>0</v>
      </c>
      <c r="N905" s="19" t="b">
        <v>0</v>
      </c>
      <c r="O905" s="19" t="b">
        <v>0</v>
      </c>
      <c r="P905" s="19" t="b">
        <v>1</v>
      </c>
    </row>
    <row r="906" spans="1:16" x14ac:dyDescent="0.2">
      <c r="A906" s="18">
        <v>2861751</v>
      </c>
      <c r="B906" s="18" t="s">
        <v>2533</v>
      </c>
      <c r="C906" s="18" t="s">
        <v>720</v>
      </c>
      <c r="D906" s="18" t="s">
        <v>19</v>
      </c>
      <c r="E906" s="19">
        <v>44737</v>
      </c>
      <c r="F906" s="18" t="s">
        <v>576</v>
      </c>
      <c r="G906" s="19">
        <v>44754</v>
      </c>
      <c r="H906" s="19">
        <v>44806</v>
      </c>
      <c r="I906" s="18" t="s">
        <v>28</v>
      </c>
      <c r="J906" s="19" t="b">
        <v>1</v>
      </c>
      <c r="K906" s="19" t="b">
        <v>0</v>
      </c>
      <c r="L906" s="19" t="b">
        <v>0</v>
      </c>
      <c r="M906" s="19" t="b">
        <v>0</v>
      </c>
      <c r="N906" s="19" t="b">
        <v>0</v>
      </c>
      <c r="O906" s="19" t="b">
        <v>0</v>
      </c>
      <c r="P906" s="19" t="b">
        <v>1</v>
      </c>
    </row>
    <row r="907" spans="1:16" x14ac:dyDescent="0.2">
      <c r="A907" s="18">
        <v>2861751</v>
      </c>
      <c r="B907" s="18" t="s">
        <v>2534</v>
      </c>
      <c r="C907" s="18" t="s">
        <v>720</v>
      </c>
      <c r="D907" s="18" t="s">
        <v>19</v>
      </c>
      <c r="E907" s="19">
        <v>44628</v>
      </c>
      <c r="F907" s="18" t="s">
        <v>2142</v>
      </c>
      <c r="G907" s="19">
        <v>44632</v>
      </c>
      <c r="H907" s="19">
        <v>44642</v>
      </c>
      <c r="I907" s="18"/>
      <c r="J907" s="19" t="b">
        <v>1</v>
      </c>
      <c r="K907" s="19" t="b">
        <v>0</v>
      </c>
      <c r="L907" s="19" t="b">
        <v>0</v>
      </c>
      <c r="M907" s="19" t="b">
        <v>0</v>
      </c>
      <c r="N907" s="19" t="b">
        <v>0</v>
      </c>
      <c r="O907" s="19" t="b">
        <v>0</v>
      </c>
      <c r="P907" s="19" t="b">
        <v>0</v>
      </c>
    </row>
    <row r="908" spans="1:16" x14ac:dyDescent="0.2">
      <c r="A908" s="18">
        <v>2861751</v>
      </c>
      <c r="B908" s="18" t="s">
        <v>2535</v>
      </c>
      <c r="C908" s="18" t="s">
        <v>720</v>
      </c>
      <c r="D908" s="18" t="s">
        <v>19</v>
      </c>
      <c r="E908" s="19">
        <v>44758</v>
      </c>
      <c r="F908" s="18" t="s">
        <v>2536</v>
      </c>
      <c r="G908" s="19">
        <v>44776</v>
      </c>
      <c r="H908" s="19">
        <v>44801</v>
      </c>
      <c r="I908" s="18" t="s">
        <v>43</v>
      </c>
      <c r="J908" s="19" t="b">
        <v>1</v>
      </c>
      <c r="K908" s="19" t="b">
        <v>0</v>
      </c>
      <c r="L908" s="19" t="b">
        <v>0</v>
      </c>
      <c r="M908" s="19" t="b">
        <v>0</v>
      </c>
      <c r="N908" s="19" t="b">
        <v>0</v>
      </c>
      <c r="O908" s="19" t="b">
        <v>1</v>
      </c>
      <c r="P908" s="19" t="b">
        <v>0</v>
      </c>
    </row>
    <row r="909" spans="1:16" x14ac:dyDescent="0.2">
      <c r="A909" s="18">
        <v>7278962</v>
      </c>
      <c r="B909" s="18" t="s">
        <v>2537</v>
      </c>
      <c r="C909" s="18" t="s">
        <v>720</v>
      </c>
      <c r="D909" s="18" t="s">
        <v>81</v>
      </c>
      <c r="E909" s="19">
        <v>44755</v>
      </c>
      <c r="F909" s="18" t="s">
        <v>1393</v>
      </c>
      <c r="G909" s="19">
        <v>44783</v>
      </c>
      <c r="H909" s="19">
        <v>44818</v>
      </c>
      <c r="I909" s="18" t="s">
        <v>43</v>
      </c>
      <c r="J909" s="19" t="b">
        <v>1</v>
      </c>
      <c r="K909" s="19" t="b">
        <v>0</v>
      </c>
      <c r="L909" s="19" t="b">
        <v>0</v>
      </c>
      <c r="M909" s="19" t="b">
        <v>0</v>
      </c>
      <c r="N909" s="19" t="b">
        <v>0</v>
      </c>
      <c r="O909" s="19" t="b">
        <v>1</v>
      </c>
      <c r="P909" s="19" t="b">
        <v>0</v>
      </c>
    </row>
    <row r="910" spans="1:16" x14ac:dyDescent="0.2">
      <c r="A910" s="18">
        <v>7278962</v>
      </c>
      <c r="B910" s="18" t="s">
        <v>2539</v>
      </c>
      <c r="C910" s="18" t="s">
        <v>720</v>
      </c>
      <c r="D910" s="18" t="s">
        <v>81</v>
      </c>
      <c r="E910" s="19">
        <v>45082</v>
      </c>
      <c r="F910" s="18" t="s">
        <v>2540</v>
      </c>
      <c r="G910" s="19">
        <v>45101</v>
      </c>
      <c r="H910" s="19">
        <v>45158</v>
      </c>
      <c r="I910" s="18" t="s">
        <v>28</v>
      </c>
      <c r="J910" s="19" t="b">
        <v>1</v>
      </c>
      <c r="K910" s="19" t="b">
        <v>0</v>
      </c>
      <c r="L910" s="19" t="b">
        <v>0</v>
      </c>
      <c r="M910" s="19" t="b">
        <v>0</v>
      </c>
      <c r="N910" s="19" t="b">
        <v>0</v>
      </c>
      <c r="O910" s="19" t="b">
        <v>0</v>
      </c>
      <c r="P910" s="19" t="b">
        <v>1</v>
      </c>
    </row>
    <row r="911" spans="1:16" x14ac:dyDescent="0.2">
      <c r="A911" s="18">
        <v>7278962</v>
      </c>
      <c r="B911" s="18" t="s">
        <v>2541</v>
      </c>
      <c r="C911" s="18" t="s">
        <v>720</v>
      </c>
      <c r="D911" s="18" t="s">
        <v>81</v>
      </c>
      <c r="E911" s="19">
        <v>44628</v>
      </c>
      <c r="F911" s="18" t="s">
        <v>2338</v>
      </c>
      <c r="G911" s="19">
        <v>44634</v>
      </c>
      <c r="H911" s="19">
        <v>44667</v>
      </c>
      <c r="I911" s="18" t="s">
        <v>16</v>
      </c>
      <c r="J911" s="19" t="b">
        <v>1</v>
      </c>
      <c r="K911" s="19" t="b">
        <v>0</v>
      </c>
      <c r="L911" s="19" t="b">
        <v>0</v>
      </c>
      <c r="M911" s="19" t="b">
        <v>0</v>
      </c>
      <c r="N911" s="19" t="b">
        <v>1</v>
      </c>
      <c r="O911" s="19" t="b">
        <v>0</v>
      </c>
      <c r="P911" s="19" t="b">
        <v>0</v>
      </c>
    </row>
    <row r="912" spans="1:16" x14ac:dyDescent="0.2">
      <c r="A912" s="18">
        <v>7511503</v>
      </c>
      <c r="B912" s="18" t="s">
        <v>2542</v>
      </c>
      <c r="C912" s="18" t="s">
        <v>35</v>
      </c>
      <c r="D912" s="18" t="s">
        <v>139</v>
      </c>
      <c r="E912" s="19">
        <v>44944</v>
      </c>
      <c r="F912" s="18" t="s">
        <v>2543</v>
      </c>
      <c r="G912" s="19">
        <v>44961</v>
      </c>
      <c r="H912" s="19">
        <v>45006</v>
      </c>
      <c r="I912" s="18"/>
      <c r="J912" s="19" t="b">
        <v>1</v>
      </c>
      <c r="K912" s="19" t="b">
        <v>0</v>
      </c>
      <c r="L912" s="19" t="b">
        <v>0</v>
      </c>
      <c r="M912" s="19" t="b">
        <v>0</v>
      </c>
      <c r="N912" s="19" t="b">
        <v>0</v>
      </c>
      <c r="O912" s="19" t="b">
        <v>0</v>
      </c>
      <c r="P912" s="19" t="b">
        <v>0</v>
      </c>
    </row>
    <row r="913" spans="1:16" x14ac:dyDescent="0.2">
      <c r="A913" s="18">
        <v>7511503</v>
      </c>
      <c r="B913" s="18" t="s">
        <v>2544</v>
      </c>
      <c r="C913" s="18" t="s">
        <v>35</v>
      </c>
      <c r="D913" s="18" t="s">
        <v>139</v>
      </c>
      <c r="E913" s="19">
        <v>44972</v>
      </c>
      <c r="F913" s="18" t="s">
        <v>2545</v>
      </c>
      <c r="G913" s="19">
        <v>44993</v>
      </c>
      <c r="H913" s="19">
        <v>45052</v>
      </c>
      <c r="I913" s="18"/>
      <c r="J913" s="19" t="b">
        <v>1</v>
      </c>
      <c r="K913" s="19" t="b">
        <v>0</v>
      </c>
      <c r="L913" s="19" t="b">
        <v>0</v>
      </c>
      <c r="M913" s="19" t="b">
        <v>0</v>
      </c>
      <c r="N913" s="19" t="b">
        <v>0</v>
      </c>
      <c r="O913" s="19" t="b">
        <v>0</v>
      </c>
      <c r="P913" s="19" t="b">
        <v>0</v>
      </c>
    </row>
    <row r="914" spans="1:16" x14ac:dyDescent="0.2">
      <c r="A914" s="18">
        <v>7511503</v>
      </c>
      <c r="B914" s="18" t="s">
        <v>2546</v>
      </c>
      <c r="C914" s="18" t="s">
        <v>35</v>
      </c>
      <c r="D914" s="18" t="s">
        <v>139</v>
      </c>
      <c r="E914" s="19">
        <v>44769</v>
      </c>
      <c r="F914" s="18" t="s">
        <v>2547</v>
      </c>
      <c r="G914" s="19">
        <v>44784</v>
      </c>
      <c r="H914" s="19">
        <v>44840</v>
      </c>
      <c r="I914" s="18" t="s">
        <v>16</v>
      </c>
      <c r="J914" s="19" t="b">
        <v>1</v>
      </c>
      <c r="K914" s="19" t="b">
        <v>0</v>
      </c>
      <c r="L914" s="19" t="b">
        <v>0</v>
      </c>
      <c r="M914" s="19" t="b">
        <v>0</v>
      </c>
      <c r="N914" s="19" t="b">
        <v>1</v>
      </c>
      <c r="O914" s="19" t="b">
        <v>0</v>
      </c>
      <c r="P914" s="19" t="b">
        <v>0</v>
      </c>
    </row>
    <row r="915" spans="1:16" x14ac:dyDescent="0.2">
      <c r="A915" s="18">
        <v>4932320</v>
      </c>
      <c r="B915" s="18" t="s">
        <v>2548</v>
      </c>
      <c r="C915" s="18" t="s">
        <v>59</v>
      </c>
      <c r="D915" s="18" t="s">
        <v>19</v>
      </c>
      <c r="E915" s="19">
        <v>44945</v>
      </c>
      <c r="F915" s="18" t="s">
        <v>2549</v>
      </c>
      <c r="G915" s="19">
        <v>44954</v>
      </c>
      <c r="H915" s="19">
        <v>44990</v>
      </c>
      <c r="I915" s="18"/>
      <c r="J915" s="19" t="b">
        <v>1</v>
      </c>
      <c r="K915" s="19" t="b">
        <v>0</v>
      </c>
      <c r="L915" s="19" t="b">
        <v>0</v>
      </c>
      <c r="M915" s="19" t="b">
        <v>0</v>
      </c>
      <c r="N915" s="19" t="b">
        <v>0</v>
      </c>
      <c r="O915" s="19" t="b">
        <v>0</v>
      </c>
      <c r="P915" s="19" t="b">
        <v>0</v>
      </c>
    </row>
    <row r="916" spans="1:16" x14ac:dyDescent="0.2">
      <c r="A916" s="18">
        <v>4932320</v>
      </c>
      <c r="B916" s="18" t="s">
        <v>2552</v>
      </c>
      <c r="C916" s="18" t="s">
        <v>59</v>
      </c>
      <c r="D916" s="18" t="s">
        <v>19</v>
      </c>
      <c r="E916" s="19">
        <v>45038</v>
      </c>
      <c r="F916" s="18" t="s">
        <v>2553</v>
      </c>
      <c r="G916" s="19">
        <v>45055</v>
      </c>
      <c r="H916" s="19">
        <v>45095</v>
      </c>
      <c r="I916" s="18" t="s">
        <v>43</v>
      </c>
      <c r="J916" s="19" t="b">
        <v>1</v>
      </c>
      <c r="K916" s="19" t="b">
        <v>0</v>
      </c>
      <c r="L916" s="19" t="b">
        <v>0</v>
      </c>
      <c r="M916" s="19" t="b">
        <v>0</v>
      </c>
      <c r="N916" s="19" t="b">
        <v>0</v>
      </c>
      <c r="O916" s="19" t="b">
        <v>1</v>
      </c>
      <c r="P916" s="19" t="b">
        <v>0</v>
      </c>
    </row>
    <row r="917" spans="1:16" x14ac:dyDescent="0.2">
      <c r="A917" s="18">
        <v>6643418</v>
      </c>
      <c r="B917" s="18" t="s">
        <v>2554</v>
      </c>
      <c r="C917" s="18" t="s">
        <v>315</v>
      </c>
      <c r="D917" s="18" t="s">
        <v>77</v>
      </c>
      <c r="E917" s="19">
        <v>44886</v>
      </c>
      <c r="F917" s="18" t="s">
        <v>2555</v>
      </c>
      <c r="G917" s="19">
        <v>44895</v>
      </c>
      <c r="H917" s="19">
        <v>44920</v>
      </c>
      <c r="I917" s="18" t="s">
        <v>28</v>
      </c>
      <c r="J917" s="19" t="b">
        <v>1</v>
      </c>
      <c r="K917" s="19" t="b">
        <v>0</v>
      </c>
      <c r="L917" s="19" t="b">
        <v>0</v>
      </c>
      <c r="M917" s="19" t="b">
        <v>0</v>
      </c>
      <c r="N917" s="19" t="b">
        <v>0</v>
      </c>
      <c r="O917" s="19" t="b">
        <v>0</v>
      </c>
      <c r="P917" s="19" t="b">
        <v>1</v>
      </c>
    </row>
    <row r="918" spans="1:16" x14ac:dyDescent="0.2">
      <c r="A918" s="18">
        <v>6643418</v>
      </c>
      <c r="B918" s="18" t="s">
        <v>2559</v>
      </c>
      <c r="C918" s="18" t="s">
        <v>315</v>
      </c>
      <c r="D918" s="18" t="s">
        <v>77</v>
      </c>
      <c r="E918" s="19">
        <v>44795</v>
      </c>
      <c r="F918" s="18" t="s">
        <v>1869</v>
      </c>
      <c r="G918" s="19">
        <v>44799</v>
      </c>
      <c r="H918" s="19">
        <v>44807</v>
      </c>
      <c r="I918" s="18" t="s">
        <v>16</v>
      </c>
      <c r="J918" s="19" t="b">
        <v>1</v>
      </c>
      <c r="K918" s="19" t="b">
        <v>0</v>
      </c>
      <c r="L918" s="19" t="b">
        <v>0</v>
      </c>
      <c r="M918" s="19" t="b">
        <v>0</v>
      </c>
      <c r="N918" s="19" t="b">
        <v>1</v>
      </c>
      <c r="O918" s="19" t="b">
        <v>0</v>
      </c>
      <c r="P918" s="19" t="b">
        <v>0</v>
      </c>
    </row>
    <row r="919" spans="1:16" x14ac:dyDescent="0.2">
      <c r="A919" s="18">
        <v>2197032</v>
      </c>
      <c r="B919" s="18" t="s">
        <v>2564</v>
      </c>
      <c r="C919" s="18" t="s">
        <v>542</v>
      </c>
      <c r="D919" s="18" t="s">
        <v>56</v>
      </c>
      <c r="E919" s="19">
        <v>44829</v>
      </c>
      <c r="F919" s="18" t="s">
        <v>1244</v>
      </c>
      <c r="G919" s="19">
        <v>44830</v>
      </c>
      <c r="H919" s="19">
        <v>44880</v>
      </c>
      <c r="I919" s="18" t="s">
        <v>43</v>
      </c>
      <c r="J919" s="19" t="b">
        <v>1</v>
      </c>
      <c r="K919" s="19" t="b">
        <v>0</v>
      </c>
      <c r="L919" s="19" t="b">
        <v>0</v>
      </c>
      <c r="M919" s="19" t="b">
        <v>0</v>
      </c>
      <c r="N919" s="19" t="b">
        <v>0</v>
      </c>
      <c r="O919" s="19" t="b">
        <v>1</v>
      </c>
      <c r="P919" s="19" t="b">
        <v>0</v>
      </c>
    </row>
    <row r="920" spans="1:16" x14ac:dyDescent="0.2">
      <c r="A920" s="18">
        <v>2197032</v>
      </c>
      <c r="B920" s="18" t="s">
        <v>2567</v>
      </c>
      <c r="C920" s="18" t="s">
        <v>542</v>
      </c>
      <c r="D920" s="18" t="s">
        <v>56</v>
      </c>
      <c r="E920" s="19">
        <v>45086</v>
      </c>
      <c r="F920" s="18" t="s">
        <v>2568</v>
      </c>
      <c r="G920" s="19">
        <v>45111</v>
      </c>
      <c r="H920" s="19">
        <v>45121</v>
      </c>
      <c r="I920" s="18" t="s">
        <v>16</v>
      </c>
      <c r="J920" s="19" t="b">
        <v>1</v>
      </c>
      <c r="K920" s="19" t="b">
        <v>0</v>
      </c>
      <c r="L920" s="19" t="b">
        <v>0</v>
      </c>
      <c r="M920" s="19" t="b">
        <v>0</v>
      </c>
      <c r="N920" s="19" t="b">
        <v>1</v>
      </c>
      <c r="O920" s="19" t="b">
        <v>0</v>
      </c>
      <c r="P920" s="19" t="b">
        <v>0</v>
      </c>
    </row>
    <row r="921" spans="1:16" x14ac:dyDescent="0.2">
      <c r="A921" s="18">
        <v>7669032</v>
      </c>
      <c r="B921" s="18" t="s">
        <v>2569</v>
      </c>
      <c r="C921" s="18" t="s">
        <v>93</v>
      </c>
      <c r="D921" s="18" t="s">
        <v>19</v>
      </c>
      <c r="E921" s="19">
        <v>45034</v>
      </c>
      <c r="F921" s="18" t="s">
        <v>2570</v>
      </c>
      <c r="G921" s="19">
        <v>45045</v>
      </c>
      <c r="H921" s="19">
        <v>45096</v>
      </c>
      <c r="I921" s="18"/>
      <c r="J921" s="19" t="b">
        <v>1</v>
      </c>
      <c r="K921" s="19" t="b">
        <v>0</v>
      </c>
      <c r="L921" s="19" t="b">
        <v>0</v>
      </c>
      <c r="M921" s="19" t="b">
        <v>0</v>
      </c>
      <c r="N921" s="19" t="b">
        <v>0</v>
      </c>
      <c r="O921" s="19" t="b">
        <v>0</v>
      </c>
      <c r="P921" s="19" t="b">
        <v>0</v>
      </c>
    </row>
    <row r="922" spans="1:16" x14ac:dyDescent="0.2">
      <c r="A922" s="18">
        <v>8007639</v>
      </c>
      <c r="B922" s="18" t="s">
        <v>2573</v>
      </c>
      <c r="C922" s="18" t="s">
        <v>454</v>
      </c>
      <c r="D922" s="18" t="s">
        <v>77</v>
      </c>
      <c r="E922" s="19">
        <v>44693</v>
      </c>
      <c r="F922" s="18" t="s">
        <v>2574</v>
      </c>
      <c r="G922" s="19">
        <v>44703</v>
      </c>
      <c r="H922" s="19">
        <v>44751</v>
      </c>
      <c r="I922" s="18" t="s">
        <v>16</v>
      </c>
      <c r="J922" s="19" t="b">
        <v>1</v>
      </c>
      <c r="K922" s="19" t="b">
        <v>0</v>
      </c>
      <c r="L922" s="19" t="b">
        <v>0</v>
      </c>
      <c r="M922" s="19" t="b">
        <v>0</v>
      </c>
      <c r="N922" s="19" t="b">
        <v>1</v>
      </c>
      <c r="O922" s="19" t="b">
        <v>0</v>
      </c>
      <c r="P922" s="19" t="b">
        <v>0</v>
      </c>
    </row>
    <row r="923" spans="1:16" x14ac:dyDescent="0.2">
      <c r="A923" s="18">
        <v>8007639</v>
      </c>
      <c r="B923" s="18" t="s">
        <v>2579</v>
      </c>
      <c r="C923" s="18" t="s">
        <v>454</v>
      </c>
      <c r="D923" s="18" t="s">
        <v>77</v>
      </c>
      <c r="E923" s="19">
        <v>44585</v>
      </c>
      <c r="F923" s="18" t="s">
        <v>2580</v>
      </c>
      <c r="G923" s="19">
        <v>44604</v>
      </c>
      <c r="H923" s="19">
        <v>44655</v>
      </c>
      <c r="I923" s="18" t="s">
        <v>28</v>
      </c>
      <c r="J923" s="19" t="b">
        <v>1</v>
      </c>
      <c r="K923" s="19" t="b">
        <v>0</v>
      </c>
      <c r="L923" s="19" t="b">
        <v>0</v>
      </c>
      <c r="M923" s="19" t="b">
        <v>0</v>
      </c>
      <c r="N923" s="19" t="b">
        <v>0</v>
      </c>
      <c r="O923" s="19" t="b">
        <v>0</v>
      </c>
      <c r="P923" s="19" t="b">
        <v>1</v>
      </c>
    </row>
    <row r="924" spans="1:16" x14ac:dyDescent="0.2">
      <c r="A924" s="18">
        <v>1540377</v>
      </c>
      <c r="B924" s="18" t="s">
        <v>2581</v>
      </c>
      <c r="C924" s="18" t="s">
        <v>310</v>
      </c>
      <c r="D924" s="18" t="s">
        <v>187</v>
      </c>
      <c r="E924" s="19">
        <v>44962</v>
      </c>
      <c r="F924" s="18" t="s">
        <v>2582</v>
      </c>
      <c r="G924" s="19">
        <v>44975</v>
      </c>
      <c r="H924" s="19">
        <v>44989</v>
      </c>
      <c r="I924" s="18" t="s">
        <v>28</v>
      </c>
      <c r="J924" s="19" t="b">
        <v>1</v>
      </c>
      <c r="K924" s="19" t="b">
        <v>0</v>
      </c>
      <c r="L924" s="19" t="b">
        <v>0</v>
      </c>
      <c r="M924" s="19" t="b">
        <v>0</v>
      </c>
      <c r="N924" s="19" t="b">
        <v>0</v>
      </c>
      <c r="O924" s="19" t="b">
        <v>0</v>
      </c>
      <c r="P924" s="19" t="b">
        <v>1</v>
      </c>
    </row>
    <row r="925" spans="1:16" x14ac:dyDescent="0.2">
      <c r="A925" s="18">
        <v>1540377</v>
      </c>
      <c r="B925" s="18" t="s">
        <v>2583</v>
      </c>
      <c r="C925" s="18" t="s">
        <v>310</v>
      </c>
      <c r="D925" s="18" t="s">
        <v>187</v>
      </c>
      <c r="E925" s="19">
        <v>44754</v>
      </c>
      <c r="F925" s="18" t="s">
        <v>1108</v>
      </c>
      <c r="G925" s="19">
        <v>44770</v>
      </c>
      <c r="H925" s="19">
        <v>44777</v>
      </c>
      <c r="I925" s="18" t="s">
        <v>16</v>
      </c>
      <c r="J925" s="19" t="b">
        <v>1</v>
      </c>
      <c r="K925" s="19" t="b">
        <v>0</v>
      </c>
      <c r="L925" s="19" t="b">
        <v>0</v>
      </c>
      <c r="M925" s="19" t="b">
        <v>0</v>
      </c>
      <c r="N925" s="19" t="b">
        <v>1</v>
      </c>
      <c r="O925" s="19" t="b">
        <v>0</v>
      </c>
      <c r="P925" s="19" t="b">
        <v>0</v>
      </c>
    </row>
    <row r="926" spans="1:16" x14ac:dyDescent="0.2">
      <c r="A926" s="18">
        <v>6517042</v>
      </c>
      <c r="B926" s="18" t="s">
        <v>2587</v>
      </c>
      <c r="C926" s="18" t="s">
        <v>32</v>
      </c>
      <c r="D926" s="18" t="s">
        <v>77</v>
      </c>
      <c r="E926" s="19">
        <v>44765</v>
      </c>
      <c r="F926" s="18" t="s">
        <v>159</v>
      </c>
      <c r="G926" s="19">
        <v>44768</v>
      </c>
      <c r="H926" s="19">
        <v>44827</v>
      </c>
      <c r="I926" s="18"/>
      <c r="J926" s="19" t="b">
        <v>1</v>
      </c>
      <c r="K926" s="19" t="b">
        <v>0</v>
      </c>
      <c r="L926" s="19" t="b">
        <v>0</v>
      </c>
      <c r="M926" s="19" t="b">
        <v>0</v>
      </c>
      <c r="N926" s="19" t="b">
        <v>0</v>
      </c>
      <c r="O926" s="19" t="b">
        <v>0</v>
      </c>
      <c r="P926" s="19" t="b">
        <v>0</v>
      </c>
    </row>
    <row r="927" spans="1:16" x14ac:dyDescent="0.2">
      <c r="A927" s="18">
        <v>5883940</v>
      </c>
      <c r="B927" s="18" t="s">
        <v>2588</v>
      </c>
      <c r="C927" s="18" t="s">
        <v>167</v>
      </c>
      <c r="D927" s="18" t="s">
        <v>139</v>
      </c>
      <c r="E927" s="19">
        <v>44737</v>
      </c>
      <c r="F927" s="18" t="s">
        <v>2589</v>
      </c>
      <c r="G927" s="19">
        <v>44748</v>
      </c>
      <c r="H927" s="19">
        <v>44804</v>
      </c>
      <c r="I927" s="18" t="s">
        <v>28</v>
      </c>
      <c r="J927" s="19" t="b">
        <v>1</v>
      </c>
      <c r="K927" s="19" t="b">
        <v>0</v>
      </c>
      <c r="L927" s="19" t="b">
        <v>0</v>
      </c>
      <c r="M927" s="19" t="b">
        <v>0</v>
      </c>
      <c r="N927" s="19" t="b">
        <v>0</v>
      </c>
      <c r="O927" s="19" t="b">
        <v>0</v>
      </c>
      <c r="P927" s="19" t="b">
        <v>1</v>
      </c>
    </row>
    <row r="928" spans="1:16" x14ac:dyDescent="0.2">
      <c r="A928" s="18">
        <v>4464154</v>
      </c>
      <c r="B928" s="18" t="s">
        <v>2591</v>
      </c>
      <c r="C928" s="18" t="s">
        <v>71</v>
      </c>
      <c r="D928" s="18" t="s">
        <v>19</v>
      </c>
      <c r="E928" s="19">
        <v>44879</v>
      </c>
      <c r="F928" s="18" t="s">
        <v>2342</v>
      </c>
      <c r="G928" s="19">
        <v>44898</v>
      </c>
      <c r="H928" s="19">
        <v>44911</v>
      </c>
      <c r="I928" s="18"/>
      <c r="J928" s="19" t="b">
        <v>1</v>
      </c>
      <c r="K928" s="19" t="b">
        <v>0</v>
      </c>
      <c r="L928" s="19" t="b">
        <v>0</v>
      </c>
      <c r="M928" s="19" t="b">
        <v>0</v>
      </c>
      <c r="N928" s="19" t="b">
        <v>0</v>
      </c>
      <c r="O928" s="19" t="b">
        <v>0</v>
      </c>
      <c r="P928" s="19" t="b">
        <v>0</v>
      </c>
    </row>
    <row r="929" spans="1:16" x14ac:dyDescent="0.2">
      <c r="A929" s="18">
        <v>4464154</v>
      </c>
      <c r="B929" s="18" t="s">
        <v>2592</v>
      </c>
      <c r="C929" s="18" t="s">
        <v>71</v>
      </c>
      <c r="D929" s="18" t="s">
        <v>19</v>
      </c>
      <c r="E929" s="19">
        <v>44569</v>
      </c>
      <c r="F929" s="18" t="s">
        <v>2593</v>
      </c>
      <c r="G929" s="19">
        <v>44574</v>
      </c>
      <c r="H929" s="19">
        <v>44603</v>
      </c>
      <c r="I929" s="18"/>
      <c r="J929" s="19" t="b">
        <v>1</v>
      </c>
      <c r="K929" s="19" t="b">
        <v>0</v>
      </c>
      <c r="L929" s="19" t="b">
        <v>0</v>
      </c>
      <c r="M929" s="19" t="b">
        <v>0</v>
      </c>
      <c r="N929" s="19" t="b">
        <v>0</v>
      </c>
      <c r="O929" s="19" t="b">
        <v>0</v>
      </c>
      <c r="P929" s="19" t="b">
        <v>0</v>
      </c>
    </row>
    <row r="930" spans="1:16" x14ac:dyDescent="0.2">
      <c r="A930" s="18">
        <v>6517883</v>
      </c>
      <c r="B930" s="18" t="s">
        <v>2596</v>
      </c>
      <c r="C930" s="18" t="s">
        <v>310</v>
      </c>
      <c r="D930" s="18" t="s">
        <v>81</v>
      </c>
      <c r="E930" s="19">
        <v>44856</v>
      </c>
      <c r="F930" s="18" t="s">
        <v>2340</v>
      </c>
      <c r="G930" s="19">
        <v>44877</v>
      </c>
      <c r="H930" s="19">
        <v>44934</v>
      </c>
      <c r="I930" s="18" t="s">
        <v>16</v>
      </c>
      <c r="J930" s="19" t="b">
        <v>1</v>
      </c>
      <c r="K930" s="19" t="b">
        <v>0</v>
      </c>
      <c r="L930" s="19" t="b">
        <v>0</v>
      </c>
      <c r="M930" s="19" t="b">
        <v>0</v>
      </c>
      <c r="N930" s="19" t="b">
        <v>1</v>
      </c>
      <c r="O930" s="19" t="b">
        <v>0</v>
      </c>
      <c r="P930" s="19" t="b">
        <v>0</v>
      </c>
    </row>
    <row r="931" spans="1:16" x14ac:dyDescent="0.2">
      <c r="A931" s="18">
        <v>6517883</v>
      </c>
      <c r="B931" s="18" t="s">
        <v>2597</v>
      </c>
      <c r="C931" s="18" t="s">
        <v>310</v>
      </c>
      <c r="D931" s="18" t="s">
        <v>81</v>
      </c>
      <c r="E931" s="19">
        <v>44866</v>
      </c>
      <c r="F931" s="18" t="s">
        <v>547</v>
      </c>
      <c r="G931" s="19">
        <v>44879</v>
      </c>
      <c r="H931" s="19">
        <v>44919</v>
      </c>
      <c r="I931" s="18" t="s">
        <v>28</v>
      </c>
      <c r="J931" s="19" t="b">
        <v>1</v>
      </c>
      <c r="K931" s="19" t="b">
        <v>0</v>
      </c>
      <c r="L931" s="19" t="b">
        <v>0</v>
      </c>
      <c r="M931" s="19" t="b">
        <v>0</v>
      </c>
      <c r="N931" s="19" t="b">
        <v>0</v>
      </c>
      <c r="O931" s="19" t="b">
        <v>0</v>
      </c>
      <c r="P931" s="19" t="b">
        <v>1</v>
      </c>
    </row>
    <row r="932" spans="1:16" x14ac:dyDescent="0.2">
      <c r="A932" s="18">
        <v>6517883</v>
      </c>
      <c r="B932" s="18" t="s">
        <v>2598</v>
      </c>
      <c r="C932" s="18" t="s">
        <v>310</v>
      </c>
      <c r="D932" s="18" t="s">
        <v>81</v>
      </c>
      <c r="E932" s="19">
        <v>44745</v>
      </c>
      <c r="F932" s="18" t="s">
        <v>1686</v>
      </c>
      <c r="G932" s="19">
        <v>44774</v>
      </c>
      <c r="H932" s="19">
        <v>44814</v>
      </c>
      <c r="I932" s="18" t="s">
        <v>43</v>
      </c>
      <c r="J932" s="19" t="b">
        <v>1</v>
      </c>
      <c r="K932" s="19" t="b">
        <v>0</v>
      </c>
      <c r="L932" s="19" t="b">
        <v>0</v>
      </c>
      <c r="M932" s="19" t="b">
        <v>0</v>
      </c>
      <c r="N932" s="19" t="b">
        <v>0</v>
      </c>
      <c r="O932" s="19" t="b">
        <v>1</v>
      </c>
      <c r="P932" s="19" t="b">
        <v>0</v>
      </c>
    </row>
    <row r="933" spans="1:16" x14ac:dyDescent="0.2">
      <c r="A933" s="18">
        <v>6517883</v>
      </c>
      <c r="B933" s="18" t="s">
        <v>2599</v>
      </c>
      <c r="C933" s="18" t="s">
        <v>310</v>
      </c>
      <c r="D933" s="18" t="s">
        <v>81</v>
      </c>
      <c r="E933" s="19">
        <v>44749</v>
      </c>
      <c r="F933" s="18" t="s">
        <v>1343</v>
      </c>
      <c r="G933" s="19">
        <v>44772</v>
      </c>
      <c r="H933" s="19">
        <v>44809</v>
      </c>
      <c r="I933" s="18"/>
      <c r="J933" s="19" t="b">
        <v>1</v>
      </c>
      <c r="K933" s="19" t="b">
        <v>0</v>
      </c>
      <c r="L933" s="19" t="b">
        <v>0</v>
      </c>
      <c r="M933" s="19" t="b">
        <v>0</v>
      </c>
      <c r="N933" s="19" t="b">
        <v>0</v>
      </c>
      <c r="O933" s="19" t="b">
        <v>0</v>
      </c>
      <c r="P933" s="19" t="b">
        <v>0</v>
      </c>
    </row>
    <row r="934" spans="1:16" x14ac:dyDescent="0.2">
      <c r="A934" s="18">
        <v>2602797</v>
      </c>
      <c r="B934" s="18" t="s">
        <v>2600</v>
      </c>
      <c r="C934" s="18" t="s">
        <v>59</v>
      </c>
      <c r="D934" s="18" t="s">
        <v>56</v>
      </c>
      <c r="E934" s="19">
        <v>44860</v>
      </c>
      <c r="F934" s="18" t="s">
        <v>261</v>
      </c>
      <c r="G934" s="19">
        <v>44882</v>
      </c>
      <c r="H934" s="19">
        <v>44941</v>
      </c>
      <c r="I934" s="18" t="s">
        <v>43</v>
      </c>
      <c r="J934" s="19" t="b">
        <v>1</v>
      </c>
      <c r="K934" s="19" t="b">
        <v>0</v>
      </c>
      <c r="L934" s="19" t="b">
        <v>0</v>
      </c>
      <c r="M934" s="19" t="b">
        <v>0</v>
      </c>
      <c r="N934" s="19" t="b">
        <v>0</v>
      </c>
      <c r="O934" s="19" t="b">
        <v>1</v>
      </c>
      <c r="P934" s="19" t="b">
        <v>0</v>
      </c>
    </row>
    <row r="935" spans="1:16" x14ac:dyDescent="0.2">
      <c r="A935" s="18">
        <v>9279347</v>
      </c>
      <c r="B935" s="18" t="s">
        <v>2603</v>
      </c>
      <c r="C935" s="18" t="s">
        <v>315</v>
      </c>
      <c r="D935" s="18" t="s">
        <v>139</v>
      </c>
      <c r="E935" s="19">
        <v>45078</v>
      </c>
      <c r="F935" s="18" t="s">
        <v>2604</v>
      </c>
      <c r="G935" s="19">
        <v>45103</v>
      </c>
      <c r="H935" s="19">
        <v>45153</v>
      </c>
      <c r="I935" s="18" t="s">
        <v>16</v>
      </c>
      <c r="J935" s="19" t="b">
        <v>1</v>
      </c>
      <c r="K935" s="19" t="b">
        <v>0</v>
      </c>
      <c r="L935" s="19" t="b">
        <v>0</v>
      </c>
      <c r="M935" s="19" t="b">
        <v>0</v>
      </c>
      <c r="N935" s="19" t="b">
        <v>1</v>
      </c>
      <c r="O935" s="19" t="b">
        <v>0</v>
      </c>
      <c r="P935" s="19" t="b">
        <v>0</v>
      </c>
    </row>
    <row r="936" spans="1:16" x14ac:dyDescent="0.2">
      <c r="A936" s="18">
        <v>8749462</v>
      </c>
      <c r="B936" s="18" t="s">
        <v>2608</v>
      </c>
      <c r="C936" s="18" t="s">
        <v>59</v>
      </c>
      <c r="D936" s="18" t="s">
        <v>39</v>
      </c>
      <c r="E936" s="19">
        <v>44818</v>
      </c>
      <c r="F936" s="18" t="s">
        <v>2609</v>
      </c>
      <c r="G936" s="19">
        <v>44822</v>
      </c>
      <c r="H936" s="19">
        <v>44868</v>
      </c>
      <c r="I936" s="18"/>
      <c r="J936" s="19" t="b">
        <v>1</v>
      </c>
      <c r="K936" s="19" t="b">
        <v>0</v>
      </c>
      <c r="L936" s="19" t="b">
        <v>0</v>
      </c>
      <c r="M936" s="19" t="b">
        <v>0</v>
      </c>
      <c r="N936" s="19" t="b">
        <v>0</v>
      </c>
      <c r="O936" s="19" t="b">
        <v>0</v>
      </c>
      <c r="P936" s="19" t="b">
        <v>0</v>
      </c>
    </row>
    <row r="937" spans="1:16" x14ac:dyDescent="0.2">
      <c r="A937" s="18">
        <v>8749462</v>
      </c>
      <c r="B937" s="18" t="s">
        <v>2610</v>
      </c>
      <c r="C937" s="18" t="s">
        <v>59</v>
      </c>
      <c r="D937" s="18" t="s">
        <v>39</v>
      </c>
      <c r="E937" s="19">
        <v>45037</v>
      </c>
      <c r="F937" s="18" t="s">
        <v>2611</v>
      </c>
      <c r="G937" s="19">
        <v>45053</v>
      </c>
      <c r="H937" s="19">
        <v>45083</v>
      </c>
      <c r="I937" s="18" t="s">
        <v>28</v>
      </c>
      <c r="J937" s="19" t="b">
        <v>1</v>
      </c>
      <c r="K937" s="19" t="b">
        <v>0</v>
      </c>
      <c r="L937" s="19" t="b">
        <v>0</v>
      </c>
      <c r="M937" s="19" t="b">
        <v>0</v>
      </c>
      <c r="N937" s="19" t="b">
        <v>0</v>
      </c>
      <c r="O937" s="19" t="b">
        <v>0</v>
      </c>
      <c r="P937" s="19" t="b">
        <v>1</v>
      </c>
    </row>
    <row r="938" spans="1:16" x14ac:dyDescent="0.2">
      <c r="A938" s="18">
        <v>8749462</v>
      </c>
      <c r="B938" s="18" t="s">
        <v>2614</v>
      </c>
      <c r="C938" s="18" t="s">
        <v>59</v>
      </c>
      <c r="D938" s="18" t="s">
        <v>39</v>
      </c>
      <c r="E938" s="19">
        <v>44847</v>
      </c>
      <c r="F938" s="18" t="s">
        <v>2615</v>
      </c>
      <c r="G938" s="19">
        <v>44874</v>
      </c>
      <c r="H938" s="19">
        <v>44885</v>
      </c>
      <c r="I938" s="18" t="s">
        <v>43</v>
      </c>
      <c r="J938" s="19" t="b">
        <v>1</v>
      </c>
      <c r="K938" s="19" t="b">
        <v>0</v>
      </c>
      <c r="L938" s="19" t="b">
        <v>0</v>
      </c>
      <c r="M938" s="19" t="b">
        <v>0</v>
      </c>
      <c r="N938" s="19" t="b">
        <v>0</v>
      </c>
      <c r="O938" s="19" t="b">
        <v>1</v>
      </c>
      <c r="P938" s="19" t="b">
        <v>0</v>
      </c>
    </row>
    <row r="939" spans="1:16" x14ac:dyDescent="0.2">
      <c r="A939" s="18">
        <v>3862010</v>
      </c>
      <c r="B939" s="18" t="s">
        <v>2618</v>
      </c>
      <c r="C939" s="18" t="s">
        <v>150</v>
      </c>
      <c r="D939" s="18" t="s">
        <v>56</v>
      </c>
      <c r="E939" s="19">
        <v>44928</v>
      </c>
      <c r="F939" s="18" t="s">
        <v>2619</v>
      </c>
      <c r="G939" s="19">
        <v>44934</v>
      </c>
      <c r="H939" s="19">
        <v>44948</v>
      </c>
      <c r="I939" s="18" t="s">
        <v>28</v>
      </c>
      <c r="J939" s="19" t="b">
        <v>1</v>
      </c>
      <c r="K939" s="19" t="b">
        <v>0</v>
      </c>
      <c r="L939" s="19" t="b">
        <v>0</v>
      </c>
      <c r="M939" s="19" t="b">
        <v>0</v>
      </c>
      <c r="N939" s="19" t="b">
        <v>0</v>
      </c>
      <c r="O939" s="19" t="b">
        <v>0</v>
      </c>
      <c r="P939" s="19" t="b">
        <v>1</v>
      </c>
    </row>
    <row r="940" spans="1:16" x14ac:dyDescent="0.2">
      <c r="A940" s="18">
        <v>3862010</v>
      </c>
      <c r="B940" s="18" t="s">
        <v>2620</v>
      </c>
      <c r="C940" s="18" t="s">
        <v>150</v>
      </c>
      <c r="D940" s="18" t="s">
        <v>56</v>
      </c>
      <c r="E940" s="19">
        <v>44610</v>
      </c>
      <c r="F940" s="18" t="s">
        <v>2621</v>
      </c>
      <c r="G940" s="19">
        <v>44637</v>
      </c>
      <c r="H940" s="19">
        <v>44678</v>
      </c>
      <c r="I940" s="18" t="s">
        <v>43</v>
      </c>
      <c r="J940" s="19" t="b">
        <v>1</v>
      </c>
      <c r="K940" s="19" t="b">
        <v>0</v>
      </c>
      <c r="L940" s="19" t="b">
        <v>0</v>
      </c>
      <c r="M940" s="19" t="b">
        <v>0</v>
      </c>
      <c r="N940" s="19" t="b">
        <v>0</v>
      </c>
      <c r="O940" s="19" t="b">
        <v>1</v>
      </c>
      <c r="P940" s="19" t="b">
        <v>0</v>
      </c>
    </row>
    <row r="941" spans="1:16" x14ac:dyDescent="0.2">
      <c r="A941" s="18">
        <v>3862010</v>
      </c>
      <c r="B941" s="18" t="s">
        <v>2622</v>
      </c>
      <c r="C941" s="18" t="s">
        <v>150</v>
      </c>
      <c r="D941" s="18" t="s">
        <v>56</v>
      </c>
      <c r="E941" s="19">
        <v>44877</v>
      </c>
      <c r="F941" s="18" t="s">
        <v>2623</v>
      </c>
      <c r="G941" s="19">
        <v>44892</v>
      </c>
      <c r="H941" s="19">
        <v>44896</v>
      </c>
      <c r="I941" s="18" t="s">
        <v>16</v>
      </c>
      <c r="J941" s="19" t="b">
        <v>1</v>
      </c>
      <c r="K941" s="19" t="b">
        <v>0</v>
      </c>
      <c r="L941" s="19" t="b">
        <v>0</v>
      </c>
      <c r="M941" s="19" t="b">
        <v>0</v>
      </c>
      <c r="N941" s="19" t="b">
        <v>1</v>
      </c>
      <c r="O941" s="19" t="b">
        <v>0</v>
      </c>
      <c r="P941" s="19" t="b">
        <v>0</v>
      </c>
    </row>
    <row r="942" spans="1:16" x14ac:dyDescent="0.2">
      <c r="A942" s="18">
        <v>7331646</v>
      </c>
      <c r="B942" s="18" t="s">
        <v>2625</v>
      </c>
      <c r="C942" s="18" t="s">
        <v>35</v>
      </c>
      <c r="D942" s="18" t="s">
        <v>19</v>
      </c>
      <c r="E942" s="19">
        <v>44758</v>
      </c>
      <c r="F942" s="18" t="s">
        <v>2626</v>
      </c>
      <c r="G942" s="19">
        <v>44780</v>
      </c>
      <c r="H942" s="19">
        <v>44823</v>
      </c>
      <c r="I942" s="18" t="s">
        <v>16</v>
      </c>
      <c r="J942" s="19" t="b">
        <v>1</v>
      </c>
      <c r="K942" s="19" t="b">
        <v>0</v>
      </c>
      <c r="L942" s="19" t="b">
        <v>0</v>
      </c>
      <c r="M942" s="19" t="b">
        <v>0</v>
      </c>
      <c r="N942" s="19" t="b">
        <v>1</v>
      </c>
      <c r="O942" s="19" t="b">
        <v>0</v>
      </c>
      <c r="P942" s="19" t="b">
        <v>0</v>
      </c>
    </row>
    <row r="943" spans="1:16" x14ac:dyDescent="0.2">
      <c r="A943" s="18">
        <v>2059841</v>
      </c>
      <c r="B943" s="18" t="s">
        <v>2627</v>
      </c>
      <c r="C943" s="18" t="s">
        <v>93</v>
      </c>
      <c r="D943" s="18" t="s">
        <v>122</v>
      </c>
      <c r="E943" s="19">
        <v>44672</v>
      </c>
      <c r="F943" s="18" t="s">
        <v>1166</v>
      </c>
      <c r="G943" s="19">
        <v>44699</v>
      </c>
      <c r="H943" s="19">
        <v>44720</v>
      </c>
      <c r="I943" s="18" t="s">
        <v>16</v>
      </c>
      <c r="J943" s="19" t="b">
        <v>1</v>
      </c>
      <c r="K943" s="19" t="b">
        <v>0</v>
      </c>
      <c r="L943" s="19" t="b">
        <v>0</v>
      </c>
      <c r="M943" s="19" t="b">
        <v>0</v>
      </c>
      <c r="N943" s="19" t="b">
        <v>1</v>
      </c>
      <c r="O943" s="19" t="b">
        <v>0</v>
      </c>
      <c r="P943" s="19" t="b">
        <v>0</v>
      </c>
    </row>
    <row r="944" spans="1:16" x14ac:dyDescent="0.2">
      <c r="A944" s="18">
        <v>2059841</v>
      </c>
      <c r="B944" s="18" t="s">
        <v>2628</v>
      </c>
      <c r="C944" s="18" t="s">
        <v>93</v>
      </c>
      <c r="D944" s="18" t="s">
        <v>122</v>
      </c>
      <c r="E944" s="19">
        <v>44966</v>
      </c>
      <c r="F944" s="18" t="s">
        <v>2522</v>
      </c>
      <c r="G944" s="19">
        <v>44980</v>
      </c>
      <c r="H944" s="19">
        <v>44988</v>
      </c>
      <c r="I944" s="18" t="s">
        <v>43</v>
      </c>
      <c r="J944" s="19" t="b">
        <v>1</v>
      </c>
      <c r="K944" s="19" t="b">
        <v>0</v>
      </c>
      <c r="L944" s="19" t="b">
        <v>0</v>
      </c>
      <c r="M944" s="19" t="b">
        <v>0</v>
      </c>
      <c r="N944" s="19" t="b">
        <v>0</v>
      </c>
      <c r="O944" s="19" t="b">
        <v>1</v>
      </c>
      <c r="P944" s="19" t="b">
        <v>0</v>
      </c>
    </row>
    <row r="945" spans="1:16" x14ac:dyDescent="0.2">
      <c r="A945" s="18">
        <v>4899161</v>
      </c>
      <c r="B945" s="18" t="s">
        <v>2633</v>
      </c>
      <c r="C945" s="18" t="s">
        <v>454</v>
      </c>
      <c r="D945" s="18" t="s">
        <v>122</v>
      </c>
      <c r="E945" s="19">
        <v>44785</v>
      </c>
      <c r="F945" s="18" t="s">
        <v>2634</v>
      </c>
      <c r="G945" s="19">
        <v>44799</v>
      </c>
      <c r="H945" s="19">
        <v>44819</v>
      </c>
      <c r="I945" s="18" t="s">
        <v>28</v>
      </c>
      <c r="J945" s="19" t="b">
        <v>1</v>
      </c>
      <c r="K945" s="19" t="b">
        <v>0</v>
      </c>
      <c r="L945" s="19" t="b">
        <v>0</v>
      </c>
      <c r="M945" s="19" t="b">
        <v>0</v>
      </c>
      <c r="N945" s="19" t="b">
        <v>0</v>
      </c>
      <c r="O945" s="19" t="b">
        <v>0</v>
      </c>
      <c r="P945" s="19" t="b">
        <v>1</v>
      </c>
    </row>
    <row r="946" spans="1:16" x14ac:dyDescent="0.2">
      <c r="A946" s="18">
        <v>9381494</v>
      </c>
      <c r="B946" s="18" t="s">
        <v>2637</v>
      </c>
      <c r="C946" s="18" t="s">
        <v>176</v>
      </c>
      <c r="D946" s="18" t="s">
        <v>139</v>
      </c>
      <c r="E946" s="19">
        <v>44887</v>
      </c>
      <c r="F946" s="18" t="s">
        <v>2638</v>
      </c>
      <c r="G946" s="19">
        <v>44915</v>
      </c>
      <c r="H946" s="19">
        <v>44958</v>
      </c>
      <c r="I946" s="18" t="s">
        <v>43</v>
      </c>
      <c r="J946" s="19" t="b">
        <v>1</v>
      </c>
      <c r="K946" s="19" t="b">
        <v>0</v>
      </c>
      <c r="L946" s="19" t="b">
        <v>0</v>
      </c>
      <c r="M946" s="19" t="b">
        <v>0</v>
      </c>
      <c r="N946" s="19" t="b">
        <v>0</v>
      </c>
      <c r="O946" s="19" t="b">
        <v>1</v>
      </c>
      <c r="P946" s="19" t="b">
        <v>0</v>
      </c>
    </row>
    <row r="947" spans="1:16" x14ac:dyDescent="0.2">
      <c r="A947" s="18">
        <v>9381494</v>
      </c>
      <c r="B947" s="18" t="s">
        <v>2639</v>
      </c>
      <c r="C947" s="18" t="s">
        <v>176</v>
      </c>
      <c r="D947" s="18" t="s">
        <v>139</v>
      </c>
      <c r="E947" s="19">
        <v>45021</v>
      </c>
      <c r="F947" s="18" t="s">
        <v>2640</v>
      </c>
      <c r="G947" s="19">
        <v>45034</v>
      </c>
      <c r="H947" s="19">
        <v>45067</v>
      </c>
      <c r="I947" s="18" t="s">
        <v>28</v>
      </c>
      <c r="J947" s="19" t="b">
        <v>1</v>
      </c>
      <c r="K947" s="19" t="b">
        <v>0</v>
      </c>
      <c r="L947" s="19" t="b">
        <v>0</v>
      </c>
      <c r="M947" s="19" t="b">
        <v>0</v>
      </c>
      <c r="N947" s="19" t="b">
        <v>0</v>
      </c>
      <c r="O947" s="19" t="b">
        <v>0</v>
      </c>
      <c r="P947" s="19" t="b">
        <v>1</v>
      </c>
    </row>
    <row r="948" spans="1:16" x14ac:dyDescent="0.2">
      <c r="A948" s="18">
        <v>9381494</v>
      </c>
      <c r="B948" s="18" t="s">
        <v>2641</v>
      </c>
      <c r="C948" s="18" t="s">
        <v>176</v>
      </c>
      <c r="D948" s="18" t="s">
        <v>139</v>
      </c>
      <c r="E948" s="19">
        <v>44575</v>
      </c>
      <c r="F948" s="18" t="s">
        <v>2642</v>
      </c>
      <c r="G948" s="19">
        <v>44583</v>
      </c>
      <c r="H948" s="19">
        <v>44585</v>
      </c>
      <c r="I948" s="18" t="s">
        <v>43</v>
      </c>
      <c r="J948" s="19" t="b">
        <v>1</v>
      </c>
      <c r="K948" s="19" t="b">
        <v>0</v>
      </c>
      <c r="L948" s="19" t="b">
        <v>0</v>
      </c>
      <c r="M948" s="19" t="b">
        <v>0</v>
      </c>
      <c r="N948" s="19" t="b">
        <v>0</v>
      </c>
      <c r="O948" s="19" t="b">
        <v>1</v>
      </c>
      <c r="P948" s="19" t="b">
        <v>0</v>
      </c>
    </row>
    <row r="949" spans="1:16" x14ac:dyDescent="0.2">
      <c r="A949" s="18">
        <v>9381494</v>
      </c>
      <c r="B949" s="18" t="s">
        <v>2643</v>
      </c>
      <c r="C949" s="18" t="s">
        <v>176</v>
      </c>
      <c r="D949" s="18" t="s">
        <v>139</v>
      </c>
      <c r="E949" s="19">
        <v>45000</v>
      </c>
      <c r="F949" s="18" t="s">
        <v>2344</v>
      </c>
      <c r="G949" s="19">
        <v>45025</v>
      </c>
      <c r="H949" s="19">
        <v>45041</v>
      </c>
      <c r="I949" s="18" t="s">
        <v>16</v>
      </c>
      <c r="J949" s="19" t="b">
        <v>1</v>
      </c>
      <c r="K949" s="19" t="b">
        <v>0</v>
      </c>
      <c r="L949" s="19" t="b">
        <v>0</v>
      </c>
      <c r="M949" s="19" t="b">
        <v>0</v>
      </c>
      <c r="N949" s="19" t="b">
        <v>1</v>
      </c>
      <c r="O949" s="19" t="b">
        <v>0</v>
      </c>
      <c r="P949" s="19" t="b">
        <v>0</v>
      </c>
    </row>
    <row r="950" spans="1:16" x14ac:dyDescent="0.2">
      <c r="A950" s="18">
        <v>2331937</v>
      </c>
      <c r="B950" s="18" t="s">
        <v>2644</v>
      </c>
      <c r="C950" s="18" t="s">
        <v>521</v>
      </c>
      <c r="D950" s="18" t="s">
        <v>187</v>
      </c>
      <c r="E950" s="19">
        <v>44771</v>
      </c>
      <c r="F950" s="18" t="s">
        <v>2645</v>
      </c>
      <c r="G950" s="19">
        <v>44792</v>
      </c>
      <c r="H950" s="19">
        <v>44795</v>
      </c>
      <c r="I950" s="18" t="s">
        <v>43</v>
      </c>
      <c r="J950" s="19" t="b">
        <v>1</v>
      </c>
      <c r="K950" s="19" t="b">
        <v>0</v>
      </c>
      <c r="L950" s="19" t="b">
        <v>0</v>
      </c>
      <c r="M950" s="19" t="b">
        <v>0</v>
      </c>
      <c r="N950" s="19" t="b">
        <v>0</v>
      </c>
      <c r="O950" s="19" t="b">
        <v>1</v>
      </c>
      <c r="P950" s="19" t="b">
        <v>0</v>
      </c>
    </row>
    <row r="951" spans="1:16" x14ac:dyDescent="0.2">
      <c r="A951" s="18">
        <v>2331937</v>
      </c>
      <c r="B951" s="18" t="s">
        <v>2648</v>
      </c>
      <c r="C951" s="18" t="s">
        <v>521</v>
      </c>
      <c r="D951" s="18" t="s">
        <v>187</v>
      </c>
      <c r="E951" s="19">
        <v>44602</v>
      </c>
      <c r="F951" s="18" t="s">
        <v>2649</v>
      </c>
      <c r="G951" s="19">
        <v>44619</v>
      </c>
      <c r="H951" s="19">
        <v>44670</v>
      </c>
      <c r="I951" s="18" t="s">
        <v>43</v>
      </c>
      <c r="J951" s="19" t="b">
        <v>1</v>
      </c>
      <c r="K951" s="19" t="b">
        <v>0</v>
      </c>
      <c r="L951" s="19" t="b">
        <v>0</v>
      </c>
      <c r="M951" s="19" t="b">
        <v>0</v>
      </c>
      <c r="N951" s="19" t="b">
        <v>0</v>
      </c>
      <c r="O951" s="19" t="b">
        <v>1</v>
      </c>
      <c r="P951" s="19" t="b">
        <v>0</v>
      </c>
    </row>
    <row r="952" spans="1:16" x14ac:dyDescent="0.2">
      <c r="A952" s="18">
        <v>4453043</v>
      </c>
      <c r="B952" s="18" t="s">
        <v>2652</v>
      </c>
      <c r="C952" s="18" t="s">
        <v>18</v>
      </c>
      <c r="D952" s="18" t="s">
        <v>56</v>
      </c>
      <c r="E952" s="19">
        <v>44952</v>
      </c>
      <c r="F952" s="18" t="s">
        <v>2653</v>
      </c>
      <c r="G952" s="19">
        <v>44969</v>
      </c>
      <c r="H952" s="19">
        <v>44990</v>
      </c>
      <c r="I952" s="18" t="s">
        <v>43</v>
      </c>
      <c r="J952" s="19" t="b">
        <v>1</v>
      </c>
      <c r="K952" s="19" t="b">
        <v>0</v>
      </c>
      <c r="L952" s="19" t="b">
        <v>0</v>
      </c>
      <c r="M952" s="19" t="b">
        <v>0</v>
      </c>
      <c r="N952" s="19" t="b">
        <v>0</v>
      </c>
      <c r="O952" s="19" t="b">
        <v>1</v>
      </c>
      <c r="P952" s="19" t="b">
        <v>0</v>
      </c>
    </row>
    <row r="953" spans="1:16" x14ac:dyDescent="0.2">
      <c r="A953" s="18">
        <v>9248388</v>
      </c>
      <c r="B953" s="18" t="s">
        <v>2656</v>
      </c>
      <c r="C953" s="18" t="s">
        <v>76</v>
      </c>
      <c r="D953" s="18" t="s">
        <v>19</v>
      </c>
      <c r="E953" s="19">
        <v>44690</v>
      </c>
      <c r="F953" s="18" t="s">
        <v>2657</v>
      </c>
      <c r="G953" s="19">
        <v>44693</v>
      </c>
      <c r="H953" s="19">
        <v>44705</v>
      </c>
      <c r="I953" s="18" t="s">
        <v>43</v>
      </c>
      <c r="J953" s="19" t="b">
        <v>1</v>
      </c>
      <c r="K953" s="19" t="b">
        <v>0</v>
      </c>
      <c r="L953" s="19" t="b">
        <v>0</v>
      </c>
      <c r="M953" s="19" t="b">
        <v>0</v>
      </c>
      <c r="N953" s="19" t="b">
        <v>0</v>
      </c>
      <c r="O953" s="19" t="b">
        <v>1</v>
      </c>
      <c r="P953" s="19" t="b">
        <v>0</v>
      </c>
    </row>
    <row r="954" spans="1:16" x14ac:dyDescent="0.2">
      <c r="A954" s="18">
        <v>4428815</v>
      </c>
      <c r="B954" s="18" t="s">
        <v>2658</v>
      </c>
      <c r="C954" s="18" t="s">
        <v>93</v>
      </c>
      <c r="D954" s="18" t="s">
        <v>139</v>
      </c>
      <c r="E954" s="19">
        <v>44764</v>
      </c>
      <c r="F954" s="18" t="s">
        <v>2659</v>
      </c>
      <c r="G954" s="19">
        <v>44772</v>
      </c>
      <c r="H954" s="19">
        <v>44800</v>
      </c>
      <c r="I954" s="18"/>
      <c r="J954" s="19" t="b">
        <v>1</v>
      </c>
      <c r="K954" s="19" t="b">
        <v>0</v>
      </c>
      <c r="L954" s="19" t="b">
        <v>0</v>
      </c>
      <c r="M954" s="19" t="b">
        <v>0</v>
      </c>
      <c r="N954" s="19" t="b">
        <v>0</v>
      </c>
      <c r="O954" s="19" t="b">
        <v>0</v>
      </c>
      <c r="P954" s="19" t="b">
        <v>0</v>
      </c>
    </row>
    <row r="955" spans="1:16" x14ac:dyDescent="0.2">
      <c r="A955" s="18">
        <v>3960096</v>
      </c>
      <c r="B955" s="18" t="s">
        <v>2661</v>
      </c>
      <c r="C955" s="18" t="s">
        <v>121</v>
      </c>
      <c r="D955" s="18" t="s">
        <v>19</v>
      </c>
      <c r="E955" s="19">
        <v>44969</v>
      </c>
      <c r="F955" s="18" t="s">
        <v>807</v>
      </c>
      <c r="G955" s="19">
        <v>44982</v>
      </c>
      <c r="H955" s="19">
        <v>44993</v>
      </c>
      <c r="I955" s="18"/>
      <c r="J955" s="19" t="b">
        <v>1</v>
      </c>
      <c r="K955" s="19" t="b">
        <v>0</v>
      </c>
      <c r="L955" s="19" t="b">
        <v>0</v>
      </c>
      <c r="M955" s="19" t="b">
        <v>0</v>
      </c>
      <c r="N955" s="19" t="b">
        <v>0</v>
      </c>
      <c r="O955" s="19" t="b">
        <v>0</v>
      </c>
      <c r="P955" s="19" t="b">
        <v>0</v>
      </c>
    </row>
    <row r="956" spans="1:16" x14ac:dyDescent="0.2">
      <c r="A956" s="18">
        <v>3960096</v>
      </c>
      <c r="B956" s="18" t="s">
        <v>2662</v>
      </c>
      <c r="C956" s="18" t="s">
        <v>121</v>
      </c>
      <c r="D956" s="18" t="s">
        <v>19</v>
      </c>
      <c r="E956" s="19">
        <v>45005</v>
      </c>
      <c r="F956" s="18" t="s">
        <v>2663</v>
      </c>
      <c r="G956" s="19">
        <v>45030</v>
      </c>
      <c r="H956" s="19">
        <v>45040</v>
      </c>
      <c r="I956" s="18"/>
      <c r="J956" s="19" t="b">
        <v>1</v>
      </c>
      <c r="K956" s="19" t="b">
        <v>0</v>
      </c>
      <c r="L956" s="19" t="b">
        <v>0</v>
      </c>
      <c r="M956" s="19" t="b">
        <v>0</v>
      </c>
      <c r="N956" s="19" t="b">
        <v>0</v>
      </c>
      <c r="O956" s="19" t="b">
        <v>0</v>
      </c>
      <c r="P956" s="19" t="b">
        <v>0</v>
      </c>
    </row>
    <row r="957" spans="1:16" x14ac:dyDescent="0.2">
      <c r="A957" s="18">
        <v>9086630</v>
      </c>
      <c r="B957" s="18" t="s">
        <v>2664</v>
      </c>
      <c r="C957" s="18" t="s">
        <v>10</v>
      </c>
      <c r="D957" s="18" t="s">
        <v>60</v>
      </c>
      <c r="E957" s="19">
        <v>44718</v>
      </c>
      <c r="F957" s="18" t="s">
        <v>2665</v>
      </c>
      <c r="G957" s="19">
        <v>44736</v>
      </c>
      <c r="H957" s="19">
        <v>44783</v>
      </c>
      <c r="I957" s="18" t="s">
        <v>28</v>
      </c>
      <c r="J957" s="19" t="b">
        <v>1</v>
      </c>
      <c r="K957" s="19" t="b">
        <v>0</v>
      </c>
      <c r="L957" s="19" t="b">
        <v>0</v>
      </c>
      <c r="M957" s="19" t="b">
        <v>0</v>
      </c>
      <c r="N957" s="19" t="b">
        <v>0</v>
      </c>
      <c r="O957" s="19" t="b">
        <v>0</v>
      </c>
      <c r="P957" s="19" t="b">
        <v>1</v>
      </c>
    </row>
    <row r="958" spans="1:16" x14ac:dyDescent="0.2">
      <c r="A958" s="18">
        <v>9086630</v>
      </c>
      <c r="B958" s="18" t="s">
        <v>2670</v>
      </c>
      <c r="C958" s="18" t="s">
        <v>10</v>
      </c>
      <c r="D958" s="18" t="s">
        <v>60</v>
      </c>
      <c r="E958" s="19">
        <v>44756</v>
      </c>
      <c r="F958" s="18" t="s">
        <v>1177</v>
      </c>
      <c r="G958" s="19">
        <v>44757</v>
      </c>
      <c r="H958" s="19">
        <v>44758</v>
      </c>
      <c r="I958" s="18"/>
      <c r="J958" s="19" t="b">
        <v>1</v>
      </c>
      <c r="K958" s="19" t="b">
        <v>0</v>
      </c>
      <c r="L958" s="19" t="b">
        <v>0</v>
      </c>
      <c r="M958" s="19" t="b">
        <v>0</v>
      </c>
      <c r="N958" s="19" t="b">
        <v>0</v>
      </c>
      <c r="O958" s="19" t="b">
        <v>0</v>
      </c>
      <c r="P958" s="19" t="b">
        <v>0</v>
      </c>
    </row>
    <row r="959" spans="1:16" x14ac:dyDescent="0.2">
      <c r="A959" s="18">
        <v>9400348</v>
      </c>
      <c r="B959" s="18" t="s">
        <v>2671</v>
      </c>
      <c r="C959" s="18" t="s">
        <v>138</v>
      </c>
      <c r="D959" s="18" t="s">
        <v>39</v>
      </c>
      <c r="E959" s="19">
        <v>44944</v>
      </c>
      <c r="F959" s="18" t="s">
        <v>2672</v>
      </c>
      <c r="G959" s="19">
        <v>44957</v>
      </c>
      <c r="H959" s="19">
        <v>44989</v>
      </c>
      <c r="I959" s="18"/>
      <c r="J959" s="19" t="b">
        <v>1</v>
      </c>
      <c r="K959" s="19" t="b">
        <v>0</v>
      </c>
      <c r="L959" s="19" t="b">
        <v>0</v>
      </c>
      <c r="M959" s="19" t="b">
        <v>0</v>
      </c>
      <c r="N959" s="19" t="b">
        <v>0</v>
      </c>
      <c r="O959" s="19" t="b">
        <v>0</v>
      </c>
      <c r="P959" s="19" t="b">
        <v>0</v>
      </c>
    </row>
    <row r="960" spans="1:16" x14ac:dyDescent="0.2">
      <c r="A960" s="18">
        <v>9400348</v>
      </c>
      <c r="B960" s="18" t="s">
        <v>2673</v>
      </c>
      <c r="C960" s="18" t="s">
        <v>138</v>
      </c>
      <c r="D960" s="18" t="s">
        <v>39</v>
      </c>
      <c r="E960" s="19">
        <v>44601</v>
      </c>
      <c r="F960" s="18" t="s">
        <v>2674</v>
      </c>
      <c r="G960" s="19">
        <v>44631</v>
      </c>
      <c r="H960" s="19">
        <v>44639</v>
      </c>
      <c r="I960" s="18" t="s">
        <v>16</v>
      </c>
      <c r="J960" s="19" t="b">
        <v>1</v>
      </c>
      <c r="K960" s="19" t="b">
        <v>0</v>
      </c>
      <c r="L960" s="19" t="b">
        <v>0</v>
      </c>
      <c r="M960" s="19" t="b">
        <v>0</v>
      </c>
      <c r="N960" s="19" t="b">
        <v>1</v>
      </c>
      <c r="O960" s="19" t="b">
        <v>0</v>
      </c>
      <c r="P960" s="19" t="b">
        <v>0</v>
      </c>
    </row>
    <row r="961" spans="1:16" x14ac:dyDescent="0.2">
      <c r="A961" s="18">
        <v>9400348</v>
      </c>
      <c r="B961" s="18" t="s">
        <v>2675</v>
      </c>
      <c r="C961" s="18" t="s">
        <v>138</v>
      </c>
      <c r="D961" s="18" t="s">
        <v>39</v>
      </c>
      <c r="E961" s="19">
        <v>45008</v>
      </c>
      <c r="F961" s="18" t="s">
        <v>2676</v>
      </c>
      <c r="G961" s="19">
        <v>45017</v>
      </c>
      <c r="H961" s="19">
        <v>45067</v>
      </c>
      <c r="I961" s="18" t="s">
        <v>43</v>
      </c>
      <c r="J961" s="19" t="b">
        <v>1</v>
      </c>
      <c r="K961" s="19" t="b">
        <v>0</v>
      </c>
      <c r="L961" s="19" t="b">
        <v>0</v>
      </c>
      <c r="M961" s="19" t="b">
        <v>0</v>
      </c>
      <c r="N961" s="19" t="b">
        <v>0</v>
      </c>
      <c r="O961" s="19" t="b">
        <v>1</v>
      </c>
      <c r="P961" s="19" t="b">
        <v>0</v>
      </c>
    </row>
    <row r="962" spans="1:16" x14ac:dyDescent="0.2">
      <c r="A962" s="18">
        <v>9400348</v>
      </c>
      <c r="B962" s="18" t="s">
        <v>2677</v>
      </c>
      <c r="C962" s="18" t="s">
        <v>138</v>
      </c>
      <c r="D962" s="18" t="s">
        <v>39</v>
      </c>
      <c r="E962" s="19">
        <v>45062</v>
      </c>
      <c r="F962" s="18" t="s">
        <v>330</v>
      </c>
      <c r="G962" s="19">
        <v>45083</v>
      </c>
      <c r="H962" s="19">
        <v>45128</v>
      </c>
      <c r="I962" s="18" t="s">
        <v>28</v>
      </c>
      <c r="J962" s="19" t="b">
        <v>1</v>
      </c>
      <c r="K962" s="19" t="b">
        <v>0</v>
      </c>
      <c r="L962" s="19" t="b">
        <v>0</v>
      </c>
      <c r="M962" s="19" t="b">
        <v>0</v>
      </c>
      <c r="N962" s="19" t="b">
        <v>0</v>
      </c>
      <c r="O962" s="19" t="b">
        <v>0</v>
      </c>
      <c r="P962" s="19" t="b">
        <v>1</v>
      </c>
    </row>
    <row r="963" spans="1:16" x14ac:dyDescent="0.2">
      <c r="A963" s="18">
        <v>7177044</v>
      </c>
      <c r="B963" s="18" t="s">
        <v>2678</v>
      </c>
      <c r="C963" s="18" t="s">
        <v>240</v>
      </c>
      <c r="D963" s="18" t="s">
        <v>56</v>
      </c>
      <c r="E963" s="19">
        <v>44597</v>
      </c>
      <c r="F963" s="18" t="s">
        <v>1858</v>
      </c>
      <c r="G963" s="19">
        <v>44627</v>
      </c>
      <c r="H963" s="19">
        <v>44680</v>
      </c>
      <c r="I963" s="18" t="s">
        <v>43</v>
      </c>
      <c r="J963" s="19" t="b">
        <v>1</v>
      </c>
      <c r="K963" s="19" t="b">
        <v>0</v>
      </c>
      <c r="L963" s="19" t="b">
        <v>0</v>
      </c>
      <c r="M963" s="19" t="b">
        <v>0</v>
      </c>
      <c r="N963" s="19" t="b">
        <v>0</v>
      </c>
      <c r="O963" s="19" t="b">
        <v>1</v>
      </c>
      <c r="P963" s="19" t="b">
        <v>0</v>
      </c>
    </row>
    <row r="964" spans="1:16" x14ac:dyDescent="0.2">
      <c r="A964" s="18">
        <v>7177044</v>
      </c>
      <c r="B964" s="18" t="s">
        <v>2679</v>
      </c>
      <c r="C964" s="18" t="s">
        <v>240</v>
      </c>
      <c r="D964" s="18" t="s">
        <v>56</v>
      </c>
      <c r="E964" s="19">
        <v>44713</v>
      </c>
      <c r="F964" s="18" t="s">
        <v>1120</v>
      </c>
      <c r="G964" s="19">
        <v>44722</v>
      </c>
      <c r="H964" s="19">
        <v>44761</v>
      </c>
      <c r="I964" s="18" t="s">
        <v>16</v>
      </c>
      <c r="J964" s="19" t="b">
        <v>1</v>
      </c>
      <c r="K964" s="19" t="b">
        <v>0</v>
      </c>
      <c r="L964" s="19" t="b">
        <v>0</v>
      </c>
      <c r="M964" s="19" t="b">
        <v>0</v>
      </c>
      <c r="N964" s="19" t="b">
        <v>1</v>
      </c>
      <c r="O964" s="19" t="b">
        <v>0</v>
      </c>
      <c r="P964" s="19" t="b">
        <v>0</v>
      </c>
    </row>
    <row r="965" spans="1:16" x14ac:dyDescent="0.2">
      <c r="A965" s="18">
        <v>7177044</v>
      </c>
      <c r="B965" s="18" t="s">
        <v>2680</v>
      </c>
      <c r="C965" s="18" t="s">
        <v>240</v>
      </c>
      <c r="D965" s="18" t="s">
        <v>56</v>
      </c>
      <c r="E965" s="19">
        <v>44727</v>
      </c>
      <c r="F965" s="18" t="s">
        <v>2681</v>
      </c>
      <c r="G965" s="19">
        <v>44728</v>
      </c>
      <c r="H965" s="19">
        <v>44736</v>
      </c>
      <c r="I965" s="18" t="s">
        <v>43</v>
      </c>
      <c r="J965" s="19" t="b">
        <v>1</v>
      </c>
      <c r="K965" s="19" t="b">
        <v>0</v>
      </c>
      <c r="L965" s="19" t="b">
        <v>0</v>
      </c>
      <c r="M965" s="19" t="b">
        <v>0</v>
      </c>
      <c r="N965" s="19" t="b">
        <v>0</v>
      </c>
      <c r="O965" s="19" t="b">
        <v>1</v>
      </c>
      <c r="P965" s="19" t="b">
        <v>0</v>
      </c>
    </row>
    <row r="966" spans="1:16" x14ac:dyDescent="0.2">
      <c r="A966" s="18">
        <v>7177044</v>
      </c>
      <c r="B966" s="18" t="s">
        <v>2682</v>
      </c>
      <c r="C966" s="18" t="s">
        <v>240</v>
      </c>
      <c r="D966" s="18" t="s">
        <v>56</v>
      </c>
      <c r="E966" s="19">
        <v>44644</v>
      </c>
      <c r="F966" s="18" t="s">
        <v>245</v>
      </c>
      <c r="G966" s="19">
        <v>44661</v>
      </c>
      <c r="H966" s="19">
        <v>44720</v>
      </c>
      <c r="I966" s="18"/>
      <c r="J966" s="19" t="b">
        <v>1</v>
      </c>
      <c r="K966" s="19" t="b">
        <v>0</v>
      </c>
      <c r="L966" s="19" t="b">
        <v>0</v>
      </c>
      <c r="M966" s="19" t="b">
        <v>0</v>
      </c>
      <c r="N966" s="19" t="b">
        <v>0</v>
      </c>
      <c r="O966" s="19" t="b">
        <v>0</v>
      </c>
      <c r="P966" s="19" t="b">
        <v>0</v>
      </c>
    </row>
    <row r="967" spans="1:16" x14ac:dyDescent="0.2">
      <c r="A967" s="18">
        <v>4167928</v>
      </c>
      <c r="B967" s="18" t="s">
        <v>2683</v>
      </c>
      <c r="C967" s="18" t="s">
        <v>131</v>
      </c>
      <c r="D967" s="18" t="s">
        <v>60</v>
      </c>
      <c r="E967" s="19">
        <v>45074</v>
      </c>
      <c r="F967" s="18" t="s">
        <v>2684</v>
      </c>
      <c r="G967" s="19">
        <v>45092</v>
      </c>
      <c r="H967" s="19">
        <v>45135</v>
      </c>
      <c r="I967" s="18" t="s">
        <v>28</v>
      </c>
      <c r="J967" s="19" t="b">
        <v>1</v>
      </c>
      <c r="K967" s="19" t="b">
        <v>0</v>
      </c>
      <c r="L967" s="19" t="b">
        <v>0</v>
      </c>
      <c r="M967" s="19" t="b">
        <v>0</v>
      </c>
      <c r="N967" s="19" t="b">
        <v>0</v>
      </c>
      <c r="O967" s="19" t="b">
        <v>0</v>
      </c>
      <c r="P967" s="19" t="b">
        <v>1</v>
      </c>
    </row>
    <row r="968" spans="1:16" x14ac:dyDescent="0.2">
      <c r="A968" s="18">
        <v>4167928</v>
      </c>
      <c r="B968" s="18" t="s">
        <v>2685</v>
      </c>
      <c r="C968" s="18" t="s">
        <v>131</v>
      </c>
      <c r="D968" s="18" t="s">
        <v>60</v>
      </c>
      <c r="E968" s="19">
        <v>44653</v>
      </c>
      <c r="F968" s="18" t="s">
        <v>2686</v>
      </c>
      <c r="G968" s="19">
        <v>44657</v>
      </c>
      <c r="H968" s="19">
        <v>44698</v>
      </c>
      <c r="I968" s="18" t="s">
        <v>28</v>
      </c>
      <c r="J968" s="19" t="b">
        <v>1</v>
      </c>
      <c r="K968" s="19" t="b">
        <v>0</v>
      </c>
      <c r="L968" s="19" t="b">
        <v>0</v>
      </c>
      <c r="M968" s="19" t="b">
        <v>0</v>
      </c>
      <c r="N968" s="19" t="b">
        <v>0</v>
      </c>
      <c r="O968" s="19" t="b">
        <v>0</v>
      </c>
      <c r="P968" s="19" t="b">
        <v>1</v>
      </c>
    </row>
    <row r="969" spans="1:16" x14ac:dyDescent="0.2">
      <c r="A969" s="18">
        <v>6777952</v>
      </c>
      <c r="B969" s="18" t="s">
        <v>2687</v>
      </c>
      <c r="C969" s="18" t="s">
        <v>150</v>
      </c>
      <c r="D969" s="18" t="s">
        <v>187</v>
      </c>
      <c r="E969" s="19">
        <v>44568</v>
      </c>
      <c r="F969" s="18" t="s">
        <v>2684</v>
      </c>
      <c r="G969" s="19">
        <v>44574</v>
      </c>
      <c r="H969" s="19">
        <v>44627</v>
      </c>
      <c r="I969" s="18"/>
      <c r="J969" s="19" t="b">
        <v>1</v>
      </c>
      <c r="K969" s="19" t="b">
        <v>0</v>
      </c>
      <c r="L969" s="19" t="b">
        <v>0</v>
      </c>
      <c r="M969" s="19" t="b">
        <v>0</v>
      </c>
      <c r="N969" s="19" t="b">
        <v>0</v>
      </c>
      <c r="O969" s="19" t="b">
        <v>0</v>
      </c>
      <c r="P969" s="19" t="b">
        <v>0</v>
      </c>
    </row>
    <row r="970" spans="1:16" x14ac:dyDescent="0.2">
      <c r="A970" s="18">
        <v>6777952</v>
      </c>
      <c r="B970" s="18" t="s">
        <v>2688</v>
      </c>
      <c r="C970" s="18" t="s">
        <v>150</v>
      </c>
      <c r="D970" s="18" t="s">
        <v>187</v>
      </c>
      <c r="E970" s="19">
        <v>44989</v>
      </c>
      <c r="F970" s="18" t="s">
        <v>236</v>
      </c>
      <c r="G970" s="19">
        <v>45006</v>
      </c>
      <c r="H970" s="19">
        <v>45033</v>
      </c>
      <c r="I970" s="18" t="s">
        <v>16</v>
      </c>
      <c r="J970" s="19" t="b">
        <v>1</v>
      </c>
      <c r="K970" s="19" t="b">
        <v>0</v>
      </c>
      <c r="L970" s="19" t="b">
        <v>0</v>
      </c>
      <c r="M970" s="19" t="b">
        <v>0</v>
      </c>
      <c r="N970" s="19" t="b">
        <v>1</v>
      </c>
      <c r="O970" s="19" t="b">
        <v>0</v>
      </c>
      <c r="P970" s="19" t="b">
        <v>0</v>
      </c>
    </row>
    <row r="971" spans="1:16" x14ac:dyDescent="0.2">
      <c r="A971" s="18">
        <v>6777952</v>
      </c>
      <c r="B971" s="18" t="s">
        <v>2689</v>
      </c>
      <c r="C971" s="18" t="s">
        <v>150</v>
      </c>
      <c r="D971" s="18" t="s">
        <v>187</v>
      </c>
      <c r="E971" s="19">
        <v>44945</v>
      </c>
      <c r="F971" s="18" t="s">
        <v>1526</v>
      </c>
      <c r="G971" s="19">
        <v>44951</v>
      </c>
      <c r="H971" s="19">
        <v>44997</v>
      </c>
      <c r="I971" s="18"/>
      <c r="J971" s="19" t="b">
        <v>1</v>
      </c>
      <c r="K971" s="19" t="b">
        <v>0</v>
      </c>
      <c r="L971" s="19" t="b">
        <v>0</v>
      </c>
      <c r="M971" s="19" t="b">
        <v>0</v>
      </c>
      <c r="N971" s="19" t="b">
        <v>0</v>
      </c>
      <c r="O971" s="19" t="b">
        <v>0</v>
      </c>
      <c r="P971" s="19" t="b">
        <v>0</v>
      </c>
    </row>
    <row r="972" spans="1:16" x14ac:dyDescent="0.2">
      <c r="A972" s="18">
        <v>3253718</v>
      </c>
      <c r="B972" s="18" t="s">
        <v>2690</v>
      </c>
      <c r="C972" s="18" t="s">
        <v>454</v>
      </c>
      <c r="D972" s="18" t="s">
        <v>77</v>
      </c>
      <c r="E972" s="19">
        <v>44779</v>
      </c>
      <c r="F972" s="18" t="s">
        <v>2691</v>
      </c>
      <c r="G972" s="19">
        <v>44785</v>
      </c>
      <c r="H972" s="19">
        <v>44798</v>
      </c>
      <c r="I972" s="18" t="s">
        <v>16</v>
      </c>
      <c r="J972" s="19" t="b">
        <v>1</v>
      </c>
      <c r="K972" s="19" t="b">
        <v>0</v>
      </c>
      <c r="L972" s="19" t="b">
        <v>0</v>
      </c>
      <c r="M972" s="19" t="b">
        <v>0</v>
      </c>
      <c r="N972" s="19" t="b">
        <v>1</v>
      </c>
      <c r="O972" s="19" t="b">
        <v>0</v>
      </c>
      <c r="P972" s="19" t="b">
        <v>0</v>
      </c>
    </row>
    <row r="973" spans="1:16" x14ac:dyDescent="0.2">
      <c r="A973" s="18">
        <v>7858398</v>
      </c>
      <c r="B973" s="18" t="s">
        <v>2694</v>
      </c>
      <c r="C973" s="18" t="s">
        <v>287</v>
      </c>
      <c r="D973" s="18" t="s">
        <v>81</v>
      </c>
      <c r="E973" s="19">
        <v>44649</v>
      </c>
      <c r="F973" s="18" t="s">
        <v>2695</v>
      </c>
      <c r="G973" s="19">
        <v>44662</v>
      </c>
      <c r="H973" s="19">
        <v>44670</v>
      </c>
      <c r="I973" s="18" t="s">
        <v>43</v>
      </c>
      <c r="J973" s="19" t="b">
        <v>1</v>
      </c>
      <c r="K973" s="19" t="b">
        <v>0</v>
      </c>
      <c r="L973" s="19" t="b">
        <v>0</v>
      </c>
      <c r="M973" s="19" t="b">
        <v>0</v>
      </c>
      <c r="N973" s="19" t="b">
        <v>0</v>
      </c>
      <c r="O973" s="19" t="b">
        <v>1</v>
      </c>
      <c r="P973" s="19" t="b">
        <v>0</v>
      </c>
    </row>
    <row r="974" spans="1:16" x14ac:dyDescent="0.2">
      <c r="A974" s="18">
        <v>5643299</v>
      </c>
      <c r="B974" s="18" t="s">
        <v>2696</v>
      </c>
      <c r="C974" s="18" t="s">
        <v>76</v>
      </c>
      <c r="D974" s="18" t="s">
        <v>39</v>
      </c>
      <c r="E974" s="19">
        <v>44665</v>
      </c>
      <c r="F974" s="18" t="s">
        <v>2697</v>
      </c>
      <c r="G974" s="19">
        <v>44666</v>
      </c>
      <c r="H974" s="19">
        <v>44670</v>
      </c>
      <c r="I974" s="18"/>
      <c r="J974" s="19" t="b">
        <v>1</v>
      </c>
      <c r="K974" s="19" t="b">
        <v>0</v>
      </c>
      <c r="L974" s="19" t="b">
        <v>0</v>
      </c>
      <c r="M974" s="19" t="b">
        <v>0</v>
      </c>
      <c r="N974" s="19" t="b">
        <v>0</v>
      </c>
      <c r="O974" s="19" t="b">
        <v>0</v>
      </c>
      <c r="P974" s="19" t="b">
        <v>0</v>
      </c>
    </row>
    <row r="975" spans="1:16" x14ac:dyDescent="0.2">
      <c r="A975" s="18">
        <v>5464094</v>
      </c>
      <c r="B975" s="18" t="s">
        <v>2698</v>
      </c>
      <c r="C975" s="18" t="s">
        <v>35</v>
      </c>
      <c r="D975" s="18" t="s">
        <v>56</v>
      </c>
      <c r="E975" s="19">
        <v>45096</v>
      </c>
      <c r="F975" s="18" t="s">
        <v>2699</v>
      </c>
      <c r="G975" s="19">
        <v>45122</v>
      </c>
      <c r="H975" s="19">
        <v>45123</v>
      </c>
      <c r="I975" s="18" t="s">
        <v>16</v>
      </c>
      <c r="J975" s="19" t="b">
        <v>1</v>
      </c>
      <c r="K975" s="19" t="b">
        <v>0</v>
      </c>
      <c r="L975" s="19" t="b">
        <v>0</v>
      </c>
      <c r="M975" s="19" t="b">
        <v>0</v>
      </c>
      <c r="N975" s="19" t="b">
        <v>1</v>
      </c>
      <c r="O975" s="19" t="b">
        <v>0</v>
      </c>
      <c r="P975" s="19" t="b">
        <v>0</v>
      </c>
    </row>
    <row r="976" spans="1:16" x14ac:dyDescent="0.2">
      <c r="A976" s="18">
        <v>5464094</v>
      </c>
      <c r="B976" s="18" t="s">
        <v>2700</v>
      </c>
      <c r="C976" s="18" t="s">
        <v>35</v>
      </c>
      <c r="D976" s="18" t="s">
        <v>56</v>
      </c>
      <c r="E976" s="19">
        <v>45046</v>
      </c>
      <c r="F976" s="18" t="s">
        <v>1086</v>
      </c>
      <c r="G976" s="19">
        <v>45071</v>
      </c>
      <c r="H976" s="19">
        <v>45093</v>
      </c>
      <c r="I976" s="18" t="s">
        <v>28</v>
      </c>
      <c r="J976" s="19" t="b">
        <v>1</v>
      </c>
      <c r="K976" s="19" t="b">
        <v>0</v>
      </c>
      <c r="L976" s="19" t="b">
        <v>0</v>
      </c>
      <c r="M976" s="19" t="b">
        <v>0</v>
      </c>
      <c r="N976" s="19" t="b">
        <v>0</v>
      </c>
      <c r="O976" s="19" t="b">
        <v>0</v>
      </c>
      <c r="P976" s="19" t="b">
        <v>1</v>
      </c>
    </row>
    <row r="977" spans="1:16" x14ac:dyDescent="0.2">
      <c r="A977" s="18">
        <v>5464094</v>
      </c>
      <c r="B977" s="18" t="s">
        <v>2701</v>
      </c>
      <c r="C977" s="18" t="s">
        <v>35</v>
      </c>
      <c r="D977" s="18" t="s">
        <v>56</v>
      </c>
      <c r="E977" s="19">
        <v>44913</v>
      </c>
      <c r="F977" s="18" t="s">
        <v>530</v>
      </c>
      <c r="G977" s="19">
        <v>44924</v>
      </c>
      <c r="H977" s="19">
        <v>44977</v>
      </c>
      <c r="I977" s="18" t="s">
        <v>28</v>
      </c>
      <c r="J977" s="19" t="b">
        <v>1</v>
      </c>
      <c r="K977" s="19" t="b">
        <v>0</v>
      </c>
      <c r="L977" s="19" t="b">
        <v>0</v>
      </c>
      <c r="M977" s="19" t="b">
        <v>0</v>
      </c>
      <c r="N977" s="19" t="b">
        <v>0</v>
      </c>
      <c r="O977" s="19" t="b">
        <v>0</v>
      </c>
      <c r="P977" s="19" t="b">
        <v>1</v>
      </c>
    </row>
    <row r="978" spans="1:16" x14ac:dyDescent="0.2">
      <c r="A978" s="18">
        <v>5464094</v>
      </c>
      <c r="B978" s="18" t="s">
        <v>2704</v>
      </c>
      <c r="C978" s="18" t="s">
        <v>35</v>
      </c>
      <c r="D978" s="18" t="s">
        <v>56</v>
      </c>
      <c r="E978" s="19">
        <v>44664</v>
      </c>
      <c r="F978" s="18" t="s">
        <v>2705</v>
      </c>
      <c r="G978" s="19">
        <v>44665</v>
      </c>
      <c r="H978" s="19">
        <v>44695</v>
      </c>
      <c r="I978" s="18" t="s">
        <v>28</v>
      </c>
      <c r="J978" s="19" t="b">
        <v>1</v>
      </c>
      <c r="K978" s="19" t="b">
        <v>0</v>
      </c>
      <c r="L978" s="19" t="b">
        <v>0</v>
      </c>
      <c r="M978" s="19" t="b">
        <v>0</v>
      </c>
      <c r="N978" s="19" t="b">
        <v>0</v>
      </c>
      <c r="O978" s="19" t="b">
        <v>0</v>
      </c>
      <c r="P978" s="19" t="b">
        <v>1</v>
      </c>
    </row>
    <row r="979" spans="1:16" x14ac:dyDescent="0.2">
      <c r="A979" s="18">
        <v>7741225</v>
      </c>
      <c r="B979" s="18" t="s">
        <v>2706</v>
      </c>
      <c r="C979" s="18" t="s">
        <v>138</v>
      </c>
      <c r="D979" s="18" t="s">
        <v>187</v>
      </c>
      <c r="E979" s="19">
        <v>44816</v>
      </c>
      <c r="F979" s="18" t="s">
        <v>2707</v>
      </c>
      <c r="G979" s="19">
        <v>44828</v>
      </c>
      <c r="H979" s="19">
        <v>44857</v>
      </c>
      <c r="I979" s="18" t="s">
        <v>28</v>
      </c>
      <c r="J979" s="19" t="b">
        <v>1</v>
      </c>
      <c r="K979" s="19" t="b">
        <v>0</v>
      </c>
      <c r="L979" s="19" t="b">
        <v>0</v>
      </c>
      <c r="M979" s="19" t="b">
        <v>0</v>
      </c>
      <c r="N979" s="19" t="b">
        <v>0</v>
      </c>
      <c r="O979" s="19" t="b">
        <v>0</v>
      </c>
      <c r="P979" s="19" t="b">
        <v>1</v>
      </c>
    </row>
    <row r="980" spans="1:16" x14ac:dyDescent="0.2">
      <c r="A980" s="18">
        <v>8972523</v>
      </c>
      <c r="B980" s="18" t="s">
        <v>2709</v>
      </c>
      <c r="C980" s="18" t="s">
        <v>80</v>
      </c>
      <c r="D980" s="18" t="s">
        <v>60</v>
      </c>
      <c r="E980" s="19">
        <v>44930</v>
      </c>
      <c r="F980" s="18" t="s">
        <v>2710</v>
      </c>
      <c r="G980" s="19">
        <v>44958</v>
      </c>
      <c r="H980" s="19">
        <v>44961</v>
      </c>
      <c r="I980" s="18" t="s">
        <v>28</v>
      </c>
      <c r="J980" s="19" t="b">
        <v>1</v>
      </c>
      <c r="K980" s="19" t="b">
        <v>0</v>
      </c>
      <c r="L980" s="19" t="b">
        <v>0</v>
      </c>
      <c r="M980" s="19" t="b">
        <v>0</v>
      </c>
      <c r="N980" s="19" t="b">
        <v>0</v>
      </c>
      <c r="O980" s="19" t="b">
        <v>0</v>
      </c>
      <c r="P980" s="19" t="b">
        <v>1</v>
      </c>
    </row>
    <row r="981" spans="1:16" x14ac:dyDescent="0.2">
      <c r="A981" s="18">
        <v>8454220</v>
      </c>
      <c r="B981" s="18" t="s">
        <v>2711</v>
      </c>
      <c r="C981" s="18" t="s">
        <v>93</v>
      </c>
      <c r="D981" s="18" t="s">
        <v>81</v>
      </c>
      <c r="E981" s="19">
        <v>45049</v>
      </c>
      <c r="F981" s="18" t="s">
        <v>2712</v>
      </c>
      <c r="G981" s="19">
        <v>45071</v>
      </c>
      <c r="H981" s="19">
        <v>45126</v>
      </c>
      <c r="I981" s="18" t="s">
        <v>16</v>
      </c>
      <c r="J981" s="19" t="b">
        <v>1</v>
      </c>
      <c r="K981" s="19" t="b">
        <v>0</v>
      </c>
      <c r="L981" s="19" t="b">
        <v>0</v>
      </c>
      <c r="M981" s="19" t="b">
        <v>0</v>
      </c>
      <c r="N981" s="19" t="b">
        <v>1</v>
      </c>
      <c r="O981" s="19" t="b">
        <v>0</v>
      </c>
      <c r="P981" s="19" t="b">
        <v>0</v>
      </c>
    </row>
    <row r="982" spans="1:16" x14ac:dyDescent="0.2">
      <c r="A982" s="18">
        <v>8454220</v>
      </c>
      <c r="B982" s="18" t="s">
        <v>2713</v>
      </c>
      <c r="C982" s="18" t="s">
        <v>93</v>
      </c>
      <c r="D982" s="18" t="s">
        <v>81</v>
      </c>
      <c r="E982" s="19">
        <v>44862</v>
      </c>
      <c r="F982" s="18" t="s">
        <v>2714</v>
      </c>
      <c r="G982" s="19">
        <v>44882</v>
      </c>
      <c r="H982" s="19">
        <v>44895</v>
      </c>
      <c r="I982" s="18" t="s">
        <v>16</v>
      </c>
      <c r="J982" s="19" t="b">
        <v>1</v>
      </c>
      <c r="K982" s="19" t="b">
        <v>0</v>
      </c>
      <c r="L982" s="19" t="b">
        <v>0</v>
      </c>
      <c r="M982" s="19" t="b">
        <v>0</v>
      </c>
      <c r="N982" s="19" t="b">
        <v>1</v>
      </c>
      <c r="O982" s="19" t="b">
        <v>0</v>
      </c>
      <c r="P982" s="19" t="b">
        <v>0</v>
      </c>
    </row>
    <row r="983" spans="1:16" x14ac:dyDescent="0.2">
      <c r="A983" s="18">
        <v>8454220</v>
      </c>
      <c r="B983" s="18" t="s">
        <v>2715</v>
      </c>
      <c r="C983" s="18" t="s">
        <v>93</v>
      </c>
      <c r="D983" s="18" t="s">
        <v>81</v>
      </c>
      <c r="E983" s="19">
        <v>44651</v>
      </c>
      <c r="F983" s="18" t="s">
        <v>1588</v>
      </c>
      <c r="G983" s="19">
        <v>44661</v>
      </c>
      <c r="H983" s="19">
        <v>44715</v>
      </c>
      <c r="I983" s="18" t="s">
        <v>16</v>
      </c>
      <c r="J983" s="19" t="b">
        <v>1</v>
      </c>
      <c r="K983" s="19" t="b">
        <v>0</v>
      </c>
      <c r="L983" s="19" t="b">
        <v>0</v>
      </c>
      <c r="M983" s="19" t="b">
        <v>0</v>
      </c>
      <c r="N983" s="19" t="b">
        <v>1</v>
      </c>
      <c r="O983" s="19" t="b">
        <v>0</v>
      </c>
      <c r="P983" s="19" t="b">
        <v>0</v>
      </c>
    </row>
    <row r="984" spans="1:16" x14ac:dyDescent="0.2">
      <c r="A984" s="18">
        <v>8454220</v>
      </c>
      <c r="B984" s="18" t="s">
        <v>2716</v>
      </c>
      <c r="C984" s="18" t="s">
        <v>93</v>
      </c>
      <c r="D984" s="18" t="s">
        <v>81</v>
      </c>
      <c r="E984" s="19">
        <v>45018</v>
      </c>
      <c r="F984" s="18" t="s">
        <v>2717</v>
      </c>
      <c r="G984" s="19">
        <v>45022</v>
      </c>
      <c r="H984" s="19">
        <v>45053</v>
      </c>
      <c r="I984" s="18"/>
      <c r="J984" s="19" t="b">
        <v>1</v>
      </c>
      <c r="K984" s="19" t="b">
        <v>0</v>
      </c>
      <c r="L984" s="19" t="b">
        <v>0</v>
      </c>
      <c r="M984" s="19" t="b">
        <v>0</v>
      </c>
      <c r="N984" s="19" t="b">
        <v>0</v>
      </c>
      <c r="O984" s="19" t="b">
        <v>0</v>
      </c>
      <c r="P984" s="19" t="b">
        <v>0</v>
      </c>
    </row>
    <row r="985" spans="1:16" x14ac:dyDescent="0.2">
      <c r="A985" s="18">
        <v>5041658</v>
      </c>
      <c r="B985" s="18" t="s">
        <v>2718</v>
      </c>
      <c r="C985" s="18" t="s">
        <v>93</v>
      </c>
      <c r="D985" s="18" t="s">
        <v>19</v>
      </c>
      <c r="E985" s="19">
        <v>44591</v>
      </c>
      <c r="F985" s="18" t="s">
        <v>251</v>
      </c>
      <c r="G985" s="19">
        <v>44597</v>
      </c>
      <c r="H985" s="19">
        <v>44657</v>
      </c>
      <c r="I985" s="18" t="s">
        <v>16</v>
      </c>
      <c r="J985" s="19" t="b">
        <v>1</v>
      </c>
      <c r="K985" s="19" t="b">
        <v>0</v>
      </c>
      <c r="L985" s="19" t="b">
        <v>0</v>
      </c>
      <c r="M985" s="19" t="b">
        <v>0</v>
      </c>
      <c r="N985" s="19" t="b">
        <v>1</v>
      </c>
      <c r="O985" s="19" t="b">
        <v>0</v>
      </c>
      <c r="P985" s="19" t="b">
        <v>0</v>
      </c>
    </row>
    <row r="986" spans="1:16" x14ac:dyDescent="0.2">
      <c r="A986" s="18">
        <v>5041658</v>
      </c>
      <c r="B986" s="18" t="s">
        <v>2719</v>
      </c>
      <c r="C986" s="18" t="s">
        <v>93</v>
      </c>
      <c r="D986" s="18" t="s">
        <v>19</v>
      </c>
      <c r="E986" s="19">
        <v>44787</v>
      </c>
      <c r="F986" s="18" t="s">
        <v>2720</v>
      </c>
      <c r="G986" s="19">
        <v>44811</v>
      </c>
      <c r="H986" s="19">
        <v>44828</v>
      </c>
      <c r="I986" s="18"/>
      <c r="J986" s="19" t="b">
        <v>1</v>
      </c>
      <c r="K986" s="19" t="b">
        <v>0</v>
      </c>
      <c r="L986" s="19" t="b">
        <v>0</v>
      </c>
      <c r="M986" s="19" t="b">
        <v>0</v>
      </c>
      <c r="N986" s="19" t="b">
        <v>0</v>
      </c>
      <c r="O986" s="19" t="b">
        <v>0</v>
      </c>
      <c r="P986" s="19" t="b">
        <v>0</v>
      </c>
    </row>
    <row r="987" spans="1:16" x14ac:dyDescent="0.2">
      <c r="A987" s="18">
        <v>8991026</v>
      </c>
      <c r="B987" s="18" t="s">
        <v>2721</v>
      </c>
      <c r="C987" s="18" t="s">
        <v>131</v>
      </c>
      <c r="D987" s="18" t="s">
        <v>122</v>
      </c>
      <c r="E987" s="19">
        <v>44902</v>
      </c>
      <c r="F987" s="18" t="s">
        <v>2722</v>
      </c>
      <c r="G987" s="19">
        <v>44930</v>
      </c>
      <c r="H987" s="19">
        <v>44945</v>
      </c>
      <c r="I987" s="18"/>
      <c r="J987" s="19" t="b">
        <v>1</v>
      </c>
      <c r="K987" s="19" t="b">
        <v>0</v>
      </c>
      <c r="L987" s="19" t="b">
        <v>0</v>
      </c>
      <c r="M987" s="19" t="b">
        <v>0</v>
      </c>
      <c r="N987" s="19" t="b">
        <v>0</v>
      </c>
      <c r="O987" s="19" t="b">
        <v>0</v>
      </c>
      <c r="P987" s="19" t="b">
        <v>0</v>
      </c>
    </row>
    <row r="988" spans="1:16" x14ac:dyDescent="0.2">
      <c r="A988" s="18">
        <v>8991026</v>
      </c>
      <c r="B988" s="18" t="s">
        <v>2723</v>
      </c>
      <c r="C988" s="18" t="s">
        <v>131</v>
      </c>
      <c r="D988" s="18" t="s">
        <v>122</v>
      </c>
      <c r="E988" s="19">
        <v>44948</v>
      </c>
      <c r="F988" s="18" t="s">
        <v>249</v>
      </c>
      <c r="G988" s="19">
        <v>44978</v>
      </c>
      <c r="H988" s="19">
        <v>45024</v>
      </c>
      <c r="I988" s="18" t="s">
        <v>16</v>
      </c>
      <c r="J988" s="19" t="b">
        <v>1</v>
      </c>
      <c r="K988" s="19" t="b">
        <v>0</v>
      </c>
      <c r="L988" s="19" t="b">
        <v>0</v>
      </c>
      <c r="M988" s="19" t="b">
        <v>0</v>
      </c>
      <c r="N988" s="19" t="b">
        <v>1</v>
      </c>
      <c r="O988" s="19" t="b">
        <v>0</v>
      </c>
      <c r="P988" s="19" t="b">
        <v>0</v>
      </c>
    </row>
    <row r="989" spans="1:16" x14ac:dyDescent="0.2">
      <c r="A989" s="18">
        <v>7403032</v>
      </c>
      <c r="B989" s="18" t="s">
        <v>2724</v>
      </c>
      <c r="C989" s="18" t="s">
        <v>265</v>
      </c>
      <c r="D989" s="18" t="s">
        <v>139</v>
      </c>
      <c r="E989" s="19">
        <v>44859</v>
      </c>
      <c r="F989" s="18" t="s">
        <v>2725</v>
      </c>
      <c r="G989" s="19">
        <v>44862</v>
      </c>
      <c r="H989" s="19">
        <v>44870</v>
      </c>
      <c r="I989" s="18" t="s">
        <v>43</v>
      </c>
      <c r="J989" s="19" t="b">
        <v>1</v>
      </c>
      <c r="K989" s="19" t="b">
        <v>0</v>
      </c>
      <c r="L989" s="19" t="b">
        <v>0</v>
      </c>
      <c r="M989" s="19" t="b">
        <v>0</v>
      </c>
      <c r="N989" s="19" t="b">
        <v>0</v>
      </c>
      <c r="O989" s="19" t="b">
        <v>1</v>
      </c>
      <c r="P989" s="19" t="b">
        <v>0</v>
      </c>
    </row>
    <row r="990" spans="1:16" x14ac:dyDescent="0.2">
      <c r="A990" s="18">
        <v>7403032</v>
      </c>
      <c r="B990" s="18" t="s">
        <v>2727</v>
      </c>
      <c r="C990" s="18" t="s">
        <v>265</v>
      </c>
      <c r="D990" s="18" t="s">
        <v>139</v>
      </c>
      <c r="E990" s="19">
        <v>44882</v>
      </c>
      <c r="F990" s="18" t="s">
        <v>2093</v>
      </c>
      <c r="G990" s="19">
        <v>44895</v>
      </c>
      <c r="H990" s="19">
        <v>44932</v>
      </c>
      <c r="I990" s="18" t="s">
        <v>28</v>
      </c>
      <c r="J990" s="19" t="b">
        <v>1</v>
      </c>
      <c r="K990" s="19" t="b">
        <v>0</v>
      </c>
      <c r="L990" s="19" t="b">
        <v>0</v>
      </c>
      <c r="M990" s="19" t="b">
        <v>0</v>
      </c>
      <c r="N990" s="19" t="b">
        <v>0</v>
      </c>
      <c r="O990" s="19" t="b">
        <v>0</v>
      </c>
      <c r="P990" s="19" t="b">
        <v>1</v>
      </c>
    </row>
    <row r="991" spans="1:16" x14ac:dyDescent="0.2">
      <c r="A991" s="18">
        <v>7403032</v>
      </c>
      <c r="B991" s="18" t="s">
        <v>2728</v>
      </c>
      <c r="C991" s="18" t="s">
        <v>265</v>
      </c>
      <c r="D991" s="18" t="s">
        <v>139</v>
      </c>
      <c r="E991" s="19">
        <v>44756</v>
      </c>
      <c r="F991" s="18" t="s">
        <v>672</v>
      </c>
      <c r="G991" s="19">
        <v>44784</v>
      </c>
      <c r="H991" s="19">
        <v>44809</v>
      </c>
      <c r="I991" s="18" t="s">
        <v>28</v>
      </c>
      <c r="J991" s="19" t="b">
        <v>1</v>
      </c>
      <c r="K991" s="19" t="b">
        <v>0</v>
      </c>
      <c r="L991" s="19" t="b">
        <v>0</v>
      </c>
      <c r="M991" s="19" t="b">
        <v>0</v>
      </c>
      <c r="N991" s="19" t="b">
        <v>0</v>
      </c>
      <c r="O991" s="19" t="b">
        <v>0</v>
      </c>
      <c r="P991" s="19" t="b">
        <v>1</v>
      </c>
    </row>
    <row r="992" spans="1:16" x14ac:dyDescent="0.2">
      <c r="A992" s="18">
        <v>8108481</v>
      </c>
      <c r="B992" s="18" t="s">
        <v>2729</v>
      </c>
      <c r="C992" s="18" t="s">
        <v>720</v>
      </c>
      <c r="D992" s="18" t="s">
        <v>39</v>
      </c>
      <c r="E992" s="19">
        <v>44571</v>
      </c>
      <c r="F992" s="18" t="s">
        <v>2730</v>
      </c>
      <c r="G992" s="19">
        <v>44589</v>
      </c>
      <c r="H992" s="19">
        <v>44644</v>
      </c>
      <c r="I992" s="18" t="s">
        <v>43</v>
      </c>
      <c r="J992" s="19" t="b">
        <v>1</v>
      </c>
      <c r="K992" s="19" t="b">
        <v>0</v>
      </c>
      <c r="L992" s="19" t="b">
        <v>0</v>
      </c>
      <c r="M992" s="19" t="b">
        <v>0</v>
      </c>
      <c r="N992" s="19" t="b">
        <v>0</v>
      </c>
      <c r="O992" s="19" t="b">
        <v>1</v>
      </c>
      <c r="P992" s="19" t="b">
        <v>0</v>
      </c>
    </row>
    <row r="993" spans="1:16" x14ac:dyDescent="0.2">
      <c r="A993" s="18">
        <v>8108481</v>
      </c>
      <c r="B993" s="18" t="s">
        <v>2731</v>
      </c>
      <c r="C993" s="18" t="s">
        <v>720</v>
      </c>
      <c r="D993" s="18" t="s">
        <v>39</v>
      </c>
      <c r="E993" s="19">
        <v>44786</v>
      </c>
      <c r="F993" s="18" t="s">
        <v>2732</v>
      </c>
      <c r="G993" s="19">
        <v>44802</v>
      </c>
      <c r="H993" s="19">
        <v>44846</v>
      </c>
      <c r="I993" s="18" t="s">
        <v>43</v>
      </c>
      <c r="J993" s="19" t="b">
        <v>1</v>
      </c>
      <c r="K993" s="19" t="b">
        <v>0</v>
      </c>
      <c r="L993" s="19" t="b">
        <v>0</v>
      </c>
      <c r="M993" s="19" t="b">
        <v>0</v>
      </c>
      <c r="N993" s="19" t="b">
        <v>0</v>
      </c>
      <c r="O993" s="19" t="b">
        <v>1</v>
      </c>
      <c r="P993" s="19" t="b">
        <v>0</v>
      </c>
    </row>
    <row r="994" spans="1:16" x14ac:dyDescent="0.2">
      <c r="A994" s="18">
        <v>8646795</v>
      </c>
      <c r="B994" s="18" t="s">
        <v>2736</v>
      </c>
      <c r="C994" s="18" t="s">
        <v>71</v>
      </c>
      <c r="D994" s="18" t="s">
        <v>81</v>
      </c>
      <c r="E994" s="19">
        <v>44782</v>
      </c>
      <c r="F994" s="18" t="s">
        <v>2737</v>
      </c>
      <c r="G994" s="19">
        <v>44798</v>
      </c>
      <c r="H994" s="19">
        <v>44817</v>
      </c>
      <c r="I994" s="18"/>
      <c r="J994" s="19" t="b">
        <v>1</v>
      </c>
      <c r="K994" s="19" t="b">
        <v>0</v>
      </c>
      <c r="L994" s="19" t="b">
        <v>0</v>
      </c>
      <c r="M994" s="19" t="b">
        <v>0</v>
      </c>
      <c r="N994" s="19" t="b">
        <v>0</v>
      </c>
      <c r="O994" s="19" t="b">
        <v>0</v>
      </c>
      <c r="P994" s="19" t="b">
        <v>0</v>
      </c>
    </row>
    <row r="995" spans="1:16" x14ac:dyDescent="0.2">
      <c r="A995" s="18">
        <v>7320122</v>
      </c>
      <c r="B995" s="18" t="s">
        <v>2738</v>
      </c>
      <c r="C995" s="18" t="s">
        <v>521</v>
      </c>
      <c r="D995" s="18" t="s">
        <v>39</v>
      </c>
      <c r="E995" s="19">
        <v>44792</v>
      </c>
      <c r="F995" s="18" t="s">
        <v>2739</v>
      </c>
      <c r="G995" s="19">
        <v>44815</v>
      </c>
      <c r="H995" s="19">
        <v>44863</v>
      </c>
      <c r="I995" s="18" t="s">
        <v>43</v>
      </c>
      <c r="J995" s="19" t="b">
        <v>1</v>
      </c>
      <c r="K995" s="19" t="b">
        <v>0</v>
      </c>
      <c r="L995" s="19" t="b">
        <v>0</v>
      </c>
      <c r="M995" s="19" t="b">
        <v>0</v>
      </c>
      <c r="N995" s="19" t="b">
        <v>0</v>
      </c>
      <c r="O995" s="19" t="b">
        <v>1</v>
      </c>
      <c r="P995" s="19" t="b">
        <v>0</v>
      </c>
    </row>
    <row r="996" spans="1:16" x14ac:dyDescent="0.2">
      <c r="A996" s="18">
        <v>9178970</v>
      </c>
      <c r="B996" s="18" t="s">
        <v>2741</v>
      </c>
      <c r="C996" s="18" t="s">
        <v>138</v>
      </c>
      <c r="D996" s="18" t="s">
        <v>60</v>
      </c>
      <c r="E996" s="19">
        <v>44963</v>
      </c>
      <c r="F996" s="18" t="s">
        <v>2742</v>
      </c>
      <c r="G996" s="19">
        <v>44974</v>
      </c>
      <c r="H996" s="19">
        <v>45002</v>
      </c>
      <c r="I996" s="18" t="s">
        <v>43</v>
      </c>
      <c r="J996" s="19" t="b">
        <v>1</v>
      </c>
      <c r="K996" s="19" t="b">
        <v>0</v>
      </c>
      <c r="L996" s="19" t="b">
        <v>0</v>
      </c>
      <c r="M996" s="19" t="b">
        <v>0</v>
      </c>
      <c r="N996" s="19" t="b">
        <v>0</v>
      </c>
      <c r="O996" s="19" t="b">
        <v>1</v>
      </c>
      <c r="P996" s="19" t="b">
        <v>0</v>
      </c>
    </row>
    <row r="997" spans="1:16" x14ac:dyDescent="0.2">
      <c r="A997" s="18">
        <v>9178970</v>
      </c>
      <c r="B997" s="18" t="s">
        <v>2743</v>
      </c>
      <c r="C997" s="18" t="s">
        <v>138</v>
      </c>
      <c r="D997" s="18" t="s">
        <v>60</v>
      </c>
      <c r="E997" s="19">
        <v>44962</v>
      </c>
      <c r="F997" s="18" t="s">
        <v>2458</v>
      </c>
      <c r="G997" s="19">
        <v>44965</v>
      </c>
      <c r="H997" s="19">
        <v>44999</v>
      </c>
      <c r="I997" s="18" t="s">
        <v>28</v>
      </c>
      <c r="J997" s="19" t="b">
        <v>1</v>
      </c>
      <c r="K997" s="19" t="b">
        <v>0</v>
      </c>
      <c r="L997" s="19" t="b">
        <v>0</v>
      </c>
      <c r="M997" s="19" t="b">
        <v>0</v>
      </c>
      <c r="N997" s="19" t="b">
        <v>0</v>
      </c>
      <c r="O997" s="19" t="b">
        <v>0</v>
      </c>
      <c r="P997" s="19" t="b">
        <v>1</v>
      </c>
    </row>
    <row r="998" spans="1:16" x14ac:dyDescent="0.2">
      <c r="A998" s="18">
        <v>9178970</v>
      </c>
      <c r="B998" s="18" t="s">
        <v>2744</v>
      </c>
      <c r="C998" s="18" t="s">
        <v>138</v>
      </c>
      <c r="D998" s="18" t="s">
        <v>60</v>
      </c>
      <c r="E998" s="19">
        <v>44965</v>
      </c>
      <c r="F998" s="18" t="s">
        <v>2745</v>
      </c>
      <c r="G998" s="19">
        <v>44969</v>
      </c>
      <c r="H998" s="19">
        <v>44978</v>
      </c>
      <c r="I998" s="18" t="s">
        <v>28</v>
      </c>
      <c r="J998" s="19" t="b">
        <v>1</v>
      </c>
      <c r="K998" s="19" t="b">
        <v>0</v>
      </c>
      <c r="L998" s="19" t="b">
        <v>0</v>
      </c>
      <c r="M998" s="19" t="b">
        <v>0</v>
      </c>
      <c r="N998" s="19" t="b">
        <v>0</v>
      </c>
      <c r="O998" s="19" t="b">
        <v>0</v>
      </c>
      <c r="P998" s="19" t="b">
        <v>1</v>
      </c>
    </row>
    <row r="999" spans="1:16" x14ac:dyDescent="0.2">
      <c r="A999" s="18">
        <v>6426063</v>
      </c>
      <c r="B999" s="18" t="s">
        <v>2746</v>
      </c>
      <c r="C999" s="18" t="s">
        <v>35</v>
      </c>
      <c r="D999" s="18" t="s">
        <v>81</v>
      </c>
      <c r="E999" s="19">
        <v>44729</v>
      </c>
      <c r="F999" s="18" t="s">
        <v>425</v>
      </c>
      <c r="G999" s="19">
        <v>44748</v>
      </c>
      <c r="H999" s="19">
        <v>44757</v>
      </c>
      <c r="I999" s="18" t="s">
        <v>28</v>
      </c>
      <c r="J999" s="19" t="b">
        <v>1</v>
      </c>
      <c r="K999" s="19" t="b">
        <v>0</v>
      </c>
      <c r="L999" s="19" t="b">
        <v>0</v>
      </c>
      <c r="M999" s="19" t="b">
        <v>0</v>
      </c>
      <c r="N999" s="19" t="b">
        <v>0</v>
      </c>
      <c r="O999" s="19" t="b">
        <v>0</v>
      </c>
      <c r="P999" s="19" t="b">
        <v>1</v>
      </c>
    </row>
    <row r="1000" spans="1:16" x14ac:dyDescent="0.2">
      <c r="A1000" s="18">
        <v>8413578</v>
      </c>
      <c r="B1000" s="18" t="s">
        <v>2747</v>
      </c>
      <c r="C1000" s="18" t="s">
        <v>240</v>
      </c>
      <c r="D1000" s="18" t="s">
        <v>77</v>
      </c>
      <c r="E1000" s="19">
        <v>44762</v>
      </c>
      <c r="F1000" s="18" t="s">
        <v>2748</v>
      </c>
      <c r="G1000" s="19">
        <v>44786</v>
      </c>
      <c r="H1000" s="19">
        <v>44828</v>
      </c>
      <c r="I1000" s="18" t="s">
        <v>43</v>
      </c>
      <c r="J1000" s="19" t="b">
        <v>1</v>
      </c>
      <c r="K1000" s="19" t="b">
        <v>0</v>
      </c>
      <c r="L1000" s="19" t="b">
        <v>0</v>
      </c>
      <c r="M1000" s="19" t="b">
        <v>0</v>
      </c>
      <c r="N1000" s="19" t="b">
        <v>0</v>
      </c>
      <c r="O1000" s="19" t="b">
        <v>1</v>
      </c>
      <c r="P1000" s="19" t="b">
        <v>0</v>
      </c>
    </row>
    <row r="1001" spans="1:16" x14ac:dyDescent="0.2">
      <c r="A1001" s="18">
        <v>8413578</v>
      </c>
      <c r="B1001" s="18" t="s">
        <v>2751</v>
      </c>
      <c r="C1001" s="18" t="s">
        <v>240</v>
      </c>
      <c r="D1001" s="18" t="s">
        <v>77</v>
      </c>
      <c r="E1001" s="19">
        <v>44734</v>
      </c>
      <c r="F1001" s="18" t="s">
        <v>2752</v>
      </c>
      <c r="G1001" s="19">
        <v>44764</v>
      </c>
      <c r="H1001" s="19">
        <v>44768</v>
      </c>
      <c r="I1001" s="18" t="s">
        <v>43</v>
      </c>
      <c r="J1001" s="19" t="b">
        <v>1</v>
      </c>
      <c r="K1001" s="19" t="b">
        <v>0</v>
      </c>
      <c r="L1001" s="19" t="b">
        <v>0</v>
      </c>
      <c r="M1001" s="19" t="b">
        <v>0</v>
      </c>
      <c r="N1001" s="19" t="b">
        <v>0</v>
      </c>
      <c r="O1001" s="19" t="b">
        <v>1</v>
      </c>
      <c r="P1001" s="19" t="b">
        <v>0</v>
      </c>
    </row>
    <row r="1002" spans="1:16" x14ac:dyDescent="0.2">
      <c r="A1002" s="18">
        <v>2611413</v>
      </c>
      <c r="B1002" s="18" t="s">
        <v>2753</v>
      </c>
      <c r="C1002" s="18" t="s">
        <v>542</v>
      </c>
      <c r="D1002" s="18" t="s">
        <v>77</v>
      </c>
      <c r="E1002" s="19">
        <v>44908</v>
      </c>
      <c r="F1002" s="18" t="s">
        <v>501</v>
      </c>
      <c r="G1002" s="19">
        <v>44927</v>
      </c>
      <c r="H1002" s="19">
        <v>44955</v>
      </c>
      <c r="I1002" s="18" t="s">
        <v>16</v>
      </c>
      <c r="J1002" s="19" t="b">
        <v>1</v>
      </c>
      <c r="K1002" s="19" t="b">
        <v>0</v>
      </c>
      <c r="L1002" s="19" t="b">
        <v>0</v>
      </c>
      <c r="M1002" s="19" t="b">
        <v>0</v>
      </c>
      <c r="N1002" s="19" t="b">
        <v>1</v>
      </c>
      <c r="O1002" s="19" t="b">
        <v>0</v>
      </c>
      <c r="P1002" s="19" t="b">
        <v>0</v>
      </c>
    </row>
    <row r="1003" spans="1:16" x14ac:dyDescent="0.2">
      <c r="A1003" s="18">
        <v>2611413</v>
      </c>
      <c r="B1003" s="18" t="s">
        <v>2754</v>
      </c>
      <c r="C1003" s="18" t="s">
        <v>542</v>
      </c>
      <c r="D1003" s="18" t="s">
        <v>77</v>
      </c>
      <c r="E1003" s="19">
        <v>44683</v>
      </c>
      <c r="F1003" s="18" t="s">
        <v>997</v>
      </c>
      <c r="G1003" s="19">
        <v>44691</v>
      </c>
      <c r="H1003" s="19">
        <v>44717</v>
      </c>
      <c r="I1003" s="18"/>
      <c r="J1003" s="19" t="b">
        <v>1</v>
      </c>
      <c r="K1003" s="19" t="b">
        <v>0</v>
      </c>
      <c r="L1003" s="19" t="b">
        <v>0</v>
      </c>
      <c r="M1003" s="19" t="b">
        <v>0</v>
      </c>
      <c r="N1003" s="19" t="b">
        <v>0</v>
      </c>
      <c r="O1003" s="19" t="b">
        <v>0</v>
      </c>
      <c r="P1003" s="19" t="b">
        <v>0</v>
      </c>
    </row>
    <row r="1004" spans="1:16" x14ac:dyDescent="0.2">
      <c r="A1004" s="18">
        <v>9197782</v>
      </c>
      <c r="B1004" s="18" t="s">
        <v>2755</v>
      </c>
      <c r="C1004" s="18" t="s">
        <v>110</v>
      </c>
      <c r="D1004" s="18" t="s">
        <v>81</v>
      </c>
      <c r="E1004" s="19">
        <v>44653</v>
      </c>
      <c r="F1004" s="18" t="s">
        <v>965</v>
      </c>
      <c r="G1004" s="19">
        <v>44678</v>
      </c>
      <c r="H1004" s="19">
        <v>44708</v>
      </c>
      <c r="I1004" s="18"/>
      <c r="J1004" s="19" t="b">
        <v>1</v>
      </c>
      <c r="K1004" s="19" t="b">
        <v>0</v>
      </c>
      <c r="L1004" s="19" t="b">
        <v>0</v>
      </c>
      <c r="M1004" s="19" t="b">
        <v>0</v>
      </c>
      <c r="N1004" s="19" t="b">
        <v>0</v>
      </c>
      <c r="O1004" s="19" t="b">
        <v>0</v>
      </c>
      <c r="P1004" s="19" t="b">
        <v>0</v>
      </c>
    </row>
    <row r="1005" spans="1:16" x14ac:dyDescent="0.2">
      <c r="A1005" s="18">
        <v>9197782</v>
      </c>
      <c r="B1005" s="18" t="s">
        <v>2756</v>
      </c>
      <c r="C1005" s="18" t="s">
        <v>110</v>
      </c>
      <c r="D1005" s="18" t="s">
        <v>81</v>
      </c>
      <c r="E1005" s="19">
        <v>45017</v>
      </c>
      <c r="F1005" s="18" t="s">
        <v>2757</v>
      </c>
      <c r="G1005" s="19">
        <v>45029</v>
      </c>
      <c r="H1005" s="19">
        <v>45030</v>
      </c>
      <c r="I1005" s="18"/>
      <c r="J1005" s="19" t="b">
        <v>1</v>
      </c>
      <c r="K1005" s="19" t="b">
        <v>0</v>
      </c>
      <c r="L1005" s="19" t="b">
        <v>0</v>
      </c>
      <c r="M1005" s="19" t="b">
        <v>0</v>
      </c>
      <c r="N1005" s="19" t="b">
        <v>0</v>
      </c>
      <c r="O1005" s="19" t="b">
        <v>0</v>
      </c>
      <c r="P1005" s="19" t="b">
        <v>0</v>
      </c>
    </row>
    <row r="1006" spans="1:16" x14ac:dyDescent="0.2">
      <c r="A1006" s="18">
        <v>3013272</v>
      </c>
      <c r="B1006" s="18" t="s">
        <v>2758</v>
      </c>
      <c r="C1006" s="18" t="s">
        <v>176</v>
      </c>
      <c r="D1006" s="18" t="s">
        <v>122</v>
      </c>
      <c r="E1006" s="19">
        <v>45053</v>
      </c>
      <c r="F1006" s="18" t="s">
        <v>973</v>
      </c>
      <c r="G1006" s="19">
        <v>45062</v>
      </c>
      <c r="H1006" s="19">
        <v>45107</v>
      </c>
      <c r="I1006" s="18" t="s">
        <v>43</v>
      </c>
      <c r="J1006" s="19" t="b">
        <v>1</v>
      </c>
      <c r="K1006" s="19" t="b">
        <v>0</v>
      </c>
      <c r="L1006" s="19" t="b">
        <v>0</v>
      </c>
      <c r="M1006" s="19" t="b">
        <v>0</v>
      </c>
      <c r="N1006" s="19" t="b">
        <v>0</v>
      </c>
      <c r="O1006" s="19" t="b">
        <v>1</v>
      </c>
      <c r="P1006" s="19" t="b">
        <v>0</v>
      </c>
    </row>
    <row r="1007" spans="1:16" x14ac:dyDescent="0.2">
      <c r="A1007" s="18">
        <v>2586340</v>
      </c>
      <c r="B1007" s="18" t="s">
        <v>2760</v>
      </c>
      <c r="C1007" s="18" t="s">
        <v>47</v>
      </c>
      <c r="D1007" s="18" t="s">
        <v>81</v>
      </c>
      <c r="E1007" s="19">
        <v>44751</v>
      </c>
      <c r="F1007" s="18" t="s">
        <v>883</v>
      </c>
      <c r="G1007" s="19">
        <v>44764</v>
      </c>
      <c r="H1007" s="19">
        <v>44817</v>
      </c>
      <c r="I1007" s="18" t="s">
        <v>16</v>
      </c>
      <c r="J1007" s="19" t="b">
        <v>1</v>
      </c>
      <c r="K1007" s="19" t="b">
        <v>0</v>
      </c>
      <c r="L1007" s="19" t="b">
        <v>0</v>
      </c>
      <c r="M1007" s="19" t="b">
        <v>0</v>
      </c>
      <c r="N1007" s="19" t="b">
        <v>1</v>
      </c>
      <c r="O1007" s="19" t="b">
        <v>0</v>
      </c>
      <c r="P1007" s="19" t="b">
        <v>0</v>
      </c>
    </row>
    <row r="1008" spans="1:16" x14ac:dyDescent="0.2">
      <c r="A1008" s="18">
        <v>1331289</v>
      </c>
      <c r="B1008" s="18" t="s">
        <v>2761</v>
      </c>
      <c r="C1008" s="18" t="s">
        <v>59</v>
      </c>
      <c r="D1008" s="18" t="s">
        <v>139</v>
      </c>
      <c r="E1008" s="19">
        <v>44689</v>
      </c>
      <c r="F1008" s="18" t="s">
        <v>1594</v>
      </c>
      <c r="G1008" s="19">
        <v>44714</v>
      </c>
      <c r="H1008" s="19">
        <v>44763</v>
      </c>
      <c r="I1008" s="18"/>
      <c r="J1008" s="19" t="b">
        <v>1</v>
      </c>
      <c r="K1008" s="19" t="b">
        <v>0</v>
      </c>
      <c r="L1008" s="19" t="b">
        <v>0</v>
      </c>
      <c r="M1008" s="19" t="b">
        <v>0</v>
      </c>
      <c r="N1008" s="19" t="b">
        <v>0</v>
      </c>
      <c r="O1008" s="19" t="b">
        <v>0</v>
      </c>
      <c r="P1008" s="19" t="b">
        <v>0</v>
      </c>
    </row>
    <row r="1009" spans="1:16" x14ac:dyDescent="0.2">
      <c r="A1009" s="18">
        <v>1331289</v>
      </c>
      <c r="B1009" s="18" t="s">
        <v>2763</v>
      </c>
      <c r="C1009" s="18" t="s">
        <v>59</v>
      </c>
      <c r="D1009" s="18" t="s">
        <v>139</v>
      </c>
      <c r="E1009" s="19">
        <v>45019</v>
      </c>
      <c r="F1009" s="18" t="s">
        <v>2764</v>
      </c>
      <c r="G1009" s="19">
        <v>45045</v>
      </c>
      <c r="H1009" s="19">
        <v>45066</v>
      </c>
      <c r="I1009" s="18" t="s">
        <v>43</v>
      </c>
      <c r="J1009" s="19" t="b">
        <v>1</v>
      </c>
      <c r="K1009" s="19" t="b">
        <v>0</v>
      </c>
      <c r="L1009" s="19" t="b">
        <v>0</v>
      </c>
      <c r="M1009" s="19" t="b">
        <v>0</v>
      </c>
      <c r="N1009" s="19" t="b">
        <v>0</v>
      </c>
      <c r="O1009" s="19" t="b">
        <v>1</v>
      </c>
      <c r="P1009" s="19" t="b">
        <v>0</v>
      </c>
    </row>
    <row r="1010" spans="1:16" x14ac:dyDescent="0.2">
      <c r="A1010" s="18">
        <v>3092406</v>
      </c>
      <c r="B1010" s="18" t="s">
        <v>2768</v>
      </c>
      <c r="C1010" s="18" t="s">
        <v>80</v>
      </c>
      <c r="D1010" s="18" t="s">
        <v>11</v>
      </c>
      <c r="E1010" s="19">
        <v>44562</v>
      </c>
      <c r="F1010" s="18" t="s">
        <v>1259</v>
      </c>
      <c r="G1010" s="19">
        <v>44570</v>
      </c>
      <c r="H1010" s="19">
        <v>44590</v>
      </c>
      <c r="I1010" s="18" t="s">
        <v>43</v>
      </c>
      <c r="J1010" s="19" t="b">
        <v>1</v>
      </c>
      <c r="K1010" s="19" t="b">
        <v>0</v>
      </c>
      <c r="L1010" s="19" t="b">
        <v>0</v>
      </c>
      <c r="M1010" s="19" t="b">
        <v>0</v>
      </c>
      <c r="N1010" s="19" t="b">
        <v>0</v>
      </c>
      <c r="O1010" s="19" t="b">
        <v>1</v>
      </c>
      <c r="P1010" s="19" t="b">
        <v>0</v>
      </c>
    </row>
    <row r="1011" spans="1:16" x14ac:dyDescent="0.2">
      <c r="A1011" s="18">
        <v>3092406</v>
      </c>
      <c r="B1011" s="18" t="s">
        <v>2771</v>
      </c>
      <c r="C1011" s="18" t="s">
        <v>80</v>
      </c>
      <c r="D1011" s="18" t="s">
        <v>11</v>
      </c>
      <c r="E1011" s="19">
        <v>44882</v>
      </c>
      <c r="F1011" s="18" t="s">
        <v>2772</v>
      </c>
      <c r="G1011" s="19">
        <v>44899</v>
      </c>
      <c r="H1011" s="19">
        <v>44958</v>
      </c>
      <c r="I1011" s="18" t="s">
        <v>43</v>
      </c>
      <c r="J1011" s="19" t="b">
        <v>1</v>
      </c>
      <c r="K1011" s="19" t="b">
        <v>0</v>
      </c>
      <c r="L1011" s="19" t="b">
        <v>0</v>
      </c>
      <c r="M1011" s="19" t="b">
        <v>0</v>
      </c>
      <c r="N1011" s="19" t="b">
        <v>0</v>
      </c>
      <c r="O1011" s="19" t="b">
        <v>1</v>
      </c>
      <c r="P1011" s="19" t="b">
        <v>0</v>
      </c>
    </row>
    <row r="1012" spans="1:16" x14ac:dyDescent="0.2">
      <c r="A1012" s="18">
        <v>6907545</v>
      </c>
      <c r="B1012" s="18" t="s">
        <v>2777</v>
      </c>
      <c r="C1012" s="18" t="s">
        <v>121</v>
      </c>
      <c r="D1012" s="18" t="s">
        <v>139</v>
      </c>
      <c r="E1012" s="19">
        <v>44846</v>
      </c>
      <c r="F1012" s="18" t="s">
        <v>2778</v>
      </c>
      <c r="G1012" s="19">
        <v>44851</v>
      </c>
      <c r="H1012" s="19">
        <v>44898</v>
      </c>
      <c r="I1012" s="18" t="s">
        <v>43</v>
      </c>
      <c r="J1012" s="19" t="b">
        <v>1</v>
      </c>
      <c r="K1012" s="19" t="b">
        <v>0</v>
      </c>
      <c r="L1012" s="19" t="b">
        <v>0</v>
      </c>
      <c r="M1012" s="19" t="b">
        <v>0</v>
      </c>
      <c r="N1012" s="19" t="b">
        <v>0</v>
      </c>
      <c r="O1012" s="19" t="b">
        <v>1</v>
      </c>
      <c r="P1012" s="19" t="b">
        <v>0</v>
      </c>
    </row>
    <row r="1013" spans="1:16" x14ac:dyDescent="0.2">
      <c r="A1013" s="18">
        <v>6907545</v>
      </c>
      <c r="B1013" s="18" t="s">
        <v>2779</v>
      </c>
      <c r="C1013" s="18" t="s">
        <v>121</v>
      </c>
      <c r="D1013" s="18" t="s">
        <v>139</v>
      </c>
      <c r="E1013" s="19">
        <v>44828</v>
      </c>
      <c r="F1013" s="18" t="s">
        <v>2767</v>
      </c>
      <c r="G1013" s="19">
        <v>44841</v>
      </c>
      <c r="H1013" s="19">
        <v>44883</v>
      </c>
      <c r="I1013" s="18" t="s">
        <v>16</v>
      </c>
      <c r="J1013" s="19" t="b">
        <v>1</v>
      </c>
      <c r="K1013" s="19" t="b">
        <v>0</v>
      </c>
      <c r="L1013" s="19" t="b">
        <v>0</v>
      </c>
      <c r="M1013" s="19" t="b">
        <v>0</v>
      </c>
      <c r="N1013" s="19" t="b">
        <v>1</v>
      </c>
      <c r="O1013" s="19" t="b">
        <v>0</v>
      </c>
      <c r="P1013" s="19" t="b">
        <v>0</v>
      </c>
    </row>
    <row r="1014" spans="1:16" x14ac:dyDescent="0.2">
      <c r="A1014" s="18">
        <v>2396771</v>
      </c>
      <c r="B1014" s="18" t="s">
        <v>2780</v>
      </c>
      <c r="C1014" s="18" t="s">
        <v>282</v>
      </c>
      <c r="D1014" s="18" t="s">
        <v>60</v>
      </c>
      <c r="E1014" s="19">
        <v>44837</v>
      </c>
      <c r="F1014" s="18" t="s">
        <v>2781</v>
      </c>
      <c r="G1014" s="19">
        <v>44858</v>
      </c>
      <c r="H1014" s="19">
        <v>44903</v>
      </c>
      <c r="I1014" s="18" t="s">
        <v>16</v>
      </c>
      <c r="J1014" s="19" t="b">
        <v>1</v>
      </c>
      <c r="K1014" s="19" t="b">
        <v>0</v>
      </c>
      <c r="L1014" s="19" t="b">
        <v>0</v>
      </c>
      <c r="M1014" s="19" t="b">
        <v>0</v>
      </c>
      <c r="N1014" s="19" t="b">
        <v>1</v>
      </c>
      <c r="O1014" s="19" t="b">
        <v>0</v>
      </c>
      <c r="P1014" s="19" t="b">
        <v>0</v>
      </c>
    </row>
    <row r="1015" spans="1:16" x14ac:dyDescent="0.2">
      <c r="A1015" s="18">
        <v>2396771</v>
      </c>
      <c r="B1015" s="18" t="s">
        <v>2782</v>
      </c>
      <c r="C1015" s="18" t="s">
        <v>282</v>
      </c>
      <c r="D1015" s="18" t="s">
        <v>60</v>
      </c>
      <c r="E1015" s="19">
        <v>45085</v>
      </c>
      <c r="F1015" s="18" t="s">
        <v>2783</v>
      </c>
      <c r="G1015" s="19">
        <v>45105</v>
      </c>
      <c r="H1015" s="19">
        <v>45116</v>
      </c>
      <c r="I1015" s="18" t="s">
        <v>28</v>
      </c>
      <c r="J1015" s="19" t="b">
        <v>1</v>
      </c>
      <c r="K1015" s="19" t="b">
        <v>0</v>
      </c>
      <c r="L1015" s="19" t="b">
        <v>0</v>
      </c>
      <c r="M1015" s="19" t="b">
        <v>0</v>
      </c>
      <c r="N1015" s="19" t="b">
        <v>0</v>
      </c>
      <c r="O1015" s="19" t="b">
        <v>0</v>
      </c>
      <c r="P1015" s="19" t="b">
        <v>1</v>
      </c>
    </row>
    <row r="1016" spans="1:16" x14ac:dyDescent="0.2">
      <c r="A1016" s="18">
        <v>8041170</v>
      </c>
      <c r="B1016" s="18" t="s">
        <v>2784</v>
      </c>
      <c r="C1016" s="18" t="s">
        <v>150</v>
      </c>
      <c r="D1016" s="18" t="s">
        <v>187</v>
      </c>
      <c r="E1016" s="19">
        <v>44815</v>
      </c>
      <c r="F1016" s="18" t="s">
        <v>2785</v>
      </c>
      <c r="G1016" s="19">
        <v>44818</v>
      </c>
      <c r="H1016" s="19">
        <v>44836</v>
      </c>
      <c r="I1016" s="18"/>
      <c r="J1016" s="19" t="b">
        <v>1</v>
      </c>
      <c r="K1016" s="19" t="b">
        <v>0</v>
      </c>
      <c r="L1016" s="19" t="b">
        <v>0</v>
      </c>
      <c r="M1016" s="19" t="b">
        <v>0</v>
      </c>
      <c r="N1016" s="19" t="b">
        <v>0</v>
      </c>
      <c r="O1016" s="19" t="b">
        <v>0</v>
      </c>
      <c r="P1016" s="19" t="b">
        <v>0</v>
      </c>
    </row>
    <row r="1017" spans="1:16" x14ac:dyDescent="0.2">
      <c r="A1017" s="18">
        <v>8041170</v>
      </c>
      <c r="B1017" s="18" t="s">
        <v>2787</v>
      </c>
      <c r="C1017" s="18" t="s">
        <v>150</v>
      </c>
      <c r="D1017" s="18" t="s">
        <v>187</v>
      </c>
      <c r="E1017" s="19">
        <v>44903</v>
      </c>
      <c r="F1017" s="18" t="s">
        <v>2788</v>
      </c>
      <c r="G1017" s="19">
        <v>44928</v>
      </c>
      <c r="H1017" s="19">
        <v>44946</v>
      </c>
      <c r="I1017" s="18" t="s">
        <v>16</v>
      </c>
      <c r="J1017" s="19" t="b">
        <v>1</v>
      </c>
      <c r="K1017" s="19" t="b">
        <v>0</v>
      </c>
      <c r="L1017" s="19" t="b">
        <v>0</v>
      </c>
      <c r="M1017" s="19" t="b">
        <v>0</v>
      </c>
      <c r="N1017" s="19" t="b">
        <v>1</v>
      </c>
      <c r="O1017" s="19" t="b">
        <v>0</v>
      </c>
      <c r="P1017" s="19" t="b">
        <v>0</v>
      </c>
    </row>
    <row r="1018" spans="1:16" x14ac:dyDescent="0.2">
      <c r="A1018" s="18">
        <v>3455003</v>
      </c>
      <c r="B1018" s="18" t="s">
        <v>2791</v>
      </c>
      <c r="C1018" s="18" t="s">
        <v>90</v>
      </c>
      <c r="D1018" s="18" t="s">
        <v>19</v>
      </c>
      <c r="E1018" s="19">
        <v>44875</v>
      </c>
      <c r="F1018" s="18" t="s">
        <v>2792</v>
      </c>
      <c r="G1018" s="19">
        <v>44894</v>
      </c>
      <c r="H1018" s="19">
        <v>44947</v>
      </c>
      <c r="I1018" s="18" t="s">
        <v>43</v>
      </c>
      <c r="J1018" s="19" t="b">
        <v>1</v>
      </c>
      <c r="K1018" s="19" t="b">
        <v>0</v>
      </c>
      <c r="L1018" s="19" t="b">
        <v>0</v>
      </c>
      <c r="M1018" s="19" t="b">
        <v>0</v>
      </c>
      <c r="N1018" s="19" t="b">
        <v>0</v>
      </c>
      <c r="O1018" s="19" t="b">
        <v>1</v>
      </c>
      <c r="P1018" s="19" t="b">
        <v>0</v>
      </c>
    </row>
    <row r="1019" spans="1:16" x14ac:dyDescent="0.2">
      <c r="A1019" s="18">
        <v>6853574</v>
      </c>
      <c r="B1019" s="18" t="s">
        <v>2793</v>
      </c>
      <c r="C1019" s="18" t="s">
        <v>240</v>
      </c>
      <c r="D1019" s="18" t="s">
        <v>81</v>
      </c>
      <c r="E1019" s="19">
        <v>44736</v>
      </c>
      <c r="F1019" s="18" t="s">
        <v>2794</v>
      </c>
      <c r="G1019" s="19">
        <v>44747</v>
      </c>
      <c r="H1019" s="19">
        <v>44796</v>
      </c>
      <c r="I1019" s="18" t="s">
        <v>16</v>
      </c>
      <c r="J1019" s="19" t="b">
        <v>1</v>
      </c>
      <c r="K1019" s="19" t="b">
        <v>0</v>
      </c>
      <c r="L1019" s="19" t="b">
        <v>0</v>
      </c>
      <c r="M1019" s="19" t="b">
        <v>0</v>
      </c>
      <c r="N1019" s="19" t="b">
        <v>1</v>
      </c>
      <c r="O1019" s="19" t="b">
        <v>0</v>
      </c>
      <c r="P1019" s="19" t="b">
        <v>0</v>
      </c>
    </row>
    <row r="1020" spans="1:16" x14ac:dyDescent="0.2">
      <c r="A1020" s="18">
        <v>6853574</v>
      </c>
      <c r="B1020" s="18" t="s">
        <v>2795</v>
      </c>
      <c r="C1020" s="18" t="s">
        <v>240</v>
      </c>
      <c r="D1020" s="18" t="s">
        <v>81</v>
      </c>
      <c r="E1020" s="19">
        <v>45106</v>
      </c>
      <c r="F1020" s="18" t="s">
        <v>2201</v>
      </c>
      <c r="G1020" s="19">
        <v>45124</v>
      </c>
      <c r="H1020" s="19">
        <v>45163</v>
      </c>
      <c r="I1020" s="18" t="s">
        <v>28</v>
      </c>
      <c r="J1020" s="19" t="b">
        <v>1</v>
      </c>
      <c r="K1020" s="19" t="b">
        <v>0</v>
      </c>
      <c r="L1020" s="19" t="b">
        <v>0</v>
      </c>
      <c r="M1020" s="19" t="b">
        <v>0</v>
      </c>
      <c r="N1020" s="19" t="b">
        <v>0</v>
      </c>
      <c r="O1020" s="19" t="b">
        <v>0</v>
      </c>
      <c r="P1020" s="19" t="b">
        <v>1</v>
      </c>
    </row>
    <row r="1021" spans="1:16" x14ac:dyDescent="0.2">
      <c r="A1021" s="18">
        <v>6853574</v>
      </c>
      <c r="B1021" s="18" t="s">
        <v>2796</v>
      </c>
      <c r="C1021" s="18" t="s">
        <v>240</v>
      </c>
      <c r="D1021" s="18" t="s">
        <v>81</v>
      </c>
      <c r="E1021" s="19">
        <v>44692</v>
      </c>
      <c r="F1021" s="18" t="s">
        <v>2797</v>
      </c>
      <c r="G1021" s="19">
        <v>44701</v>
      </c>
      <c r="H1021" s="19">
        <v>44702</v>
      </c>
      <c r="I1021" s="18"/>
      <c r="J1021" s="19" t="b">
        <v>1</v>
      </c>
      <c r="K1021" s="19" t="b">
        <v>0</v>
      </c>
      <c r="L1021" s="19" t="b">
        <v>0</v>
      </c>
      <c r="M1021" s="19" t="b">
        <v>0</v>
      </c>
      <c r="N1021" s="19" t="b">
        <v>0</v>
      </c>
      <c r="O1021" s="19" t="b">
        <v>0</v>
      </c>
      <c r="P1021" s="19" t="b">
        <v>0</v>
      </c>
    </row>
    <row r="1022" spans="1:16" x14ac:dyDescent="0.2">
      <c r="A1022" s="18">
        <v>9616197</v>
      </c>
      <c r="B1022" s="18" t="s">
        <v>2800</v>
      </c>
      <c r="C1022" s="18" t="s">
        <v>240</v>
      </c>
      <c r="D1022" s="18" t="s">
        <v>187</v>
      </c>
      <c r="E1022" s="19">
        <v>44817</v>
      </c>
      <c r="F1022" s="18" t="s">
        <v>2127</v>
      </c>
      <c r="G1022" s="19">
        <v>44839</v>
      </c>
      <c r="H1022" s="19">
        <v>44878</v>
      </c>
      <c r="I1022" s="18" t="s">
        <v>28</v>
      </c>
      <c r="J1022" s="19" t="b">
        <v>1</v>
      </c>
      <c r="K1022" s="19" t="b">
        <v>0</v>
      </c>
      <c r="L1022" s="19" t="b">
        <v>0</v>
      </c>
      <c r="M1022" s="19" t="b">
        <v>0</v>
      </c>
      <c r="N1022" s="19" t="b">
        <v>0</v>
      </c>
      <c r="O1022" s="19" t="b">
        <v>0</v>
      </c>
      <c r="P1022" s="19" t="b">
        <v>1</v>
      </c>
    </row>
    <row r="1023" spans="1:16" x14ac:dyDescent="0.2">
      <c r="A1023" s="18">
        <v>8016965</v>
      </c>
      <c r="B1023" s="18" t="s">
        <v>2801</v>
      </c>
      <c r="C1023" s="18" t="s">
        <v>240</v>
      </c>
      <c r="D1023" s="18" t="s">
        <v>77</v>
      </c>
      <c r="E1023" s="19">
        <v>45076</v>
      </c>
      <c r="F1023" s="18" t="s">
        <v>2802</v>
      </c>
      <c r="G1023" s="19">
        <v>45086</v>
      </c>
      <c r="H1023" s="19">
        <v>45104</v>
      </c>
      <c r="I1023" s="18" t="s">
        <v>28</v>
      </c>
      <c r="J1023" s="19" t="b">
        <v>1</v>
      </c>
      <c r="K1023" s="19" t="b">
        <v>0</v>
      </c>
      <c r="L1023" s="19" t="b">
        <v>0</v>
      </c>
      <c r="M1023" s="19" t="b">
        <v>0</v>
      </c>
      <c r="N1023" s="19" t="b">
        <v>0</v>
      </c>
      <c r="O1023" s="19" t="b">
        <v>0</v>
      </c>
      <c r="P1023" s="19" t="b">
        <v>1</v>
      </c>
    </row>
    <row r="1024" spans="1:16" x14ac:dyDescent="0.2">
      <c r="A1024" s="18">
        <v>8016965</v>
      </c>
      <c r="B1024" s="18" t="s">
        <v>2803</v>
      </c>
      <c r="C1024" s="18" t="s">
        <v>240</v>
      </c>
      <c r="D1024" s="18" t="s">
        <v>77</v>
      </c>
      <c r="E1024" s="19">
        <v>44651</v>
      </c>
      <c r="F1024" s="18" t="s">
        <v>2804</v>
      </c>
      <c r="G1024" s="19">
        <v>44661</v>
      </c>
      <c r="H1024" s="19">
        <v>44688</v>
      </c>
      <c r="I1024" s="18" t="s">
        <v>43</v>
      </c>
      <c r="J1024" s="19" t="b">
        <v>1</v>
      </c>
      <c r="K1024" s="19" t="b">
        <v>0</v>
      </c>
      <c r="L1024" s="19" t="b">
        <v>0</v>
      </c>
      <c r="M1024" s="19" t="b">
        <v>0</v>
      </c>
      <c r="N1024" s="19" t="b">
        <v>0</v>
      </c>
      <c r="O1024" s="19" t="b">
        <v>1</v>
      </c>
      <c r="P1024" s="19" t="b">
        <v>0</v>
      </c>
    </row>
    <row r="1025" spans="1:16" x14ac:dyDescent="0.2">
      <c r="A1025" s="18">
        <v>5027148</v>
      </c>
      <c r="B1025" s="18" t="s">
        <v>2808</v>
      </c>
      <c r="C1025" s="18" t="s">
        <v>76</v>
      </c>
      <c r="D1025" s="18" t="s">
        <v>187</v>
      </c>
      <c r="E1025" s="19">
        <v>44572</v>
      </c>
      <c r="F1025" s="18" t="s">
        <v>2809</v>
      </c>
      <c r="G1025" s="19">
        <v>44586</v>
      </c>
      <c r="H1025" s="19">
        <v>44630</v>
      </c>
      <c r="I1025" s="18"/>
      <c r="J1025" s="19" t="b">
        <v>1</v>
      </c>
      <c r="K1025" s="19" t="b">
        <v>0</v>
      </c>
      <c r="L1025" s="19" t="b">
        <v>0</v>
      </c>
      <c r="M1025" s="19" t="b">
        <v>0</v>
      </c>
      <c r="N1025" s="19" t="b">
        <v>0</v>
      </c>
      <c r="O1025" s="19" t="b">
        <v>0</v>
      </c>
      <c r="P1025" s="19" t="b">
        <v>0</v>
      </c>
    </row>
    <row r="1026" spans="1:16" x14ac:dyDescent="0.2">
      <c r="A1026" s="18">
        <v>5027148</v>
      </c>
      <c r="B1026" s="18" t="s">
        <v>2810</v>
      </c>
      <c r="C1026" s="18" t="s">
        <v>76</v>
      </c>
      <c r="D1026" s="18" t="s">
        <v>187</v>
      </c>
      <c r="E1026" s="19">
        <v>45089</v>
      </c>
      <c r="F1026" s="18" t="s">
        <v>2811</v>
      </c>
      <c r="G1026" s="19">
        <v>45111</v>
      </c>
      <c r="H1026" s="19">
        <v>45155</v>
      </c>
      <c r="I1026" s="18" t="s">
        <v>43</v>
      </c>
      <c r="J1026" s="19" t="b">
        <v>1</v>
      </c>
      <c r="K1026" s="19" t="b">
        <v>0</v>
      </c>
      <c r="L1026" s="19" t="b">
        <v>0</v>
      </c>
      <c r="M1026" s="19" t="b">
        <v>0</v>
      </c>
      <c r="N1026" s="19" t="b">
        <v>0</v>
      </c>
      <c r="O1026" s="19" t="b">
        <v>1</v>
      </c>
      <c r="P1026" s="19" t="b">
        <v>0</v>
      </c>
    </row>
    <row r="1027" spans="1:16" x14ac:dyDescent="0.2">
      <c r="A1027" s="18">
        <v>5027148</v>
      </c>
      <c r="B1027" s="18" t="s">
        <v>2812</v>
      </c>
      <c r="C1027" s="18" t="s">
        <v>76</v>
      </c>
      <c r="D1027" s="18" t="s">
        <v>187</v>
      </c>
      <c r="E1027" s="19">
        <v>44756</v>
      </c>
      <c r="F1027" s="18" t="s">
        <v>2813</v>
      </c>
      <c r="G1027" s="19">
        <v>44786</v>
      </c>
      <c r="H1027" s="19">
        <v>44840</v>
      </c>
      <c r="I1027" s="18" t="s">
        <v>16</v>
      </c>
      <c r="J1027" s="19" t="b">
        <v>1</v>
      </c>
      <c r="K1027" s="19" t="b">
        <v>0</v>
      </c>
      <c r="L1027" s="19" t="b">
        <v>0</v>
      </c>
      <c r="M1027" s="19" t="b">
        <v>0</v>
      </c>
      <c r="N1027" s="19" t="b">
        <v>1</v>
      </c>
      <c r="O1027" s="19" t="b">
        <v>0</v>
      </c>
      <c r="P1027" s="19" t="b">
        <v>0</v>
      </c>
    </row>
    <row r="1028" spans="1:16" x14ac:dyDescent="0.2">
      <c r="A1028" s="18">
        <v>5027148</v>
      </c>
      <c r="B1028" s="18" t="s">
        <v>2814</v>
      </c>
      <c r="C1028" s="18" t="s">
        <v>76</v>
      </c>
      <c r="D1028" s="18" t="s">
        <v>187</v>
      </c>
      <c r="E1028" s="19">
        <v>44915</v>
      </c>
      <c r="F1028" s="18" t="s">
        <v>2815</v>
      </c>
      <c r="G1028" s="19">
        <v>44923</v>
      </c>
      <c r="H1028" s="19">
        <v>44971</v>
      </c>
      <c r="I1028" s="18"/>
      <c r="J1028" s="19" t="b">
        <v>1</v>
      </c>
      <c r="K1028" s="19" t="b">
        <v>0</v>
      </c>
      <c r="L1028" s="19" t="b">
        <v>0</v>
      </c>
      <c r="M1028" s="19" t="b">
        <v>0</v>
      </c>
      <c r="N1028" s="19" t="b">
        <v>0</v>
      </c>
      <c r="O1028" s="19" t="b">
        <v>0</v>
      </c>
      <c r="P1028" s="19" t="b">
        <v>0</v>
      </c>
    </row>
    <row r="1029" spans="1:16" x14ac:dyDescent="0.2">
      <c r="A1029" s="18">
        <v>1710615</v>
      </c>
      <c r="B1029" s="18" t="s">
        <v>2816</v>
      </c>
      <c r="C1029" s="18" t="s">
        <v>121</v>
      </c>
      <c r="D1029" s="18" t="s">
        <v>77</v>
      </c>
      <c r="E1029" s="19">
        <v>44937</v>
      </c>
      <c r="F1029" s="18" t="s">
        <v>2817</v>
      </c>
      <c r="G1029" s="19">
        <v>44964</v>
      </c>
      <c r="H1029" s="19">
        <v>44973</v>
      </c>
      <c r="I1029" s="18" t="s">
        <v>43</v>
      </c>
      <c r="J1029" s="19" t="b">
        <v>1</v>
      </c>
      <c r="K1029" s="19" t="b">
        <v>0</v>
      </c>
      <c r="L1029" s="19" t="b">
        <v>0</v>
      </c>
      <c r="M1029" s="19" t="b">
        <v>0</v>
      </c>
      <c r="N1029" s="19" t="b">
        <v>0</v>
      </c>
      <c r="O1029" s="19" t="b">
        <v>1</v>
      </c>
      <c r="P1029" s="19" t="b">
        <v>0</v>
      </c>
    </row>
    <row r="1030" spans="1:16" x14ac:dyDescent="0.2">
      <c r="A1030" s="18">
        <v>1710615</v>
      </c>
      <c r="B1030" s="18" t="s">
        <v>2818</v>
      </c>
      <c r="C1030" s="18" t="s">
        <v>121</v>
      </c>
      <c r="D1030" s="18" t="s">
        <v>77</v>
      </c>
      <c r="E1030" s="19">
        <v>44950</v>
      </c>
      <c r="F1030" s="18" t="s">
        <v>2819</v>
      </c>
      <c r="G1030" s="19">
        <v>44956</v>
      </c>
      <c r="H1030" s="19">
        <v>44980</v>
      </c>
      <c r="I1030" s="18" t="s">
        <v>16</v>
      </c>
      <c r="J1030" s="19" t="b">
        <v>1</v>
      </c>
      <c r="K1030" s="19" t="b">
        <v>0</v>
      </c>
      <c r="L1030" s="19" t="b">
        <v>0</v>
      </c>
      <c r="M1030" s="19" t="b">
        <v>0</v>
      </c>
      <c r="N1030" s="19" t="b">
        <v>1</v>
      </c>
      <c r="O1030" s="19" t="b">
        <v>0</v>
      </c>
      <c r="P1030" s="19" t="b">
        <v>0</v>
      </c>
    </row>
    <row r="1031" spans="1:16" x14ac:dyDescent="0.2">
      <c r="A1031" s="18">
        <v>2899743</v>
      </c>
      <c r="B1031" s="18" t="s">
        <v>2820</v>
      </c>
      <c r="C1031" s="18" t="s">
        <v>720</v>
      </c>
      <c r="D1031" s="18" t="s">
        <v>19</v>
      </c>
      <c r="E1031" s="19">
        <v>45056</v>
      </c>
      <c r="F1031" s="18" t="s">
        <v>2821</v>
      </c>
      <c r="G1031" s="19">
        <v>45066</v>
      </c>
      <c r="H1031" s="19">
        <v>45083</v>
      </c>
      <c r="I1031" s="18" t="s">
        <v>16</v>
      </c>
      <c r="J1031" s="19" t="b">
        <v>1</v>
      </c>
      <c r="K1031" s="19" t="b">
        <v>0</v>
      </c>
      <c r="L1031" s="19" t="b">
        <v>0</v>
      </c>
      <c r="M1031" s="19" t="b">
        <v>0</v>
      </c>
      <c r="N1031" s="19" t="b">
        <v>1</v>
      </c>
      <c r="O1031" s="19" t="b">
        <v>0</v>
      </c>
      <c r="P1031" s="19" t="b">
        <v>0</v>
      </c>
    </row>
    <row r="1032" spans="1:16" x14ac:dyDescent="0.2">
      <c r="A1032" s="18">
        <v>2899743</v>
      </c>
      <c r="B1032" s="18" t="s">
        <v>2824</v>
      </c>
      <c r="C1032" s="18" t="s">
        <v>720</v>
      </c>
      <c r="D1032" s="18" t="s">
        <v>19</v>
      </c>
      <c r="E1032" s="19">
        <v>45061</v>
      </c>
      <c r="F1032" s="18" t="s">
        <v>2825</v>
      </c>
      <c r="G1032" s="19">
        <v>45063</v>
      </c>
      <c r="H1032" s="19">
        <v>45086</v>
      </c>
      <c r="I1032" s="18" t="s">
        <v>16</v>
      </c>
      <c r="J1032" s="19" t="b">
        <v>1</v>
      </c>
      <c r="K1032" s="19" t="b">
        <v>0</v>
      </c>
      <c r="L1032" s="19" t="b">
        <v>0</v>
      </c>
      <c r="M1032" s="19" t="b">
        <v>0</v>
      </c>
      <c r="N1032" s="19" t="b">
        <v>1</v>
      </c>
      <c r="O1032" s="19" t="b">
        <v>0</v>
      </c>
      <c r="P1032" s="19" t="b">
        <v>0</v>
      </c>
    </row>
    <row r="1033" spans="1:16" x14ac:dyDescent="0.2">
      <c r="A1033" s="18">
        <v>6948065</v>
      </c>
      <c r="B1033" s="18" t="s">
        <v>2830</v>
      </c>
      <c r="C1033" s="18" t="s">
        <v>10</v>
      </c>
      <c r="D1033" s="18" t="s">
        <v>122</v>
      </c>
      <c r="E1033" s="19">
        <v>44719</v>
      </c>
      <c r="F1033" s="18" t="s">
        <v>384</v>
      </c>
      <c r="G1033" s="19">
        <v>44733</v>
      </c>
      <c r="H1033" s="19">
        <v>44741</v>
      </c>
      <c r="I1033" s="18" t="s">
        <v>16</v>
      </c>
      <c r="J1033" s="19" t="b">
        <v>1</v>
      </c>
      <c r="K1033" s="19" t="b">
        <v>0</v>
      </c>
      <c r="L1033" s="19" t="b">
        <v>0</v>
      </c>
      <c r="M1033" s="19" t="b">
        <v>0</v>
      </c>
      <c r="N1033" s="19" t="b">
        <v>1</v>
      </c>
      <c r="O1033" s="19" t="b">
        <v>0</v>
      </c>
      <c r="P1033" s="19" t="b">
        <v>0</v>
      </c>
    </row>
    <row r="1034" spans="1:16" x14ac:dyDescent="0.2">
      <c r="A1034" s="18">
        <v>6948065</v>
      </c>
      <c r="B1034" s="18" t="s">
        <v>2831</v>
      </c>
      <c r="C1034" s="18" t="s">
        <v>10</v>
      </c>
      <c r="D1034" s="18" t="s">
        <v>122</v>
      </c>
      <c r="E1034" s="19">
        <v>44818</v>
      </c>
      <c r="F1034" s="18" t="s">
        <v>1697</v>
      </c>
      <c r="G1034" s="19">
        <v>44826</v>
      </c>
      <c r="H1034" s="19">
        <v>44857</v>
      </c>
      <c r="I1034" s="18" t="s">
        <v>16</v>
      </c>
      <c r="J1034" s="19" t="b">
        <v>1</v>
      </c>
      <c r="K1034" s="19" t="b">
        <v>0</v>
      </c>
      <c r="L1034" s="19" t="b">
        <v>0</v>
      </c>
      <c r="M1034" s="19" t="b">
        <v>0</v>
      </c>
      <c r="N1034" s="19" t="b">
        <v>1</v>
      </c>
      <c r="O1034" s="19" t="b">
        <v>0</v>
      </c>
      <c r="P1034" s="19" t="b">
        <v>0</v>
      </c>
    </row>
    <row r="1035" spans="1:16" x14ac:dyDescent="0.2">
      <c r="A1035" s="18">
        <v>6948065</v>
      </c>
      <c r="B1035" s="18" t="s">
        <v>2832</v>
      </c>
      <c r="C1035" s="18" t="s">
        <v>10</v>
      </c>
      <c r="D1035" s="18" t="s">
        <v>122</v>
      </c>
      <c r="E1035" s="19">
        <v>44748</v>
      </c>
      <c r="F1035" s="18" t="s">
        <v>179</v>
      </c>
      <c r="G1035" s="19">
        <v>44766</v>
      </c>
      <c r="H1035" s="19">
        <v>44818</v>
      </c>
      <c r="I1035" s="18" t="s">
        <v>28</v>
      </c>
      <c r="J1035" s="19" t="b">
        <v>1</v>
      </c>
      <c r="K1035" s="19" t="b">
        <v>0</v>
      </c>
      <c r="L1035" s="19" t="b">
        <v>0</v>
      </c>
      <c r="M1035" s="19" t="b">
        <v>0</v>
      </c>
      <c r="N1035" s="19" t="b">
        <v>0</v>
      </c>
      <c r="O1035" s="19" t="b">
        <v>0</v>
      </c>
      <c r="P1035" s="19" t="b">
        <v>1</v>
      </c>
    </row>
    <row r="1036" spans="1:16" x14ac:dyDescent="0.2">
      <c r="A1036" s="18">
        <v>4180407</v>
      </c>
      <c r="B1036" s="18" t="s">
        <v>2837</v>
      </c>
      <c r="C1036" s="18" t="s">
        <v>110</v>
      </c>
      <c r="D1036" s="18" t="s">
        <v>56</v>
      </c>
      <c r="E1036" s="19">
        <v>44683</v>
      </c>
      <c r="F1036" s="18" t="s">
        <v>2838</v>
      </c>
      <c r="G1036" s="19">
        <v>44697</v>
      </c>
      <c r="H1036" s="19">
        <v>44729</v>
      </c>
      <c r="I1036" s="18"/>
      <c r="J1036" s="19" t="b">
        <v>1</v>
      </c>
      <c r="K1036" s="19" t="b">
        <v>0</v>
      </c>
      <c r="L1036" s="19" t="b">
        <v>0</v>
      </c>
      <c r="M1036" s="19" t="b">
        <v>0</v>
      </c>
      <c r="N1036" s="19" t="b">
        <v>0</v>
      </c>
      <c r="O1036" s="19" t="b">
        <v>0</v>
      </c>
      <c r="P1036" s="19" t="b">
        <v>0</v>
      </c>
    </row>
    <row r="1037" spans="1:16" x14ac:dyDescent="0.2">
      <c r="A1037" s="18">
        <v>9314244</v>
      </c>
      <c r="B1037" s="18" t="s">
        <v>2839</v>
      </c>
      <c r="C1037" s="18" t="s">
        <v>47</v>
      </c>
      <c r="D1037" s="18" t="s">
        <v>187</v>
      </c>
      <c r="E1037" s="19">
        <v>44960</v>
      </c>
      <c r="F1037" s="18" t="s">
        <v>2073</v>
      </c>
      <c r="G1037" s="19">
        <v>44965</v>
      </c>
      <c r="H1037" s="19">
        <v>44973</v>
      </c>
      <c r="I1037" s="18"/>
      <c r="J1037" s="19" t="b">
        <v>1</v>
      </c>
      <c r="K1037" s="19" t="b">
        <v>0</v>
      </c>
      <c r="L1037" s="19" t="b">
        <v>0</v>
      </c>
      <c r="M1037" s="19" t="b">
        <v>0</v>
      </c>
      <c r="N1037" s="19" t="b">
        <v>0</v>
      </c>
      <c r="O1037" s="19" t="b">
        <v>0</v>
      </c>
      <c r="P1037" s="19" t="b">
        <v>0</v>
      </c>
    </row>
    <row r="1038" spans="1:16" x14ac:dyDescent="0.2">
      <c r="A1038" s="18">
        <v>9314244</v>
      </c>
      <c r="B1038" s="18" t="s">
        <v>2840</v>
      </c>
      <c r="C1038" s="18" t="s">
        <v>47</v>
      </c>
      <c r="D1038" s="18" t="s">
        <v>187</v>
      </c>
      <c r="E1038" s="19">
        <v>44914</v>
      </c>
      <c r="F1038" s="18" t="s">
        <v>2841</v>
      </c>
      <c r="G1038" s="19">
        <v>44931</v>
      </c>
      <c r="H1038" s="19">
        <v>44932</v>
      </c>
      <c r="I1038" s="18" t="s">
        <v>16</v>
      </c>
      <c r="J1038" s="19" t="b">
        <v>1</v>
      </c>
      <c r="K1038" s="19" t="b">
        <v>0</v>
      </c>
      <c r="L1038" s="19" t="b">
        <v>0</v>
      </c>
      <c r="M1038" s="19" t="b">
        <v>0</v>
      </c>
      <c r="N1038" s="19" t="b">
        <v>1</v>
      </c>
      <c r="O1038" s="19" t="b">
        <v>0</v>
      </c>
      <c r="P1038" s="19" t="b">
        <v>0</v>
      </c>
    </row>
    <row r="1039" spans="1:16" x14ac:dyDescent="0.2">
      <c r="A1039" s="18">
        <v>9314244</v>
      </c>
      <c r="B1039" s="18" t="s">
        <v>2842</v>
      </c>
      <c r="C1039" s="18" t="s">
        <v>47</v>
      </c>
      <c r="D1039" s="18" t="s">
        <v>187</v>
      </c>
      <c r="E1039" s="19">
        <v>44912</v>
      </c>
      <c r="F1039" s="18" t="s">
        <v>1646</v>
      </c>
      <c r="G1039" s="19">
        <v>44926</v>
      </c>
      <c r="H1039" s="19">
        <v>44965</v>
      </c>
      <c r="I1039" s="18" t="s">
        <v>43</v>
      </c>
      <c r="J1039" s="19" t="b">
        <v>1</v>
      </c>
      <c r="K1039" s="19" t="b">
        <v>0</v>
      </c>
      <c r="L1039" s="19" t="b">
        <v>0</v>
      </c>
      <c r="M1039" s="19" t="b">
        <v>0</v>
      </c>
      <c r="N1039" s="19" t="b">
        <v>0</v>
      </c>
      <c r="O1039" s="19" t="b">
        <v>1</v>
      </c>
      <c r="P1039" s="19" t="b">
        <v>0</v>
      </c>
    </row>
    <row r="1040" spans="1:16" x14ac:dyDescent="0.2">
      <c r="A1040" s="18">
        <v>1134702</v>
      </c>
      <c r="B1040" s="18" t="s">
        <v>2844</v>
      </c>
      <c r="C1040" s="18" t="s">
        <v>315</v>
      </c>
      <c r="D1040" s="18" t="s">
        <v>77</v>
      </c>
      <c r="E1040" s="19">
        <v>44679</v>
      </c>
      <c r="F1040" s="18" t="s">
        <v>685</v>
      </c>
      <c r="G1040" s="19">
        <v>44707</v>
      </c>
      <c r="H1040" s="19">
        <v>44724</v>
      </c>
      <c r="I1040" s="18" t="s">
        <v>43</v>
      </c>
      <c r="J1040" s="19" t="b">
        <v>1</v>
      </c>
      <c r="K1040" s="19" t="b">
        <v>0</v>
      </c>
      <c r="L1040" s="19" t="b">
        <v>0</v>
      </c>
      <c r="M1040" s="19" t="b">
        <v>0</v>
      </c>
      <c r="N1040" s="19" t="b">
        <v>0</v>
      </c>
      <c r="O1040" s="19" t="b">
        <v>1</v>
      </c>
      <c r="P1040" s="19" t="b">
        <v>0</v>
      </c>
    </row>
    <row r="1041" spans="1:16" x14ac:dyDescent="0.2">
      <c r="A1041" s="18">
        <v>1134702</v>
      </c>
      <c r="B1041" s="18" t="s">
        <v>2845</v>
      </c>
      <c r="C1041" s="18" t="s">
        <v>315</v>
      </c>
      <c r="D1041" s="18" t="s">
        <v>77</v>
      </c>
      <c r="E1041" s="19">
        <v>45001</v>
      </c>
      <c r="F1041" s="18" t="s">
        <v>134</v>
      </c>
      <c r="G1041" s="19">
        <v>45008</v>
      </c>
      <c r="H1041" s="19">
        <v>45039</v>
      </c>
      <c r="I1041" s="18" t="s">
        <v>43</v>
      </c>
      <c r="J1041" s="19" t="b">
        <v>1</v>
      </c>
      <c r="K1041" s="19" t="b">
        <v>0</v>
      </c>
      <c r="L1041" s="19" t="b">
        <v>0</v>
      </c>
      <c r="M1041" s="19" t="b">
        <v>0</v>
      </c>
      <c r="N1041" s="19" t="b">
        <v>0</v>
      </c>
      <c r="O1041" s="19" t="b">
        <v>1</v>
      </c>
      <c r="P1041" s="19" t="b">
        <v>0</v>
      </c>
    </row>
    <row r="1042" spans="1:16" x14ac:dyDescent="0.2">
      <c r="A1042" s="18">
        <v>2729141</v>
      </c>
      <c r="B1042" s="18" t="s">
        <v>2850</v>
      </c>
      <c r="C1042" s="18" t="s">
        <v>240</v>
      </c>
      <c r="D1042" s="18" t="s">
        <v>139</v>
      </c>
      <c r="E1042" s="19">
        <v>44766</v>
      </c>
      <c r="F1042" s="18" t="s">
        <v>1598</v>
      </c>
      <c r="G1042" s="19">
        <v>44769</v>
      </c>
      <c r="H1042" s="19">
        <v>44825</v>
      </c>
      <c r="I1042" s="18"/>
      <c r="J1042" s="19" t="b">
        <v>1</v>
      </c>
      <c r="K1042" s="19" t="b">
        <v>0</v>
      </c>
      <c r="L1042" s="19" t="b">
        <v>0</v>
      </c>
      <c r="M1042" s="19" t="b">
        <v>0</v>
      </c>
      <c r="N1042" s="19" t="b">
        <v>0</v>
      </c>
      <c r="O1042" s="19" t="b">
        <v>0</v>
      </c>
      <c r="P1042" s="19" t="b">
        <v>0</v>
      </c>
    </row>
    <row r="1043" spans="1:16" x14ac:dyDescent="0.2">
      <c r="A1043" s="18">
        <v>2729141</v>
      </c>
      <c r="B1043" s="18" t="s">
        <v>2853</v>
      </c>
      <c r="C1043" s="18" t="s">
        <v>240</v>
      </c>
      <c r="D1043" s="18" t="s">
        <v>139</v>
      </c>
      <c r="E1043" s="19">
        <v>44998</v>
      </c>
      <c r="F1043" s="18" t="s">
        <v>479</v>
      </c>
      <c r="G1043" s="19">
        <v>45014</v>
      </c>
      <c r="H1043" s="19">
        <v>45018</v>
      </c>
      <c r="I1043" s="18" t="s">
        <v>43</v>
      </c>
      <c r="J1043" s="19" t="b">
        <v>1</v>
      </c>
      <c r="K1043" s="19" t="b">
        <v>0</v>
      </c>
      <c r="L1043" s="19" t="b">
        <v>0</v>
      </c>
      <c r="M1043" s="19" t="b">
        <v>0</v>
      </c>
      <c r="N1043" s="19" t="b">
        <v>0</v>
      </c>
      <c r="O1043" s="19" t="b">
        <v>1</v>
      </c>
      <c r="P1043" s="19" t="b">
        <v>0</v>
      </c>
    </row>
    <row r="1044" spans="1:16" x14ac:dyDescent="0.2">
      <c r="A1044" s="18">
        <v>9554093</v>
      </c>
      <c r="B1044" s="18" t="s">
        <v>2856</v>
      </c>
      <c r="C1044" s="18" t="s">
        <v>315</v>
      </c>
      <c r="D1044" s="18" t="s">
        <v>56</v>
      </c>
      <c r="E1044" s="19">
        <v>44748</v>
      </c>
      <c r="F1044" s="18" t="s">
        <v>2794</v>
      </c>
      <c r="G1044" s="19">
        <v>44750</v>
      </c>
      <c r="H1044" s="19">
        <v>44751</v>
      </c>
      <c r="I1044" s="18" t="s">
        <v>28</v>
      </c>
      <c r="J1044" s="19" t="b">
        <v>1</v>
      </c>
      <c r="K1044" s="19" t="b">
        <v>0</v>
      </c>
      <c r="L1044" s="19" t="b">
        <v>0</v>
      </c>
      <c r="M1044" s="19" t="b">
        <v>0</v>
      </c>
      <c r="N1044" s="19" t="b">
        <v>0</v>
      </c>
      <c r="O1044" s="19" t="b">
        <v>0</v>
      </c>
      <c r="P1044" s="19" t="b">
        <v>1</v>
      </c>
    </row>
    <row r="1045" spans="1:16" x14ac:dyDescent="0.2">
      <c r="A1045" s="18">
        <v>8919821</v>
      </c>
      <c r="B1045" s="18" t="s">
        <v>2858</v>
      </c>
      <c r="C1045" s="18" t="s">
        <v>282</v>
      </c>
      <c r="D1045" s="18" t="s">
        <v>81</v>
      </c>
      <c r="E1045" s="19">
        <v>44934</v>
      </c>
      <c r="F1045" s="18" t="s">
        <v>937</v>
      </c>
      <c r="G1045" s="19">
        <v>44945</v>
      </c>
      <c r="H1045" s="19">
        <v>44965</v>
      </c>
      <c r="I1045" s="18" t="s">
        <v>28</v>
      </c>
      <c r="J1045" s="19" t="b">
        <v>1</v>
      </c>
      <c r="K1045" s="19" t="b">
        <v>0</v>
      </c>
      <c r="L1045" s="19" t="b">
        <v>0</v>
      </c>
      <c r="M1045" s="19" t="b">
        <v>0</v>
      </c>
      <c r="N1045" s="19" t="b">
        <v>0</v>
      </c>
      <c r="O1045" s="19" t="b">
        <v>0</v>
      </c>
      <c r="P1045" s="19" t="b">
        <v>1</v>
      </c>
    </row>
    <row r="1046" spans="1:16" x14ac:dyDescent="0.2">
      <c r="A1046" s="18">
        <v>2871139</v>
      </c>
      <c r="B1046" s="18" t="s">
        <v>2859</v>
      </c>
      <c r="C1046" s="18" t="s">
        <v>176</v>
      </c>
      <c r="D1046" s="18" t="s">
        <v>56</v>
      </c>
      <c r="E1046" s="19">
        <v>44932</v>
      </c>
      <c r="F1046" s="18" t="s">
        <v>2860</v>
      </c>
      <c r="G1046" s="19">
        <v>44956</v>
      </c>
      <c r="H1046" s="19">
        <v>45006</v>
      </c>
      <c r="I1046" s="18" t="s">
        <v>43</v>
      </c>
      <c r="J1046" s="19" t="b">
        <v>1</v>
      </c>
      <c r="K1046" s="19" t="b">
        <v>0</v>
      </c>
      <c r="L1046" s="19" t="b">
        <v>0</v>
      </c>
      <c r="M1046" s="19" t="b">
        <v>0</v>
      </c>
      <c r="N1046" s="19" t="b">
        <v>0</v>
      </c>
      <c r="O1046" s="19" t="b">
        <v>1</v>
      </c>
      <c r="P1046" s="19" t="b">
        <v>0</v>
      </c>
    </row>
    <row r="1047" spans="1:16" x14ac:dyDescent="0.2">
      <c r="A1047" s="18">
        <v>2871139</v>
      </c>
      <c r="B1047" s="18" t="s">
        <v>2861</v>
      </c>
      <c r="C1047" s="18" t="s">
        <v>176</v>
      </c>
      <c r="D1047" s="18" t="s">
        <v>56</v>
      </c>
      <c r="E1047" s="19">
        <v>44844</v>
      </c>
      <c r="F1047" s="18" t="s">
        <v>2156</v>
      </c>
      <c r="G1047" s="19">
        <v>44851</v>
      </c>
      <c r="H1047" s="19">
        <v>44889</v>
      </c>
      <c r="I1047" s="18" t="s">
        <v>28</v>
      </c>
      <c r="J1047" s="19" t="b">
        <v>1</v>
      </c>
      <c r="K1047" s="19" t="b">
        <v>0</v>
      </c>
      <c r="L1047" s="19" t="b">
        <v>0</v>
      </c>
      <c r="M1047" s="19" t="b">
        <v>0</v>
      </c>
      <c r="N1047" s="19" t="b">
        <v>0</v>
      </c>
      <c r="O1047" s="19" t="b">
        <v>0</v>
      </c>
      <c r="P1047" s="19" t="b">
        <v>1</v>
      </c>
    </row>
    <row r="1048" spans="1:16" x14ac:dyDescent="0.2">
      <c r="A1048" s="18">
        <v>2871139</v>
      </c>
      <c r="B1048" s="18" t="s">
        <v>2862</v>
      </c>
      <c r="C1048" s="18" t="s">
        <v>176</v>
      </c>
      <c r="D1048" s="18" t="s">
        <v>56</v>
      </c>
      <c r="E1048" s="19">
        <v>44685</v>
      </c>
      <c r="F1048" s="18" t="s">
        <v>146</v>
      </c>
      <c r="G1048" s="19">
        <v>44687</v>
      </c>
      <c r="H1048" s="19">
        <v>44725</v>
      </c>
      <c r="I1048" s="18" t="s">
        <v>16</v>
      </c>
      <c r="J1048" s="19" t="b">
        <v>1</v>
      </c>
      <c r="K1048" s="19" t="b">
        <v>0</v>
      </c>
      <c r="L1048" s="19" t="b">
        <v>0</v>
      </c>
      <c r="M1048" s="19" t="b">
        <v>0</v>
      </c>
      <c r="N1048" s="19" t="b">
        <v>1</v>
      </c>
      <c r="O1048" s="19" t="b">
        <v>0</v>
      </c>
      <c r="P1048" s="19" t="b">
        <v>0</v>
      </c>
    </row>
    <row r="1049" spans="1:16" x14ac:dyDescent="0.2">
      <c r="A1049" s="18">
        <v>2871139</v>
      </c>
      <c r="B1049" s="18" t="s">
        <v>2863</v>
      </c>
      <c r="C1049" s="18" t="s">
        <v>176</v>
      </c>
      <c r="D1049" s="18" t="s">
        <v>56</v>
      </c>
      <c r="E1049" s="19">
        <v>45018</v>
      </c>
      <c r="F1049" s="18" t="s">
        <v>2864</v>
      </c>
      <c r="G1049" s="19">
        <v>45048</v>
      </c>
      <c r="H1049" s="19">
        <v>45055</v>
      </c>
      <c r="I1049" s="18" t="s">
        <v>43</v>
      </c>
      <c r="J1049" s="19" t="b">
        <v>1</v>
      </c>
      <c r="K1049" s="19" t="b">
        <v>0</v>
      </c>
      <c r="L1049" s="19" t="b">
        <v>0</v>
      </c>
      <c r="M1049" s="19" t="b">
        <v>0</v>
      </c>
      <c r="N1049" s="19" t="b">
        <v>0</v>
      </c>
      <c r="O1049" s="19" t="b">
        <v>1</v>
      </c>
      <c r="P1049" s="19" t="b">
        <v>0</v>
      </c>
    </row>
    <row r="1050" spans="1:16" x14ac:dyDescent="0.2">
      <c r="A1050" s="18">
        <v>8955730</v>
      </c>
      <c r="B1050" s="18" t="s">
        <v>2867</v>
      </c>
      <c r="C1050" s="18" t="s">
        <v>35</v>
      </c>
      <c r="D1050" s="18" t="s">
        <v>19</v>
      </c>
      <c r="E1050" s="19">
        <v>44990</v>
      </c>
      <c r="F1050" s="18" t="s">
        <v>185</v>
      </c>
      <c r="G1050" s="19">
        <v>45008</v>
      </c>
      <c r="H1050" s="19">
        <v>45054</v>
      </c>
      <c r="I1050" s="18" t="s">
        <v>16</v>
      </c>
      <c r="J1050" s="19" t="b">
        <v>1</v>
      </c>
      <c r="K1050" s="19" t="b">
        <v>0</v>
      </c>
      <c r="L1050" s="19" t="b">
        <v>0</v>
      </c>
      <c r="M1050" s="19" t="b">
        <v>0</v>
      </c>
      <c r="N1050" s="19" t="b">
        <v>1</v>
      </c>
      <c r="O1050" s="19" t="b">
        <v>0</v>
      </c>
      <c r="P1050" s="19" t="b">
        <v>0</v>
      </c>
    </row>
    <row r="1051" spans="1:16" x14ac:dyDescent="0.2">
      <c r="A1051" s="18">
        <v>8955730</v>
      </c>
      <c r="B1051" s="18" t="s">
        <v>2870</v>
      </c>
      <c r="C1051" s="18" t="s">
        <v>35</v>
      </c>
      <c r="D1051" s="18" t="s">
        <v>19</v>
      </c>
      <c r="E1051" s="19">
        <v>44631</v>
      </c>
      <c r="F1051" s="18" t="s">
        <v>1836</v>
      </c>
      <c r="G1051" s="19">
        <v>44647</v>
      </c>
      <c r="H1051" s="19">
        <v>44674</v>
      </c>
      <c r="I1051" s="18" t="s">
        <v>16</v>
      </c>
      <c r="J1051" s="19" t="b">
        <v>1</v>
      </c>
      <c r="K1051" s="19" t="b">
        <v>0</v>
      </c>
      <c r="L1051" s="19" t="b">
        <v>0</v>
      </c>
      <c r="M1051" s="19" t="b">
        <v>0</v>
      </c>
      <c r="N1051" s="19" t="b">
        <v>1</v>
      </c>
      <c r="O1051" s="19" t="b">
        <v>0</v>
      </c>
      <c r="P1051" s="19" t="b">
        <v>0</v>
      </c>
    </row>
    <row r="1052" spans="1:16" x14ac:dyDescent="0.2">
      <c r="A1052" s="18">
        <v>8955730</v>
      </c>
      <c r="B1052" s="18" t="s">
        <v>2871</v>
      </c>
      <c r="C1052" s="18" t="s">
        <v>35</v>
      </c>
      <c r="D1052" s="18" t="s">
        <v>19</v>
      </c>
      <c r="E1052" s="19">
        <v>44842</v>
      </c>
      <c r="F1052" s="18" t="s">
        <v>2342</v>
      </c>
      <c r="G1052" s="19">
        <v>44865</v>
      </c>
      <c r="H1052" s="19">
        <v>44874</v>
      </c>
      <c r="I1052" s="18" t="s">
        <v>16</v>
      </c>
      <c r="J1052" s="19" t="b">
        <v>1</v>
      </c>
      <c r="K1052" s="19" t="b">
        <v>0</v>
      </c>
      <c r="L1052" s="19" t="b">
        <v>0</v>
      </c>
      <c r="M1052" s="19" t="b">
        <v>0</v>
      </c>
      <c r="N1052" s="19" t="b">
        <v>1</v>
      </c>
      <c r="O1052" s="19" t="b">
        <v>0</v>
      </c>
      <c r="P1052" s="19" t="b">
        <v>0</v>
      </c>
    </row>
    <row r="1053" spans="1:16" x14ac:dyDescent="0.2">
      <c r="A1053" s="18">
        <v>7668839</v>
      </c>
      <c r="B1053" s="18" t="s">
        <v>2874</v>
      </c>
      <c r="C1053" s="18" t="s">
        <v>363</v>
      </c>
      <c r="D1053" s="18" t="s">
        <v>139</v>
      </c>
      <c r="E1053" s="19">
        <v>45083</v>
      </c>
      <c r="F1053" s="18" t="s">
        <v>2875</v>
      </c>
      <c r="G1053" s="19">
        <v>45096</v>
      </c>
      <c r="H1053" s="19">
        <v>45132</v>
      </c>
      <c r="I1053" s="18" t="s">
        <v>43</v>
      </c>
      <c r="J1053" s="19" t="b">
        <v>1</v>
      </c>
      <c r="K1053" s="19" t="b">
        <v>0</v>
      </c>
      <c r="L1053" s="19" t="b">
        <v>0</v>
      </c>
      <c r="M1053" s="19" t="b">
        <v>0</v>
      </c>
      <c r="N1053" s="19" t="b">
        <v>0</v>
      </c>
      <c r="O1053" s="19" t="b">
        <v>1</v>
      </c>
      <c r="P1053" s="19" t="b">
        <v>0</v>
      </c>
    </row>
    <row r="1054" spans="1:16" x14ac:dyDescent="0.2">
      <c r="A1054" s="18">
        <v>7668839</v>
      </c>
      <c r="B1054" s="18" t="s">
        <v>2876</v>
      </c>
      <c r="C1054" s="18" t="s">
        <v>363</v>
      </c>
      <c r="D1054" s="18" t="s">
        <v>139</v>
      </c>
      <c r="E1054" s="19">
        <v>44773</v>
      </c>
      <c r="F1054" s="18" t="s">
        <v>2877</v>
      </c>
      <c r="G1054" s="19">
        <v>44779</v>
      </c>
      <c r="H1054" s="19">
        <v>44780</v>
      </c>
      <c r="I1054" s="18"/>
      <c r="J1054" s="19" t="b">
        <v>1</v>
      </c>
      <c r="K1054" s="19" t="b">
        <v>0</v>
      </c>
      <c r="L1054" s="19" t="b">
        <v>0</v>
      </c>
      <c r="M1054" s="19" t="b">
        <v>0</v>
      </c>
      <c r="N1054" s="19" t="b">
        <v>0</v>
      </c>
      <c r="O1054" s="19" t="b">
        <v>0</v>
      </c>
      <c r="P1054" s="19" t="b">
        <v>0</v>
      </c>
    </row>
    <row r="1055" spans="1:16" x14ac:dyDescent="0.2">
      <c r="A1055" s="18">
        <v>7668839</v>
      </c>
      <c r="B1055" s="18" t="s">
        <v>2879</v>
      </c>
      <c r="C1055" s="18" t="s">
        <v>363</v>
      </c>
      <c r="D1055" s="18" t="s">
        <v>139</v>
      </c>
      <c r="E1055" s="19">
        <v>45099</v>
      </c>
      <c r="F1055" s="18" t="s">
        <v>330</v>
      </c>
      <c r="G1055" s="19">
        <v>45108</v>
      </c>
      <c r="H1055" s="19">
        <v>45128</v>
      </c>
      <c r="I1055" s="18"/>
      <c r="J1055" s="19" t="b">
        <v>1</v>
      </c>
      <c r="K1055" s="19" t="b">
        <v>0</v>
      </c>
      <c r="L1055" s="19" t="b">
        <v>0</v>
      </c>
      <c r="M1055" s="19" t="b">
        <v>0</v>
      </c>
      <c r="N1055" s="19" t="b">
        <v>0</v>
      </c>
      <c r="O1055" s="19" t="b">
        <v>0</v>
      </c>
      <c r="P1055" s="19" t="b">
        <v>0</v>
      </c>
    </row>
    <row r="1056" spans="1:16" x14ac:dyDescent="0.2">
      <c r="A1056" s="18">
        <v>7668839</v>
      </c>
      <c r="B1056" s="18" t="s">
        <v>2880</v>
      </c>
      <c r="C1056" s="18" t="s">
        <v>363</v>
      </c>
      <c r="D1056" s="18" t="s">
        <v>139</v>
      </c>
      <c r="E1056" s="19">
        <v>44683</v>
      </c>
      <c r="F1056" s="18" t="s">
        <v>1018</v>
      </c>
      <c r="G1056" s="19">
        <v>44689</v>
      </c>
      <c r="H1056" s="19">
        <v>44704</v>
      </c>
      <c r="I1056" s="18" t="s">
        <v>28</v>
      </c>
      <c r="J1056" s="19" t="b">
        <v>1</v>
      </c>
      <c r="K1056" s="19" t="b">
        <v>0</v>
      </c>
      <c r="L1056" s="19" t="b">
        <v>0</v>
      </c>
      <c r="M1056" s="19" t="b">
        <v>0</v>
      </c>
      <c r="N1056" s="19" t="b">
        <v>0</v>
      </c>
      <c r="O1056" s="19" t="b">
        <v>0</v>
      </c>
      <c r="P1056" s="19" t="b">
        <v>1</v>
      </c>
    </row>
    <row r="1057" spans="1:16" x14ac:dyDescent="0.2">
      <c r="A1057" s="18">
        <v>1765250</v>
      </c>
      <c r="B1057" s="18" t="s">
        <v>2885</v>
      </c>
      <c r="C1057" s="18" t="s">
        <v>18</v>
      </c>
      <c r="D1057" s="18" t="s">
        <v>19</v>
      </c>
      <c r="E1057" s="19">
        <v>44777</v>
      </c>
      <c r="F1057" s="18" t="s">
        <v>2886</v>
      </c>
      <c r="G1057" s="19">
        <v>44795</v>
      </c>
      <c r="H1057" s="19">
        <v>44803</v>
      </c>
      <c r="I1057" s="18" t="s">
        <v>16</v>
      </c>
      <c r="J1057" s="19" t="b">
        <v>1</v>
      </c>
      <c r="K1057" s="19" t="b">
        <v>0</v>
      </c>
      <c r="L1057" s="19" t="b">
        <v>0</v>
      </c>
      <c r="M1057" s="19" t="b">
        <v>0</v>
      </c>
      <c r="N1057" s="19" t="b">
        <v>1</v>
      </c>
      <c r="O1057" s="19" t="b">
        <v>0</v>
      </c>
      <c r="P1057" s="19" t="b">
        <v>0</v>
      </c>
    </row>
    <row r="1058" spans="1:16" x14ac:dyDescent="0.2">
      <c r="A1058" s="18">
        <v>7192640</v>
      </c>
      <c r="B1058" s="18" t="s">
        <v>2889</v>
      </c>
      <c r="C1058" s="18" t="s">
        <v>720</v>
      </c>
      <c r="D1058" s="18" t="s">
        <v>122</v>
      </c>
      <c r="E1058" s="19">
        <v>44786</v>
      </c>
      <c r="F1058" s="18" t="s">
        <v>2566</v>
      </c>
      <c r="G1058" s="19">
        <v>44810</v>
      </c>
      <c r="H1058" s="19">
        <v>44828</v>
      </c>
      <c r="I1058" s="18" t="s">
        <v>16</v>
      </c>
      <c r="J1058" s="19" t="b">
        <v>1</v>
      </c>
      <c r="K1058" s="19" t="b">
        <v>0</v>
      </c>
      <c r="L1058" s="19" t="b">
        <v>0</v>
      </c>
      <c r="M1058" s="19" t="b">
        <v>0</v>
      </c>
      <c r="N1058" s="19" t="b">
        <v>1</v>
      </c>
      <c r="O1058" s="19" t="b">
        <v>0</v>
      </c>
      <c r="P1058" s="19" t="b">
        <v>0</v>
      </c>
    </row>
    <row r="1059" spans="1:16" x14ac:dyDescent="0.2">
      <c r="A1059" s="18">
        <v>7192640</v>
      </c>
      <c r="B1059" s="18" t="s">
        <v>2891</v>
      </c>
      <c r="C1059" s="18" t="s">
        <v>720</v>
      </c>
      <c r="D1059" s="18" t="s">
        <v>122</v>
      </c>
      <c r="E1059" s="19">
        <v>44825</v>
      </c>
      <c r="F1059" s="18" t="s">
        <v>2892</v>
      </c>
      <c r="G1059" s="19">
        <v>44853</v>
      </c>
      <c r="H1059" s="19">
        <v>44894</v>
      </c>
      <c r="I1059" s="18"/>
      <c r="J1059" s="19" t="b">
        <v>1</v>
      </c>
      <c r="K1059" s="19" t="b">
        <v>0</v>
      </c>
      <c r="L1059" s="19" t="b">
        <v>0</v>
      </c>
      <c r="M1059" s="19" t="b">
        <v>0</v>
      </c>
      <c r="N1059" s="19" t="b">
        <v>0</v>
      </c>
      <c r="O1059" s="19" t="b">
        <v>0</v>
      </c>
      <c r="P1059" s="19" t="b">
        <v>0</v>
      </c>
    </row>
    <row r="1060" spans="1:16" x14ac:dyDescent="0.2">
      <c r="A1060" s="18">
        <v>7192640</v>
      </c>
      <c r="B1060" s="18" t="s">
        <v>2893</v>
      </c>
      <c r="C1060" s="18" t="s">
        <v>720</v>
      </c>
      <c r="D1060" s="18" t="s">
        <v>122</v>
      </c>
      <c r="E1060" s="19">
        <v>44787</v>
      </c>
      <c r="F1060" s="18" t="s">
        <v>2894</v>
      </c>
      <c r="G1060" s="19">
        <v>44798</v>
      </c>
      <c r="H1060" s="19">
        <v>44816</v>
      </c>
      <c r="I1060" s="18" t="s">
        <v>43</v>
      </c>
      <c r="J1060" s="19" t="b">
        <v>1</v>
      </c>
      <c r="K1060" s="19" t="b">
        <v>0</v>
      </c>
      <c r="L1060" s="19" t="b">
        <v>0</v>
      </c>
      <c r="M1060" s="19" t="b">
        <v>0</v>
      </c>
      <c r="N1060" s="19" t="b">
        <v>0</v>
      </c>
      <c r="O1060" s="19" t="b">
        <v>1</v>
      </c>
      <c r="P1060" s="19" t="b">
        <v>0</v>
      </c>
    </row>
    <row r="1061" spans="1:16" x14ac:dyDescent="0.2">
      <c r="A1061" s="18">
        <v>4421186</v>
      </c>
      <c r="B1061" s="18" t="s">
        <v>2895</v>
      </c>
      <c r="C1061" s="18" t="s">
        <v>32</v>
      </c>
      <c r="D1061" s="18" t="s">
        <v>60</v>
      </c>
      <c r="E1061" s="19">
        <v>45052</v>
      </c>
      <c r="F1061" s="18" t="s">
        <v>2896</v>
      </c>
      <c r="G1061" s="19">
        <v>45055</v>
      </c>
      <c r="H1061" s="19">
        <v>45087</v>
      </c>
      <c r="I1061" s="18"/>
      <c r="J1061" s="19" t="b">
        <v>1</v>
      </c>
      <c r="K1061" s="19" t="b">
        <v>0</v>
      </c>
      <c r="L1061" s="19" t="b">
        <v>0</v>
      </c>
      <c r="M1061" s="19" t="b">
        <v>0</v>
      </c>
      <c r="N1061" s="19" t="b">
        <v>0</v>
      </c>
      <c r="O1061" s="19" t="b">
        <v>0</v>
      </c>
      <c r="P1061" s="19" t="b">
        <v>0</v>
      </c>
    </row>
    <row r="1062" spans="1:16" x14ac:dyDescent="0.2">
      <c r="A1062" s="18">
        <v>9229532</v>
      </c>
      <c r="B1062" s="18" t="s">
        <v>2902</v>
      </c>
      <c r="C1062" s="18" t="s">
        <v>138</v>
      </c>
      <c r="D1062" s="18" t="s">
        <v>187</v>
      </c>
      <c r="E1062" s="19">
        <v>44998</v>
      </c>
      <c r="F1062" s="18" t="s">
        <v>2903</v>
      </c>
      <c r="G1062" s="19">
        <v>45006</v>
      </c>
      <c r="H1062" s="19">
        <v>45036</v>
      </c>
      <c r="I1062" s="18" t="s">
        <v>16</v>
      </c>
      <c r="J1062" s="19" t="b">
        <v>1</v>
      </c>
      <c r="K1062" s="19" t="b">
        <v>0</v>
      </c>
      <c r="L1062" s="19" t="b">
        <v>0</v>
      </c>
      <c r="M1062" s="19" t="b">
        <v>0</v>
      </c>
      <c r="N1062" s="19" t="b">
        <v>1</v>
      </c>
      <c r="O1062" s="19" t="b">
        <v>0</v>
      </c>
      <c r="P1062" s="19" t="b">
        <v>0</v>
      </c>
    </row>
    <row r="1063" spans="1:16" x14ac:dyDescent="0.2">
      <c r="A1063" s="18">
        <v>9837877</v>
      </c>
      <c r="B1063" s="18" t="s">
        <v>2908</v>
      </c>
      <c r="C1063" s="18" t="s">
        <v>71</v>
      </c>
      <c r="D1063" s="18" t="s">
        <v>56</v>
      </c>
      <c r="E1063" s="19">
        <v>44647</v>
      </c>
      <c r="F1063" s="18" t="s">
        <v>2909</v>
      </c>
      <c r="G1063" s="19">
        <v>44656</v>
      </c>
      <c r="H1063" s="19">
        <v>44666</v>
      </c>
      <c r="I1063" s="18" t="s">
        <v>16</v>
      </c>
      <c r="J1063" s="19" t="b">
        <v>1</v>
      </c>
      <c r="K1063" s="19" t="b">
        <v>0</v>
      </c>
      <c r="L1063" s="19" t="b">
        <v>0</v>
      </c>
      <c r="M1063" s="19" t="b">
        <v>0</v>
      </c>
      <c r="N1063" s="19" t="b">
        <v>1</v>
      </c>
      <c r="O1063" s="19" t="b">
        <v>0</v>
      </c>
      <c r="P1063" s="19" t="b">
        <v>0</v>
      </c>
    </row>
    <row r="1064" spans="1:16" x14ac:dyDescent="0.2">
      <c r="A1064" s="18">
        <v>9837877</v>
      </c>
      <c r="B1064" s="18" t="s">
        <v>2910</v>
      </c>
      <c r="C1064" s="18" t="s">
        <v>71</v>
      </c>
      <c r="D1064" s="18" t="s">
        <v>56</v>
      </c>
      <c r="E1064" s="19">
        <v>44670</v>
      </c>
      <c r="F1064" s="18" t="s">
        <v>2911</v>
      </c>
      <c r="G1064" s="19">
        <v>44688</v>
      </c>
      <c r="H1064" s="19">
        <v>44736</v>
      </c>
      <c r="I1064" s="18" t="s">
        <v>16</v>
      </c>
      <c r="J1064" s="19" t="b">
        <v>1</v>
      </c>
      <c r="K1064" s="19" t="b">
        <v>0</v>
      </c>
      <c r="L1064" s="19" t="b">
        <v>0</v>
      </c>
      <c r="M1064" s="19" t="b">
        <v>0</v>
      </c>
      <c r="N1064" s="19" t="b">
        <v>1</v>
      </c>
      <c r="O1064" s="19" t="b">
        <v>0</v>
      </c>
      <c r="P1064" s="19" t="b">
        <v>0</v>
      </c>
    </row>
    <row r="1065" spans="1:16" x14ac:dyDescent="0.2">
      <c r="A1065" s="18">
        <v>9837877</v>
      </c>
      <c r="B1065" s="18" t="s">
        <v>2912</v>
      </c>
      <c r="C1065" s="18" t="s">
        <v>71</v>
      </c>
      <c r="D1065" s="18" t="s">
        <v>56</v>
      </c>
      <c r="E1065" s="19">
        <v>45053</v>
      </c>
      <c r="F1065" s="18" t="s">
        <v>2913</v>
      </c>
      <c r="G1065" s="19">
        <v>45078</v>
      </c>
      <c r="H1065" s="19">
        <v>45115</v>
      </c>
      <c r="I1065" s="18" t="s">
        <v>16</v>
      </c>
      <c r="J1065" s="19" t="b">
        <v>1</v>
      </c>
      <c r="K1065" s="19" t="b">
        <v>0</v>
      </c>
      <c r="L1065" s="19" t="b">
        <v>0</v>
      </c>
      <c r="M1065" s="19" t="b">
        <v>0</v>
      </c>
      <c r="N1065" s="19" t="b">
        <v>1</v>
      </c>
      <c r="O1065" s="19" t="b">
        <v>0</v>
      </c>
      <c r="P1065" s="19" t="b">
        <v>0</v>
      </c>
    </row>
    <row r="1066" spans="1:16" x14ac:dyDescent="0.2">
      <c r="A1066" s="18">
        <v>6565947</v>
      </c>
      <c r="B1066" s="18" t="s">
        <v>2915</v>
      </c>
      <c r="C1066" s="18" t="s">
        <v>363</v>
      </c>
      <c r="D1066" s="18" t="s">
        <v>187</v>
      </c>
      <c r="E1066" s="19">
        <v>44607</v>
      </c>
      <c r="F1066" s="18" t="s">
        <v>2916</v>
      </c>
      <c r="G1066" s="19">
        <v>44611</v>
      </c>
      <c r="H1066" s="19">
        <v>44646</v>
      </c>
      <c r="I1066" s="18" t="s">
        <v>16</v>
      </c>
      <c r="J1066" s="19" t="b">
        <v>1</v>
      </c>
      <c r="K1066" s="19" t="b">
        <v>0</v>
      </c>
      <c r="L1066" s="19" t="b">
        <v>0</v>
      </c>
      <c r="M1066" s="19" t="b">
        <v>0</v>
      </c>
      <c r="N1066" s="19" t="b">
        <v>1</v>
      </c>
      <c r="O1066" s="19" t="b">
        <v>0</v>
      </c>
      <c r="P1066" s="19" t="b">
        <v>0</v>
      </c>
    </row>
    <row r="1067" spans="1:16" x14ac:dyDescent="0.2">
      <c r="A1067" s="18">
        <v>7967320</v>
      </c>
      <c r="B1067" s="18" t="s">
        <v>2918</v>
      </c>
      <c r="C1067" s="18" t="s">
        <v>71</v>
      </c>
      <c r="D1067" s="18" t="s">
        <v>56</v>
      </c>
      <c r="E1067" s="19">
        <v>44855</v>
      </c>
      <c r="F1067" s="18" t="s">
        <v>2919</v>
      </c>
      <c r="G1067" s="19">
        <v>44863</v>
      </c>
      <c r="H1067" s="19">
        <v>44922</v>
      </c>
      <c r="I1067" s="18" t="s">
        <v>43</v>
      </c>
      <c r="J1067" s="19" t="b">
        <v>1</v>
      </c>
      <c r="K1067" s="19" t="b">
        <v>0</v>
      </c>
      <c r="L1067" s="19" t="b">
        <v>0</v>
      </c>
      <c r="M1067" s="19" t="b">
        <v>0</v>
      </c>
      <c r="N1067" s="19" t="b">
        <v>0</v>
      </c>
      <c r="O1067" s="19" t="b">
        <v>1</v>
      </c>
      <c r="P1067" s="19" t="b">
        <v>0</v>
      </c>
    </row>
    <row r="1068" spans="1:16" x14ac:dyDescent="0.2">
      <c r="A1068" s="18">
        <v>6598972</v>
      </c>
      <c r="B1068" s="18" t="s">
        <v>2921</v>
      </c>
      <c r="C1068" s="18" t="s">
        <v>176</v>
      </c>
      <c r="D1068" s="18" t="s">
        <v>39</v>
      </c>
      <c r="E1068" s="19">
        <v>45105</v>
      </c>
      <c r="F1068" s="18" t="s">
        <v>2922</v>
      </c>
      <c r="G1068" s="19">
        <v>45116</v>
      </c>
      <c r="H1068" s="19">
        <v>45155</v>
      </c>
      <c r="I1068" s="18" t="s">
        <v>43</v>
      </c>
      <c r="J1068" s="19" t="b">
        <v>1</v>
      </c>
      <c r="K1068" s="19" t="b">
        <v>0</v>
      </c>
      <c r="L1068" s="19" t="b">
        <v>0</v>
      </c>
      <c r="M1068" s="19" t="b">
        <v>0</v>
      </c>
      <c r="N1068" s="19" t="b">
        <v>0</v>
      </c>
      <c r="O1068" s="19" t="b">
        <v>1</v>
      </c>
      <c r="P1068" s="19" t="b">
        <v>0</v>
      </c>
    </row>
    <row r="1069" spans="1:16" x14ac:dyDescent="0.2">
      <c r="A1069" s="18">
        <v>4042807</v>
      </c>
      <c r="B1069" s="18" t="s">
        <v>2923</v>
      </c>
      <c r="C1069" s="18" t="s">
        <v>167</v>
      </c>
      <c r="D1069" s="18" t="s">
        <v>60</v>
      </c>
      <c r="E1069" s="19">
        <v>44855</v>
      </c>
      <c r="F1069" s="18" t="s">
        <v>2924</v>
      </c>
      <c r="G1069" s="19">
        <v>44867</v>
      </c>
      <c r="H1069" s="19">
        <v>44924</v>
      </c>
      <c r="I1069" s="18" t="s">
        <v>28</v>
      </c>
      <c r="J1069" s="19" t="b">
        <v>1</v>
      </c>
      <c r="K1069" s="19" t="b">
        <v>0</v>
      </c>
      <c r="L1069" s="19" t="b">
        <v>0</v>
      </c>
      <c r="M1069" s="19" t="b">
        <v>0</v>
      </c>
      <c r="N1069" s="19" t="b">
        <v>0</v>
      </c>
      <c r="O1069" s="19" t="b">
        <v>0</v>
      </c>
      <c r="P1069" s="19" t="b">
        <v>1</v>
      </c>
    </row>
    <row r="1070" spans="1:16" x14ac:dyDescent="0.2">
      <c r="A1070" s="18">
        <v>5452689</v>
      </c>
      <c r="B1070" s="18" t="s">
        <v>2927</v>
      </c>
      <c r="C1070" s="18" t="s">
        <v>47</v>
      </c>
      <c r="D1070" s="18" t="s">
        <v>122</v>
      </c>
      <c r="E1070" s="19">
        <v>44712</v>
      </c>
      <c r="F1070" s="18" t="s">
        <v>592</v>
      </c>
      <c r="G1070" s="19">
        <v>44723</v>
      </c>
      <c r="H1070" s="19">
        <v>44733</v>
      </c>
      <c r="I1070" s="18" t="s">
        <v>43</v>
      </c>
      <c r="J1070" s="19" t="b">
        <v>1</v>
      </c>
      <c r="K1070" s="19" t="b">
        <v>0</v>
      </c>
      <c r="L1070" s="19" t="b">
        <v>0</v>
      </c>
      <c r="M1070" s="19" t="b">
        <v>0</v>
      </c>
      <c r="N1070" s="19" t="b">
        <v>0</v>
      </c>
      <c r="O1070" s="19" t="b">
        <v>1</v>
      </c>
      <c r="P1070" s="19" t="b">
        <v>0</v>
      </c>
    </row>
    <row r="1071" spans="1:16" x14ac:dyDescent="0.2">
      <c r="A1071" s="18">
        <v>2517449</v>
      </c>
      <c r="B1071" s="18" t="s">
        <v>2930</v>
      </c>
      <c r="C1071" s="18" t="s">
        <v>720</v>
      </c>
      <c r="D1071" s="18" t="s">
        <v>187</v>
      </c>
      <c r="E1071" s="19">
        <v>44996</v>
      </c>
      <c r="F1071" s="18" t="s">
        <v>1828</v>
      </c>
      <c r="G1071" s="19">
        <v>45012</v>
      </c>
      <c r="H1071" s="19">
        <v>45057</v>
      </c>
      <c r="I1071" s="18" t="s">
        <v>28</v>
      </c>
      <c r="J1071" s="19" t="b">
        <v>1</v>
      </c>
      <c r="K1071" s="19" t="b">
        <v>0</v>
      </c>
      <c r="L1071" s="19" t="b">
        <v>0</v>
      </c>
      <c r="M1071" s="19" t="b">
        <v>0</v>
      </c>
      <c r="N1071" s="19" t="b">
        <v>0</v>
      </c>
      <c r="O1071" s="19" t="b">
        <v>0</v>
      </c>
      <c r="P1071" s="19" t="b">
        <v>1</v>
      </c>
    </row>
    <row r="1072" spans="1:16" x14ac:dyDescent="0.2">
      <c r="A1072" s="18">
        <v>2517449</v>
      </c>
      <c r="B1072" s="18" t="s">
        <v>2931</v>
      </c>
      <c r="C1072" s="18" t="s">
        <v>720</v>
      </c>
      <c r="D1072" s="18" t="s">
        <v>187</v>
      </c>
      <c r="E1072" s="19">
        <v>44813</v>
      </c>
      <c r="F1072" s="18" t="s">
        <v>2505</v>
      </c>
      <c r="G1072" s="19">
        <v>44826</v>
      </c>
      <c r="H1072" s="19">
        <v>44853</v>
      </c>
      <c r="I1072" s="18" t="s">
        <v>28</v>
      </c>
      <c r="J1072" s="19" t="b">
        <v>1</v>
      </c>
      <c r="K1072" s="19" t="b">
        <v>0</v>
      </c>
      <c r="L1072" s="19" t="b">
        <v>0</v>
      </c>
      <c r="M1072" s="19" t="b">
        <v>0</v>
      </c>
      <c r="N1072" s="19" t="b">
        <v>0</v>
      </c>
      <c r="O1072" s="19" t="b">
        <v>0</v>
      </c>
      <c r="P1072" s="19" t="b">
        <v>1</v>
      </c>
    </row>
    <row r="1073" spans="1:16" x14ac:dyDescent="0.2">
      <c r="A1073" s="18">
        <v>9339992</v>
      </c>
      <c r="B1073" s="18" t="s">
        <v>2932</v>
      </c>
      <c r="C1073" s="18" t="s">
        <v>18</v>
      </c>
      <c r="D1073" s="18" t="s">
        <v>139</v>
      </c>
      <c r="E1073" s="19">
        <v>44993</v>
      </c>
      <c r="F1073" s="18" t="s">
        <v>2933</v>
      </c>
      <c r="G1073" s="19">
        <v>45010</v>
      </c>
      <c r="H1073" s="19">
        <v>45047</v>
      </c>
      <c r="I1073" s="18" t="s">
        <v>43</v>
      </c>
      <c r="J1073" s="19" t="b">
        <v>1</v>
      </c>
      <c r="K1073" s="19" t="b">
        <v>0</v>
      </c>
      <c r="L1073" s="19" t="b">
        <v>0</v>
      </c>
      <c r="M1073" s="19" t="b">
        <v>0</v>
      </c>
      <c r="N1073" s="19" t="b">
        <v>0</v>
      </c>
      <c r="O1073" s="19" t="b">
        <v>1</v>
      </c>
      <c r="P1073" s="19" t="b">
        <v>0</v>
      </c>
    </row>
    <row r="1074" spans="1:16" x14ac:dyDescent="0.2">
      <c r="A1074" s="18">
        <v>9339992</v>
      </c>
      <c r="B1074" s="18" t="s">
        <v>2934</v>
      </c>
      <c r="C1074" s="18" t="s">
        <v>18</v>
      </c>
      <c r="D1074" s="18" t="s">
        <v>139</v>
      </c>
      <c r="E1074" s="19">
        <v>44802</v>
      </c>
      <c r="F1074" s="18" t="s">
        <v>2935</v>
      </c>
      <c r="G1074" s="19">
        <v>44814</v>
      </c>
      <c r="H1074" s="19">
        <v>44815</v>
      </c>
      <c r="I1074" s="18" t="s">
        <v>43</v>
      </c>
      <c r="J1074" s="19" t="b">
        <v>1</v>
      </c>
      <c r="K1074" s="19" t="b">
        <v>0</v>
      </c>
      <c r="L1074" s="19" t="b">
        <v>0</v>
      </c>
      <c r="M1074" s="19" t="b">
        <v>0</v>
      </c>
      <c r="N1074" s="19" t="b">
        <v>0</v>
      </c>
      <c r="O1074" s="19" t="b">
        <v>1</v>
      </c>
      <c r="P1074" s="19" t="b">
        <v>0</v>
      </c>
    </row>
    <row r="1075" spans="1:16" x14ac:dyDescent="0.2">
      <c r="A1075" s="18">
        <v>9339992</v>
      </c>
      <c r="B1075" s="18" t="s">
        <v>2938</v>
      </c>
      <c r="C1075" s="18" t="s">
        <v>18</v>
      </c>
      <c r="D1075" s="18" t="s">
        <v>139</v>
      </c>
      <c r="E1075" s="19">
        <v>44623</v>
      </c>
      <c r="F1075" s="18" t="s">
        <v>2939</v>
      </c>
      <c r="G1075" s="19">
        <v>44653</v>
      </c>
      <c r="H1075" s="19">
        <v>44676</v>
      </c>
      <c r="I1075" s="18" t="s">
        <v>43</v>
      </c>
      <c r="J1075" s="19" t="b">
        <v>1</v>
      </c>
      <c r="K1075" s="19" t="b">
        <v>0</v>
      </c>
      <c r="L1075" s="19" t="b">
        <v>0</v>
      </c>
      <c r="M1075" s="19" t="b">
        <v>0</v>
      </c>
      <c r="N1075" s="19" t="b">
        <v>0</v>
      </c>
      <c r="O1075" s="19" t="b">
        <v>1</v>
      </c>
      <c r="P1075" s="19" t="b">
        <v>0</v>
      </c>
    </row>
    <row r="1076" spans="1:16" x14ac:dyDescent="0.2">
      <c r="A1076" s="18">
        <v>7054201</v>
      </c>
      <c r="B1076" s="18" t="s">
        <v>2940</v>
      </c>
      <c r="C1076" s="18" t="s">
        <v>90</v>
      </c>
      <c r="D1076" s="18" t="s">
        <v>187</v>
      </c>
      <c r="E1076" s="19">
        <v>44791</v>
      </c>
      <c r="F1076" s="18" t="s">
        <v>2941</v>
      </c>
      <c r="G1076" s="19">
        <v>44793</v>
      </c>
      <c r="H1076" s="19">
        <v>44841</v>
      </c>
      <c r="I1076" s="18"/>
      <c r="J1076" s="19" t="b">
        <v>1</v>
      </c>
      <c r="K1076" s="19" t="b">
        <v>0</v>
      </c>
      <c r="L1076" s="19" t="b">
        <v>0</v>
      </c>
      <c r="M1076" s="19" t="b">
        <v>0</v>
      </c>
      <c r="N1076" s="19" t="b">
        <v>0</v>
      </c>
      <c r="O1076" s="19" t="b">
        <v>0</v>
      </c>
      <c r="P1076" s="19" t="b">
        <v>0</v>
      </c>
    </row>
    <row r="1077" spans="1:16" x14ac:dyDescent="0.2">
      <c r="A1077" s="18">
        <v>7054201</v>
      </c>
      <c r="B1077" s="18" t="s">
        <v>2943</v>
      </c>
      <c r="C1077" s="18" t="s">
        <v>90</v>
      </c>
      <c r="D1077" s="18" t="s">
        <v>187</v>
      </c>
      <c r="E1077" s="19">
        <v>44670</v>
      </c>
      <c r="F1077" s="18" t="s">
        <v>2944</v>
      </c>
      <c r="G1077" s="19">
        <v>44692</v>
      </c>
      <c r="H1077" s="19">
        <v>44730</v>
      </c>
      <c r="I1077" s="18"/>
      <c r="J1077" s="19" t="b">
        <v>1</v>
      </c>
      <c r="K1077" s="19" t="b">
        <v>0</v>
      </c>
      <c r="L1077" s="19" t="b">
        <v>0</v>
      </c>
      <c r="M1077" s="19" t="b">
        <v>0</v>
      </c>
      <c r="N1077" s="19" t="b">
        <v>0</v>
      </c>
      <c r="O1077" s="19" t="b">
        <v>0</v>
      </c>
      <c r="P1077" s="19" t="b">
        <v>0</v>
      </c>
    </row>
    <row r="1078" spans="1:16" x14ac:dyDescent="0.2">
      <c r="A1078" s="18">
        <v>7987624</v>
      </c>
      <c r="B1078" s="18" t="s">
        <v>2948</v>
      </c>
      <c r="C1078" s="18" t="s">
        <v>71</v>
      </c>
      <c r="D1078" s="18" t="s">
        <v>187</v>
      </c>
      <c r="E1078" s="19">
        <v>44907</v>
      </c>
      <c r="F1078" s="18" t="s">
        <v>2949</v>
      </c>
      <c r="G1078" s="19">
        <v>44922</v>
      </c>
      <c r="H1078" s="19">
        <v>44973</v>
      </c>
      <c r="I1078" s="18" t="s">
        <v>28</v>
      </c>
      <c r="J1078" s="19" t="b">
        <v>1</v>
      </c>
      <c r="K1078" s="19" t="b">
        <v>0</v>
      </c>
      <c r="L1078" s="19" t="b">
        <v>0</v>
      </c>
      <c r="M1078" s="19" t="b">
        <v>0</v>
      </c>
      <c r="N1078" s="19" t="b">
        <v>0</v>
      </c>
      <c r="O1078" s="19" t="b">
        <v>0</v>
      </c>
      <c r="P1078" s="19" t="b">
        <v>1</v>
      </c>
    </row>
    <row r="1079" spans="1:16" x14ac:dyDescent="0.2">
      <c r="A1079" s="18">
        <v>7987624</v>
      </c>
      <c r="B1079" s="18" t="s">
        <v>2950</v>
      </c>
      <c r="C1079" s="18" t="s">
        <v>71</v>
      </c>
      <c r="D1079" s="18" t="s">
        <v>187</v>
      </c>
      <c r="E1079" s="19">
        <v>44721</v>
      </c>
      <c r="F1079" s="18" t="s">
        <v>689</v>
      </c>
      <c r="G1079" s="19">
        <v>44723</v>
      </c>
      <c r="H1079" s="19">
        <v>44780</v>
      </c>
      <c r="I1079" s="18" t="s">
        <v>16</v>
      </c>
      <c r="J1079" s="19" t="b">
        <v>1</v>
      </c>
      <c r="K1079" s="19" t="b">
        <v>0</v>
      </c>
      <c r="L1079" s="19" t="b">
        <v>0</v>
      </c>
      <c r="M1079" s="19" t="b">
        <v>0</v>
      </c>
      <c r="N1079" s="19" t="b">
        <v>1</v>
      </c>
      <c r="O1079" s="19" t="b">
        <v>0</v>
      </c>
      <c r="P1079" s="19" t="b">
        <v>0</v>
      </c>
    </row>
    <row r="1080" spans="1:16" x14ac:dyDescent="0.2">
      <c r="A1080" s="18">
        <v>7987624</v>
      </c>
      <c r="B1080" s="18" t="s">
        <v>2951</v>
      </c>
      <c r="C1080" s="18" t="s">
        <v>71</v>
      </c>
      <c r="D1080" s="18" t="s">
        <v>187</v>
      </c>
      <c r="E1080" s="19">
        <v>44573</v>
      </c>
      <c r="F1080" s="18" t="s">
        <v>2952</v>
      </c>
      <c r="G1080" s="19">
        <v>44586</v>
      </c>
      <c r="H1080" s="19">
        <v>44640</v>
      </c>
      <c r="I1080" s="18" t="s">
        <v>43</v>
      </c>
      <c r="J1080" s="19" t="b">
        <v>1</v>
      </c>
      <c r="K1080" s="19" t="b">
        <v>0</v>
      </c>
      <c r="L1080" s="19" t="b">
        <v>0</v>
      </c>
      <c r="M1080" s="19" t="b">
        <v>0</v>
      </c>
      <c r="N1080" s="19" t="b">
        <v>0</v>
      </c>
      <c r="O1080" s="19" t="b">
        <v>1</v>
      </c>
      <c r="P1080" s="19" t="b">
        <v>0</v>
      </c>
    </row>
    <row r="1081" spans="1:16" x14ac:dyDescent="0.2">
      <c r="A1081" s="18">
        <v>7987624</v>
      </c>
      <c r="B1081" s="18" t="s">
        <v>2953</v>
      </c>
      <c r="C1081" s="18" t="s">
        <v>71</v>
      </c>
      <c r="D1081" s="18" t="s">
        <v>187</v>
      </c>
      <c r="E1081" s="19">
        <v>44826</v>
      </c>
      <c r="F1081" s="18" t="s">
        <v>2954</v>
      </c>
      <c r="G1081" s="19">
        <v>44856</v>
      </c>
      <c r="H1081" s="19">
        <v>44893</v>
      </c>
      <c r="I1081" s="18"/>
      <c r="J1081" s="19" t="b">
        <v>1</v>
      </c>
      <c r="K1081" s="19" t="b">
        <v>0</v>
      </c>
      <c r="L1081" s="19" t="b">
        <v>0</v>
      </c>
      <c r="M1081" s="19" t="b">
        <v>0</v>
      </c>
      <c r="N1081" s="19" t="b">
        <v>0</v>
      </c>
      <c r="O1081" s="19" t="b">
        <v>0</v>
      </c>
      <c r="P1081" s="19" t="b">
        <v>0</v>
      </c>
    </row>
    <row r="1082" spans="1:16" x14ac:dyDescent="0.2">
      <c r="A1082" s="18">
        <v>9420022</v>
      </c>
      <c r="B1082" s="18" t="s">
        <v>2955</v>
      </c>
      <c r="C1082" s="18" t="s">
        <v>110</v>
      </c>
      <c r="D1082" s="18" t="s">
        <v>19</v>
      </c>
      <c r="E1082" s="19">
        <v>44948</v>
      </c>
      <c r="F1082" s="18" t="s">
        <v>2956</v>
      </c>
      <c r="G1082" s="19">
        <v>44953</v>
      </c>
      <c r="H1082" s="19">
        <v>45001</v>
      </c>
      <c r="I1082" s="18" t="s">
        <v>28</v>
      </c>
      <c r="J1082" s="19" t="b">
        <v>1</v>
      </c>
      <c r="K1082" s="19" t="b">
        <v>0</v>
      </c>
      <c r="L1082" s="19" t="b">
        <v>0</v>
      </c>
      <c r="M1082" s="19" t="b">
        <v>0</v>
      </c>
      <c r="N1082" s="19" t="b">
        <v>0</v>
      </c>
      <c r="O1082" s="19" t="b">
        <v>0</v>
      </c>
      <c r="P1082" s="19" t="b">
        <v>1</v>
      </c>
    </row>
    <row r="1083" spans="1:16" x14ac:dyDescent="0.2">
      <c r="A1083" s="18">
        <v>9420022</v>
      </c>
      <c r="B1083" s="18" t="s">
        <v>2960</v>
      </c>
      <c r="C1083" s="18" t="s">
        <v>110</v>
      </c>
      <c r="D1083" s="18" t="s">
        <v>19</v>
      </c>
      <c r="E1083" s="19">
        <v>44976</v>
      </c>
      <c r="F1083" s="18" t="s">
        <v>1523</v>
      </c>
      <c r="G1083" s="19">
        <v>45003</v>
      </c>
      <c r="H1083" s="19">
        <v>45028</v>
      </c>
      <c r="I1083" s="18"/>
      <c r="J1083" s="19" t="b">
        <v>1</v>
      </c>
      <c r="K1083" s="19" t="b">
        <v>0</v>
      </c>
      <c r="L1083" s="19" t="b">
        <v>0</v>
      </c>
      <c r="M1083" s="19" t="b">
        <v>0</v>
      </c>
      <c r="N1083" s="19" t="b">
        <v>0</v>
      </c>
      <c r="O1083" s="19" t="b">
        <v>0</v>
      </c>
      <c r="P1083" s="19" t="b">
        <v>0</v>
      </c>
    </row>
    <row r="1084" spans="1:16" x14ac:dyDescent="0.2">
      <c r="A1084" s="18">
        <v>3765293</v>
      </c>
      <c r="B1084" s="18" t="s">
        <v>2962</v>
      </c>
      <c r="C1084" s="18" t="s">
        <v>521</v>
      </c>
      <c r="D1084" s="18" t="s">
        <v>39</v>
      </c>
      <c r="E1084" s="19">
        <v>44850</v>
      </c>
      <c r="F1084" s="18" t="s">
        <v>2963</v>
      </c>
      <c r="G1084" s="19">
        <v>44856</v>
      </c>
      <c r="H1084" s="19">
        <v>44891</v>
      </c>
      <c r="I1084" s="18" t="s">
        <v>28</v>
      </c>
      <c r="J1084" s="19" t="b">
        <v>1</v>
      </c>
      <c r="K1084" s="19" t="b">
        <v>0</v>
      </c>
      <c r="L1084" s="19" t="b">
        <v>0</v>
      </c>
      <c r="M1084" s="19" t="b">
        <v>0</v>
      </c>
      <c r="N1084" s="19" t="b">
        <v>0</v>
      </c>
      <c r="O1084" s="19" t="b">
        <v>0</v>
      </c>
      <c r="P1084" s="19" t="b">
        <v>1</v>
      </c>
    </row>
    <row r="1085" spans="1:16" x14ac:dyDescent="0.2">
      <c r="A1085" s="18">
        <v>3765293</v>
      </c>
      <c r="B1085" s="18" t="s">
        <v>2966</v>
      </c>
      <c r="C1085" s="18" t="s">
        <v>521</v>
      </c>
      <c r="D1085" s="18" t="s">
        <v>39</v>
      </c>
      <c r="E1085" s="19">
        <v>44595</v>
      </c>
      <c r="F1085" s="18" t="s">
        <v>2967</v>
      </c>
      <c r="G1085" s="19">
        <v>44603</v>
      </c>
      <c r="H1085" s="19">
        <v>44621</v>
      </c>
      <c r="I1085" s="18" t="s">
        <v>43</v>
      </c>
      <c r="J1085" s="19" t="b">
        <v>1</v>
      </c>
      <c r="K1085" s="19" t="b">
        <v>0</v>
      </c>
      <c r="L1085" s="19" t="b">
        <v>0</v>
      </c>
      <c r="M1085" s="19" t="b">
        <v>0</v>
      </c>
      <c r="N1085" s="19" t="b">
        <v>0</v>
      </c>
      <c r="O1085" s="19" t="b">
        <v>1</v>
      </c>
      <c r="P1085" s="19" t="b">
        <v>0</v>
      </c>
    </row>
    <row r="1086" spans="1:16" x14ac:dyDescent="0.2">
      <c r="A1086" s="18">
        <v>2426723</v>
      </c>
      <c r="B1086" s="18" t="s">
        <v>2968</v>
      </c>
      <c r="C1086" s="18" t="s">
        <v>32</v>
      </c>
      <c r="D1086" s="18" t="s">
        <v>81</v>
      </c>
      <c r="E1086" s="19">
        <v>44884</v>
      </c>
      <c r="F1086" s="18" t="s">
        <v>493</v>
      </c>
      <c r="G1086" s="19">
        <v>44887</v>
      </c>
      <c r="H1086" s="19">
        <v>44907</v>
      </c>
      <c r="I1086" s="18"/>
      <c r="J1086" s="19" t="b">
        <v>1</v>
      </c>
      <c r="K1086" s="19" t="b">
        <v>0</v>
      </c>
      <c r="L1086" s="19" t="b">
        <v>0</v>
      </c>
      <c r="M1086" s="19" t="b">
        <v>0</v>
      </c>
      <c r="N1086" s="19" t="b">
        <v>0</v>
      </c>
      <c r="O1086" s="19" t="b">
        <v>0</v>
      </c>
      <c r="P1086" s="19" t="b">
        <v>0</v>
      </c>
    </row>
    <row r="1087" spans="1:16" x14ac:dyDescent="0.2">
      <c r="A1087" s="18">
        <v>1142249</v>
      </c>
      <c r="B1087" s="18" t="s">
        <v>2969</v>
      </c>
      <c r="C1087" s="18" t="s">
        <v>542</v>
      </c>
      <c r="D1087" s="18" t="s">
        <v>11</v>
      </c>
      <c r="E1087" s="19">
        <v>44926</v>
      </c>
      <c r="F1087" s="18" t="s">
        <v>2458</v>
      </c>
      <c r="G1087" s="19">
        <v>44931</v>
      </c>
      <c r="H1087" s="19">
        <v>44976</v>
      </c>
      <c r="I1087" s="18" t="s">
        <v>28</v>
      </c>
      <c r="J1087" s="19" t="b">
        <v>1</v>
      </c>
      <c r="K1087" s="19" t="b">
        <v>0</v>
      </c>
      <c r="L1087" s="19" t="b">
        <v>0</v>
      </c>
      <c r="M1087" s="19" t="b">
        <v>0</v>
      </c>
      <c r="N1087" s="19" t="b">
        <v>0</v>
      </c>
      <c r="O1087" s="19" t="b">
        <v>0</v>
      </c>
      <c r="P1087" s="19" t="b">
        <v>1</v>
      </c>
    </row>
    <row r="1088" spans="1:16" x14ac:dyDescent="0.2">
      <c r="A1088" s="18">
        <v>1142249</v>
      </c>
      <c r="B1088" s="18" t="s">
        <v>2970</v>
      </c>
      <c r="C1088" s="18" t="s">
        <v>542</v>
      </c>
      <c r="D1088" s="18" t="s">
        <v>11</v>
      </c>
      <c r="E1088" s="19">
        <v>45077</v>
      </c>
      <c r="F1088" s="18" t="s">
        <v>2431</v>
      </c>
      <c r="G1088" s="19">
        <v>45081</v>
      </c>
      <c r="H1088" s="19">
        <v>45114</v>
      </c>
      <c r="I1088" s="18" t="s">
        <v>28</v>
      </c>
      <c r="J1088" s="19" t="b">
        <v>1</v>
      </c>
      <c r="K1088" s="19" t="b">
        <v>0</v>
      </c>
      <c r="L1088" s="19" t="b">
        <v>0</v>
      </c>
      <c r="M1088" s="19" t="b">
        <v>0</v>
      </c>
      <c r="N1088" s="19" t="b">
        <v>0</v>
      </c>
      <c r="O1088" s="19" t="b">
        <v>0</v>
      </c>
      <c r="P1088" s="19" t="b">
        <v>1</v>
      </c>
    </row>
    <row r="1089" spans="1:16" x14ac:dyDescent="0.2">
      <c r="A1089" s="18">
        <v>1142249</v>
      </c>
      <c r="B1089" s="18" t="s">
        <v>2971</v>
      </c>
      <c r="C1089" s="18" t="s">
        <v>542</v>
      </c>
      <c r="D1089" s="18" t="s">
        <v>11</v>
      </c>
      <c r="E1089" s="19">
        <v>44953</v>
      </c>
      <c r="F1089" s="18" t="s">
        <v>973</v>
      </c>
      <c r="G1089" s="19">
        <v>44969</v>
      </c>
      <c r="H1089" s="19">
        <v>45007</v>
      </c>
      <c r="I1089" s="18" t="s">
        <v>43</v>
      </c>
      <c r="J1089" s="19" t="b">
        <v>1</v>
      </c>
      <c r="K1089" s="19" t="b">
        <v>0</v>
      </c>
      <c r="L1089" s="19" t="b">
        <v>0</v>
      </c>
      <c r="M1089" s="19" t="b">
        <v>0</v>
      </c>
      <c r="N1089" s="19" t="b">
        <v>0</v>
      </c>
      <c r="O1089" s="19" t="b">
        <v>1</v>
      </c>
      <c r="P1089" s="19" t="b">
        <v>0</v>
      </c>
    </row>
    <row r="1090" spans="1:16" x14ac:dyDescent="0.2">
      <c r="A1090" s="18">
        <v>1142249</v>
      </c>
      <c r="B1090" s="18" t="s">
        <v>2972</v>
      </c>
      <c r="C1090" s="18" t="s">
        <v>542</v>
      </c>
      <c r="D1090" s="18" t="s">
        <v>11</v>
      </c>
      <c r="E1090" s="19">
        <v>44717</v>
      </c>
      <c r="F1090" s="18" t="s">
        <v>2973</v>
      </c>
      <c r="G1090" s="19">
        <v>44739</v>
      </c>
      <c r="H1090" s="19">
        <v>44769</v>
      </c>
      <c r="I1090" s="18" t="s">
        <v>16</v>
      </c>
      <c r="J1090" s="19" t="b">
        <v>1</v>
      </c>
      <c r="K1090" s="19" t="b">
        <v>0</v>
      </c>
      <c r="L1090" s="19" t="b">
        <v>0</v>
      </c>
      <c r="M1090" s="19" t="b">
        <v>0</v>
      </c>
      <c r="N1090" s="19" t="b">
        <v>1</v>
      </c>
      <c r="O1090" s="19" t="b">
        <v>0</v>
      </c>
      <c r="P1090" s="19" t="b">
        <v>0</v>
      </c>
    </row>
    <row r="1091" spans="1:16" x14ac:dyDescent="0.2">
      <c r="A1091" s="18">
        <v>2321253</v>
      </c>
      <c r="B1091" s="18" t="s">
        <v>2974</v>
      </c>
      <c r="C1091" s="18" t="s">
        <v>131</v>
      </c>
      <c r="D1091" s="18" t="s">
        <v>122</v>
      </c>
      <c r="E1091" s="19">
        <v>44726</v>
      </c>
      <c r="F1091" s="18" t="s">
        <v>2975</v>
      </c>
      <c r="G1091" s="19">
        <v>44743</v>
      </c>
      <c r="H1091" s="19">
        <v>44777</v>
      </c>
      <c r="I1091" s="18" t="s">
        <v>43</v>
      </c>
      <c r="J1091" s="19" t="b">
        <v>1</v>
      </c>
      <c r="K1091" s="19" t="b">
        <v>0</v>
      </c>
      <c r="L1091" s="19" t="b">
        <v>0</v>
      </c>
      <c r="M1091" s="19" t="b">
        <v>0</v>
      </c>
      <c r="N1091" s="19" t="b">
        <v>0</v>
      </c>
      <c r="O1091" s="19" t="b">
        <v>1</v>
      </c>
      <c r="P1091" s="19" t="b">
        <v>0</v>
      </c>
    </row>
    <row r="1092" spans="1:16" x14ac:dyDescent="0.2">
      <c r="A1092" s="18">
        <v>2321253</v>
      </c>
      <c r="B1092" s="18" t="s">
        <v>2976</v>
      </c>
      <c r="C1092" s="18" t="s">
        <v>131</v>
      </c>
      <c r="D1092" s="18" t="s">
        <v>122</v>
      </c>
      <c r="E1092" s="19">
        <v>44696</v>
      </c>
      <c r="F1092" s="18" t="s">
        <v>2977</v>
      </c>
      <c r="G1092" s="19">
        <v>44707</v>
      </c>
      <c r="H1092" s="19">
        <v>44726</v>
      </c>
      <c r="I1092" s="18" t="s">
        <v>28</v>
      </c>
      <c r="J1092" s="19" t="b">
        <v>1</v>
      </c>
      <c r="K1092" s="19" t="b">
        <v>0</v>
      </c>
      <c r="L1092" s="19" t="b">
        <v>0</v>
      </c>
      <c r="M1092" s="19" t="b">
        <v>0</v>
      </c>
      <c r="N1092" s="19" t="b">
        <v>0</v>
      </c>
      <c r="O1092" s="19" t="b">
        <v>0</v>
      </c>
      <c r="P1092" s="19" t="b">
        <v>1</v>
      </c>
    </row>
    <row r="1093" spans="1:16" x14ac:dyDescent="0.2">
      <c r="A1093" s="18">
        <v>7045105</v>
      </c>
      <c r="B1093" s="18" t="s">
        <v>2978</v>
      </c>
      <c r="C1093" s="18" t="s">
        <v>121</v>
      </c>
      <c r="D1093" s="18" t="s">
        <v>60</v>
      </c>
      <c r="E1093" s="19">
        <v>44638</v>
      </c>
      <c r="F1093" s="18" t="s">
        <v>2941</v>
      </c>
      <c r="G1093" s="19">
        <v>44643</v>
      </c>
      <c r="H1093" s="19">
        <v>44680</v>
      </c>
      <c r="I1093" s="18"/>
      <c r="J1093" s="19" t="b">
        <v>1</v>
      </c>
      <c r="K1093" s="19" t="b">
        <v>0</v>
      </c>
      <c r="L1093" s="19" t="b">
        <v>0</v>
      </c>
      <c r="M1093" s="19" t="b">
        <v>0</v>
      </c>
      <c r="N1093" s="19" t="b">
        <v>0</v>
      </c>
      <c r="O1093" s="19" t="b">
        <v>0</v>
      </c>
      <c r="P1093" s="19" t="b">
        <v>0</v>
      </c>
    </row>
    <row r="1094" spans="1:16" x14ac:dyDescent="0.2">
      <c r="A1094" s="18">
        <v>9347047</v>
      </c>
      <c r="B1094" s="18" t="s">
        <v>2979</v>
      </c>
      <c r="C1094" s="18" t="s">
        <v>176</v>
      </c>
      <c r="D1094" s="18" t="s">
        <v>56</v>
      </c>
      <c r="E1094" s="19">
        <v>44651</v>
      </c>
      <c r="F1094" s="18" t="s">
        <v>61</v>
      </c>
      <c r="G1094" s="19">
        <v>44667</v>
      </c>
      <c r="H1094" s="19">
        <v>44674</v>
      </c>
      <c r="I1094" s="18" t="s">
        <v>28</v>
      </c>
      <c r="J1094" s="19" t="b">
        <v>1</v>
      </c>
      <c r="K1094" s="19" t="b">
        <v>0</v>
      </c>
      <c r="L1094" s="19" t="b">
        <v>0</v>
      </c>
      <c r="M1094" s="19" t="b">
        <v>0</v>
      </c>
      <c r="N1094" s="19" t="b">
        <v>0</v>
      </c>
      <c r="O1094" s="19" t="b">
        <v>0</v>
      </c>
      <c r="P1094" s="19" t="b">
        <v>1</v>
      </c>
    </row>
    <row r="1095" spans="1:16" x14ac:dyDescent="0.2">
      <c r="A1095" s="18">
        <v>9347047</v>
      </c>
      <c r="B1095" s="18" t="s">
        <v>2980</v>
      </c>
      <c r="C1095" s="18" t="s">
        <v>176</v>
      </c>
      <c r="D1095" s="18" t="s">
        <v>56</v>
      </c>
      <c r="E1095" s="19">
        <v>44727</v>
      </c>
      <c r="F1095" s="18" t="s">
        <v>2981</v>
      </c>
      <c r="G1095" s="19">
        <v>44730</v>
      </c>
      <c r="H1095" s="19">
        <v>44748</v>
      </c>
      <c r="I1095" s="18" t="s">
        <v>43</v>
      </c>
      <c r="J1095" s="19" t="b">
        <v>1</v>
      </c>
      <c r="K1095" s="19" t="b">
        <v>0</v>
      </c>
      <c r="L1095" s="19" t="b">
        <v>0</v>
      </c>
      <c r="M1095" s="19" t="b">
        <v>0</v>
      </c>
      <c r="N1095" s="19" t="b">
        <v>0</v>
      </c>
      <c r="O1095" s="19" t="b">
        <v>1</v>
      </c>
      <c r="P1095" s="19" t="b">
        <v>0</v>
      </c>
    </row>
    <row r="1096" spans="1:16" x14ac:dyDescent="0.2">
      <c r="A1096" s="18">
        <v>5295408</v>
      </c>
      <c r="B1096" s="18" t="s">
        <v>2983</v>
      </c>
      <c r="C1096" s="18" t="s">
        <v>35</v>
      </c>
      <c r="D1096" s="18" t="s">
        <v>77</v>
      </c>
      <c r="E1096" s="19">
        <v>44855</v>
      </c>
      <c r="F1096" s="18" t="s">
        <v>2984</v>
      </c>
      <c r="G1096" s="19">
        <v>44868</v>
      </c>
      <c r="H1096" s="19">
        <v>44895</v>
      </c>
      <c r="I1096" s="18"/>
      <c r="J1096" s="19" t="b">
        <v>1</v>
      </c>
      <c r="K1096" s="19" t="b">
        <v>0</v>
      </c>
      <c r="L1096" s="19" t="b">
        <v>0</v>
      </c>
      <c r="M1096" s="19" t="b">
        <v>0</v>
      </c>
      <c r="N1096" s="19" t="b">
        <v>0</v>
      </c>
      <c r="O1096" s="19" t="b">
        <v>0</v>
      </c>
      <c r="P1096" s="19" t="b">
        <v>0</v>
      </c>
    </row>
    <row r="1097" spans="1:16" x14ac:dyDescent="0.2">
      <c r="A1097" s="18">
        <v>5295408</v>
      </c>
      <c r="B1097" s="18" t="s">
        <v>2985</v>
      </c>
      <c r="C1097" s="18" t="s">
        <v>35</v>
      </c>
      <c r="D1097" s="18" t="s">
        <v>77</v>
      </c>
      <c r="E1097" s="19">
        <v>45086</v>
      </c>
      <c r="F1097" s="18" t="s">
        <v>594</v>
      </c>
      <c r="G1097" s="19">
        <v>45114</v>
      </c>
      <c r="H1097" s="19">
        <v>45154</v>
      </c>
      <c r="I1097" s="18" t="s">
        <v>43</v>
      </c>
      <c r="J1097" s="19" t="b">
        <v>1</v>
      </c>
      <c r="K1097" s="19" t="b">
        <v>0</v>
      </c>
      <c r="L1097" s="19" t="b">
        <v>0</v>
      </c>
      <c r="M1097" s="19" t="b">
        <v>0</v>
      </c>
      <c r="N1097" s="19" t="b">
        <v>0</v>
      </c>
      <c r="O1097" s="19" t="b">
        <v>1</v>
      </c>
      <c r="P1097" s="19" t="b">
        <v>0</v>
      </c>
    </row>
    <row r="1098" spans="1:16" x14ac:dyDescent="0.2">
      <c r="A1098" s="18">
        <v>6262096</v>
      </c>
      <c r="B1098" s="18" t="s">
        <v>2986</v>
      </c>
      <c r="C1098" s="18" t="s">
        <v>542</v>
      </c>
      <c r="D1098" s="18" t="s">
        <v>122</v>
      </c>
      <c r="E1098" s="19">
        <v>44605</v>
      </c>
      <c r="F1098" s="18" t="s">
        <v>2987</v>
      </c>
      <c r="G1098" s="19">
        <v>44625</v>
      </c>
      <c r="H1098" s="19">
        <v>44667</v>
      </c>
      <c r="I1098" s="18" t="s">
        <v>28</v>
      </c>
      <c r="J1098" s="19" t="b">
        <v>1</v>
      </c>
      <c r="K1098" s="19" t="b">
        <v>0</v>
      </c>
      <c r="L1098" s="19" t="b">
        <v>0</v>
      </c>
      <c r="M1098" s="19" t="b">
        <v>0</v>
      </c>
      <c r="N1098" s="19" t="b">
        <v>0</v>
      </c>
      <c r="O1098" s="19" t="b">
        <v>0</v>
      </c>
      <c r="P1098" s="19" t="b">
        <v>1</v>
      </c>
    </row>
    <row r="1099" spans="1:16" x14ac:dyDescent="0.2">
      <c r="A1099" s="18">
        <v>6262096</v>
      </c>
      <c r="B1099" s="18" t="s">
        <v>2989</v>
      </c>
      <c r="C1099" s="18" t="s">
        <v>542</v>
      </c>
      <c r="D1099" s="18" t="s">
        <v>122</v>
      </c>
      <c r="E1099" s="19">
        <v>44970</v>
      </c>
      <c r="F1099" s="18" t="s">
        <v>2990</v>
      </c>
      <c r="G1099" s="19">
        <v>44998</v>
      </c>
      <c r="H1099" s="19">
        <v>45003</v>
      </c>
      <c r="I1099" s="18" t="s">
        <v>28</v>
      </c>
      <c r="J1099" s="19" t="b">
        <v>1</v>
      </c>
      <c r="K1099" s="19" t="b">
        <v>0</v>
      </c>
      <c r="L1099" s="19" t="b">
        <v>0</v>
      </c>
      <c r="M1099" s="19" t="b">
        <v>0</v>
      </c>
      <c r="N1099" s="19" t="b">
        <v>0</v>
      </c>
      <c r="O1099" s="19" t="b">
        <v>0</v>
      </c>
      <c r="P1099" s="19" t="b">
        <v>1</v>
      </c>
    </row>
    <row r="1100" spans="1:16" x14ac:dyDescent="0.2">
      <c r="A1100" s="18">
        <v>8816129</v>
      </c>
      <c r="B1100" s="18" t="s">
        <v>2994</v>
      </c>
      <c r="C1100" s="18" t="s">
        <v>287</v>
      </c>
      <c r="D1100" s="18" t="s">
        <v>139</v>
      </c>
      <c r="E1100" s="19">
        <v>44766</v>
      </c>
      <c r="F1100" s="18" t="s">
        <v>2995</v>
      </c>
      <c r="G1100" s="19">
        <v>44779</v>
      </c>
      <c r="H1100" s="19">
        <v>44801</v>
      </c>
      <c r="I1100" s="18"/>
      <c r="J1100" s="19" t="b">
        <v>1</v>
      </c>
      <c r="K1100" s="19" t="b">
        <v>0</v>
      </c>
      <c r="L1100" s="19" t="b">
        <v>0</v>
      </c>
      <c r="M1100" s="19" t="b">
        <v>0</v>
      </c>
      <c r="N1100" s="19" t="b">
        <v>0</v>
      </c>
      <c r="O1100" s="19" t="b">
        <v>0</v>
      </c>
      <c r="P1100" s="19" t="b">
        <v>0</v>
      </c>
    </row>
    <row r="1101" spans="1:16" x14ac:dyDescent="0.2">
      <c r="A1101" s="18">
        <v>8816129</v>
      </c>
      <c r="B1101" s="18" t="s">
        <v>2998</v>
      </c>
      <c r="C1101" s="18" t="s">
        <v>287</v>
      </c>
      <c r="D1101" s="18" t="s">
        <v>139</v>
      </c>
      <c r="E1101" s="19">
        <v>45027</v>
      </c>
      <c r="F1101" s="18" t="s">
        <v>2999</v>
      </c>
      <c r="G1101" s="19">
        <v>45029</v>
      </c>
      <c r="H1101" s="19">
        <v>45064</v>
      </c>
      <c r="I1101" s="18"/>
      <c r="J1101" s="19" t="b">
        <v>1</v>
      </c>
      <c r="K1101" s="19" t="b">
        <v>0</v>
      </c>
      <c r="L1101" s="19" t="b">
        <v>0</v>
      </c>
      <c r="M1101" s="19" t="b">
        <v>0</v>
      </c>
      <c r="N1101" s="19" t="b">
        <v>0</v>
      </c>
      <c r="O1101" s="19" t="b">
        <v>0</v>
      </c>
      <c r="P1101" s="19" t="b">
        <v>0</v>
      </c>
    </row>
    <row r="1102" spans="1:16" x14ac:dyDescent="0.2">
      <c r="A1102" s="18">
        <v>3612902</v>
      </c>
      <c r="B1102" s="18" t="s">
        <v>3002</v>
      </c>
      <c r="C1102" s="18" t="s">
        <v>363</v>
      </c>
      <c r="D1102" s="18" t="s">
        <v>187</v>
      </c>
      <c r="E1102" s="19">
        <v>45046</v>
      </c>
      <c r="F1102" s="18" t="s">
        <v>873</v>
      </c>
      <c r="G1102" s="19">
        <v>45053</v>
      </c>
      <c r="H1102" s="19">
        <v>45057</v>
      </c>
      <c r="I1102" s="18" t="s">
        <v>28</v>
      </c>
      <c r="J1102" s="19" t="b">
        <v>1</v>
      </c>
      <c r="K1102" s="19" t="b">
        <v>0</v>
      </c>
      <c r="L1102" s="19" t="b">
        <v>0</v>
      </c>
      <c r="M1102" s="19" t="b">
        <v>0</v>
      </c>
      <c r="N1102" s="19" t="b">
        <v>0</v>
      </c>
      <c r="O1102" s="19" t="b">
        <v>0</v>
      </c>
      <c r="P1102" s="19" t="b">
        <v>1</v>
      </c>
    </row>
    <row r="1103" spans="1:16" x14ac:dyDescent="0.2">
      <c r="A1103" s="18">
        <v>4548261</v>
      </c>
      <c r="B1103" s="18" t="s">
        <v>3007</v>
      </c>
      <c r="C1103" s="18" t="s">
        <v>90</v>
      </c>
      <c r="D1103" s="18" t="s">
        <v>56</v>
      </c>
      <c r="E1103" s="19">
        <v>45024</v>
      </c>
      <c r="F1103" s="18" t="s">
        <v>922</v>
      </c>
      <c r="G1103" s="19">
        <v>45052</v>
      </c>
      <c r="H1103" s="19">
        <v>45079</v>
      </c>
      <c r="I1103" s="18" t="s">
        <v>28</v>
      </c>
      <c r="J1103" s="19" t="b">
        <v>1</v>
      </c>
      <c r="K1103" s="19" t="b">
        <v>0</v>
      </c>
      <c r="L1103" s="19" t="b">
        <v>0</v>
      </c>
      <c r="M1103" s="19" t="b">
        <v>0</v>
      </c>
      <c r="N1103" s="19" t="b">
        <v>0</v>
      </c>
      <c r="O1103" s="19" t="b">
        <v>0</v>
      </c>
      <c r="P1103" s="19" t="b">
        <v>1</v>
      </c>
    </row>
    <row r="1104" spans="1:16" x14ac:dyDescent="0.2">
      <c r="A1104" s="18">
        <v>4548261</v>
      </c>
      <c r="B1104" s="18" t="s">
        <v>3008</v>
      </c>
      <c r="C1104" s="18" t="s">
        <v>90</v>
      </c>
      <c r="D1104" s="18" t="s">
        <v>56</v>
      </c>
      <c r="E1104" s="19">
        <v>44617</v>
      </c>
      <c r="F1104" s="18" t="s">
        <v>2031</v>
      </c>
      <c r="G1104" s="19">
        <v>44620</v>
      </c>
      <c r="H1104" s="19">
        <v>44678</v>
      </c>
      <c r="I1104" s="18" t="s">
        <v>28</v>
      </c>
      <c r="J1104" s="19" t="b">
        <v>1</v>
      </c>
      <c r="K1104" s="19" t="b">
        <v>0</v>
      </c>
      <c r="L1104" s="19" t="b">
        <v>0</v>
      </c>
      <c r="M1104" s="19" t="b">
        <v>0</v>
      </c>
      <c r="N1104" s="19" t="b">
        <v>0</v>
      </c>
      <c r="O1104" s="19" t="b">
        <v>0</v>
      </c>
      <c r="P1104" s="19" t="b">
        <v>1</v>
      </c>
    </row>
    <row r="1105" spans="1:16" x14ac:dyDescent="0.2">
      <c r="A1105" s="18">
        <v>5981239</v>
      </c>
      <c r="B1105" s="18" t="s">
        <v>3009</v>
      </c>
      <c r="C1105" s="18" t="s">
        <v>38</v>
      </c>
      <c r="D1105" s="18" t="s">
        <v>19</v>
      </c>
      <c r="E1105" s="19">
        <v>44726</v>
      </c>
      <c r="F1105" s="18" t="s">
        <v>3010</v>
      </c>
      <c r="G1105" s="19">
        <v>44749</v>
      </c>
      <c r="H1105" s="19">
        <v>44777</v>
      </c>
      <c r="I1105" s="18"/>
      <c r="J1105" s="19" t="b">
        <v>1</v>
      </c>
      <c r="K1105" s="19" t="b">
        <v>0</v>
      </c>
      <c r="L1105" s="19" t="b">
        <v>0</v>
      </c>
      <c r="M1105" s="19" t="b">
        <v>0</v>
      </c>
      <c r="N1105" s="19" t="b">
        <v>0</v>
      </c>
      <c r="O1105" s="19" t="b">
        <v>0</v>
      </c>
      <c r="P1105" s="19" t="b">
        <v>0</v>
      </c>
    </row>
    <row r="1106" spans="1:16" x14ac:dyDescent="0.2">
      <c r="A1106" s="18">
        <v>5981239</v>
      </c>
      <c r="B1106" s="18" t="s">
        <v>3011</v>
      </c>
      <c r="C1106" s="18" t="s">
        <v>38</v>
      </c>
      <c r="D1106" s="18" t="s">
        <v>19</v>
      </c>
      <c r="E1106" s="19">
        <v>44765</v>
      </c>
      <c r="F1106" s="18" t="s">
        <v>3012</v>
      </c>
      <c r="G1106" s="19">
        <v>44768</v>
      </c>
      <c r="H1106" s="19">
        <v>44815</v>
      </c>
      <c r="I1106" s="18"/>
      <c r="J1106" s="19" t="b">
        <v>1</v>
      </c>
      <c r="K1106" s="19" t="b">
        <v>0</v>
      </c>
      <c r="L1106" s="19" t="b">
        <v>0</v>
      </c>
      <c r="M1106" s="19" t="b">
        <v>0</v>
      </c>
      <c r="N1106" s="19" t="b">
        <v>0</v>
      </c>
      <c r="O1106" s="19" t="b">
        <v>0</v>
      </c>
      <c r="P1106" s="19" t="b">
        <v>0</v>
      </c>
    </row>
    <row r="1107" spans="1:16" x14ac:dyDescent="0.2">
      <c r="A1107" s="18">
        <v>5981239</v>
      </c>
      <c r="B1107" s="18" t="s">
        <v>3013</v>
      </c>
      <c r="C1107" s="18" t="s">
        <v>38</v>
      </c>
      <c r="D1107" s="18" t="s">
        <v>19</v>
      </c>
      <c r="E1107" s="19">
        <v>44886</v>
      </c>
      <c r="F1107" s="18" t="s">
        <v>313</v>
      </c>
      <c r="G1107" s="19">
        <v>44887</v>
      </c>
      <c r="H1107" s="19">
        <v>44897</v>
      </c>
      <c r="I1107" s="18" t="s">
        <v>43</v>
      </c>
      <c r="J1107" s="19" t="b">
        <v>1</v>
      </c>
      <c r="K1107" s="19" t="b">
        <v>0</v>
      </c>
      <c r="L1107" s="19" t="b">
        <v>0</v>
      </c>
      <c r="M1107" s="19" t="b">
        <v>0</v>
      </c>
      <c r="N1107" s="19" t="b">
        <v>0</v>
      </c>
      <c r="O1107" s="19" t="b">
        <v>1</v>
      </c>
      <c r="P1107" s="19" t="b">
        <v>0</v>
      </c>
    </row>
    <row r="1108" spans="1:16" x14ac:dyDescent="0.2">
      <c r="A1108" s="18">
        <v>8695022</v>
      </c>
      <c r="B1108" s="18" t="s">
        <v>3014</v>
      </c>
      <c r="C1108" s="18" t="s">
        <v>310</v>
      </c>
      <c r="D1108" s="18" t="s">
        <v>187</v>
      </c>
      <c r="E1108" s="19">
        <v>44978</v>
      </c>
      <c r="F1108" s="18" t="s">
        <v>1360</v>
      </c>
      <c r="G1108" s="19">
        <v>44987</v>
      </c>
      <c r="H1108" s="19">
        <v>45021</v>
      </c>
      <c r="I1108" s="18" t="s">
        <v>16</v>
      </c>
      <c r="J1108" s="19" t="b">
        <v>1</v>
      </c>
      <c r="K1108" s="19" t="b">
        <v>0</v>
      </c>
      <c r="L1108" s="19" t="b">
        <v>0</v>
      </c>
      <c r="M1108" s="19" t="b">
        <v>0</v>
      </c>
      <c r="N1108" s="19" t="b">
        <v>1</v>
      </c>
      <c r="O1108" s="19" t="b">
        <v>0</v>
      </c>
      <c r="P1108" s="19" t="b">
        <v>0</v>
      </c>
    </row>
    <row r="1109" spans="1:16" x14ac:dyDescent="0.2">
      <c r="A1109" s="18">
        <v>8695022</v>
      </c>
      <c r="B1109" s="18" t="s">
        <v>3015</v>
      </c>
      <c r="C1109" s="18" t="s">
        <v>310</v>
      </c>
      <c r="D1109" s="18" t="s">
        <v>187</v>
      </c>
      <c r="E1109" s="19">
        <v>44690</v>
      </c>
      <c r="F1109" s="18" t="s">
        <v>3016</v>
      </c>
      <c r="G1109" s="19">
        <v>44711</v>
      </c>
      <c r="H1109" s="19">
        <v>44740</v>
      </c>
      <c r="I1109" s="18"/>
      <c r="J1109" s="19" t="b">
        <v>1</v>
      </c>
      <c r="K1109" s="19" t="b">
        <v>0</v>
      </c>
      <c r="L1109" s="19" t="b">
        <v>0</v>
      </c>
      <c r="M1109" s="19" t="b">
        <v>0</v>
      </c>
      <c r="N1109" s="19" t="b">
        <v>0</v>
      </c>
      <c r="O1109" s="19" t="b">
        <v>0</v>
      </c>
      <c r="P1109" s="19" t="b">
        <v>0</v>
      </c>
    </row>
    <row r="1110" spans="1:16" x14ac:dyDescent="0.2">
      <c r="A1110" s="18">
        <v>8695022</v>
      </c>
      <c r="B1110" s="18" t="s">
        <v>3017</v>
      </c>
      <c r="C1110" s="18" t="s">
        <v>310</v>
      </c>
      <c r="D1110" s="18" t="s">
        <v>187</v>
      </c>
      <c r="E1110" s="19">
        <v>44754</v>
      </c>
      <c r="F1110" s="18" t="s">
        <v>3018</v>
      </c>
      <c r="G1110" s="19">
        <v>44768</v>
      </c>
      <c r="H1110" s="19">
        <v>44813</v>
      </c>
      <c r="I1110" s="18" t="s">
        <v>16</v>
      </c>
      <c r="J1110" s="19" t="b">
        <v>1</v>
      </c>
      <c r="K1110" s="19" t="b">
        <v>0</v>
      </c>
      <c r="L1110" s="19" t="b">
        <v>0</v>
      </c>
      <c r="M1110" s="19" t="b">
        <v>0</v>
      </c>
      <c r="N1110" s="19" t="b">
        <v>1</v>
      </c>
      <c r="O1110" s="19" t="b">
        <v>0</v>
      </c>
      <c r="P1110" s="19" t="b">
        <v>0</v>
      </c>
    </row>
    <row r="1111" spans="1:16" x14ac:dyDescent="0.2">
      <c r="A1111" s="18">
        <v>8695022</v>
      </c>
      <c r="B1111" s="18" t="s">
        <v>3019</v>
      </c>
      <c r="C1111" s="18" t="s">
        <v>310</v>
      </c>
      <c r="D1111" s="18" t="s">
        <v>187</v>
      </c>
      <c r="E1111" s="19">
        <v>44783</v>
      </c>
      <c r="F1111" s="18" t="s">
        <v>3020</v>
      </c>
      <c r="G1111" s="19">
        <v>44795</v>
      </c>
      <c r="H1111" s="19">
        <v>44809</v>
      </c>
      <c r="I1111" s="18" t="s">
        <v>43</v>
      </c>
      <c r="J1111" s="19" t="b">
        <v>1</v>
      </c>
      <c r="K1111" s="19" t="b">
        <v>0</v>
      </c>
      <c r="L1111" s="19" t="b">
        <v>0</v>
      </c>
      <c r="M1111" s="19" t="b">
        <v>0</v>
      </c>
      <c r="N1111" s="19" t="b">
        <v>0</v>
      </c>
      <c r="O1111" s="19" t="b">
        <v>1</v>
      </c>
      <c r="P1111" s="19" t="b">
        <v>0</v>
      </c>
    </row>
    <row r="1112" spans="1:16" x14ac:dyDescent="0.2">
      <c r="A1112" s="18">
        <v>6150025</v>
      </c>
      <c r="B1112" s="18" t="s">
        <v>3023</v>
      </c>
      <c r="C1112" s="18" t="s">
        <v>80</v>
      </c>
      <c r="D1112" s="18" t="s">
        <v>122</v>
      </c>
      <c r="E1112" s="19">
        <v>44922</v>
      </c>
      <c r="F1112" s="18" t="s">
        <v>216</v>
      </c>
      <c r="G1112" s="19">
        <v>44934</v>
      </c>
      <c r="H1112" s="19">
        <v>44988</v>
      </c>
      <c r="I1112" s="18"/>
      <c r="J1112" s="19" t="b">
        <v>1</v>
      </c>
      <c r="K1112" s="19" t="b">
        <v>0</v>
      </c>
      <c r="L1112" s="19" t="b">
        <v>0</v>
      </c>
      <c r="M1112" s="19" t="b">
        <v>0</v>
      </c>
      <c r="N1112" s="19" t="b">
        <v>0</v>
      </c>
      <c r="O1112" s="19" t="b">
        <v>0</v>
      </c>
      <c r="P1112" s="19" t="b">
        <v>0</v>
      </c>
    </row>
    <row r="1113" spans="1:16" x14ac:dyDescent="0.2">
      <c r="A1113" s="18">
        <v>6150025</v>
      </c>
      <c r="B1113" s="18" t="s">
        <v>3024</v>
      </c>
      <c r="C1113" s="18" t="s">
        <v>80</v>
      </c>
      <c r="D1113" s="18" t="s">
        <v>122</v>
      </c>
      <c r="E1113" s="19">
        <v>45031</v>
      </c>
      <c r="F1113" s="18" t="s">
        <v>3025</v>
      </c>
      <c r="G1113" s="19">
        <v>45045</v>
      </c>
      <c r="H1113" s="19">
        <v>45069</v>
      </c>
      <c r="I1113" s="18" t="s">
        <v>28</v>
      </c>
      <c r="J1113" s="19" t="b">
        <v>1</v>
      </c>
      <c r="K1113" s="19" t="b">
        <v>0</v>
      </c>
      <c r="L1113" s="19" t="b">
        <v>0</v>
      </c>
      <c r="M1113" s="19" t="b">
        <v>0</v>
      </c>
      <c r="N1113" s="19" t="b">
        <v>0</v>
      </c>
      <c r="O1113" s="19" t="b">
        <v>0</v>
      </c>
      <c r="P1113" s="19" t="b">
        <v>1</v>
      </c>
    </row>
    <row r="1114" spans="1:16" x14ac:dyDescent="0.2">
      <c r="A1114" s="18">
        <v>5752118</v>
      </c>
      <c r="B1114" s="18" t="s">
        <v>3030</v>
      </c>
      <c r="C1114" s="18" t="s">
        <v>240</v>
      </c>
      <c r="D1114" s="18" t="s">
        <v>81</v>
      </c>
      <c r="E1114" s="19">
        <v>44578</v>
      </c>
      <c r="F1114" s="18" t="s">
        <v>228</v>
      </c>
      <c r="G1114" s="19">
        <v>44598</v>
      </c>
      <c r="H1114" s="19">
        <v>44658</v>
      </c>
      <c r="I1114" s="18" t="s">
        <v>16</v>
      </c>
      <c r="J1114" s="19" t="b">
        <v>1</v>
      </c>
      <c r="K1114" s="19" t="b">
        <v>0</v>
      </c>
      <c r="L1114" s="19" t="b">
        <v>0</v>
      </c>
      <c r="M1114" s="19" t="b">
        <v>0</v>
      </c>
      <c r="N1114" s="19" t="b">
        <v>1</v>
      </c>
      <c r="O1114" s="19" t="b">
        <v>0</v>
      </c>
      <c r="P1114" s="19" t="b">
        <v>0</v>
      </c>
    </row>
    <row r="1115" spans="1:16" x14ac:dyDescent="0.2">
      <c r="A1115" s="18">
        <v>7900127</v>
      </c>
      <c r="B1115" s="18" t="s">
        <v>3031</v>
      </c>
      <c r="C1115" s="18" t="s">
        <v>176</v>
      </c>
      <c r="D1115" s="18" t="s">
        <v>77</v>
      </c>
      <c r="E1115" s="19">
        <v>45077</v>
      </c>
      <c r="F1115" s="18" t="s">
        <v>2224</v>
      </c>
      <c r="G1115" s="19">
        <v>45096</v>
      </c>
      <c r="H1115" s="19">
        <v>45148</v>
      </c>
      <c r="I1115" s="18" t="s">
        <v>16</v>
      </c>
      <c r="J1115" s="19" t="b">
        <v>1</v>
      </c>
      <c r="K1115" s="19" t="b">
        <v>0</v>
      </c>
      <c r="L1115" s="19" t="b">
        <v>0</v>
      </c>
      <c r="M1115" s="19" t="b">
        <v>0</v>
      </c>
      <c r="N1115" s="19" t="b">
        <v>1</v>
      </c>
      <c r="O1115" s="19" t="b">
        <v>0</v>
      </c>
      <c r="P1115" s="19" t="b">
        <v>0</v>
      </c>
    </row>
    <row r="1116" spans="1:16" x14ac:dyDescent="0.2">
      <c r="A1116" s="18">
        <v>7900127</v>
      </c>
      <c r="B1116" s="18" t="s">
        <v>3038</v>
      </c>
      <c r="C1116" s="18" t="s">
        <v>176</v>
      </c>
      <c r="D1116" s="18" t="s">
        <v>77</v>
      </c>
      <c r="E1116" s="19">
        <v>44967</v>
      </c>
      <c r="F1116" s="18" t="s">
        <v>3039</v>
      </c>
      <c r="G1116" s="19">
        <v>44968</v>
      </c>
      <c r="H1116" s="19">
        <v>44992</v>
      </c>
      <c r="I1116" s="18"/>
      <c r="J1116" s="19" t="b">
        <v>1</v>
      </c>
      <c r="K1116" s="19" t="b">
        <v>0</v>
      </c>
      <c r="L1116" s="19" t="b">
        <v>0</v>
      </c>
      <c r="M1116" s="19" t="b">
        <v>0</v>
      </c>
      <c r="N1116" s="19" t="b">
        <v>0</v>
      </c>
      <c r="O1116" s="19" t="b">
        <v>0</v>
      </c>
      <c r="P1116" s="19" t="b">
        <v>0</v>
      </c>
    </row>
    <row r="1117" spans="1:16" x14ac:dyDescent="0.2">
      <c r="A1117" s="18">
        <v>4757032</v>
      </c>
      <c r="B1117" s="18" t="s">
        <v>3040</v>
      </c>
      <c r="C1117" s="18" t="s">
        <v>80</v>
      </c>
      <c r="D1117" s="18" t="s">
        <v>11</v>
      </c>
      <c r="E1117" s="19">
        <v>44986</v>
      </c>
      <c r="F1117" s="18" t="s">
        <v>3041</v>
      </c>
      <c r="G1117" s="19">
        <v>45008</v>
      </c>
      <c r="H1117" s="19">
        <v>45024</v>
      </c>
      <c r="I1117" s="18" t="s">
        <v>28</v>
      </c>
      <c r="J1117" s="19" t="b">
        <v>1</v>
      </c>
      <c r="K1117" s="19" t="b">
        <v>0</v>
      </c>
      <c r="L1117" s="19" t="b">
        <v>0</v>
      </c>
      <c r="M1117" s="19" t="b">
        <v>0</v>
      </c>
      <c r="N1117" s="19" t="b">
        <v>0</v>
      </c>
      <c r="O1117" s="19" t="b">
        <v>0</v>
      </c>
      <c r="P1117" s="19" t="b">
        <v>1</v>
      </c>
    </row>
    <row r="1118" spans="1:16" x14ac:dyDescent="0.2">
      <c r="A1118" s="18">
        <v>6326278</v>
      </c>
      <c r="B1118" s="18" t="s">
        <v>3044</v>
      </c>
      <c r="C1118" s="18" t="s">
        <v>720</v>
      </c>
      <c r="D1118" s="18" t="s">
        <v>187</v>
      </c>
      <c r="E1118" s="19">
        <v>44759</v>
      </c>
      <c r="F1118" s="18" t="s">
        <v>1651</v>
      </c>
      <c r="G1118" s="19">
        <v>44779</v>
      </c>
      <c r="H1118" s="19">
        <v>44821</v>
      </c>
      <c r="I1118" s="18" t="s">
        <v>43</v>
      </c>
      <c r="J1118" s="19" t="b">
        <v>1</v>
      </c>
      <c r="K1118" s="19" t="b">
        <v>0</v>
      </c>
      <c r="L1118" s="19" t="b">
        <v>0</v>
      </c>
      <c r="M1118" s="19" t="b">
        <v>0</v>
      </c>
      <c r="N1118" s="19" t="b">
        <v>0</v>
      </c>
      <c r="O1118" s="19" t="b">
        <v>1</v>
      </c>
      <c r="P1118" s="19" t="b">
        <v>0</v>
      </c>
    </row>
    <row r="1119" spans="1:16" x14ac:dyDescent="0.2">
      <c r="A1119" s="18">
        <v>6326278</v>
      </c>
      <c r="B1119" s="18" t="s">
        <v>3045</v>
      </c>
      <c r="C1119" s="18" t="s">
        <v>720</v>
      </c>
      <c r="D1119" s="18" t="s">
        <v>187</v>
      </c>
      <c r="E1119" s="19">
        <v>45001</v>
      </c>
      <c r="F1119" s="18" t="s">
        <v>3046</v>
      </c>
      <c r="G1119" s="19">
        <v>45006</v>
      </c>
      <c r="H1119" s="19">
        <v>45047</v>
      </c>
      <c r="I1119" s="18" t="s">
        <v>16</v>
      </c>
      <c r="J1119" s="19" t="b">
        <v>1</v>
      </c>
      <c r="K1119" s="19" t="b">
        <v>0</v>
      </c>
      <c r="L1119" s="19" t="b">
        <v>0</v>
      </c>
      <c r="M1119" s="19" t="b">
        <v>0</v>
      </c>
      <c r="N1119" s="19" t="b">
        <v>1</v>
      </c>
      <c r="O1119" s="19" t="b">
        <v>0</v>
      </c>
      <c r="P1119" s="19" t="b">
        <v>0</v>
      </c>
    </row>
    <row r="1120" spans="1:16" x14ac:dyDescent="0.2">
      <c r="A1120" s="18">
        <v>6326278</v>
      </c>
      <c r="B1120" s="18" t="s">
        <v>3047</v>
      </c>
      <c r="C1120" s="18" t="s">
        <v>720</v>
      </c>
      <c r="D1120" s="18" t="s">
        <v>187</v>
      </c>
      <c r="E1120" s="19">
        <v>44887</v>
      </c>
      <c r="F1120" s="18" t="s">
        <v>3048</v>
      </c>
      <c r="G1120" s="19">
        <v>44904</v>
      </c>
      <c r="H1120" s="19">
        <v>44915</v>
      </c>
      <c r="I1120" s="18" t="s">
        <v>43</v>
      </c>
      <c r="J1120" s="19" t="b">
        <v>1</v>
      </c>
      <c r="K1120" s="19" t="b">
        <v>0</v>
      </c>
      <c r="L1120" s="19" t="b">
        <v>0</v>
      </c>
      <c r="M1120" s="19" t="b">
        <v>0</v>
      </c>
      <c r="N1120" s="19" t="b">
        <v>0</v>
      </c>
      <c r="O1120" s="19" t="b">
        <v>1</v>
      </c>
      <c r="P1120" s="19" t="b">
        <v>0</v>
      </c>
    </row>
    <row r="1121" spans="1:16" x14ac:dyDescent="0.2">
      <c r="A1121" s="18">
        <v>6326278</v>
      </c>
      <c r="B1121" s="18" t="s">
        <v>3049</v>
      </c>
      <c r="C1121" s="18" t="s">
        <v>720</v>
      </c>
      <c r="D1121" s="18" t="s">
        <v>187</v>
      </c>
      <c r="E1121" s="19">
        <v>44691</v>
      </c>
      <c r="F1121" s="18" t="s">
        <v>3050</v>
      </c>
      <c r="G1121" s="19">
        <v>44708</v>
      </c>
      <c r="H1121" s="19">
        <v>44716</v>
      </c>
      <c r="I1121" s="18" t="s">
        <v>16</v>
      </c>
      <c r="J1121" s="19" t="b">
        <v>1</v>
      </c>
      <c r="K1121" s="19" t="b">
        <v>0</v>
      </c>
      <c r="L1121" s="19" t="b">
        <v>0</v>
      </c>
      <c r="M1121" s="19" t="b">
        <v>0</v>
      </c>
      <c r="N1121" s="19" t="b">
        <v>1</v>
      </c>
      <c r="O1121" s="19" t="b">
        <v>0</v>
      </c>
      <c r="P1121" s="19" t="b">
        <v>0</v>
      </c>
    </row>
    <row r="1122" spans="1:16" x14ac:dyDescent="0.2">
      <c r="A1122" s="18">
        <v>6326278</v>
      </c>
      <c r="B1122" s="18" t="s">
        <v>3051</v>
      </c>
      <c r="C1122" s="18" t="s">
        <v>720</v>
      </c>
      <c r="D1122" s="18" t="s">
        <v>187</v>
      </c>
      <c r="E1122" s="19">
        <v>44828</v>
      </c>
      <c r="F1122" s="18" t="s">
        <v>409</v>
      </c>
      <c r="G1122" s="19">
        <v>44855</v>
      </c>
      <c r="H1122" s="19">
        <v>44891</v>
      </c>
      <c r="I1122" s="18"/>
      <c r="J1122" s="19" t="b">
        <v>1</v>
      </c>
      <c r="K1122" s="19" t="b">
        <v>0</v>
      </c>
      <c r="L1122" s="19" t="b">
        <v>0</v>
      </c>
      <c r="M1122" s="19" t="b">
        <v>0</v>
      </c>
      <c r="N1122" s="19" t="b">
        <v>0</v>
      </c>
      <c r="O1122" s="19" t="b">
        <v>0</v>
      </c>
      <c r="P1122" s="19" t="b">
        <v>0</v>
      </c>
    </row>
    <row r="1123" spans="1:16" x14ac:dyDescent="0.2">
      <c r="A1123" s="18">
        <v>8338707</v>
      </c>
      <c r="B1123" s="18" t="s">
        <v>3055</v>
      </c>
      <c r="C1123" s="18" t="s">
        <v>10</v>
      </c>
      <c r="D1123" s="18" t="s">
        <v>81</v>
      </c>
      <c r="E1123" s="19">
        <v>44587</v>
      </c>
      <c r="F1123" s="18" t="s">
        <v>2162</v>
      </c>
      <c r="G1123" s="19">
        <v>44611</v>
      </c>
      <c r="H1123" s="19">
        <v>44658</v>
      </c>
      <c r="I1123" s="18" t="s">
        <v>16</v>
      </c>
      <c r="J1123" s="19" t="b">
        <v>1</v>
      </c>
      <c r="K1123" s="19" t="b">
        <v>0</v>
      </c>
      <c r="L1123" s="19" t="b">
        <v>0</v>
      </c>
      <c r="M1123" s="19" t="b">
        <v>0</v>
      </c>
      <c r="N1123" s="19" t="b">
        <v>1</v>
      </c>
      <c r="O1123" s="19" t="b">
        <v>0</v>
      </c>
      <c r="P1123" s="19" t="b">
        <v>0</v>
      </c>
    </row>
    <row r="1124" spans="1:16" x14ac:dyDescent="0.2">
      <c r="A1124" s="18">
        <v>2280314</v>
      </c>
      <c r="B1124" s="18" t="s">
        <v>3065</v>
      </c>
      <c r="C1124" s="18" t="s">
        <v>454</v>
      </c>
      <c r="D1124" s="18" t="s">
        <v>60</v>
      </c>
      <c r="E1124" s="19">
        <v>44746</v>
      </c>
      <c r="F1124" s="18" t="s">
        <v>3066</v>
      </c>
      <c r="G1124" s="19">
        <v>44756</v>
      </c>
      <c r="H1124" s="19">
        <v>44757</v>
      </c>
      <c r="I1124" s="18"/>
      <c r="J1124" s="19" t="b">
        <v>1</v>
      </c>
      <c r="K1124" s="19" t="b">
        <v>0</v>
      </c>
      <c r="L1124" s="19" t="b">
        <v>0</v>
      </c>
      <c r="M1124" s="19" t="b">
        <v>0</v>
      </c>
      <c r="N1124" s="19" t="b">
        <v>0</v>
      </c>
      <c r="O1124" s="19" t="b">
        <v>0</v>
      </c>
      <c r="P1124" s="19" t="b">
        <v>0</v>
      </c>
    </row>
    <row r="1125" spans="1:16" x14ac:dyDescent="0.2">
      <c r="A1125" s="18">
        <v>2280314</v>
      </c>
      <c r="B1125" s="18" t="s">
        <v>3067</v>
      </c>
      <c r="C1125" s="18" t="s">
        <v>454</v>
      </c>
      <c r="D1125" s="18" t="s">
        <v>60</v>
      </c>
      <c r="E1125" s="19">
        <v>44917</v>
      </c>
      <c r="F1125" s="18" t="s">
        <v>3068</v>
      </c>
      <c r="G1125" s="19">
        <v>44933</v>
      </c>
      <c r="H1125" s="19">
        <v>44973</v>
      </c>
      <c r="I1125" s="18" t="s">
        <v>16</v>
      </c>
      <c r="J1125" s="19" t="b">
        <v>1</v>
      </c>
      <c r="K1125" s="19" t="b">
        <v>0</v>
      </c>
      <c r="L1125" s="19" t="b">
        <v>0</v>
      </c>
      <c r="M1125" s="19" t="b">
        <v>0</v>
      </c>
      <c r="N1125" s="19" t="b">
        <v>1</v>
      </c>
      <c r="O1125" s="19" t="b">
        <v>0</v>
      </c>
      <c r="P1125" s="19" t="b">
        <v>0</v>
      </c>
    </row>
    <row r="1126" spans="1:16" x14ac:dyDescent="0.2">
      <c r="A1126" s="18">
        <v>2280314</v>
      </c>
      <c r="B1126" s="18" t="s">
        <v>3069</v>
      </c>
      <c r="C1126" s="18" t="s">
        <v>454</v>
      </c>
      <c r="D1126" s="18" t="s">
        <v>60</v>
      </c>
      <c r="E1126" s="19">
        <v>44822</v>
      </c>
      <c r="F1126" s="18" t="s">
        <v>3070</v>
      </c>
      <c r="G1126" s="19">
        <v>44852</v>
      </c>
      <c r="H1126" s="19">
        <v>44860</v>
      </c>
      <c r="I1126" s="18" t="s">
        <v>16</v>
      </c>
      <c r="J1126" s="19" t="b">
        <v>1</v>
      </c>
      <c r="K1126" s="19" t="b">
        <v>0</v>
      </c>
      <c r="L1126" s="19" t="b">
        <v>0</v>
      </c>
      <c r="M1126" s="19" t="b">
        <v>0</v>
      </c>
      <c r="N1126" s="19" t="b">
        <v>1</v>
      </c>
      <c r="O1126" s="19" t="b">
        <v>0</v>
      </c>
      <c r="P1126" s="19" t="b">
        <v>0</v>
      </c>
    </row>
    <row r="1127" spans="1:16" x14ac:dyDescent="0.2">
      <c r="A1127" s="18">
        <v>9585651</v>
      </c>
      <c r="B1127" s="18" t="s">
        <v>3072</v>
      </c>
      <c r="C1127" s="18" t="s">
        <v>35</v>
      </c>
      <c r="D1127" s="18" t="s">
        <v>187</v>
      </c>
      <c r="E1127" s="19">
        <v>44592</v>
      </c>
      <c r="F1127" s="18" t="s">
        <v>3073</v>
      </c>
      <c r="G1127" s="19">
        <v>44603</v>
      </c>
      <c r="H1127" s="19">
        <v>44612</v>
      </c>
      <c r="I1127" s="18" t="s">
        <v>16</v>
      </c>
      <c r="J1127" s="19" t="b">
        <v>1</v>
      </c>
      <c r="K1127" s="19" t="b">
        <v>0</v>
      </c>
      <c r="L1127" s="19" t="b">
        <v>0</v>
      </c>
      <c r="M1127" s="19" t="b">
        <v>0</v>
      </c>
      <c r="N1127" s="19" t="b">
        <v>1</v>
      </c>
      <c r="O1127" s="19" t="b">
        <v>0</v>
      </c>
      <c r="P1127" s="19" t="b">
        <v>0</v>
      </c>
    </row>
    <row r="1128" spans="1:16" x14ac:dyDescent="0.2">
      <c r="A1128" s="18">
        <v>9318172</v>
      </c>
      <c r="B1128" s="18" t="s">
        <v>3077</v>
      </c>
      <c r="C1128" s="18" t="s">
        <v>315</v>
      </c>
      <c r="D1128" s="18" t="s">
        <v>139</v>
      </c>
      <c r="E1128" s="19">
        <v>44849</v>
      </c>
      <c r="F1128" s="18" t="s">
        <v>382</v>
      </c>
      <c r="G1128" s="19">
        <v>44862</v>
      </c>
      <c r="H1128" s="19">
        <v>44869</v>
      </c>
      <c r="I1128" s="18" t="s">
        <v>28</v>
      </c>
      <c r="J1128" s="19" t="b">
        <v>1</v>
      </c>
      <c r="K1128" s="19" t="b">
        <v>0</v>
      </c>
      <c r="L1128" s="19" t="b">
        <v>0</v>
      </c>
      <c r="M1128" s="19" t="b">
        <v>0</v>
      </c>
      <c r="N1128" s="19" t="b">
        <v>0</v>
      </c>
      <c r="O1128" s="19" t="b">
        <v>0</v>
      </c>
      <c r="P1128" s="19" t="b">
        <v>1</v>
      </c>
    </row>
    <row r="1129" spans="1:16" x14ac:dyDescent="0.2">
      <c r="A1129" s="18">
        <v>9318172</v>
      </c>
      <c r="B1129" s="18" t="s">
        <v>3078</v>
      </c>
      <c r="C1129" s="18" t="s">
        <v>315</v>
      </c>
      <c r="D1129" s="18" t="s">
        <v>139</v>
      </c>
      <c r="E1129" s="19">
        <v>44772</v>
      </c>
      <c r="F1129" s="18" t="s">
        <v>57</v>
      </c>
      <c r="G1129" s="19">
        <v>44796</v>
      </c>
      <c r="H1129" s="19">
        <v>44828</v>
      </c>
      <c r="I1129" s="18" t="s">
        <v>28</v>
      </c>
      <c r="J1129" s="19" t="b">
        <v>1</v>
      </c>
      <c r="K1129" s="19" t="b">
        <v>0</v>
      </c>
      <c r="L1129" s="19" t="b">
        <v>0</v>
      </c>
      <c r="M1129" s="19" t="b">
        <v>0</v>
      </c>
      <c r="N1129" s="19" t="b">
        <v>0</v>
      </c>
      <c r="O1129" s="19" t="b">
        <v>0</v>
      </c>
      <c r="P1129" s="19" t="b">
        <v>1</v>
      </c>
    </row>
    <row r="1130" spans="1:16" x14ac:dyDescent="0.2">
      <c r="A1130" s="18">
        <v>9318172</v>
      </c>
      <c r="B1130" s="18" t="s">
        <v>3079</v>
      </c>
      <c r="C1130" s="18" t="s">
        <v>315</v>
      </c>
      <c r="D1130" s="18" t="s">
        <v>139</v>
      </c>
      <c r="E1130" s="19">
        <v>44840</v>
      </c>
      <c r="F1130" s="18" t="s">
        <v>1749</v>
      </c>
      <c r="G1130" s="19">
        <v>44867</v>
      </c>
      <c r="H1130" s="19">
        <v>44888</v>
      </c>
      <c r="I1130" s="18"/>
      <c r="J1130" s="19" t="b">
        <v>1</v>
      </c>
      <c r="K1130" s="19" t="b">
        <v>0</v>
      </c>
      <c r="L1130" s="19" t="b">
        <v>0</v>
      </c>
      <c r="M1130" s="19" t="b">
        <v>0</v>
      </c>
      <c r="N1130" s="19" t="b">
        <v>0</v>
      </c>
      <c r="O1130" s="19" t="b">
        <v>0</v>
      </c>
      <c r="P1130" s="19" t="b">
        <v>0</v>
      </c>
    </row>
    <row r="1131" spans="1:16" x14ac:dyDescent="0.2">
      <c r="A1131" s="18">
        <v>9318172</v>
      </c>
      <c r="B1131" s="18" t="s">
        <v>3080</v>
      </c>
      <c r="C1131" s="18" t="s">
        <v>315</v>
      </c>
      <c r="D1131" s="18" t="s">
        <v>139</v>
      </c>
      <c r="E1131" s="19">
        <v>44923</v>
      </c>
      <c r="F1131" s="18" t="s">
        <v>3081</v>
      </c>
      <c r="G1131" s="19">
        <v>44935</v>
      </c>
      <c r="H1131" s="19">
        <v>44993</v>
      </c>
      <c r="I1131" s="18"/>
      <c r="J1131" s="19" t="b">
        <v>1</v>
      </c>
      <c r="K1131" s="19" t="b">
        <v>0</v>
      </c>
      <c r="L1131" s="19" t="b">
        <v>0</v>
      </c>
      <c r="M1131" s="19" t="b">
        <v>0</v>
      </c>
      <c r="N1131" s="19" t="b">
        <v>0</v>
      </c>
      <c r="O1131" s="19" t="b">
        <v>0</v>
      </c>
      <c r="P1131" s="19" t="b">
        <v>0</v>
      </c>
    </row>
    <row r="1132" spans="1:16" x14ac:dyDescent="0.2">
      <c r="A1132" s="18">
        <v>2078208</v>
      </c>
      <c r="B1132" s="18" t="s">
        <v>3082</v>
      </c>
      <c r="C1132" s="18" t="s">
        <v>287</v>
      </c>
      <c r="D1132" s="18" t="s">
        <v>187</v>
      </c>
      <c r="E1132" s="19">
        <v>44862</v>
      </c>
      <c r="F1132" s="18" t="s">
        <v>3083</v>
      </c>
      <c r="G1132" s="19">
        <v>44882</v>
      </c>
      <c r="H1132" s="19">
        <v>44935</v>
      </c>
      <c r="I1132" s="18" t="s">
        <v>28</v>
      </c>
      <c r="J1132" s="19" t="b">
        <v>1</v>
      </c>
      <c r="K1132" s="19" t="b">
        <v>0</v>
      </c>
      <c r="L1132" s="19" t="b">
        <v>0</v>
      </c>
      <c r="M1132" s="19" t="b">
        <v>0</v>
      </c>
      <c r="N1132" s="19" t="b">
        <v>0</v>
      </c>
      <c r="O1132" s="19" t="b">
        <v>0</v>
      </c>
      <c r="P1132" s="19" t="b">
        <v>1</v>
      </c>
    </row>
    <row r="1133" spans="1:16" x14ac:dyDescent="0.2">
      <c r="A1133" s="18">
        <v>6275644</v>
      </c>
      <c r="B1133" s="18" t="s">
        <v>3087</v>
      </c>
      <c r="C1133" s="18" t="s">
        <v>176</v>
      </c>
      <c r="D1133" s="18" t="s">
        <v>56</v>
      </c>
      <c r="E1133" s="19">
        <v>44891</v>
      </c>
      <c r="F1133" s="18" t="s">
        <v>3088</v>
      </c>
      <c r="G1133" s="19">
        <v>44920</v>
      </c>
      <c r="H1133" s="19">
        <v>44935</v>
      </c>
      <c r="I1133" s="18" t="s">
        <v>28</v>
      </c>
      <c r="J1133" s="19" t="b">
        <v>1</v>
      </c>
      <c r="K1133" s="19" t="b">
        <v>0</v>
      </c>
      <c r="L1133" s="19" t="b">
        <v>0</v>
      </c>
      <c r="M1133" s="19" t="b">
        <v>0</v>
      </c>
      <c r="N1133" s="19" t="b">
        <v>0</v>
      </c>
      <c r="O1133" s="19" t="b">
        <v>0</v>
      </c>
      <c r="P1133" s="19" t="b">
        <v>1</v>
      </c>
    </row>
    <row r="1134" spans="1:16" x14ac:dyDescent="0.2">
      <c r="A1134" s="18">
        <v>6275644</v>
      </c>
      <c r="B1134" s="18" t="s">
        <v>3089</v>
      </c>
      <c r="C1134" s="18" t="s">
        <v>176</v>
      </c>
      <c r="D1134" s="18" t="s">
        <v>56</v>
      </c>
      <c r="E1134" s="19">
        <v>44779</v>
      </c>
      <c r="F1134" s="18" t="s">
        <v>441</v>
      </c>
      <c r="G1134" s="19">
        <v>44796</v>
      </c>
      <c r="H1134" s="19">
        <v>44810</v>
      </c>
      <c r="I1134" s="18"/>
      <c r="J1134" s="19" t="b">
        <v>1</v>
      </c>
      <c r="K1134" s="19" t="b">
        <v>0</v>
      </c>
      <c r="L1134" s="19" t="b">
        <v>0</v>
      </c>
      <c r="M1134" s="19" t="b">
        <v>0</v>
      </c>
      <c r="N1134" s="19" t="b">
        <v>0</v>
      </c>
      <c r="O1134" s="19" t="b">
        <v>0</v>
      </c>
      <c r="P1134" s="19" t="b">
        <v>0</v>
      </c>
    </row>
    <row r="1135" spans="1:16" x14ac:dyDescent="0.2">
      <c r="A1135" s="18">
        <v>8075793</v>
      </c>
      <c r="B1135" s="18" t="s">
        <v>3092</v>
      </c>
      <c r="C1135" s="18" t="s">
        <v>167</v>
      </c>
      <c r="D1135" s="18" t="s">
        <v>60</v>
      </c>
      <c r="E1135" s="19">
        <v>45067</v>
      </c>
      <c r="F1135" s="18" t="s">
        <v>3093</v>
      </c>
      <c r="G1135" s="19">
        <v>45083</v>
      </c>
      <c r="H1135" s="19">
        <v>45086</v>
      </c>
      <c r="I1135" s="18" t="s">
        <v>43</v>
      </c>
      <c r="J1135" s="19" t="b">
        <v>1</v>
      </c>
      <c r="K1135" s="19" t="b">
        <v>0</v>
      </c>
      <c r="L1135" s="19" t="b">
        <v>0</v>
      </c>
      <c r="M1135" s="19" t="b">
        <v>0</v>
      </c>
      <c r="N1135" s="19" t="b">
        <v>0</v>
      </c>
      <c r="O1135" s="19" t="b">
        <v>1</v>
      </c>
      <c r="P1135" s="19" t="b">
        <v>0</v>
      </c>
    </row>
    <row r="1136" spans="1:16" x14ac:dyDescent="0.2">
      <c r="A1136" s="18">
        <v>8075793</v>
      </c>
      <c r="B1136" s="18" t="s">
        <v>3094</v>
      </c>
      <c r="C1136" s="18" t="s">
        <v>167</v>
      </c>
      <c r="D1136" s="18" t="s">
        <v>60</v>
      </c>
      <c r="E1136" s="19">
        <v>45025</v>
      </c>
      <c r="F1136" s="18" t="s">
        <v>3095</v>
      </c>
      <c r="G1136" s="19">
        <v>45031</v>
      </c>
      <c r="H1136" s="19">
        <v>45070</v>
      </c>
      <c r="I1136" s="18"/>
      <c r="J1136" s="19" t="b">
        <v>1</v>
      </c>
      <c r="K1136" s="19" t="b">
        <v>0</v>
      </c>
      <c r="L1136" s="19" t="b">
        <v>0</v>
      </c>
      <c r="M1136" s="19" t="b">
        <v>0</v>
      </c>
      <c r="N1136" s="19" t="b">
        <v>0</v>
      </c>
      <c r="O1136" s="19" t="b">
        <v>0</v>
      </c>
      <c r="P1136" s="19" t="b">
        <v>0</v>
      </c>
    </row>
    <row r="1137" spans="1:16" x14ac:dyDescent="0.2">
      <c r="A1137" s="18">
        <v>8075793</v>
      </c>
      <c r="B1137" s="18" t="s">
        <v>3096</v>
      </c>
      <c r="C1137" s="18" t="s">
        <v>167</v>
      </c>
      <c r="D1137" s="18" t="s">
        <v>60</v>
      </c>
      <c r="E1137" s="19">
        <v>44583</v>
      </c>
      <c r="F1137" s="18" t="s">
        <v>821</v>
      </c>
      <c r="G1137" s="19">
        <v>44593</v>
      </c>
      <c r="H1137" s="19">
        <v>44595</v>
      </c>
      <c r="I1137" s="18"/>
      <c r="J1137" s="19" t="b">
        <v>1</v>
      </c>
      <c r="K1137" s="19" t="b">
        <v>0</v>
      </c>
      <c r="L1137" s="19" t="b">
        <v>0</v>
      </c>
      <c r="M1137" s="19" t="b">
        <v>0</v>
      </c>
      <c r="N1137" s="19" t="b">
        <v>0</v>
      </c>
      <c r="O1137" s="19" t="b">
        <v>0</v>
      </c>
      <c r="P1137" s="19" t="b">
        <v>0</v>
      </c>
    </row>
    <row r="1138" spans="1:16" x14ac:dyDescent="0.2">
      <c r="A1138" s="18">
        <v>1077963</v>
      </c>
      <c r="B1138" s="18" t="s">
        <v>3100</v>
      </c>
      <c r="C1138" s="18" t="s">
        <v>310</v>
      </c>
      <c r="D1138" s="18" t="s">
        <v>77</v>
      </c>
      <c r="E1138" s="19">
        <v>44843</v>
      </c>
      <c r="F1138" s="18" t="s">
        <v>3101</v>
      </c>
      <c r="G1138" s="19">
        <v>44854</v>
      </c>
      <c r="H1138" s="19">
        <v>44903</v>
      </c>
      <c r="I1138" s="18"/>
      <c r="J1138" s="19" t="b">
        <v>1</v>
      </c>
      <c r="K1138" s="19" t="b">
        <v>0</v>
      </c>
      <c r="L1138" s="19" t="b">
        <v>0</v>
      </c>
      <c r="M1138" s="19" t="b">
        <v>0</v>
      </c>
      <c r="N1138" s="19" t="b">
        <v>0</v>
      </c>
      <c r="O1138" s="19" t="b">
        <v>0</v>
      </c>
      <c r="P1138" s="19" t="b">
        <v>0</v>
      </c>
    </row>
    <row r="1139" spans="1:16" x14ac:dyDescent="0.2">
      <c r="A1139" s="18">
        <v>6801971</v>
      </c>
      <c r="B1139" s="18" t="s">
        <v>3102</v>
      </c>
      <c r="C1139" s="18" t="s">
        <v>59</v>
      </c>
      <c r="D1139" s="18" t="s">
        <v>122</v>
      </c>
      <c r="E1139" s="19">
        <v>44964</v>
      </c>
      <c r="F1139" s="18" t="s">
        <v>2958</v>
      </c>
      <c r="G1139" s="19">
        <v>44974</v>
      </c>
      <c r="H1139" s="19">
        <v>45019</v>
      </c>
      <c r="I1139" s="18"/>
      <c r="J1139" s="19" t="b">
        <v>1</v>
      </c>
      <c r="K1139" s="19" t="b">
        <v>0</v>
      </c>
      <c r="L1139" s="19" t="b">
        <v>0</v>
      </c>
      <c r="M1139" s="19" t="b">
        <v>0</v>
      </c>
      <c r="N1139" s="19" t="b">
        <v>0</v>
      </c>
      <c r="O1139" s="19" t="b">
        <v>0</v>
      </c>
      <c r="P1139" s="19" t="b">
        <v>0</v>
      </c>
    </row>
    <row r="1140" spans="1:16" x14ac:dyDescent="0.2">
      <c r="A1140" s="18">
        <v>6801971</v>
      </c>
      <c r="B1140" s="18" t="s">
        <v>3103</v>
      </c>
      <c r="C1140" s="18" t="s">
        <v>59</v>
      </c>
      <c r="D1140" s="18" t="s">
        <v>122</v>
      </c>
      <c r="E1140" s="19">
        <v>44686</v>
      </c>
      <c r="F1140" s="18" t="s">
        <v>3104</v>
      </c>
      <c r="G1140" s="19">
        <v>44713</v>
      </c>
      <c r="H1140" s="19">
        <v>44737</v>
      </c>
      <c r="I1140" s="18"/>
      <c r="J1140" s="19" t="b">
        <v>1</v>
      </c>
      <c r="K1140" s="19" t="b">
        <v>0</v>
      </c>
      <c r="L1140" s="19" t="b">
        <v>0</v>
      </c>
      <c r="M1140" s="19" t="b">
        <v>0</v>
      </c>
      <c r="N1140" s="19" t="b">
        <v>0</v>
      </c>
      <c r="O1140" s="19" t="b">
        <v>0</v>
      </c>
      <c r="P1140" s="19" t="b">
        <v>0</v>
      </c>
    </row>
    <row r="1141" spans="1:16" x14ac:dyDescent="0.2">
      <c r="A1141" s="18">
        <v>6801971</v>
      </c>
      <c r="B1141" s="18" t="s">
        <v>3105</v>
      </c>
      <c r="C1141" s="18" t="s">
        <v>59</v>
      </c>
      <c r="D1141" s="18" t="s">
        <v>122</v>
      </c>
      <c r="E1141" s="19">
        <v>44610</v>
      </c>
      <c r="F1141" s="18" t="s">
        <v>3106</v>
      </c>
      <c r="G1141" s="19">
        <v>44637</v>
      </c>
      <c r="H1141" s="19">
        <v>44638</v>
      </c>
      <c r="I1141" s="18" t="s">
        <v>16</v>
      </c>
      <c r="J1141" s="19" t="b">
        <v>1</v>
      </c>
      <c r="K1141" s="19" t="b">
        <v>0</v>
      </c>
      <c r="L1141" s="19" t="b">
        <v>0</v>
      </c>
      <c r="M1141" s="19" t="b">
        <v>0</v>
      </c>
      <c r="N1141" s="19" t="b">
        <v>1</v>
      </c>
      <c r="O1141" s="19" t="b">
        <v>0</v>
      </c>
      <c r="P1141" s="19" t="b">
        <v>0</v>
      </c>
    </row>
    <row r="1142" spans="1:16" x14ac:dyDescent="0.2">
      <c r="A1142" s="18">
        <v>1082902</v>
      </c>
      <c r="B1142" s="18" t="s">
        <v>3109</v>
      </c>
      <c r="C1142" s="18" t="s">
        <v>310</v>
      </c>
      <c r="D1142" s="18" t="s">
        <v>56</v>
      </c>
      <c r="E1142" s="19">
        <v>44873</v>
      </c>
      <c r="F1142" s="18" t="s">
        <v>3110</v>
      </c>
      <c r="G1142" s="19">
        <v>44876</v>
      </c>
      <c r="H1142" s="19">
        <v>44893</v>
      </c>
      <c r="I1142" s="18" t="s">
        <v>16</v>
      </c>
      <c r="J1142" s="19" t="b">
        <v>1</v>
      </c>
      <c r="K1142" s="19" t="b">
        <v>0</v>
      </c>
      <c r="L1142" s="19" t="b">
        <v>0</v>
      </c>
      <c r="M1142" s="19" t="b">
        <v>0</v>
      </c>
      <c r="N1142" s="19" t="b">
        <v>1</v>
      </c>
      <c r="O1142" s="19" t="b">
        <v>0</v>
      </c>
      <c r="P1142" s="19" t="b">
        <v>0</v>
      </c>
    </row>
    <row r="1143" spans="1:16" x14ac:dyDescent="0.2">
      <c r="A1143" s="18">
        <v>1082902</v>
      </c>
      <c r="B1143" s="18" t="s">
        <v>3111</v>
      </c>
      <c r="C1143" s="18" t="s">
        <v>310</v>
      </c>
      <c r="D1143" s="18" t="s">
        <v>56</v>
      </c>
      <c r="E1143" s="19">
        <v>44736</v>
      </c>
      <c r="F1143" s="18" t="s">
        <v>40</v>
      </c>
      <c r="G1143" s="19">
        <v>44766</v>
      </c>
      <c r="H1143" s="19">
        <v>44775</v>
      </c>
      <c r="I1143" s="18"/>
      <c r="J1143" s="19" t="b">
        <v>1</v>
      </c>
      <c r="K1143" s="19" t="b">
        <v>0</v>
      </c>
      <c r="L1143" s="19" t="b">
        <v>0</v>
      </c>
      <c r="M1143" s="19" t="b">
        <v>0</v>
      </c>
      <c r="N1143" s="19" t="b">
        <v>0</v>
      </c>
      <c r="O1143" s="19" t="b">
        <v>0</v>
      </c>
      <c r="P1143" s="19" t="b">
        <v>0</v>
      </c>
    </row>
    <row r="1144" spans="1:16" x14ac:dyDescent="0.2">
      <c r="A1144" s="18">
        <v>1082902</v>
      </c>
      <c r="B1144" s="18" t="s">
        <v>3112</v>
      </c>
      <c r="C1144" s="18" t="s">
        <v>310</v>
      </c>
      <c r="D1144" s="18" t="s">
        <v>56</v>
      </c>
      <c r="E1144" s="19">
        <v>44713</v>
      </c>
      <c r="F1144" s="18" t="s">
        <v>3113</v>
      </c>
      <c r="G1144" s="19">
        <v>44738</v>
      </c>
      <c r="H1144" s="19">
        <v>44776</v>
      </c>
      <c r="I1144" s="18" t="s">
        <v>16</v>
      </c>
      <c r="J1144" s="19" t="b">
        <v>1</v>
      </c>
      <c r="K1144" s="19" t="b">
        <v>0</v>
      </c>
      <c r="L1144" s="19" t="b">
        <v>0</v>
      </c>
      <c r="M1144" s="19" t="b">
        <v>0</v>
      </c>
      <c r="N1144" s="19" t="b">
        <v>1</v>
      </c>
      <c r="O1144" s="19" t="b">
        <v>0</v>
      </c>
      <c r="P1144" s="19" t="b">
        <v>0</v>
      </c>
    </row>
    <row r="1145" spans="1:16" x14ac:dyDescent="0.2">
      <c r="A1145" s="18">
        <v>7933921</v>
      </c>
      <c r="B1145" s="18" t="s">
        <v>3114</v>
      </c>
      <c r="C1145" s="18" t="s">
        <v>265</v>
      </c>
      <c r="D1145" s="18" t="s">
        <v>77</v>
      </c>
      <c r="E1145" s="19">
        <v>45063</v>
      </c>
      <c r="F1145" s="18" t="s">
        <v>3115</v>
      </c>
      <c r="G1145" s="19">
        <v>45072</v>
      </c>
      <c r="H1145" s="19">
        <v>45093</v>
      </c>
      <c r="I1145" s="18" t="s">
        <v>43</v>
      </c>
      <c r="J1145" s="19" t="b">
        <v>1</v>
      </c>
      <c r="K1145" s="19" t="b">
        <v>0</v>
      </c>
      <c r="L1145" s="19" t="b">
        <v>0</v>
      </c>
      <c r="M1145" s="19" t="b">
        <v>0</v>
      </c>
      <c r="N1145" s="19" t="b">
        <v>0</v>
      </c>
      <c r="O1145" s="19" t="b">
        <v>1</v>
      </c>
      <c r="P1145" s="19" t="b">
        <v>0</v>
      </c>
    </row>
    <row r="1146" spans="1:16" x14ac:dyDescent="0.2">
      <c r="A1146" s="18">
        <v>9098468</v>
      </c>
      <c r="B1146" s="18" t="s">
        <v>3116</v>
      </c>
      <c r="C1146" s="18" t="s">
        <v>93</v>
      </c>
      <c r="D1146" s="18" t="s">
        <v>122</v>
      </c>
      <c r="E1146" s="19">
        <v>44810</v>
      </c>
      <c r="F1146" s="18" t="s">
        <v>3117</v>
      </c>
      <c r="G1146" s="19">
        <v>44832</v>
      </c>
      <c r="H1146" s="19">
        <v>44874</v>
      </c>
      <c r="I1146" s="18" t="s">
        <v>16</v>
      </c>
      <c r="J1146" s="19" t="b">
        <v>1</v>
      </c>
      <c r="K1146" s="19" t="b">
        <v>0</v>
      </c>
      <c r="L1146" s="19" t="b">
        <v>0</v>
      </c>
      <c r="M1146" s="19" t="b">
        <v>0</v>
      </c>
      <c r="N1146" s="19" t="b">
        <v>1</v>
      </c>
      <c r="O1146" s="19" t="b">
        <v>0</v>
      </c>
      <c r="P1146" s="19" t="b">
        <v>0</v>
      </c>
    </row>
    <row r="1147" spans="1:16" x14ac:dyDescent="0.2">
      <c r="A1147" s="18">
        <v>9098468</v>
      </c>
      <c r="B1147" s="18" t="s">
        <v>3118</v>
      </c>
      <c r="C1147" s="18" t="s">
        <v>93</v>
      </c>
      <c r="D1147" s="18" t="s">
        <v>122</v>
      </c>
      <c r="E1147" s="19">
        <v>44638</v>
      </c>
      <c r="F1147" s="18" t="s">
        <v>1092</v>
      </c>
      <c r="G1147" s="19">
        <v>44654</v>
      </c>
      <c r="H1147" s="19">
        <v>44658</v>
      </c>
      <c r="I1147" s="18" t="s">
        <v>43</v>
      </c>
      <c r="J1147" s="19" t="b">
        <v>1</v>
      </c>
      <c r="K1147" s="19" t="b">
        <v>0</v>
      </c>
      <c r="L1147" s="19" t="b">
        <v>0</v>
      </c>
      <c r="M1147" s="19" t="b">
        <v>0</v>
      </c>
      <c r="N1147" s="19" t="b">
        <v>0</v>
      </c>
      <c r="O1147" s="19" t="b">
        <v>1</v>
      </c>
      <c r="P1147" s="19" t="b">
        <v>0</v>
      </c>
    </row>
    <row r="1148" spans="1:16" x14ac:dyDescent="0.2">
      <c r="A1148" s="18">
        <v>6257292</v>
      </c>
      <c r="B1148" s="18" t="s">
        <v>3123</v>
      </c>
      <c r="C1148" s="18" t="s">
        <v>35</v>
      </c>
      <c r="D1148" s="18" t="s">
        <v>11</v>
      </c>
      <c r="E1148" s="19">
        <v>44786</v>
      </c>
      <c r="F1148" s="18" t="s">
        <v>3124</v>
      </c>
      <c r="G1148" s="19">
        <v>44816</v>
      </c>
      <c r="H1148" s="19">
        <v>44840</v>
      </c>
      <c r="I1148" s="18" t="s">
        <v>16</v>
      </c>
      <c r="J1148" s="19" t="b">
        <v>1</v>
      </c>
      <c r="K1148" s="19" t="b">
        <v>0</v>
      </c>
      <c r="L1148" s="19" t="b">
        <v>0</v>
      </c>
      <c r="M1148" s="19" t="b">
        <v>0</v>
      </c>
      <c r="N1148" s="19" t="b">
        <v>1</v>
      </c>
      <c r="O1148" s="19" t="b">
        <v>0</v>
      </c>
      <c r="P1148" s="19" t="b">
        <v>0</v>
      </c>
    </row>
    <row r="1149" spans="1:16" x14ac:dyDescent="0.2">
      <c r="A1149" s="18">
        <v>6257292</v>
      </c>
      <c r="B1149" s="18" t="s">
        <v>3125</v>
      </c>
      <c r="C1149" s="18" t="s">
        <v>35</v>
      </c>
      <c r="D1149" s="18" t="s">
        <v>11</v>
      </c>
      <c r="E1149" s="19">
        <v>45087</v>
      </c>
      <c r="F1149" s="18" t="s">
        <v>3126</v>
      </c>
      <c r="G1149" s="19">
        <v>45094</v>
      </c>
      <c r="H1149" s="19">
        <v>45144</v>
      </c>
      <c r="I1149" s="18"/>
      <c r="J1149" s="19" t="b">
        <v>1</v>
      </c>
      <c r="K1149" s="19" t="b">
        <v>0</v>
      </c>
      <c r="L1149" s="19" t="b">
        <v>0</v>
      </c>
      <c r="M1149" s="19" t="b">
        <v>0</v>
      </c>
      <c r="N1149" s="19" t="b">
        <v>0</v>
      </c>
      <c r="O1149" s="19" t="b">
        <v>0</v>
      </c>
      <c r="P1149" s="19" t="b">
        <v>0</v>
      </c>
    </row>
    <row r="1150" spans="1:16" x14ac:dyDescent="0.2">
      <c r="A1150" s="18">
        <v>6257292</v>
      </c>
      <c r="B1150" s="18" t="s">
        <v>3127</v>
      </c>
      <c r="C1150" s="18" t="s">
        <v>35</v>
      </c>
      <c r="D1150" s="18" t="s">
        <v>11</v>
      </c>
      <c r="E1150" s="19">
        <v>44730</v>
      </c>
      <c r="F1150" s="18" t="s">
        <v>3128</v>
      </c>
      <c r="G1150" s="19">
        <v>44752</v>
      </c>
      <c r="H1150" s="19">
        <v>44772</v>
      </c>
      <c r="I1150" s="18" t="s">
        <v>16</v>
      </c>
      <c r="J1150" s="19" t="b">
        <v>1</v>
      </c>
      <c r="K1150" s="19" t="b">
        <v>0</v>
      </c>
      <c r="L1150" s="19" t="b">
        <v>0</v>
      </c>
      <c r="M1150" s="19" t="b">
        <v>0</v>
      </c>
      <c r="N1150" s="19" t="b">
        <v>1</v>
      </c>
      <c r="O1150" s="19" t="b">
        <v>0</v>
      </c>
      <c r="P1150" s="19" t="b">
        <v>0</v>
      </c>
    </row>
    <row r="1151" spans="1:16" x14ac:dyDescent="0.2">
      <c r="A1151" s="18">
        <v>6257292</v>
      </c>
      <c r="B1151" s="18" t="s">
        <v>3129</v>
      </c>
      <c r="C1151" s="18" t="s">
        <v>35</v>
      </c>
      <c r="D1151" s="18" t="s">
        <v>11</v>
      </c>
      <c r="E1151" s="19">
        <v>44671</v>
      </c>
      <c r="F1151" s="18" t="s">
        <v>3130</v>
      </c>
      <c r="G1151" s="19">
        <v>44695</v>
      </c>
      <c r="H1151" s="19">
        <v>44703</v>
      </c>
      <c r="I1151" s="18" t="s">
        <v>16</v>
      </c>
      <c r="J1151" s="19" t="b">
        <v>1</v>
      </c>
      <c r="K1151" s="19" t="b">
        <v>0</v>
      </c>
      <c r="L1151" s="19" t="b">
        <v>0</v>
      </c>
      <c r="M1151" s="19" t="b">
        <v>0</v>
      </c>
      <c r="N1151" s="19" t="b">
        <v>1</v>
      </c>
      <c r="O1151" s="19" t="b">
        <v>0</v>
      </c>
      <c r="P1151" s="19" t="b">
        <v>0</v>
      </c>
    </row>
    <row r="1152" spans="1:16" x14ac:dyDescent="0.2">
      <c r="A1152" s="18">
        <v>8238926</v>
      </c>
      <c r="B1152" s="18" t="s">
        <v>3134</v>
      </c>
      <c r="C1152" s="18" t="s">
        <v>454</v>
      </c>
      <c r="D1152" s="18" t="s">
        <v>187</v>
      </c>
      <c r="E1152" s="19">
        <v>44841</v>
      </c>
      <c r="F1152" s="18" t="s">
        <v>499</v>
      </c>
      <c r="G1152" s="19">
        <v>44853</v>
      </c>
      <c r="H1152" s="19">
        <v>44860</v>
      </c>
      <c r="I1152" s="18" t="s">
        <v>28</v>
      </c>
      <c r="J1152" s="19" t="b">
        <v>1</v>
      </c>
      <c r="K1152" s="19" t="b">
        <v>0</v>
      </c>
      <c r="L1152" s="19" t="b">
        <v>0</v>
      </c>
      <c r="M1152" s="19" t="b">
        <v>0</v>
      </c>
      <c r="N1152" s="19" t="b">
        <v>0</v>
      </c>
      <c r="O1152" s="19" t="b">
        <v>0</v>
      </c>
      <c r="P1152" s="19" t="b">
        <v>1</v>
      </c>
    </row>
    <row r="1153" spans="1:16" x14ac:dyDescent="0.2">
      <c r="A1153" s="18">
        <v>8238926</v>
      </c>
      <c r="B1153" s="18" t="s">
        <v>3139</v>
      </c>
      <c r="C1153" s="18" t="s">
        <v>454</v>
      </c>
      <c r="D1153" s="18" t="s">
        <v>187</v>
      </c>
      <c r="E1153" s="19">
        <v>44613</v>
      </c>
      <c r="F1153" s="18" t="s">
        <v>392</v>
      </c>
      <c r="G1153" s="19">
        <v>44634</v>
      </c>
      <c r="H1153" s="19">
        <v>44650</v>
      </c>
      <c r="I1153" s="18"/>
      <c r="J1153" s="19" t="b">
        <v>1</v>
      </c>
      <c r="K1153" s="19" t="b">
        <v>0</v>
      </c>
      <c r="L1153" s="19" t="b">
        <v>0</v>
      </c>
      <c r="M1153" s="19" t="b">
        <v>0</v>
      </c>
      <c r="N1153" s="19" t="b">
        <v>0</v>
      </c>
      <c r="O1153" s="19" t="b">
        <v>0</v>
      </c>
      <c r="P1153" s="19" t="b">
        <v>0</v>
      </c>
    </row>
    <row r="1154" spans="1:16" x14ac:dyDescent="0.2">
      <c r="A1154" s="18">
        <v>2863660</v>
      </c>
      <c r="B1154" s="18" t="s">
        <v>3140</v>
      </c>
      <c r="C1154" s="18" t="s">
        <v>93</v>
      </c>
      <c r="D1154" s="18" t="s">
        <v>122</v>
      </c>
      <c r="E1154" s="19">
        <v>45106</v>
      </c>
      <c r="F1154" s="18" t="s">
        <v>3141</v>
      </c>
      <c r="G1154" s="19">
        <v>45110</v>
      </c>
      <c r="H1154" s="19">
        <v>45128</v>
      </c>
      <c r="I1154" s="18" t="s">
        <v>28</v>
      </c>
      <c r="J1154" s="19" t="b">
        <v>1</v>
      </c>
      <c r="K1154" s="19" t="b">
        <v>0</v>
      </c>
      <c r="L1154" s="19" t="b">
        <v>0</v>
      </c>
      <c r="M1154" s="19" t="b">
        <v>0</v>
      </c>
      <c r="N1154" s="19" t="b">
        <v>0</v>
      </c>
      <c r="O1154" s="19" t="b">
        <v>0</v>
      </c>
      <c r="P1154" s="19" t="b">
        <v>1</v>
      </c>
    </row>
    <row r="1155" spans="1:16" x14ac:dyDescent="0.2">
      <c r="A1155" s="18">
        <v>6122489</v>
      </c>
      <c r="B1155" s="18" t="s">
        <v>3151</v>
      </c>
      <c r="C1155" s="18" t="s">
        <v>90</v>
      </c>
      <c r="D1155" s="18" t="s">
        <v>19</v>
      </c>
      <c r="E1155" s="19">
        <v>45047</v>
      </c>
      <c r="F1155" s="18" t="s">
        <v>3152</v>
      </c>
      <c r="G1155" s="19">
        <v>45061</v>
      </c>
      <c r="H1155" s="19">
        <v>45083</v>
      </c>
      <c r="I1155" s="18" t="s">
        <v>43</v>
      </c>
      <c r="J1155" s="19" t="b">
        <v>1</v>
      </c>
      <c r="K1155" s="19" t="b">
        <v>0</v>
      </c>
      <c r="L1155" s="19" t="b">
        <v>0</v>
      </c>
      <c r="M1155" s="19" t="b">
        <v>0</v>
      </c>
      <c r="N1155" s="19" t="b">
        <v>0</v>
      </c>
      <c r="O1155" s="19" t="b">
        <v>1</v>
      </c>
      <c r="P1155" s="19" t="b">
        <v>0</v>
      </c>
    </row>
    <row r="1156" spans="1:16" x14ac:dyDescent="0.2">
      <c r="A1156" s="18">
        <v>6907989</v>
      </c>
      <c r="B1156" s="18" t="s">
        <v>3155</v>
      </c>
      <c r="C1156" s="18" t="s">
        <v>363</v>
      </c>
      <c r="D1156" s="18" t="s">
        <v>81</v>
      </c>
      <c r="E1156" s="19">
        <v>44608</v>
      </c>
      <c r="F1156" s="18" t="s">
        <v>3037</v>
      </c>
      <c r="G1156" s="19">
        <v>44635</v>
      </c>
      <c r="H1156" s="19">
        <v>44637</v>
      </c>
      <c r="I1156" s="18" t="s">
        <v>43</v>
      </c>
      <c r="J1156" s="19" t="b">
        <v>1</v>
      </c>
      <c r="K1156" s="19" t="b">
        <v>0</v>
      </c>
      <c r="L1156" s="19" t="b">
        <v>0</v>
      </c>
      <c r="M1156" s="19" t="b">
        <v>0</v>
      </c>
      <c r="N1156" s="19" t="b">
        <v>0</v>
      </c>
      <c r="O1156" s="19" t="b">
        <v>1</v>
      </c>
      <c r="P1156" s="19" t="b">
        <v>0</v>
      </c>
    </row>
    <row r="1157" spans="1:16" x14ac:dyDescent="0.2">
      <c r="A1157" s="18">
        <v>5876441</v>
      </c>
      <c r="B1157" s="18" t="s">
        <v>3156</v>
      </c>
      <c r="C1157" s="18" t="s">
        <v>150</v>
      </c>
      <c r="D1157" s="18" t="s">
        <v>19</v>
      </c>
      <c r="E1157" s="19">
        <v>44664</v>
      </c>
      <c r="F1157" s="18" t="s">
        <v>3157</v>
      </c>
      <c r="G1157" s="19">
        <v>44674</v>
      </c>
      <c r="H1157" s="19">
        <v>44726</v>
      </c>
      <c r="I1157" s="18" t="s">
        <v>43</v>
      </c>
      <c r="J1157" s="19" t="b">
        <v>1</v>
      </c>
      <c r="K1157" s="19" t="b">
        <v>0</v>
      </c>
      <c r="L1157" s="19" t="b">
        <v>0</v>
      </c>
      <c r="M1157" s="19" t="b">
        <v>0</v>
      </c>
      <c r="N1157" s="19" t="b">
        <v>0</v>
      </c>
      <c r="O1157" s="19" t="b">
        <v>1</v>
      </c>
      <c r="P1157" s="19" t="b">
        <v>0</v>
      </c>
    </row>
    <row r="1158" spans="1:16" x14ac:dyDescent="0.2">
      <c r="A1158" s="18">
        <v>5876441</v>
      </c>
      <c r="B1158" s="18" t="s">
        <v>3158</v>
      </c>
      <c r="C1158" s="18" t="s">
        <v>150</v>
      </c>
      <c r="D1158" s="18" t="s">
        <v>19</v>
      </c>
      <c r="E1158" s="19">
        <v>44921</v>
      </c>
      <c r="F1158" s="18" t="s">
        <v>3159</v>
      </c>
      <c r="G1158" s="19">
        <v>44939</v>
      </c>
      <c r="H1158" s="19">
        <v>44956</v>
      </c>
      <c r="I1158" s="18"/>
      <c r="J1158" s="19" t="b">
        <v>1</v>
      </c>
      <c r="K1158" s="19" t="b">
        <v>0</v>
      </c>
      <c r="L1158" s="19" t="b">
        <v>0</v>
      </c>
      <c r="M1158" s="19" t="b">
        <v>0</v>
      </c>
      <c r="N1158" s="19" t="b">
        <v>0</v>
      </c>
      <c r="O1158" s="19" t="b">
        <v>0</v>
      </c>
      <c r="P1158" s="19" t="b">
        <v>0</v>
      </c>
    </row>
    <row r="1159" spans="1:16" x14ac:dyDescent="0.2">
      <c r="A1159" s="18">
        <v>5876441</v>
      </c>
      <c r="B1159" s="18" t="s">
        <v>3160</v>
      </c>
      <c r="C1159" s="18" t="s">
        <v>150</v>
      </c>
      <c r="D1159" s="18" t="s">
        <v>19</v>
      </c>
      <c r="E1159" s="19">
        <v>44575</v>
      </c>
      <c r="F1159" s="18" t="s">
        <v>1567</v>
      </c>
      <c r="G1159" s="19">
        <v>44602</v>
      </c>
      <c r="H1159" s="19">
        <v>44625</v>
      </c>
      <c r="I1159" s="18" t="s">
        <v>28</v>
      </c>
      <c r="J1159" s="19" t="b">
        <v>1</v>
      </c>
      <c r="K1159" s="19" t="b">
        <v>0</v>
      </c>
      <c r="L1159" s="19" t="b">
        <v>0</v>
      </c>
      <c r="M1159" s="19" t="b">
        <v>0</v>
      </c>
      <c r="N1159" s="19" t="b">
        <v>0</v>
      </c>
      <c r="O1159" s="19" t="b">
        <v>0</v>
      </c>
      <c r="P1159" s="19" t="b">
        <v>1</v>
      </c>
    </row>
    <row r="1160" spans="1:16" x14ac:dyDescent="0.2">
      <c r="A1160" s="18">
        <v>5876441</v>
      </c>
      <c r="B1160" s="18" t="s">
        <v>3161</v>
      </c>
      <c r="C1160" s="18" t="s">
        <v>150</v>
      </c>
      <c r="D1160" s="18" t="s">
        <v>19</v>
      </c>
      <c r="E1160" s="19">
        <v>45057</v>
      </c>
      <c r="F1160" s="18" t="s">
        <v>3162</v>
      </c>
      <c r="G1160" s="19">
        <v>45061</v>
      </c>
      <c r="H1160" s="19">
        <v>45079</v>
      </c>
      <c r="I1160" s="18" t="s">
        <v>28</v>
      </c>
      <c r="J1160" s="19" t="b">
        <v>1</v>
      </c>
      <c r="K1160" s="19" t="b">
        <v>0</v>
      </c>
      <c r="L1160" s="19" t="b">
        <v>0</v>
      </c>
      <c r="M1160" s="19" t="b">
        <v>0</v>
      </c>
      <c r="N1160" s="19" t="b">
        <v>0</v>
      </c>
      <c r="O1160" s="19" t="b">
        <v>0</v>
      </c>
      <c r="P1160" s="19" t="b">
        <v>1</v>
      </c>
    </row>
    <row r="1161" spans="1:16" x14ac:dyDescent="0.2">
      <c r="A1161" s="18">
        <v>5876441</v>
      </c>
      <c r="B1161" s="18" t="s">
        <v>3163</v>
      </c>
      <c r="C1161" s="18" t="s">
        <v>150</v>
      </c>
      <c r="D1161" s="18" t="s">
        <v>19</v>
      </c>
      <c r="E1161" s="19">
        <v>44787</v>
      </c>
      <c r="F1161" s="18" t="s">
        <v>3164</v>
      </c>
      <c r="G1161" s="19">
        <v>44809</v>
      </c>
      <c r="H1161" s="19">
        <v>44819</v>
      </c>
      <c r="I1161" s="18" t="s">
        <v>16</v>
      </c>
      <c r="J1161" s="19" t="b">
        <v>1</v>
      </c>
      <c r="K1161" s="19" t="b">
        <v>0</v>
      </c>
      <c r="L1161" s="19" t="b">
        <v>0</v>
      </c>
      <c r="M1161" s="19" t="b">
        <v>0</v>
      </c>
      <c r="N1161" s="19" t="b">
        <v>1</v>
      </c>
      <c r="O1161" s="19" t="b">
        <v>0</v>
      </c>
      <c r="P1161" s="19" t="b">
        <v>0</v>
      </c>
    </row>
    <row r="1162" spans="1:16" x14ac:dyDescent="0.2">
      <c r="A1162" s="18">
        <v>6992727</v>
      </c>
      <c r="B1162" s="18" t="s">
        <v>3165</v>
      </c>
      <c r="C1162" s="18" t="s">
        <v>363</v>
      </c>
      <c r="D1162" s="18" t="s">
        <v>56</v>
      </c>
      <c r="E1162" s="19">
        <v>44653</v>
      </c>
      <c r="F1162" s="18" t="s">
        <v>3166</v>
      </c>
      <c r="G1162" s="19">
        <v>44660</v>
      </c>
      <c r="H1162" s="19">
        <v>44719</v>
      </c>
      <c r="I1162" s="18"/>
      <c r="J1162" s="19" t="b">
        <v>1</v>
      </c>
      <c r="K1162" s="19" t="b">
        <v>0</v>
      </c>
      <c r="L1162" s="19" t="b">
        <v>0</v>
      </c>
      <c r="M1162" s="19" t="b">
        <v>0</v>
      </c>
      <c r="N1162" s="19" t="b">
        <v>0</v>
      </c>
      <c r="O1162" s="19" t="b">
        <v>0</v>
      </c>
      <c r="P1162" s="19" t="b">
        <v>0</v>
      </c>
    </row>
    <row r="1163" spans="1:16" x14ac:dyDescent="0.2">
      <c r="A1163" s="18">
        <v>6992727</v>
      </c>
      <c r="B1163" s="18" t="s">
        <v>3167</v>
      </c>
      <c r="C1163" s="18" t="s">
        <v>363</v>
      </c>
      <c r="D1163" s="18" t="s">
        <v>56</v>
      </c>
      <c r="E1163" s="19">
        <v>45022</v>
      </c>
      <c r="F1163" s="18" t="s">
        <v>261</v>
      </c>
      <c r="G1163" s="19">
        <v>45051</v>
      </c>
      <c r="H1163" s="19">
        <v>45085</v>
      </c>
      <c r="I1163" s="18" t="s">
        <v>16</v>
      </c>
      <c r="J1163" s="19" t="b">
        <v>1</v>
      </c>
      <c r="K1163" s="19" t="b">
        <v>0</v>
      </c>
      <c r="L1163" s="19" t="b">
        <v>0</v>
      </c>
      <c r="M1163" s="19" t="b">
        <v>0</v>
      </c>
      <c r="N1163" s="19" t="b">
        <v>1</v>
      </c>
      <c r="O1163" s="19" t="b">
        <v>0</v>
      </c>
      <c r="P1163" s="19" t="b">
        <v>0</v>
      </c>
    </row>
    <row r="1164" spans="1:16" x14ac:dyDescent="0.2">
      <c r="A1164" s="18">
        <v>3935211</v>
      </c>
      <c r="B1164" s="18" t="s">
        <v>3172</v>
      </c>
      <c r="C1164" s="18" t="s">
        <v>282</v>
      </c>
      <c r="D1164" s="18" t="s">
        <v>39</v>
      </c>
      <c r="E1164" s="19">
        <v>44687</v>
      </c>
      <c r="F1164" s="18" t="s">
        <v>3173</v>
      </c>
      <c r="G1164" s="19">
        <v>44701</v>
      </c>
      <c r="H1164" s="19">
        <v>44752</v>
      </c>
      <c r="I1164" s="18" t="s">
        <v>28</v>
      </c>
      <c r="J1164" s="19" t="b">
        <v>1</v>
      </c>
      <c r="K1164" s="19" t="b">
        <v>0</v>
      </c>
      <c r="L1164" s="19" t="b">
        <v>0</v>
      </c>
      <c r="M1164" s="19" t="b">
        <v>0</v>
      </c>
      <c r="N1164" s="19" t="b">
        <v>0</v>
      </c>
      <c r="O1164" s="19" t="b">
        <v>0</v>
      </c>
      <c r="P1164" s="19" t="b">
        <v>1</v>
      </c>
    </row>
    <row r="1165" spans="1:16" x14ac:dyDescent="0.2">
      <c r="A1165" s="18">
        <v>2848691</v>
      </c>
      <c r="B1165" s="18" t="s">
        <v>3174</v>
      </c>
      <c r="C1165" s="18" t="s">
        <v>10</v>
      </c>
      <c r="D1165" s="18" t="s">
        <v>77</v>
      </c>
      <c r="E1165" s="19">
        <v>44728</v>
      </c>
      <c r="F1165" s="18" t="s">
        <v>3175</v>
      </c>
      <c r="G1165" s="19">
        <v>44738</v>
      </c>
      <c r="H1165" s="19">
        <v>44770</v>
      </c>
      <c r="I1165" s="18" t="s">
        <v>43</v>
      </c>
      <c r="J1165" s="19" t="b">
        <v>1</v>
      </c>
      <c r="K1165" s="19" t="b">
        <v>0</v>
      </c>
      <c r="L1165" s="19" t="b">
        <v>0</v>
      </c>
      <c r="M1165" s="19" t="b">
        <v>0</v>
      </c>
      <c r="N1165" s="19" t="b">
        <v>0</v>
      </c>
      <c r="O1165" s="19" t="b">
        <v>1</v>
      </c>
      <c r="P1165" s="19" t="b">
        <v>0</v>
      </c>
    </row>
    <row r="1166" spans="1:16" x14ac:dyDescent="0.2">
      <c r="A1166" s="18">
        <v>1687078</v>
      </c>
      <c r="B1166" s="18" t="s">
        <v>3184</v>
      </c>
      <c r="C1166" s="18" t="s">
        <v>454</v>
      </c>
      <c r="D1166" s="18" t="s">
        <v>11</v>
      </c>
      <c r="E1166" s="19">
        <v>44839</v>
      </c>
      <c r="F1166" s="18" t="s">
        <v>3185</v>
      </c>
      <c r="G1166" s="19">
        <v>44844</v>
      </c>
      <c r="H1166" s="19">
        <v>44891</v>
      </c>
      <c r="I1166" s="18" t="s">
        <v>43</v>
      </c>
      <c r="J1166" s="19" t="b">
        <v>1</v>
      </c>
      <c r="K1166" s="19" t="b">
        <v>0</v>
      </c>
      <c r="L1166" s="19" t="b">
        <v>0</v>
      </c>
      <c r="M1166" s="19" t="b">
        <v>0</v>
      </c>
      <c r="N1166" s="19" t="b">
        <v>0</v>
      </c>
      <c r="O1166" s="19" t="b">
        <v>1</v>
      </c>
      <c r="P1166" s="19" t="b">
        <v>0</v>
      </c>
    </row>
    <row r="1167" spans="1:16" x14ac:dyDescent="0.2">
      <c r="A1167" s="18">
        <v>6410314</v>
      </c>
      <c r="B1167" s="18" t="s">
        <v>3193</v>
      </c>
      <c r="C1167" s="18" t="s">
        <v>47</v>
      </c>
      <c r="D1167" s="18" t="s">
        <v>81</v>
      </c>
      <c r="E1167" s="19">
        <v>44988</v>
      </c>
      <c r="F1167" s="18" t="s">
        <v>129</v>
      </c>
      <c r="G1167" s="19">
        <v>45006</v>
      </c>
      <c r="H1167" s="19">
        <v>45019</v>
      </c>
      <c r="I1167" s="18" t="s">
        <v>43</v>
      </c>
      <c r="J1167" s="19" t="b">
        <v>1</v>
      </c>
      <c r="K1167" s="19" t="b">
        <v>0</v>
      </c>
      <c r="L1167" s="19" t="b">
        <v>0</v>
      </c>
      <c r="M1167" s="19" t="b">
        <v>0</v>
      </c>
      <c r="N1167" s="19" t="b">
        <v>0</v>
      </c>
      <c r="O1167" s="19" t="b">
        <v>1</v>
      </c>
      <c r="P1167" s="19" t="b">
        <v>0</v>
      </c>
    </row>
    <row r="1168" spans="1:16" x14ac:dyDescent="0.2">
      <c r="A1168" s="18">
        <v>6410314</v>
      </c>
      <c r="B1168" s="18" t="s">
        <v>3194</v>
      </c>
      <c r="C1168" s="18" t="s">
        <v>47</v>
      </c>
      <c r="D1168" s="18" t="s">
        <v>81</v>
      </c>
      <c r="E1168" s="19">
        <v>45034</v>
      </c>
      <c r="F1168" s="18" t="s">
        <v>288</v>
      </c>
      <c r="G1168" s="19">
        <v>45052</v>
      </c>
      <c r="H1168" s="19">
        <v>45064</v>
      </c>
      <c r="I1168" s="18" t="s">
        <v>16</v>
      </c>
      <c r="J1168" s="19" t="b">
        <v>1</v>
      </c>
      <c r="K1168" s="19" t="b">
        <v>0</v>
      </c>
      <c r="L1168" s="19" t="b">
        <v>0</v>
      </c>
      <c r="M1168" s="19" t="b">
        <v>0</v>
      </c>
      <c r="N1168" s="19" t="b">
        <v>1</v>
      </c>
      <c r="O1168" s="19" t="b">
        <v>0</v>
      </c>
      <c r="P1168" s="19" t="b">
        <v>0</v>
      </c>
    </row>
    <row r="1169" spans="1:16" x14ac:dyDescent="0.2">
      <c r="A1169" s="18">
        <v>6998844</v>
      </c>
      <c r="B1169" s="18" t="s">
        <v>3196</v>
      </c>
      <c r="C1169" s="18" t="s">
        <v>287</v>
      </c>
      <c r="D1169" s="18" t="s">
        <v>39</v>
      </c>
      <c r="E1169" s="19">
        <v>44589</v>
      </c>
      <c r="F1169" s="18" t="s">
        <v>3197</v>
      </c>
      <c r="G1169" s="19">
        <v>44614</v>
      </c>
      <c r="H1169" s="19">
        <v>44641</v>
      </c>
      <c r="I1169" s="18"/>
      <c r="J1169" s="19" t="b">
        <v>1</v>
      </c>
      <c r="K1169" s="19" t="b">
        <v>0</v>
      </c>
      <c r="L1169" s="19" t="b">
        <v>0</v>
      </c>
      <c r="M1169" s="19" t="b">
        <v>0</v>
      </c>
      <c r="N1169" s="19" t="b">
        <v>0</v>
      </c>
      <c r="O1169" s="19" t="b">
        <v>0</v>
      </c>
      <c r="P1169" s="19" t="b">
        <v>0</v>
      </c>
    </row>
    <row r="1170" spans="1:16" x14ac:dyDescent="0.2">
      <c r="A1170" s="18">
        <v>6998844</v>
      </c>
      <c r="B1170" s="18" t="s">
        <v>3202</v>
      </c>
      <c r="C1170" s="18" t="s">
        <v>287</v>
      </c>
      <c r="D1170" s="18" t="s">
        <v>39</v>
      </c>
      <c r="E1170" s="19">
        <v>44964</v>
      </c>
      <c r="F1170" s="18" t="s">
        <v>3203</v>
      </c>
      <c r="G1170" s="19">
        <v>44969</v>
      </c>
      <c r="H1170" s="19">
        <v>44995</v>
      </c>
      <c r="I1170" s="18" t="s">
        <v>28</v>
      </c>
      <c r="J1170" s="19" t="b">
        <v>1</v>
      </c>
      <c r="K1170" s="19" t="b">
        <v>0</v>
      </c>
      <c r="L1170" s="19" t="b">
        <v>0</v>
      </c>
      <c r="M1170" s="19" t="b">
        <v>0</v>
      </c>
      <c r="N1170" s="19" t="b">
        <v>0</v>
      </c>
      <c r="O1170" s="19" t="b">
        <v>0</v>
      </c>
      <c r="P1170" s="19" t="b">
        <v>1</v>
      </c>
    </row>
    <row r="1171" spans="1:16" x14ac:dyDescent="0.2">
      <c r="A1171" s="18">
        <v>1099872</v>
      </c>
      <c r="B1171" s="18" t="s">
        <v>3204</v>
      </c>
      <c r="C1171" s="18" t="s">
        <v>287</v>
      </c>
      <c r="D1171" s="18" t="s">
        <v>139</v>
      </c>
      <c r="E1171" s="19">
        <v>44671</v>
      </c>
      <c r="F1171" s="18" t="s">
        <v>774</v>
      </c>
      <c r="G1171" s="19">
        <v>44682</v>
      </c>
      <c r="H1171" s="19">
        <v>44721</v>
      </c>
      <c r="I1171" s="18" t="s">
        <v>16</v>
      </c>
      <c r="J1171" s="19" t="b">
        <v>1</v>
      </c>
      <c r="K1171" s="19" t="b">
        <v>0</v>
      </c>
      <c r="L1171" s="19" t="b">
        <v>0</v>
      </c>
      <c r="M1171" s="19" t="b">
        <v>0</v>
      </c>
      <c r="N1171" s="19" t="b">
        <v>1</v>
      </c>
      <c r="O1171" s="19" t="b">
        <v>0</v>
      </c>
      <c r="P1171" s="19" t="b">
        <v>0</v>
      </c>
    </row>
    <row r="1172" spans="1:16" x14ac:dyDescent="0.2">
      <c r="A1172" s="18">
        <v>1099872</v>
      </c>
      <c r="B1172" s="18" t="s">
        <v>3207</v>
      </c>
      <c r="C1172" s="18" t="s">
        <v>287</v>
      </c>
      <c r="D1172" s="18" t="s">
        <v>139</v>
      </c>
      <c r="E1172" s="19">
        <v>45085</v>
      </c>
      <c r="F1172" s="18" t="s">
        <v>3208</v>
      </c>
      <c r="G1172" s="19">
        <v>45109</v>
      </c>
      <c r="H1172" s="19">
        <v>45155</v>
      </c>
      <c r="I1172" s="18" t="s">
        <v>16</v>
      </c>
      <c r="J1172" s="19" t="b">
        <v>1</v>
      </c>
      <c r="K1172" s="19" t="b">
        <v>0</v>
      </c>
      <c r="L1172" s="19" t="b">
        <v>0</v>
      </c>
      <c r="M1172" s="19" t="b">
        <v>0</v>
      </c>
      <c r="N1172" s="19" t="b">
        <v>1</v>
      </c>
      <c r="O1172" s="19" t="b">
        <v>0</v>
      </c>
      <c r="P1172" s="19" t="b">
        <v>0</v>
      </c>
    </row>
    <row r="1173" spans="1:16" x14ac:dyDescent="0.2">
      <c r="A1173" s="18">
        <v>9309833</v>
      </c>
      <c r="B1173" s="18" t="s">
        <v>3212</v>
      </c>
      <c r="C1173" s="18" t="s">
        <v>71</v>
      </c>
      <c r="D1173" s="18" t="s">
        <v>19</v>
      </c>
      <c r="E1173" s="19">
        <v>44562</v>
      </c>
      <c r="F1173" s="18" t="s">
        <v>3213</v>
      </c>
      <c r="G1173" s="19">
        <v>44567</v>
      </c>
      <c r="H1173" s="19">
        <v>44606</v>
      </c>
      <c r="I1173" s="18" t="s">
        <v>43</v>
      </c>
      <c r="J1173" s="19" t="b">
        <v>1</v>
      </c>
      <c r="K1173" s="19" t="b">
        <v>0</v>
      </c>
      <c r="L1173" s="19" t="b">
        <v>0</v>
      </c>
      <c r="M1173" s="19" t="b">
        <v>0</v>
      </c>
      <c r="N1173" s="19" t="b">
        <v>0</v>
      </c>
      <c r="O1173" s="19" t="b">
        <v>1</v>
      </c>
      <c r="P1173" s="19" t="b">
        <v>0</v>
      </c>
    </row>
    <row r="1174" spans="1:16" x14ac:dyDescent="0.2">
      <c r="A1174" s="18">
        <v>9115466</v>
      </c>
      <c r="B1174" s="18" t="s">
        <v>3219</v>
      </c>
      <c r="C1174" s="18" t="s">
        <v>38</v>
      </c>
      <c r="D1174" s="18" t="s">
        <v>19</v>
      </c>
      <c r="E1174" s="19">
        <v>44584</v>
      </c>
      <c r="F1174" s="18" t="s">
        <v>3220</v>
      </c>
      <c r="G1174" s="19">
        <v>44590</v>
      </c>
      <c r="H1174" s="19">
        <v>44600</v>
      </c>
      <c r="I1174" s="18" t="s">
        <v>16</v>
      </c>
      <c r="J1174" s="19" t="b">
        <v>1</v>
      </c>
      <c r="K1174" s="19" t="b">
        <v>0</v>
      </c>
      <c r="L1174" s="19" t="b">
        <v>0</v>
      </c>
      <c r="M1174" s="19" t="b">
        <v>0</v>
      </c>
      <c r="N1174" s="19" t="b">
        <v>1</v>
      </c>
      <c r="O1174" s="19" t="b">
        <v>0</v>
      </c>
      <c r="P1174" s="19" t="b">
        <v>0</v>
      </c>
    </row>
    <row r="1175" spans="1:16" x14ac:dyDescent="0.2">
      <c r="A1175" s="18">
        <v>9115466</v>
      </c>
      <c r="B1175" s="18" t="s">
        <v>3221</v>
      </c>
      <c r="C1175" s="18" t="s">
        <v>38</v>
      </c>
      <c r="D1175" s="18" t="s">
        <v>19</v>
      </c>
      <c r="E1175" s="19">
        <v>44767</v>
      </c>
      <c r="F1175" s="18" t="s">
        <v>3222</v>
      </c>
      <c r="G1175" s="19">
        <v>44783</v>
      </c>
      <c r="H1175" s="19">
        <v>44814</v>
      </c>
      <c r="I1175" s="18" t="s">
        <v>43</v>
      </c>
      <c r="J1175" s="19" t="b">
        <v>1</v>
      </c>
      <c r="K1175" s="19" t="b">
        <v>0</v>
      </c>
      <c r="L1175" s="19" t="b">
        <v>0</v>
      </c>
      <c r="M1175" s="19" t="b">
        <v>0</v>
      </c>
      <c r="N1175" s="19" t="b">
        <v>0</v>
      </c>
      <c r="O1175" s="19" t="b">
        <v>1</v>
      </c>
      <c r="P1175" s="19" t="b">
        <v>0</v>
      </c>
    </row>
    <row r="1176" spans="1:16" x14ac:dyDescent="0.2">
      <c r="A1176" s="18">
        <v>9115466</v>
      </c>
      <c r="B1176" s="18" t="s">
        <v>3225</v>
      </c>
      <c r="C1176" s="18" t="s">
        <v>38</v>
      </c>
      <c r="D1176" s="18" t="s">
        <v>19</v>
      </c>
      <c r="E1176" s="19">
        <v>44671</v>
      </c>
      <c r="F1176" s="18" t="s">
        <v>2623</v>
      </c>
      <c r="G1176" s="19">
        <v>44686</v>
      </c>
      <c r="H1176" s="19">
        <v>44713</v>
      </c>
      <c r="I1176" s="18"/>
      <c r="J1176" s="19" t="b">
        <v>1</v>
      </c>
      <c r="K1176" s="19" t="b">
        <v>0</v>
      </c>
      <c r="L1176" s="19" t="b">
        <v>0</v>
      </c>
      <c r="M1176" s="19" t="b">
        <v>0</v>
      </c>
      <c r="N1176" s="19" t="b">
        <v>0</v>
      </c>
      <c r="O1176" s="19" t="b">
        <v>0</v>
      </c>
      <c r="P1176" s="19" t="b">
        <v>0</v>
      </c>
    </row>
    <row r="1177" spans="1:16" x14ac:dyDescent="0.2">
      <c r="A1177" s="18">
        <v>8127514</v>
      </c>
      <c r="B1177" s="18" t="s">
        <v>3226</v>
      </c>
      <c r="C1177" s="18" t="s">
        <v>71</v>
      </c>
      <c r="D1177" s="18" t="s">
        <v>56</v>
      </c>
      <c r="E1177" s="19">
        <v>44872</v>
      </c>
      <c r="F1177" s="18" t="s">
        <v>3227</v>
      </c>
      <c r="G1177" s="19">
        <v>44874</v>
      </c>
      <c r="H1177" s="19">
        <v>44916</v>
      </c>
      <c r="I1177" s="18"/>
      <c r="J1177" s="19" t="b">
        <v>1</v>
      </c>
      <c r="K1177" s="19" t="b">
        <v>0</v>
      </c>
      <c r="L1177" s="19" t="b">
        <v>0</v>
      </c>
      <c r="M1177" s="19" t="b">
        <v>0</v>
      </c>
      <c r="N1177" s="19" t="b">
        <v>0</v>
      </c>
      <c r="O1177" s="19" t="b">
        <v>0</v>
      </c>
      <c r="P1177" s="19" t="b">
        <v>0</v>
      </c>
    </row>
    <row r="1178" spans="1:16" x14ac:dyDescent="0.2">
      <c r="A1178" s="18">
        <v>8127514</v>
      </c>
      <c r="B1178" s="18" t="s">
        <v>3228</v>
      </c>
      <c r="C1178" s="18" t="s">
        <v>71</v>
      </c>
      <c r="D1178" s="18" t="s">
        <v>56</v>
      </c>
      <c r="E1178" s="19">
        <v>44925</v>
      </c>
      <c r="F1178" s="18" t="s">
        <v>3229</v>
      </c>
      <c r="G1178" s="19">
        <v>44930</v>
      </c>
      <c r="H1178" s="19">
        <v>44960</v>
      </c>
      <c r="I1178" s="18"/>
      <c r="J1178" s="19" t="b">
        <v>1</v>
      </c>
      <c r="K1178" s="19" t="b">
        <v>0</v>
      </c>
      <c r="L1178" s="19" t="b">
        <v>0</v>
      </c>
      <c r="M1178" s="19" t="b">
        <v>0</v>
      </c>
      <c r="N1178" s="19" t="b">
        <v>0</v>
      </c>
      <c r="O1178" s="19" t="b">
        <v>0</v>
      </c>
      <c r="P1178" s="19" t="b">
        <v>0</v>
      </c>
    </row>
    <row r="1179" spans="1:16" x14ac:dyDescent="0.2">
      <c r="A1179" s="18">
        <v>8127514</v>
      </c>
      <c r="B1179" s="18" t="s">
        <v>3230</v>
      </c>
      <c r="C1179" s="18" t="s">
        <v>71</v>
      </c>
      <c r="D1179" s="18" t="s">
        <v>56</v>
      </c>
      <c r="E1179" s="19">
        <v>44724</v>
      </c>
      <c r="F1179" s="18" t="s">
        <v>3231</v>
      </c>
      <c r="G1179" s="19">
        <v>44736</v>
      </c>
      <c r="H1179" s="19">
        <v>44769</v>
      </c>
      <c r="I1179" s="18"/>
      <c r="J1179" s="19" t="b">
        <v>1</v>
      </c>
      <c r="K1179" s="19" t="b">
        <v>0</v>
      </c>
      <c r="L1179" s="19" t="b">
        <v>0</v>
      </c>
      <c r="M1179" s="19" t="b">
        <v>0</v>
      </c>
      <c r="N1179" s="19" t="b">
        <v>0</v>
      </c>
      <c r="O1179" s="19" t="b">
        <v>0</v>
      </c>
      <c r="P1179" s="19" t="b">
        <v>0</v>
      </c>
    </row>
    <row r="1180" spans="1:16" x14ac:dyDescent="0.2">
      <c r="A1180" s="18">
        <v>9442389</v>
      </c>
      <c r="B1180" s="18" t="s">
        <v>3233</v>
      </c>
      <c r="C1180" s="18" t="s">
        <v>454</v>
      </c>
      <c r="D1180" s="18" t="s">
        <v>39</v>
      </c>
      <c r="E1180" s="19">
        <v>44705</v>
      </c>
      <c r="F1180" s="18" t="s">
        <v>2062</v>
      </c>
      <c r="G1180" s="19">
        <v>44714</v>
      </c>
      <c r="H1180" s="19">
        <v>44765</v>
      </c>
      <c r="I1180" s="18" t="s">
        <v>28</v>
      </c>
      <c r="J1180" s="19" t="b">
        <v>1</v>
      </c>
      <c r="K1180" s="19" t="b">
        <v>0</v>
      </c>
      <c r="L1180" s="19" t="b">
        <v>0</v>
      </c>
      <c r="M1180" s="19" t="b">
        <v>0</v>
      </c>
      <c r="N1180" s="19" t="b">
        <v>0</v>
      </c>
      <c r="O1180" s="19" t="b">
        <v>0</v>
      </c>
      <c r="P1180" s="19" t="b">
        <v>1</v>
      </c>
    </row>
    <row r="1181" spans="1:16" x14ac:dyDescent="0.2">
      <c r="A1181" s="18">
        <v>9442389</v>
      </c>
      <c r="B1181" s="18" t="s">
        <v>3234</v>
      </c>
      <c r="C1181" s="18" t="s">
        <v>454</v>
      </c>
      <c r="D1181" s="18" t="s">
        <v>39</v>
      </c>
      <c r="E1181" s="19">
        <v>44631</v>
      </c>
      <c r="F1181" s="18" t="s">
        <v>1454</v>
      </c>
      <c r="G1181" s="19">
        <v>44661</v>
      </c>
      <c r="H1181" s="19">
        <v>44715</v>
      </c>
      <c r="I1181" s="18" t="s">
        <v>28</v>
      </c>
      <c r="J1181" s="19" t="b">
        <v>1</v>
      </c>
      <c r="K1181" s="19" t="b">
        <v>0</v>
      </c>
      <c r="L1181" s="19" t="b">
        <v>0</v>
      </c>
      <c r="M1181" s="19" t="b">
        <v>0</v>
      </c>
      <c r="N1181" s="19" t="b">
        <v>0</v>
      </c>
      <c r="O1181" s="19" t="b">
        <v>0</v>
      </c>
      <c r="P1181" s="19" t="b">
        <v>1</v>
      </c>
    </row>
    <row r="1182" spans="1:16" x14ac:dyDescent="0.2">
      <c r="A1182" s="18">
        <v>9442389</v>
      </c>
      <c r="B1182" s="18" t="s">
        <v>3235</v>
      </c>
      <c r="C1182" s="18" t="s">
        <v>454</v>
      </c>
      <c r="D1182" s="18" t="s">
        <v>39</v>
      </c>
      <c r="E1182" s="19">
        <v>44746</v>
      </c>
      <c r="F1182" s="18" t="s">
        <v>1452</v>
      </c>
      <c r="G1182" s="19">
        <v>44765</v>
      </c>
      <c r="H1182" s="19">
        <v>44811</v>
      </c>
      <c r="I1182" s="18"/>
      <c r="J1182" s="19" t="b">
        <v>1</v>
      </c>
      <c r="K1182" s="19" t="b">
        <v>0</v>
      </c>
      <c r="L1182" s="19" t="b">
        <v>0</v>
      </c>
      <c r="M1182" s="19" t="b">
        <v>0</v>
      </c>
      <c r="N1182" s="19" t="b">
        <v>0</v>
      </c>
      <c r="O1182" s="19" t="b">
        <v>0</v>
      </c>
      <c r="P1182" s="19" t="b">
        <v>0</v>
      </c>
    </row>
    <row r="1183" spans="1:16" x14ac:dyDescent="0.2">
      <c r="A1183" s="18">
        <v>9442389</v>
      </c>
      <c r="B1183" s="18" t="s">
        <v>3236</v>
      </c>
      <c r="C1183" s="18" t="s">
        <v>454</v>
      </c>
      <c r="D1183" s="18" t="s">
        <v>39</v>
      </c>
      <c r="E1183" s="19">
        <v>44893</v>
      </c>
      <c r="F1183" s="18" t="s">
        <v>3237</v>
      </c>
      <c r="G1183" s="19">
        <v>44912</v>
      </c>
      <c r="H1183" s="19">
        <v>44950</v>
      </c>
      <c r="I1183" s="18" t="s">
        <v>28</v>
      </c>
      <c r="J1183" s="19" t="b">
        <v>1</v>
      </c>
      <c r="K1183" s="19" t="b">
        <v>0</v>
      </c>
      <c r="L1183" s="19" t="b">
        <v>0</v>
      </c>
      <c r="M1183" s="19" t="b">
        <v>0</v>
      </c>
      <c r="N1183" s="19" t="b">
        <v>0</v>
      </c>
      <c r="O1183" s="19" t="b">
        <v>0</v>
      </c>
      <c r="P1183" s="19" t="b">
        <v>1</v>
      </c>
    </row>
    <row r="1184" spans="1:16" x14ac:dyDescent="0.2">
      <c r="A1184" s="18">
        <v>6840068</v>
      </c>
      <c r="B1184" s="18" t="s">
        <v>3242</v>
      </c>
      <c r="C1184" s="18" t="s">
        <v>32</v>
      </c>
      <c r="D1184" s="18" t="s">
        <v>81</v>
      </c>
      <c r="E1184" s="19">
        <v>44670</v>
      </c>
      <c r="F1184" s="18" t="s">
        <v>94</v>
      </c>
      <c r="G1184" s="19">
        <v>44686</v>
      </c>
      <c r="H1184" s="19">
        <v>44746</v>
      </c>
      <c r="I1184" s="18" t="s">
        <v>43</v>
      </c>
      <c r="J1184" s="19" t="b">
        <v>1</v>
      </c>
      <c r="K1184" s="19" t="b">
        <v>0</v>
      </c>
      <c r="L1184" s="19" t="b">
        <v>0</v>
      </c>
      <c r="M1184" s="19" t="b">
        <v>0</v>
      </c>
      <c r="N1184" s="19" t="b">
        <v>0</v>
      </c>
      <c r="O1184" s="19" t="b">
        <v>1</v>
      </c>
      <c r="P1184" s="19" t="b">
        <v>0</v>
      </c>
    </row>
    <row r="1185" spans="1:16" x14ac:dyDescent="0.2">
      <c r="A1185" s="18">
        <v>6840068</v>
      </c>
      <c r="B1185" s="18" t="s">
        <v>3243</v>
      </c>
      <c r="C1185" s="18" t="s">
        <v>32</v>
      </c>
      <c r="D1185" s="18" t="s">
        <v>81</v>
      </c>
      <c r="E1185" s="19">
        <v>44804</v>
      </c>
      <c r="F1185" s="18" t="s">
        <v>3244</v>
      </c>
      <c r="G1185" s="19">
        <v>44808</v>
      </c>
      <c r="H1185" s="19">
        <v>44866</v>
      </c>
      <c r="I1185" s="18" t="s">
        <v>28</v>
      </c>
      <c r="J1185" s="19" t="b">
        <v>1</v>
      </c>
      <c r="K1185" s="19" t="b">
        <v>0</v>
      </c>
      <c r="L1185" s="19" t="b">
        <v>0</v>
      </c>
      <c r="M1185" s="19" t="b">
        <v>0</v>
      </c>
      <c r="N1185" s="19" t="b">
        <v>0</v>
      </c>
      <c r="O1185" s="19" t="b">
        <v>0</v>
      </c>
      <c r="P1185" s="19" t="b">
        <v>1</v>
      </c>
    </row>
    <row r="1186" spans="1:16" x14ac:dyDescent="0.2">
      <c r="A1186" s="18">
        <v>5202421</v>
      </c>
      <c r="B1186" s="18" t="s">
        <v>3245</v>
      </c>
      <c r="C1186" s="18" t="s">
        <v>176</v>
      </c>
      <c r="D1186" s="18" t="s">
        <v>56</v>
      </c>
      <c r="E1186" s="19">
        <v>44592</v>
      </c>
      <c r="F1186" s="18" t="s">
        <v>3246</v>
      </c>
      <c r="G1186" s="19">
        <v>44622</v>
      </c>
      <c r="H1186" s="19">
        <v>44634</v>
      </c>
      <c r="I1186" s="18" t="s">
        <v>28</v>
      </c>
      <c r="J1186" s="19" t="b">
        <v>1</v>
      </c>
      <c r="K1186" s="19" t="b">
        <v>0</v>
      </c>
      <c r="L1186" s="19" t="b">
        <v>0</v>
      </c>
      <c r="M1186" s="19" t="b">
        <v>0</v>
      </c>
      <c r="N1186" s="19" t="b">
        <v>0</v>
      </c>
      <c r="O1186" s="19" t="b">
        <v>0</v>
      </c>
      <c r="P1186" s="19" t="b">
        <v>1</v>
      </c>
    </row>
    <row r="1187" spans="1:16" x14ac:dyDescent="0.2">
      <c r="A1187" s="18">
        <v>6388157</v>
      </c>
      <c r="B1187" s="18" t="s">
        <v>3252</v>
      </c>
      <c r="C1187" s="18" t="s">
        <v>176</v>
      </c>
      <c r="D1187" s="18" t="s">
        <v>77</v>
      </c>
      <c r="E1187" s="19">
        <v>44660</v>
      </c>
      <c r="F1187" s="18" t="s">
        <v>3253</v>
      </c>
      <c r="G1187" s="19">
        <v>44667</v>
      </c>
      <c r="H1187" s="19">
        <v>44670</v>
      </c>
      <c r="I1187" s="18" t="s">
        <v>16</v>
      </c>
      <c r="J1187" s="19" t="b">
        <v>1</v>
      </c>
      <c r="K1187" s="19" t="b">
        <v>0</v>
      </c>
      <c r="L1187" s="19" t="b">
        <v>0</v>
      </c>
      <c r="M1187" s="19" t="b">
        <v>0</v>
      </c>
      <c r="N1187" s="19" t="b">
        <v>1</v>
      </c>
      <c r="O1187" s="19" t="b">
        <v>0</v>
      </c>
      <c r="P1187" s="19" t="b">
        <v>0</v>
      </c>
    </row>
    <row r="1188" spans="1:16" x14ac:dyDescent="0.2">
      <c r="A1188" s="18">
        <v>3358248</v>
      </c>
      <c r="B1188" s="18" t="s">
        <v>3254</v>
      </c>
      <c r="C1188" s="18" t="s">
        <v>131</v>
      </c>
      <c r="D1188" s="18" t="s">
        <v>56</v>
      </c>
      <c r="E1188" s="19">
        <v>45102</v>
      </c>
      <c r="F1188" s="18" t="s">
        <v>2638</v>
      </c>
      <c r="G1188" s="19">
        <v>45118</v>
      </c>
      <c r="H1188" s="19">
        <v>45131</v>
      </c>
      <c r="I1188" s="18" t="s">
        <v>16</v>
      </c>
      <c r="J1188" s="19" t="b">
        <v>1</v>
      </c>
      <c r="K1188" s="19" t="b">
        <v>0</v>
      </c>
      <c r="L1188" s="19" t="b">
        <v>0</v>
      </c>
      <c r="M1188" s="19" t="b">
        <v>0</v>
      </c>
      <c r="N1188" s="19" t="b">
        <v>1</v>
      </c>
      <c r="O1188" s="19" t="b">
        <v>0</v>
      </c>
      <c r="P1188" s="19" t="b">
        <v>0</v>
      </c>
    </row>
    <row r="1189" spans="1:16" x14ac:dyDescent="0.2">
      <c r="A1189" s="18">
        <v>3358248</v>
      </c>
      <c r="B1189" s="18" t="s">
        <v>3255</v>
      </c>
      <c r="C1189" s="18" t="s">
        <v>131</v>
      </c>
      <c r="D1189" s="18" t="s">
        <v>56</v>
      </c>
      <c r="E1189" s="19">
        <v>44927</v>
      </c>
      <c r="F1189" s="18" t="s">
        <v>2379</v>
      </c>
      <c r="G1189" s="19">
        <v>44947</v>
      </c>
      <c r="H1189" s="19">
        <v>45005</v>
      </c>
      <c r="I1189" s="18"/>
      <c r="J1189" s="19" t="b">
        <v>1</v>
      </c>
      <c r="K1189" s="19" t="b">
        <v>0</v>
      </c>
      <c r="L1189" s="19" t="b">
        <v>0</v>
      </c>
      <c r="M1189" s="19" t="b">
        <v>0</v>
      </c>
      <c r="N1189" s="19" t="b">
        <v>0</v>
      </c>
      <c r="O1189" s="19" t="b">
        <v>0</v>
      </c>
      <c r="P1189" s="19" t="b">
        <v>0</v>
      </c>
    </row>
    <row r="1190" spans="1:16" x14ac:dyDescent="0.2">
      <c r="A1190" s="18">
        <v>3358248</v>
      </c>
      <c r="B1190" s="18" t="s">
        <v>3256</v>
      </c>
      <c r="C1190" s="18" t="s">
        <v>131</v>
      </c>
      <c r="D1190" s="18" t="s">
        <v>56</v>
      </c>
      <c r="E1190" s="19">
        <v>45011</v>
      </c>
      <c r="F1190" s="18" t="s">
        <v>3257</v>
      </c>
      <c r="G1190" s="19">
        <v>45025</v>
      </c>
      <c r="H1190" s="19">
        <v>45066</v>
      </c>
      <c r="I1190" s="18" t="s">
        <v>43</v>
      </c>
      <c r="J1190" s="19" t="b">
        <v>1</v>
      </c>
      <c r="K1190" s="19" t="b">
        <v>0</v>
      </c>
      <c r="L1190" s="19" t="b">
        <v>0</v>
      </c>
      <c r="M1190" s="19" t="b">
        <v>0</v>
      </c>
      <c r="N1190" s="19" t="b">
        <v>0</v>
      </c>
      <c r="O1190" s="19" t="b">
        <v>1</v>
      </c>
      <c r="P1190" s="19" t="b">
        <v>0</v>
      </c>
    </row>
    <row r="1191" spans="1:16" x14ac:dyDescent="0.2">
      <c r="A1191" s="18">
        <v>7310216</v>
      </c>
      <c r="B1191" s="18" t="s">
        <v>3260</v>
      </c>
      <c r="C1191" s="18" t="s">
        <v>90</v>
      </c>
      <c r="D1191" s="18" t="s">
        <v>122</v>
      </c>
      <c r="E1191" s="19">
        <v>45072</v>
      </c>
      <c r="F1191" s="18" t="s">
        <v>3261</v>
      </c>
      <c r="G1191" s="19">
        <v>45080</v>
      </c>
      <c r="H1191" s="19">
        <v>45084</v>
      </c>
      <c r="I1191" s="18" t="s">
        <v>28</v>
      </c>
      <c r="J1191" s="19" t="b">
        <v>1</v>
      </c>
      <c r="K1191" s="19" t="b">
        <v>0</v>
      </c>
      <c r="L1191" s="19" t="b">
        <v>0</v>
      </c>
      <c r="M1191" s="19" t="b">
        <v>0</v>
      </c>
      <c r="N1191" s="19" t="b">
        <v>0</v>
      </c>
      <c r="O1191" s="19" t="b">
        <v>0</v>
      </c>
      <c r="P1191" s="19" t="b">
        <v>1</v>
      </c>
    </row>
    <row r="1192" spans="1:16" x14ac:dyDescent="0.2">
      <c r="A1192" s="18">
        <v>7310216</v>
      </c>
      <c r="B1192" s="18" t="s">
        <v>3262</v>
      </c>
      <c r="C1192" s="18" t="s">
        <v>90</v>
      </c>
      <c r="D1192" s="18" t="s">
        <v>122</v>
      </c>
      <c r="E1192" s="19">
        <v>44858</v>
      </c>
      <c r="F1192" s="18" t="s">
        <v>3106</v>
      </c>
      <c r="G1192" s="19">
        <v>44888</v>
      </c>
      <c r="H1192" s="19">
        <v>44942</v>
      </c>
      <c r="I1192" s="18" t="s">
        <v>28</v>
      </c>
      <c r="J1192" s="19" t="b">
        <v>1</v>
      </c>
      <c r="K1192" s="19" t="b">
        <v>0</v>
      </c>
      <c r="L1192" s="19" t="b">
        <v>0</v>
      </c>
      <c r="M1192" s="19" t="b">
        <v>0</v>
      </c>
      <c r="N1192" s="19" t="b">
        <v>0</v>
      </c>
      <c r="O1192" s="19" t="b">
        <v>0</v>
      </c>
      <c r="P1192" s="19" t="b">
        <v>1</v>
      </c>
    </row>
    <row r="1193" spans="1:16" x14ac:dyDescent="0.2">
      <c r="A1193" s="18">
        <v>7310216</v>
      </c>
      <c r="B1193" s="18" t="s">
        <v>3265</v>
      </c>
      <c r="C1193" s="18" t="s">
        <v>90</v>
      </c>
      <c r="D1193" s="18" t="s">
        <v>122</v>
      </c>
      <c r="E1193" s="19">
        <v>44809</v>
      </c>
      <c r="F1193" s="18" t="s">
        <v>3266</v>
      </c>
      <c r="G1193" s="19">
        <v>44837</v>
      </c>
      <c r="H1193" s="19">
        <v>44871</v>
      </c>
      <c r="I1193" s="18" t="s">
        <v>28</v>
      </c>
      <c r="J1193" s="19" t="b">
        <v>1</v>
      </c>
      <c r="K1193" s="19" t="b">
        <v>0</v>
      </c>
      <c r="L1193" s="19" t="b">
        <v>0</v>
      </c>
      <c r="M1193" s="19" t="b">
        <v>0</v>
      </c>
      <c r="N1193" s="19" t="b">
        <v>0</v>
      </c>
      <c r="O1193" s="19" t="b">
        <v>0</v>
      </c>
      <c r="P1193" s="19" t="b">
        <v>1</v>
      </c>
    </row>
    <row r="1194" spans="1:16" x14ac:dyDescent="0.2">
      <c r="A1194" s="18">
        <v>7697794</v>
      </c>
      <c r="B1194" s="18" t="s">
        <v>3267</v>
      </c>
      <c r="C1194" s="18" t="s">
        <v>121</v>
      </c>
      <c r="D1194" s="18" t="s">
        <v>56</v>
      </c>
      <c r="E1194" s="19">
        <v>44831</v>
      </c>
      <c r="F1194" s="18" t="s">
        <v>3268</v>
      </c>
      <c r="G1194" s="19">
        <v>44852</v>
      </c>
      <c r="H1194" s="19">
        <v>44854</v>
      </c>
      <c r="I1194" s="18" t="s">
        <v>16</v>
      </c>
      <c r="J1194" s="19" t="b">
        <v>1</v>
      </c>
      <c r="K1194" s="19" t="b">
        <v>0</v>
      </c>
      <c r="L1194" s="19" t="b">
        <v>0</v>
      </c>
      <c r="M1194" s="19" t="b">
        <v>0</v>
      </c>
      <c r="N1194" s="19" t="b">
        <v>1</v>
      </c>
      <c r="O1194" s="19" t="b">
        <v>0</v>
      </c>
      <c r="P1194" s="19" t="b">
        <v>0</v>
      </c>
    </row>
    <row r="1195" spans="1:16" x14ac:dyDescent="0.2">
      <c r="A1195" s="18">
        <v>7697794</v>
      </c>
      <c r="B1195" s="18" t="s">
        <v>3271</v>
      </c>
      <c r="C1195" s="18" t="s">
        <v>121</v>
      </c>
      <c r="D1195" s="18" t="s">
        <v>56</v>
      </c>
      <c r="E1195" s="19">
        <v>44899</v>
      </c>
      <c r="F1195" s="18" t="s">
        <v>1217</v>
      </c>
      <c r="G1195" s="19">
        <v>44929</v>
      </c>
      <c r="H1195" s="19">
        <v>44978</v>
      </c>
      <c r="I1195" s="18" t="s">
        <v>16</v>
      </c>
      <c r="J1195" s="19" t="b">
        <v>1</v>
      </c>
      <c r="K1195" s="19" t="b">
        <v>0</v>
      </c>
      <c r="L1195" s="19" t="b">
        <v>0</v>
      </c>
      <c r="M1195" s="19" t="b">
        <v>0</v>
      </c>
      <c r="N1195" s="19" t="b">
        <v>1</v>
      </c>
      <c r="O1195" s="19" t="b">
        <v>0</v>
      </c>
      <c r="P1195" s="19" t="b">
        <v>0</v>
      </c>
    </row>
    <row r="1196" spans="1:16" x14ac:dyDescent="0.2">
      <c r="A1196" s="18">
        <v>7697794</v>
      </c>
      <c r="B1196" s="18" t="s">
        <v>3272</v>
      </c>
      <c r="C1196" s="18" t="s">
        <v>121</v>
      </c>
      <c r="D1196" s="18" t="s">
        <v>56</v>
      </c>
      <c r="E1196" s="19">
        <v>44636</v>
      </c>
      <c r="F1196" s="18" t="s">
        <v>969</v>
      </c>
      <c r="G1196" s="19">
        <v>44662</v>
      </c>
      <c r="H1196" s="19">
        <v>44699</v>
      </c>
      <c r="I1196" s="18" t="s">
        <v>16</v>
      </c>
      <c r="J1196" s="19" t="b">
        <v>1</v>
      </c>
      <c r="K1196" s="19" t="b">
        <v>0</v>
      </c>
      <c r="L1196" s="19" t="b">
        <v>0</v>
      </c>
      <c r="M1196" s="19" t="b">
        <v>0</v>
      </c>
      <c r="N1196" s="19" t="b">
        <v>1</v>
      </c>
      <c r="O1196" s="19" t="b">
        <v>0</v>
      </c>
      <c r="P1196" s="19" t="b">
        <v>0</v>
      </c>
    </row>
    <row r="1197" spans="1:16" x14ac:dyDescent="0.2">
      <c r="A1197" s="18">
        <v>7697794</v>
      </c>
      <c r="B1197" s="18" t="s">
        <v>3273</v>
      </c>
      <c r="C1197" s="18" t="s">
        <v>121</v>
      </c>
      <c r="D1197" s="18" t="s">
        <v>56</v>
      </c>
      <c r="E1197" s="19">
        <v>44988</v>
      </c>
      <c r="F1197" s="18" t="s">
        <v>3274</v>
      </c>
      <c r="G1197" s="19">
        <v>45008</v>
      </c>
      <c r="H1197" s="19">
        <v>45056</v>
      </c>
      <c r="I1197" s="18" t="s">
        <v>16</v>
      </c>
      <c r="J1197" s="19" t="b">
        <v>1</v>
      </c>
      <c r="K1197" s="19" t="b">
        <v>0</v>
      </c>
      <c r="L1197" s="19" t="b">
        <v>0</v>
      </c>
      <c r="M1197" s="19" t="b">
        <v>0</v>
      </c>
      <c r="N1197" s="19" t="b">
        <v>1</v>
      </c>
      <c r="O1197" s="19" t="b">
        <v>0</v>
      </c>
      <c r="P1197" s="19" t="b">
        <v>0</v>
      </c>
    </row>
    <row r="1198" spans="1:16" x14ac:dyDescent="0.2">
      <c r="A1198" s="18">
        <v>2352134</v>
      </c>
      <c r="B1198" s="18" t="s">
        <v>3275</v>
      </c>
      <c r="C1198" s="18" t="s">
        <v>131</v>
      </c>
      <c r="D1198" s="18" t="s">
        <v>139</v>
      </c>
      <c r="E1198" s="19">
        <v>44668</v>
      </c>
      <c r="F1198" s="18" t="s">
        <v>2112</v>
      </c>
      <c r="G1198" s="19">
        <v>44670</v>
      </c>
      <c r="H1198" s="19">
        <v>44702</v>
      </c>
      <c r="I1198" s="18" t="s">
        <v>28</v>
      </c>
      <c r="J1198" s="19" t="b">
        <v>1</v>
      </c>
      <c r="K1198" s="19" t="b">
        <v>0</v>
      </c>
      <c r="L1198" s="19" t="b">
        <v>0</v>
      </c>
      <c r="M1198" s="19" t="b">
        <v>0</v>
      </c>
      <c r="N1198" s="19" t="b">
        <v>0</v>
      </c>
      <c r="O1198" s="19" t="b">
        <v>0</v>
      </c>
      <c r="P1198" s="19" t="b">
        <v>1</v>
      </c>
    </row>
    <row r="1199" spans="1:16" x14ac:dyDescent="0.2">
      <c r="A1199" s="18">
        <v>2352134</v>
      </c>
      <c r="B1199" s="18" t="s">
        <v>3276</v>
      </c>
      <c r="C1199" s="18" t="s">
        <v>131</v>
      </c>
      <c r="D1199" s="18" t="s">
        <v>139</v>
      </c>
      <c r="E1199" s="19">
        <v>44872</v>
      </c>
      <c r="F1199" s="18" t="s">
        <v>3277</v>
      </c>
      <c r="G1199" s="19">
        <v>44898</v>
      </c>
      <c r="H1199" s="19">
        <v>44953</v>
      </c>
      <c r="I1199" s="18" t="s">
        <v>28</v>
      </c>
      <c r="J1199" s="19" t="b">
        <v>1</v>
      </c>
      <c r="K1199" s="19" t="b">
        <v>0</v>
      </c>
      <c r="L1199" s="19" t="b">
        <v>0</v>
      </c>
      <c r="M1199" s="19" t="b">
        <v>0</v>
      </c>
      <c r="N1199" s="19" t="b">
        <v>0</v>
      </c>
      <c r="O1199" s="19" t="b">
        <v>0</v>
      </c>
      <c r="P1199" s="19" t="b">
        <v>1</v>
      </c>
    </row>
    <row r="1200" spans="1:16" x14ac:dyDescent="0.2">
      <c r="A1200" s="18">
        <v>2352134</v>
      </c>
      <c r="B1200" s="18" t="s">
        <v>3278</v>
      </c>
      <c r="C1200" s="18" t="s">
        <v>131</v>
      </c>
      <c r="D1200" s="18" t="s">
        <v>139</v>
      </c>
      <c r="E1200" s="19">
        <v>44588</v>
      </c>
      <c r="F1200" s="18" t="s">
        <v>3279</v>
      </c>
      <c r="G1200" s="19">
        <v>44613</v>
      </c>
      <c r="H1200" s="19">
        <v>44664</v>
      </c>
      <c r="I1200" s="18" t="s">
        <v>43</v>
      </c>
      <c r="J1200" s="19" t="b">
        <v>1</v>
      </c>
      <c r="K1200" s="19" t="b">
        <v>0</v>
      </c>
      <c r="L1200" s="19" t="b">
        <v>0</v>
      </c>
      <c r="M1200" s="19" t="b">
        <v>0</v>
      </c>
      <c r="N1200" s="19" t="b">
        <v>0</v>
      </c>
      <c r="O1200" s="19" t="b">
        <v>1</v>
      </c>
      <c r="P1200" s="19" t="b">
        <v>0</v>
      </c>
    </row>
    <row r="1201" spans="1:16" x14ac:dyDescent="0.2">
      <c r="A1201" s="18">
        <v>2352134</v>
      </c>
      <c r="B1201" s="18" t="s">
        <v>3280</v>
      </c>
      <c r="C1201" s="18" t="s">
        <v>131</v>
      </c>
      <c r="D1201" s="18" t="s">
        <v>139</v>
      </c>
      <c r="E1201" s="19">
        <v>44580</v>
      </c>
      <c r="F1201" s="18" t="s">
        <v>3281</v>
      </c>
      <c r="G1201" s="19">
        <v>44598</v>
      </c>
      <c r="H1201" s="19">
        <v>44629</v>
      </c>
      <c r="I1201" s="18"/>
      <c r="J1201" s="19" t="b">
        <v>1</v>
      </c>
      <c r="K1201" s="19" t="b">
        <v>0</v>
      </c>
      <c r="L1201" s="19" t="b">
        <v>0</v>
      </c>
      <c r="M1201" s="19" t="b">
        <v>0</v>
      </c>
      <c r="N1201" s="19" t="b">
        <v>0</v>
      </c>
      <c r="O1201" s="19" t="b">
        <v>0</v>
      </c>
      <c r="P1201" s="19" t="b">
        <v>0</v>
      </c>
    </row>
    <row r="1202" spans="1:16" x14ac:dyDescent="0.2">
      <c r="A1202" s="18">
        <v>1874771</v>
      </c>
      <c r="B1202" s="18" t="s">
        <v>3282</v>
      </c>
      <c r="C1202" s="18" t="s">
        <v>59</v>
      </c>
      <c r="D1202" s="18" t="s">
        <v>60</v>
      </c>
      <c r="E1202" s="19">
        <v>44680</v>
      </c>
      <c r="F1202" s="18" t="s">
        <v>3283</v>
      </c>
      <c r="G1202" s="19">
        <v>44695</v>
      </c>
      <c r="H1202" s="19">
        <v>44703</v>
      </c>
      <c r="I1202" s="18"/>
      <c r="J1202" s="19" t="b">
        <v>1</v>
      </c>
      <c r="K1202" s="19" t="b">
        <v>0</v>
      </c>
      <c r="L1202" s="19" t="b">
        <v>0</v>
      </c>
      <c r="M1202" s="19" t="b">
        <v>0</v>
      </c>
      <c r="N1202" s="19" t="b">
        <v>0</v>
      </c>
      <c r="O1202" s="19" t="b">
        <v>0</v>
      </c>
      <c r="P1202" s="19" t="b">
        <v>0</v>
      </c>
    </row>
    <row r="1203" spans="1:16" x14ac:dyDescent="0.2">
      <c r="A1203" s="18">
        <v>1874771</v>
      </c>
      <c r="B1203" s="18" t="s">
        <v>3284</v>
      </c>
      <c r="C1203" s="18" t="s">
        <v>59</v>
      </c>
      <c r="D1203" s="18" t="s">
        <v>60</v>
      </c>
      <c r="E1203" s="19">
        <v>44913</v>
      </c>
      <c r="F1203" s="18" t="s">
        <v>3285</v>
      </c>
      <c r="G1203" s="19">
        <v>44927</v>
      </c>
      <c r="H1203" s="19">
        <v>44986</v>
      </c>
      <c r="I1203" s="18" t="s">
        <v>28</v>
      </c>
      <c r="J1203" s="19" t="b">
        <v>1</v>
      </c>
      <c r="K1203" s="19" t="b">
        <v>0</v>
      </c>
      <c r="L1203" s="19" t="b">
        <v>0</v>
      </c>
      <c r="M1203" s="19" t="b">
        <v>0</v>
      </c>
      <c r="N1203" s="19" t="b">
        <v>0</v>
      </c>
      <c r="O1203" s="19" t="b">
        <v>0</v>
      </c>
      <c r="P1203" s="19" t="b">
        <v>1</v>
      </c>
    </row>
    <row r="1204" spans="1:16" x14ac:dyDescent="0.2">
      <c r="A1204" s="18">
        <v>1971778</v>
      </c>
      <c r="B1204" s="18" t="s">
        <v>3286</v>
      </c>
      <c r="C1204" s="18" t="s">
        <v>93</v>
      </c>
      <c r="D1204" s="18" t="s">
        <v>19</v>
      </c>
      <c r="E1204" s="19">
        <v>44608</v>
      </c>
      <c r="F1204" s="18" t="s">
        <v>3287</v>
      </c>
      <c r="G1204" s="19">
        <v>44634</v>
      </c>
      <c r="H1204" s="19">
        <v>44635</v>
      </c>
      <c r="I1204" s="18" t="s">
        <v>43</v>
      </c>
      <c r="J1204" s="19" t="b">
        <v>1</v>
      </c>
      <c r="K1204" s="19" t="b">
        <v>0</v>
      </c>
      <c r="L1204" s="19" t="b">
        <v>0</v>
      </c>
      <c r="M1204" s="19" t="b">
        <v>0</v>
      </c>
      <c r="N1204" s="19" t="b">
        <v>0</v>
      </c>
      <c r="O1204" s="19" t="b">
        <v>1</v>
      </c>
      <c r="P1204" s="19" t="b">
        <v>0</v>
      </c>
    </row>
    <row r="1205" spans="1:16" x14ac:dyDescent="0.2">
      <c r="A1205" s="18">
        <v>3176277</v>
      </c>
      <c r="B1205" s="18" t="s">
        <v>3291</v>
      </c>
      <c r="C1205" s="18" t="s">
        <v>121</v>
      </c>
      <c r="D1205" s="18" t="s">
        <v>60</v>
      </c>
      <c r="E1205" s="19">
        <v>44772</v>
      </c>
      <c r="F1205" s="18" t="s">
        <v>1377</v>
      </c>
      <c r="G1205" s="19">
        <v>44788</v>
      </c>
      <c r="H1205" s="19">
        <v>44834</v>
      </c>
      <c r="I1205" s="18" t="s">
        <v>16</v>
      </c>
      <c r="J1205" s="19" t="b">
        <v>1</v>
      </c>
      <c r="K1205" s="19" t="b">
        <v>0</v>
      </c>
      <c r="L1205" s="19" t="b">
        <v>0</v>
      </c>
      <c r="M1205" s="19" t="b">
        <v>0</v>
      </c>
      <c r="N1205" s="19" t="b">
        <v>1</v>
      </c>
      <c r="O1205" s="19" t="b">
        <v>0</v>
      </c>
      <c r="P1205" s="19" t="b">
        <v>0</v>
      </c>
    </row>
    <row r="1206" spans="1:16" x14ac:dyDescent="0.2">
      <c r="A1206" s="18">
        <v>3176277</v>
      </c>
      <c r="B1206" s="18" t="s">
        <v>3292</v>
      </c>
      <c r="C1206" s="18" t="s">
        <v>121</v>
      </c>
      <c r="D1206" s="18" t="s">
        <v>60</v>
      </c>
      <c r="E1206" s="19">
        <v>44787</v>
      </c>
      <c r="F1206" s="18" t="s">
        <v>3293</v>
      </c>
      <c r="G1206" s="19">
        <v>44802</v>
      </c>
      <c r="H1206" s="19">
        <v>44848</v>
      </c>
      <c r="I1206" s="18" t="s">
        <v>28</v>
      </c>
      <c r="J1206" s="19" t="b">
        <v>1</v>
      </c>
      <c r="K1206" s="19" t="b">
        <v>0</v>
      </c>
      <c r="L1206" s="19" t="b">
        <v>0</v>
      </c>
      <c r="M1206" s="19" t="b">
        <v>0</v>
      </c>
      <c r="N1206" s="19" t="b">
        <v>0</v>
      </c>
      <c r="O1206" s="19" t="b">
        <v>0</v>
      </c>
      <c r="P1206" s="19" t="b">
        <v>1</v>
      </c>
    </row>
    <row r="1207" spans="1:16" x14ac:dyDescent="0.2">
      <c r="A1207" s="18">
        <v>3176277</v>
      </c>
      <c r="B1207" s="18" t="s">
        <v>3294</v>
      </c>
      <c r="C1207" s="18" t="s">
        <v>121</v>
      </c>
      <c r="D1207" s="18" t="s">
        <v>60</v>
      </c>
      <c r="E1207" s="19">
        <v>44861</v>
      </c>
      <c r="F1207" s="18" t="s">
        <v>155</v>
      </c>
      <c r="G1207" s="19">
        <v>44889</v>
      </c>
      <c r="H1207" s="19">
        <v>44931</v>
      </c>
      <c r="I1207" s="18" t="s">
        <v>28</v>
      </c>
      <c r="J1207" s="19" t="b">
        <v>1</v>
      </c>
      <c r="K1207" s="19" t="b">
        <v>0</v>
      </c>
      <c r="L1207" s="19" t="b">
        <v>0</v>
      </c>
      <c r="M1207" s="19" t="b">
        <v>0</v>
      </c>
      <c r="N1207" s="19" t="b">
        <v>0</v>
      </c>
      <c r="O1207" s="19" t="b">
        <v>0</v>
      </c>
      <c r="P1207" s="19" t="b">
        <v>1</v>
      </c>
    </row>
    <row r="1208" spans="1:16" x14ac:dyDescent="0.2">
      <c r="A1208" s="18">
        <v>9446412</v>
      </c>
      <c r="B1208" s="18" t="s">
        <v>3297</v>
      </c>
      <c r="C1208" s="18" t="s">
        <v>176</v>
      </c>
      <c r="D1208" s="18" t="s">
        <v>56</v>
      </c>
      <c r="E1208" s="19">
        <v>44770</v>
      </c>
      <c r="F1208" s="18" t="s">
        <v>3298</v>
      </c>
      <c r="G1208" s="19">
        <v>44800</v>
      </c>
      <c r="H1208" s="19">
        <v>44809</v>
      </c>
      <c r="I1208" s="18"/>
      <c r="J1208" s="19" t="b">
        <v>1</v>
      </c>
      <c r="K1208" s="19" t="b">
        <v>0</v>
      </c>
      <c r="L1208" s="19" t="b">
        <v>0</v>
      </c>
      <c r="M1208" s="19" t="b">
        <v>0</v>
      </c>
      <c r="N1208" s="19" t="b">
        <v>0</v>
      </c>
      <c r="O1208" s="19" t="b">
        <v>0</v>
      </c>
      <c r="P1208" s="19" t="b">
        <v>0</v>
      </c>
    </row>
    <row r="1209" spans="1:16" x14ac:dyDescent="0.2">
      <c r="A1209" s="18">
        <v>9446412</v>
      </c>
      <c r="B1209" s="18" t="s">
        <v>3299</v>
      </c>
      <c r="C1209" s="18" t="s">
        <v>176</v>
      </c>
      <c r="D1209" s="18" t="s">
        <v>56</v>
      </c>
      <c r="E1209" s="19">
        <v>44777</v>
      </c>
      <c r="F1209" s="18" t="s">
        <v>3300</v>
      </c>
      <c r="G1209" s="19">
        <v>44781</v>
      </c>
      <c r="H1209" s="19">
        <v>44805</v>
      </c>
      <c r="I1209" s="18" t="s">
        <v>43</v>
      </c>
      <c r="J1209" s="19" t="b">
        <v>1</v>
      </c>
      <c r="K1209" s="19" t="b">
        <v>0</v>
      </c>
      <c r="L1209" s="19" t="b">
        <v>0</v>
      </c>
      <c r="M1209" s="19" t="b">
        <v>0</v>
      </c>
      <c r="N1209" s="19" t="b">
        <v>0</v>
      </c>
      <c r="O1209" s="19" t="b">
        <v>1</v>
      </c>
      <c r="P1209" s="19" t="b">
        <v>0</v>
      </c>
    </row>
    <row r="1210" spans="1:16" x14ac:dyDescent="0.2">
      <c r="A1210" s="18">
        <v>9446412</v>
      </c>
      <c r="B1210" s="18" t="s">
        <v>3301</v>
      </c>
      <c r="C1210" s="18" t="s">
        <v>176</v>
      </c>
      <c r="D1210" s="18" t="s">
        <v>56</v>
      </c>
      <c r="E1210" s="19">
        <v>45012</v>
      </c>
      <c r="F1210" s="18" t="s">
        <v>3302</v>
      </c>
      <c r="G1210" s="19">
        <v>45033</v>
      </c>
      <c r="H1210" s="19">
        <v>45082</v>
      </c>
      <c r="I1210" s="18" t="s">
        <v>43</v>
      </c>
      <c r="J1210" s="19" t="b">
        <v>1</v>
      </c>
      <c r="K1210" s="19" t="b">
        <v>0</v>
      </c>
      <c r="L1210" s="19" t="b">
        <v>0</v>
      </c>
      <c r="M1210" s="19" t="b">
        <v>0</v>
      </c>
      <c r="N1210" s="19" t="b">
        <v>0</v>
      </c>
      <c r="O1210" s="19" t="b">
        <v>1</v>
      </c>
      <c r="P1210" s="19" t="b">
        <v>0</v>
      </c>
    </row>
    <row r="1211" spans="1:16" x14ac:dyDescent="0.2">
      <c r="A1211" s="18">
        <v>8612879</v>
      </c>
      <c r="B1211" s="18" t="s">
        <v>3303</v>
      </c>
      <c r="C1211" s="18" t="s">
        <v>176</v>
      </c>
      <c r="D1211" s="18" t="s">
        <v>56</v>
      </c>
      <c r="E1211" s="19">
        <v>44955</v>
      </c>
      <c r="F1211" s="18" t="s">
        <v>3304</v>
      </c>
      <c r="G1211" s="19">
        <v>44965</v>
      </c>
      <c r="H1211" s="19">
        <v>45018</v>
      </c>
      <c r="I1211" s="18" t="s">
        <v>28</v>
      </c>
      <c r="J1211" s="19" t="b">
        <v>1</v>
      </c>
      <c r="K1211" s="19" t="b">
        <v>0</v>
      </c>
      <c r="L1211" s="19" t="b">
        <v>0</v>
      </c>
      <c r="M1211" s="19" t="b">
        <v>0</v>
      </c>
      <c r="N1211" s="19" t="b">
        <v>0</v>
      </c>
      <c r="O1211" s="19" t="b">
        <v>0</v>
      </c>
      <c r="P1211" s="19" t="b">
        <v>1</v>
      </c>
    </row>
    <row r="1212" spans="1:16" x14ac:dyDescent="0.2">
      <c r="A1212" s="18">
        <v>8612879</v>
      </c>
      <c r="B1212" s="18" t="s">
        <v>3305</v>
      </c>
      <c r="C1212" s="18" t="s">
        <v>176</v>
      </c>
      <c r="D1212" s="18" t="s">
        <v>56</v>
      </c>
      <c r="E1212" s="19">
        <v>44955</v>
      </c>
      <c r="F1212" s="18" t="s">
        <v>3306</v>
      </c>
      <c r="G1212" s="19">
        <v>44971</v>
      </c>
      <c r="H1212" s="19">
        <v>44973</v>
      </c>
      <c r="I1212" s="18" t="s">
        <v>16</v>
      </c>
      <c r="J1212" s="19" t="b">
        <v>1</v>
      </c>
      <c r="K1212" s="19" t="b">
        <v>0</v>
      </c>
      <c r="L1212" s="19" t="b">
        <v>0</v>
      </c>
      <c r="M1212" s="19" t="b">
        <v>0</v>
      </c>
      <c r="N1212" s="19" t="b">
        <v>1</v>
      </c>
      <c r="O1212" s="19" t="b">
        <v>0</v>
      </c>
      <c r="P1212" s="19" t="b">
        <v>0</v>
      </c>
    </row>
    <row r="1213" spans="1:16" x14ac:dyDescent="0.2">
      <c r="A1213" s="18">
        <v>8612879</v>
      </c>
      <c r="B1213" s="18" t="s">
        <v>3307</v>
      </c>
      <c r="C1213" s="18" t="s">
        <v>176</v>
      </c>
      <c r="D1213" s="18" t="s">
        <v>56</v>
      </c>
      <c r="E1213" s="19">
        <v>44791</v>
      </c>
      <c r="F1213" s="18" t="s">
        <v>1256</v>
      </c>
      <c r="G1213" s="19">
        <v>44798</v>
      </c>
      <c r="H1213" s="19">
        <v>44823</v>
      </c>
      <c r="I1213" s="18"/>
      <c r="J1213" s="19" t="b">
        <v>1</v>
      </c>
      <c r="K1213" s="19" t="b">
        <v>0</v>
      </c>
      <c r="L1213" s="19" t="b">
        <v>0</v>
      </c>
      <c r="M1213" s="19" t="b">
        <v>0</v>
      </c>
      <c r="N1213" s="19" t="b">
        <v>0</v>
      </c>
      <c r="O1213" s="19" t="b">
        <v>0</v>
      </c>
      <c r="P1213" s="19" t="b">
        <v>0</v>
      </c>
    </row>
    <row r="1214" spans="1:16" x14ac:dyDescent="0.2">
      <c r="A1214" s="18">
        <v>6119535</v>
      </c>
      <c r="B1214" s="18" t="s">
        <v>3310</v>
      </c>
      <c r="C1214" s="18" t="s">
        <v>521</v>
      </c>
      <c r="D1214" s="18" t="s">
        <v>139</v>
      </c>
      <c r="E1214" s="19">
        <v>44830</v>
      </c>
      <c r="F1214" s="18" t="s">
        <v>3311</v>
      </c>
      <c r="G1214" s="19">
        <v>44856</v>
      </c>
      <c r="H1214" s="19">
        <v>44905</v>
      </c>
      <c r="I1214" s="18" t="s">
        <v>28</v>
      </c>
      <c r="J1214" s="19" t="b">
        <v>1</v>
      </c>
      <c r="K1214" s="19" t="b">
        <v>0</v>
      </c>
      <c r="L1214" s="19" t="b">
        <v>0</v>
      </c>
      <c r="M1214" s="19" t="b">
        <v>0</v>
      </c>
      <c r="N1214" s="19" t="b">
        <v>0</v>
      </c>
      <c r="O1214" s="19" t="b">
        <v>0</v>
      </c>
      <c r="P1214" s="19" t="b">
        <v>1</v>
      </c>
    </row>
    <row r="1215" spans="1:16" x14ac:dyDescent="0.2">
      <c r="A1215" s="18">
        <v>6119535</v>
      </c>
      <c r="B1215" s="18" t="s">
        <v>3312</v>
      </c>
      <c r="C1215" s="18" t="s">
        <v>521</v>
      </c>
      <c r="D1215" s="18" t="s">
        <v>139</v>
      </c>
      <c r="E1215" s="19">
        <v>45006</v>
      </c>
      <c r="F1215" s="18" t="s">
        <v>3313</v>
      </c>
      <c r="G1215" s="19">
        <v>45034</v>
      </c>
      <c r="H1215" s="19">
        <v>45062</v>
      </c>
      <c r="I1215" s="18" t="s">
        <v>16</v>
      </c>
      <c r="J1215" s="19" t="b">
        <v>1</v>
      </c>
      <c r="K1215" s="19" t="b">
        <v>0</v>
      </c>
      <c r="L1215" s="19" t="b">
        <v>0</v>
      </c>
      <c r="M1215" s="19" t="b">
        <v>0</v>
      </c>
      <c r="N1215" s="19" t="b">
        <v>1</v>
      </c>
      <c r="O1215" s="19" t="b">
        <v>0</v>
      </c>
      <c r="P1215" s="19" t="b">
        <v>0</v>
      </c>
    </row>
    <row r="1216" spans="1:16" x14ac:dyDescent="0.2">
      <c r="A1216" s="18">
        <v>6119535</v>
      </c>
      <c r="B1216" s="18" t="s">
        <v>3314</v>
      </c>
      <c r="C1216" s="18" t="s">
        <v>521</v>
      </c>
      <c r="D1216" s="18" t="s">
        <v>139</v>
      </c>
      <c r="E1216" s="19">
        <v>44959</v>
      </c>
      <c r="F1216" s="18" t="s">
        <v>3315</v>
      </c>
      <c r="G1216" s="19">
        <v>44983</v>
      </c>
      <c r="H1216" s="19">
        <v>45043</v>
      </c>
      <c r="I1216" s="18" t="s">
        <v>16</v>
      </c>
      <c r="J1216" s="19" t="b">
        <v>1</v>
      </c>
      <c r="K1216" s="19" t="b">
        <v>0</v>
      </c>
      <c r="L1216" s="19" t="b">
        <v>0</v>
      </c>
      <c r="M1216" s="19" t="b">
        <v>0</v>
      </c>
      <c r="N1216" s="19" t="b">
        <v>1</v>
      </c>
      <c r="O1216" s="19" t="b">
        <v>0</v>
      </c>
      <c r="P1216" s="19" t="b">
        <v>0</v>
      </c>
    </row>
    <row r="1217" spans="1:16" x14ac:dyDescent="0.2">
      <c r="A1217" s="18">
        <v>5822081</v>
      </c>
      <c r="B1217" s="18" t="s">
        <v>3316</v>
      </c>
      <c r="C1217" s="18" t="s">
        <v>90</v>
      </c>
      <c r="D1217" s="18" t="s">
        <v>139</v>
      </c>
      <c r="E1217" s="19">
        <v>45040</v>
      </c>
      <c r="F1217" s="18" t="s">
        <v>108</v>
      </c>
      <c r="G1217" s="19">
        <v>45064</v>
      </c>
      <c r="H1217" s="19">
        <v>45124</v>
      </c>
      <c r="I1217" s="18" t="s">
        <v>28</v>
      </c>
      <c r="J1217" s="19" t="b">
        <v>1</v>
      </c>
      <c r="K1217" s="19" t="b">
        <v>0</v>
      </c>
      <c r="L1217" s="19" t="b">
        <v>0</v>
      </c>
      <c r="M1217" s="19" t="b">
        <v>0</v>
      </c>
      <c r="N1217" s="19" t="b">
        <v>0</v>
      </c>
      <c r="O1217" s="19" t="b">
        <v>0</v>
      </c>
      <c r="P1217" s="19" t="b">
        <v>1</v>
      </c>
    </row>
    <row r="1218" spans="1:16" x14ac:dyDescent="0.2">
      <c r="A1218" s="18">
        <v>5822081</v>
      </c>
      <c r="B1218" s="18" t="s">
        <v>3319</v>
      </c>
      <c r="C1218" s="18" t="s">
        <v>90</v>
      </c>
      <c r="D1218" s="18" t="s">
        <v>139</v>
      </c>
      <c r="E1218" s="19">
        <v>44864</v>
      </c>
      <c r="F1218" s="18" t="s">
        <v>2947</v>
      </c>
      <c r="G1218" s="19">
        <v>44875</v>
      </c>
      <c r="H1218" s="19">
        <v>44912</v>
      </c>
      <c r="I1218" s="18" t="s">
        <v>28</v>
      </c>
      <c r="J1218" s="19" t="b">
        <v>1</v>
      </c>
      <c r="K1218" s="19" t="b">
        <v>0</v>
      </c>
      <c r="L1218" s="19" t="b">
        <v>0</v>
      </c>
      <c r="M1218" s="19" t="b">
        <v>0</v>
      </c>
      <c r="N1218" s="19" t="b">
        <v>0</v>
      </c>
      <c r="O1218" s="19" t="b">
        <v>0</v>
      </c>
      <c r="P1218" s="19" t="b">
        <v>1</v>
      </c>
    </row>
    <row r="1219" spans="1:16" x14ac:dyDescent="0.2">
      <c r="A1219" s="18">
        <v>5822081</v>
      </c>
      <c r="B1219" s="18" t="s">
        <v>3320</v>
      </c>
      <c r="C1219" s="18" t="s">
        <v>90</v>
      </c>
      <c r="D1219" s="18" t="s">
        <v>139</v>
      </c>
      <c r="E1219" s="19">
        <v>44818</v>
      </c>
      <c r="F1219" s="18" t="s">
        <v>2855</v>
      </c>
      <c r="G1219" s="19">
        <v>44844</v>
      </c>
      <c r="H1219" s="19">
        <v>44886</v>
      </c>
      <c r="I1219" s="18" t="s">
        <v>28</v>
      </c>
      <c r="J1219" s="19" t="b">
        <v>1</v>
      </c>
      <c r="K1219" s="19" t="b">
        <v>0</v>
      </c>
      <c r="L1219" s="19" t="b">
        <v>0</v>
      </c>
      <c r="M1219" s="19" t="b">
        <v>0</v>
      </c>
      <c r="N1219" s="19" t="b">
        <v>0</v>
      </c>
      <c r="O1219" s="19" t="b">
        <v>0</v>
      </c>
      <c r="P1219" s="19" t="b">
        <v>1</v>
      </c>
    </row>
    <row r="1220" spans="1:16" x14ac:dyDescent="0.2">
      <c r="A1220" s="18">
        <v>1207016</v>
      </c>
      <c r="B1220" s="18" t="s">
        <v>3321</v>
      </c>
      <c r="C1220" s="18" t="s">
        <v>176</v>
      </c>
      <c r="D1220" s="18" t="s">
        <v>11</v>
      </c>
      <c r="E1220" s="19">
        <v>45016</v>
      </c>
      <c r="F1220" s="18" t="s">
        <v>3322</v>
      </c>
      <c r="G1220" s="19">
        <v>45031</v>
      </c>
      <c r="H1220" s="19">
        <v>45033</v>
      </c>
      <c r="I1220" s="18" t="s">
        <v>28</v>
      </c>
      <c r="J1220" s="19" t="b">
        <v>1</v>
      </c>
      <c r="K1220" s="19" t="b">
        <v>0</v>
      </c>
      <c r="L1220" s="19" t="b">
        <v>0</v>
      </c>
      <c r="M1220" s="19" t="b">
        <v>0</v>
      </c>
      <c r="N1220" s="19" t="b">
        <v>0</v>
      </c>
      <c r="O1220" s="19" t="b">
        <v>0</v>
      </c>
      <c r="P1220" s="19" t="b">
        <v>1</v>
      </c>
    </row>
    <row r="1221" spans="1:16" x14ac:dyDescent="0.2">
      <c r="A1221" s="18">
        <v>1207016</v>
      </c>
      <c r="B1221" s="18" t="s">
        <v>3323</v>
      </c>
      <c r="C1221" s="18" t="s">
        <v>176</v>
      </c>
      <c r="D1221" s="18" t="s">
        <v>11</v>
      </c>
      <c r="E1221" s="19">
        <v>45053</v>
      </c>
      <c r="F1221" s="18" t="s">
        <v>3324</v>
      </c>
      <c r="G1221" s="19">
        <v>45074</v>
      </c>
      <c r="H1221" s="19">
        <v>45129</v>
      </c>
      <c r="I1221" s="18"/>
      <c r="J1221" s="19" t="b">
        <v>1</v>
      </c>
      <c r="K1221" s="19" t="b">
        <v>0</v>
      </c>
      <c r="L1221" s="19" t="b">
        <v>0</v>
      </c>
      <c r="M1221" s="19" t="b">
        <v>0</v>
      </c>
      <c r="N1221" s="19" t="b">
        <v>0</v>
      </c>
      <c r="O1221" s="19" t="b">
        <v>0</v>
      </c>
      <c r="P1221" s="19" t="b">
        <v>0</v>
      </c>
    </row>
    <row r="1222" spans="1:16" x14ac:dyDescent="0.2">
      <c r="A1222" s="18">
        <v>1207016</v>
      </c>
      <c r="B1222" s="18" t="s">
        <v>3325</v>
      </c>
      <c r="C1222" s="18" t="s">
        <v>176</v>
      </c>
      <c r="D1222" s="18" t="s">
        <v>11</v>
      </c>
      <c r="E1222" s="19">
        <v>44643</v>
      </c>
      <c r="F1222" s="18" t="s">
        <v>672</v>
      </c>
      <c r="G1222" s="19">
        <v>44652</v>
      </c>
      <c r="H1222" s="19">
        <v>44710</v>
      </c>
      <c r="I1222" s="18"/>
      <c r="J1222" s="19" t="b">
        <v>1</v>
      </c>
      <c r="K1222" s="19" t="b">
        <v>0</v>
      </c>
      <c r="L1222" s="19" t="b">
        <v>0</v>
      </c>
      <c r="M1222" s="19" t="b">
        <v>0</v>
      </c>
      <c r="N1222" s="19" t="b">
        <v>0</v>
      </c>
      <c r="O1222" s="19" t="b">
        <v>0</v>
      </c>
      <c r="P1222" s="19" t="b">
        <v>0</v>
      </c>
    </row>
    <row r="1223" spans="1:16" x14ac:dyDescent="0.2">
      <c r="A1223" s="18">
        <v>1207016</v>
      </c>
      <c r="B1223" s="18" t="s">
        <v>3326</v>
      </c>
      <c r="C1223" s="18" t="s">
        <v>176</v>
      </c>
      <c r="D1223" s="18" t="s">
        <v>11</v>
      </c>
      <c r="E1223" s="19">
        <v>44746</v>
      </c>
      <c r="F1223" s="18" t="s">
        <v>3327</v>
      </c>
      <c r="G1223" s="19">
        <v>44755</v>
      </c>
      <c r="H1223" s="19">
        <v>44805</v>
      </c>
      <c r="I1223" s="18" t="s">
        <v>28</v>
      </c>
      <c r="J1223" s="19" t="b">
        <v>1</v>
      </c>
      <c r="K1223" s="19" t="b">
        <v>0</v>
      </c>
      <c r="L1223" s="19" t="b">
        <v>0</v>
      </c>
      <c r="M1223" s="19" t="b">
        <v>0</v>
      </c>
      <c r="N1223" s="19" t="b">
        <v>0</v>
      </c>
      <c r="O1223" s="19" t="b">
        <v>0</v>
      </c>
      <c r="P1223" s="19" t="b">
        <v>1</v>
      </c>
    </row>
    <row r="1224" spans="1:16" x14ac:dyDescent="0.2">
      <c r="A1224" s="18">
        <v>1207016</v>
      </c>
      <c r="B1224" s="18" t="s">
        <v>3328</v>
      </c>
      <c r="C1224" s="18" t="s">
        <v>176</v>
      </c>
      <c r="D1224" s="18" t="s">
        <v>11</v>
      </c>
      <c r="E1224" s="19">
        <v>44692</v>
      </c>
      <c r="F1224" s="18" t="s">
        <v>3329</v>
      </c>
      <c r="G1224" s="19">
        <v>44700</v>
      </c>
      <c r="H1224" s="19">
        <v>44741</v>
      </c>
      <c r="I1224" s="18" t="s">
        <v>28</v>
      </c>
      <c r="J1224" s="19" t="b">
        <v>1</v>
      </c>
      <c r="K1224" s="19" t="b">
        <v>0</v>
      </c>
      <c r="L1224" s="19" t="b">
        <v>0</v>
      </c>
      <c r="M1224" s="19" t="b">
        <v>0</v>
      </c>
      <c r="N1224" s="19" t="b">
        <v>0</v>
      </c>
      <c r="O1224" s="19" t="b">
        <v>0</v>
      </c>
      <c r="P1224" s="19" t="b">
        <v>1</v>
      </c>
    </row>
    <row r="1225" spans="1:16" x14ac:dyDescent="0.2">
      <c r="A1225" s="18">
        <v>9501337</v>
      </c>
      <c r="B1225" s="18" t="s">
        <v>3333</v>
      </c>
      <c r="C1225" s="18" t="s">
        <v>90</v>
      </c>
      <c r="D1225" s="18" t="s">
        <v>77</v>
      </c>
      <c r="E1225" s="19">
        <v>44923</v>
      </c>
      <c r="F1225" s="18" t="s">
        <v>3334</v>
      </c>
      <c r="G1225" s="19">
        <v>44941</v>
      </c>
      <c r="H1225" s="19">
        <v>44987</v>
      </c>
      <c r="I1225" s="18" t="s">
        <v>28</v>
      </c>
      <c r="J1225" s="19" t="b">
        <v>1</v>
      </c>
      <c r="K1225" s="19" t="b">
        <v>0</v>
      </c>
      <c r="L1225" s="19" t="b">
        <v>0</v>
      </c>
      <c r="M1225" s="19" t="b">
        <v>0</v>
      </c>
      <c r="N1225" s="19" t="b">
        <v>0</v>
      </c>
      <c r="O1225" s="19" t="b">
        <v>0</v>
      </c>
      <c r="P1225" s="19" t="b">
        <v>1</v>
      </c>
    </row>
    <row r="1226" spans="1:16" x14ac:dyDescent="0.2">
      <c r="A1226" s="18">
        <v>9501337</v>
      </c>
      <c r="B1226" s="18" t="s">
        <v>3337</v>
      </c>
      <c r="C1226" s="18" t="s">
        <v>90</v>
      </c>
      <c r="D1226" s="18" t="s">
        <v>77</v>
      </c>
      <c r="E1226" s="19">
        <v>44804</v>
      </c>
      <c r="F1226" s="18" t="s">
        <v>3338</v>
      </c>
      <c r="G1226" s="19">
        <v>44811</v>
      </c>
      <c r="H1226" s="19">
        <v>44832</v>
      </c>
      <c r="I1226" s="18" t="s">
        <v>16</v>
      </c>
      <c r="J1226" s="19" t="b">
        <v>1</v>
      </c>
      <c r="K1226" s="19" t="b">
        <v>0</v>
      </c>
      <c r="L1226" s="19" t="b">
        <v>0</v>
      </c>
      <c r="M1226" s="19" t="b">
        <v>0</v>
      </c>
      <c r="N1226" s="19" t="b">
        <v>1</v>
      </c>
      <c r="O1226" s="19" t="b">
        <v>0</v>
      </c>
      <c r="P1226" s="19" t="b">
        <v>0</v>
      </c>
    </row>
    <row r="1227" spans="1:16" x14ac:dyDescent="0.2">
      <c r="A1227" s="18">
        <v>9501337</v>
      </c>
      <c r="B1227" s="18" t="s">
        <v>3339</v>
      </c>
      <c r="C1227" s="18" t="s">
        <v>90</v>
      </c>
      <c r="D1227" s="18" t="s">
        <v>77</v>
      </c>
      <c r="E1227" s="19">
        <v>44998</v>
      </c>
      <c r="F1227" s="18" t="s">
        <v>3340</v>
      </c>
      <c r="G1227" s="19">
        <v>45027</v>
      </c>
      <c r="H1227" s="19">
        <v>45046</v>
      </c>
      <c r="I1227" s="18"/>
      <c r="J1227" s="19" t="b">
        <v>1</v>
      </c>
      <c r="K1227" s="19" t="b">
        <v>0</v>
      </c>
      <c r="L1227" s="19" t="b">
        <v>0</v>
      </c>
      <c r="M1227" s="19" t="b">
        <v>0</v>
      </c>
      <c r="N1227" s="19" t="b">
        <v>0</v>
      </c>
      <c r="O1227" s="19" t="b">
        <v>0</v>
      </c>
      <c r="P1227" s="19" t="b">
        <v>0</v>
      </c>
    </row>
    <row r="1228" spans="1:16" x14ac:dyDescent="0.2">
      <c r="A1228" s="18">
        <v>3400475</v>
      </c>
      <c r="B1228" s="18" t="s">
        <v>3341</v>
      </c>
      <c r="C1228" s="18" t="s">
        <v>10</v>
      </c>
      <c r="D1228" s="18" t="s">
        <v>39</v>
      </c>
      <c r="E1228" s="19">
        <v>44945</v>
      </c>
      <c r="F1228" s="18" t="s">
        <v>2431</v>
      </c>
      <c r="G1228" s="19">
        <v>44961</v>
      </c>
      <c r="H1228" s="19">
        <v>44980</v>
      </c>
      <c r="I1228" s="18" t="s">
        <v>28</v>
      </c>
      <c r="J1228" s="19" t="b">
        <v>1</v>
      </c>
      <c r="K1228" s="19" t="b">
        <v>0</v>
      </c>
      <c r="L1228" s="19" t="b">
        <v>0</v>
      </c>
      <c r="M1228" s="19" t="b">
        <v>0</v>
      </c>
      <c r="N1228" s="19" t="b">
        <v>0</v>
      </c>
      <c r="O1228" s="19" t="b">
        <v>0</v>
      </c>
      <c r="P1228" s="19" t="b">
        <v>1</v>
      </c>
    </row>
    <row r="1229" spans="1:16" x14ac:dyDescent="0.2">
      <c r="A1229" s="18">
        <v>3400475</v>
      </c>
      <c r="B1229" s="18" t="s">
        <v>3342</v>
      </c>
      <c r="C1229" s="18" t="s">
        <v>10</v>
      </c>
      <c r="D1229" s="18" t="s">
        <v>39</v>
      </c>
      <c r="E1229" s="19">
        <v>44859</v>
      </c>
      <c r="F1229" s="18" t="s">
        <v>3343</v>
      </c>
      <c r="G1229" s="19">
        <v>44889</v>
      </c>
      <c r="H1229" s="19">
        <v>44899</v>
      </c>
      <c r="I1229" s="18" t="s">
        <v>43</v>
      </c>
      <c r="J1229" s="19" t="b">
        <v>1</v>
      </c>
      <c r="K1229" s="19" t="b">
        <v>0</v>
      </c>
      <c r="L1229" s="19" t="b">
        <v>0</v>
      </c>
      <c r="M1229" s="19" t="b">
        <v>0</v>
      </c>
      <c r="N1229" s="19" t="b">
        <v>0</v>
      </c>
      <c r="O1229" s="19" t="b">
        <v>1</v>
      </c>
      <c r="P1229" s="19" t="b">
        <v>0</v>
      </c>
    </row>
    <row r="1230" spans="1:16" x14ac:dyDescent="0.2">
      <c r="A1230" s="18">
        <v>3400475</v>
      </c>
      <c r="B1230" s="18" t="s">
        <v>3344</v>
      </c>
      <c r="C1230" s="18" t="s">
        <v>10</v>
      </c>
      <c r="D1230" s="18" t="s">
        <v>39</v>
      </c>
      <c r="E1230" s="19">
        <v>44778</v>
      </c>
      <c r="F1230" s="18" t="s">
        <v>2636</v>
      </c>
      <c r="G1230" s="19">
        <v>44804</v>
      </c>
      <c r="H1230" s="19">
        <v>44825</v>
      </c>
      <c r="I1230" s="18" t="s">
        <v>16</v>
      </c>
      <c r="J1230" s="19" t="b">
        <v>1</v>
      </c>
      <c r="K1230" s="19" t="b">
        <v>0</v>
      </c>
      <c r="L1230" s="19" t="b">
        <v>0</v>
      </c>
      <c r="M1230" s="19" t="b">
        <v>0</v>
      </c>
      <c r="N1230" s="19" t="b">
        <v>1</v>
      </c>
      <c r="O1230" s="19" t="b">
        <v>0</v>
      </c>
      <c r="P1230" s="19" t="b">
        <v>0</v>
      </c>
    </row>
    <row r="1231" spans="1:16" x14ac:dyDescent="0.2">
      <c r="A1231" s="18">
        <v>3400475</v>
      </c>
      <c r="B1231" s="18" t="s">
        <v>3345</v>
      </c>
      <c r="C1231" s="18" t="s">
        <v>10</v>
      </c>
      <c r="D1231" s="18" t="s">
        <v>39</v>
      </c>
      <c r="E1231" s="19">
        <v>44949</v>
      </c>
      <c r="F1231" s="18" t="s">
        <v>2657</v>
      </c>
      <c r="G1231" s="19">
        <v>44976</v>
      </c>
      <c r="H1231" s="19">
        <v>45014</v>
      </c>
      <c r="I1231" s="18" t="s">
        <v>28</v>
      </c>
      <c r="J1231" s="19" t="b">
        <v>1</v>
      </c>
      <c r="K1231" s="19" t="b">
        <v>0</v>
      </c>
      <c r="L1231" s="19" t="b">
        <v>0</v>
      </c>
      <c r="M1231" s="19" t="b">
        <v>0</v>
      </c>
      <c r="N1231" s="19" t="b">
        <v>0</v>
      </c>
      <c r="O1231" s="19" t="b">
        <v>0</v>
      </c>
      <c r="P1231" s="19" t="b">
        <v>1</v>
      </c>
    </row>
    <row r="1232" spans="1:16" x14ac:dyDescent="0.2">
      <c r="A1232" s="18">
        <v>2316088</v>
      </c>
      <c r="B1232" s="18" t="s">
        <v>3348</v>
      </c>
      <c r="C1232" s="18" t="s">
        <v>76</v>
      </c>
      <c r="D1232" s="18" t="s">
        <v>19</v>
      </c>
      <c r="E1232" s="19">
        <v>44686</v>
      </c>
      <c r="F1232" s="18" t="s">
        <v>3349</v>
      </c>
      <c r="G1232" s="19">
        <v>44714</v>
      </c>
      <c r="H1232" s="19">
        <v>44771</v>
      </c>
      <c r="I1232" s="18"/>
      <c r="J1232" s="19" t="b">
        <v>1</v>
      </c>
      <c r="K1232" s="19" t="b">
        <v>0</v>
      </c>
      <c r="L1232" s="19" t="b">
        <v>0</v>
      </c>
      <c r="M1232" s="19" t="b">
        <v>0</v>
      </c>
      <c r="N1232" s="19" t="b">
        <v>0</v>
      </c>
      <c r="O1232" s="19" t="b">
        <v>0</v>
      </c>
      <c r="P1232" s="19" t="b">
        <v>0</v>
      </c>
    </row>
    <row r="1233" spans="1:16" x14ac:dyDescent="0.2">
      <c r="A1233" s="18">
        <v>2316088</v>
      </c>
      <c r="B1233" s="18" t="s">
        <v>3350</v>
      </c>
      <c r="C1233" s="18" t="s">
        <v>76</v>
      </c>
      <c r="D1233" s="18" t="s">
        <v>19</v>
      </c>
      <c r="E1233" s="19">
        <v>45099</v>
      </c>
      <c r="F1233" s="18" t="s">
        <v>1423</v>
      </c>
      <c r="G1233" s="19">
        <v>45116</v>
      </c>
      <c r="H1233" s="19">
        <v>45145</v>
      </c>
      <c r="I1233" s="18" t="s">
        <v>16</v>
      </c>
      <c r="J1233" s="19" t="b">
        <v>1</v>
      </c>
      <c r="K1233" s="19" t="b">
        <v>0</v>
      </c>
      <c r="L1233" s="19" t="b">
        <v>0</v>
      </c>
      <c r="M1233" s="19" t="b">
        <v>0</v>
      </c>
      <c r="N1233" s="19" t="b">
        <v>1</v>
      </c>
      <c r="O1233" s="19" t="b">
        <v>0</v>
      </c>
      <c r="P1233" s="19" t="b">
        <v>0</v>
      </c>
    </row>
    <row r="1234" spans="1:16" x14ac:dyDescent="0.2">
      <c r="A1234" s="18">
        <v>2316088</v>
      </c>
      <c r="B1234" s="18" t="s">
        <v>3351</v>
      </c>
      <c r="C1234" s="18" t="s">
        <v>76</v>
      </c>
      <c r="D1234" s="18" t="s">
        <v>19</v>
      </c>
      <c r="E1234" s="19">
        <v>44862</v>
      </c>
      <c r="F1234" s="18" t="s">
        <v>3352</v>
      </c>
      <c r="G1234" s="19">
        <v>44892</v>
      </c>
      <c r="H1234" s="19">
        <v>44908</v>
      </c>
      <c r="I1234" s="18" t="s">
        <v>43</v>
      </c>
      <c r="J1234" s="19" t="b">
        <v>1</v>
      </c>
      <c r="K1234" s="19" t="b">
        <v>0</v>
      </c>
      <c r="L1234" s="19" t="b">
        <v>0</v>
      </c>
      <c r="M1234" s="19" t="b">
        <v>0</v>
      </c>
      <c r="N1234" s="19" t="b">
        <v>0</v>
      </c>
      <c r="O1234" s="19" t="b">
        <v>1</v>
      </c>
      <c r="P1234" s="19" t="b">
        <v>0</v>
      </c>
    </row>
    <row r="1235" spans="1:16" x14ac:dyDescent="0.2">
      <c r="A1235" s="18">
        <v>2316088</v>
      </c>
      <c r="B1235" s="18" t="s">
        <v>3353</v>
      </c>
      <c r="C1235" s="18" t="s">
        <v>76</v>
      </c>
      <c r="D1235" s="18" t="s">
        <v>19</v>
      </c>
      <c r="E1235" s="19">
        <v>44884</v>
      </c>
      <c r="F1235" s="18" t="s">
        <v>3354</v>
      </c>
      <c r="G1235" s="19">
        <v>44908</v>
      </c>
      <c r="H1235" s="19">
        <v>44916</v>
      </c>
      <c r="I1235" s="18" t="s">
        <v>28</v>
      </c>
      <c r="J1235" s="19" t="b">
        <v>1</v>
      </c>
      <c r="K1235" s="19" t="b">
        <v>0</v>
      </c>
      <c r="L1235" s="19" t="b">
        <v>0</v>
      </c>
      <c r="M1235" s="19" t="b">
        <v>0</v>
      </c>
      <c r="N1235" s="19" t="b">
        <v>0</v>
      </c>
      <c r="O1235" s="19" t="b">
        <v>0</v>
      </c>
      <c r="P1235" s="19" t="b">
        <v>1</v>
      </c>
    </row>
    <row r="1236" spans="1:16" x14ac:dyDescent="0.2">
      <c r="A1236" s="18">
        <v>2316088</v>
      </c>
      <c r="B1236" s="18" t="s">
        <v>3355</v>
      </c>
      <c r="C1236" s="18" t="s">
        <v>76</v>
      </c>
      <c r="D1236" s="18" t="s">
        <v>19</v>
      </c>
      <c r="E1236" s="19">
        <v>44981</v>
      </c>
      <c r="F1236" s="18" t="s">
        <v>989</v>
      </c>
      <c r="G1236" s="19">
        <v>44993</v>
      </c>
      <c r="H1236" s="19">
        <v>44999</v>
      </c>
      <c r="I1236" s="18"/>
      <c r="J1236" s="19" t="b">
        <v>1</v>
      </c>
      <c r="K1236" s="19" t="b">
        <v>0</v>
      </c>
      <c r="L1236" s="19" t="b">
        <v>0</v>
      </c>
      <c r="M1236" s="19" t="b">
        <v>0</v>
      </c>
      <c r="N1236" s="19" t="b">
        <v>0</v>
      </c>
      <c r="O1236" s="19" t="b">
        <v>0</v>
      </c>
      <c r="P1236" s="19" t="b">
        <v>0</v>
      </c>
    </row>
    <row r="1237" spans="1:16" x14ac:dyDescent="0.2">
      <c r="A1237" s="18">
        <v>6905321</v>
      </c>
      <c r="B1237" s="18" t="s">
        <v>3356</v>
      </c>
      <c r="C1237" s="18" t="s">
        <v>18</v>
      </c>
      <c r="D1237" s="18" t="s">
        <v>139</v>
      </c>
      <c r="E1237" s="19">
        <v>45021</v>
      </c>
      <c r="F1237" s="18" t="s">
        <v>1550</v>
      </c>
      <c r="G1237" s="19">
        <v>45047</v>
      </c>
      <c r="H1237" s="19">
        <v>45074</v>
      </c>
      <c r="I1237" s="18"/>
      <c r="J1237" s="19" t="b">
        <v>1</v>
      </c>
      <c r="K1237" s="19" t="b">
        <v>0</v>
      </c>
      <c r="L1237" s="19" t="b">
        <v>0</v>
      </c>
      <c r="M1237" s="19" t="b">
        <v>0</v>
      </c>
      <c r="N1237" s="19" t="b">
        <v>0</v>
      </c>
      <c r="O1237" s="19" t="b">
        <v>0</v>
      </c>
      <c r="P1237" s="19" t="b">
        <v>0</v>
      </c>
    </row>
    <row r="1238" spans="1:16" x14ac:dyDescent="0.2">
      <c r="A1238" s="18">
        <v>4854788</v>
      </c>
      <c r="B1238" s="18" t="s">
        <v>3361</v>
      </c>
      <c r="C1238" s="18" t="s">
        <v>32</v>
      </c>
      <c r="D1238" s="18" t="s">
        <v>187</v>
      </c>
      <c r="E1238" s="19">
        <v>44764</v>
      </c>
      <c r="F1238" s="18" t="s">
        <v>2772</v>
      </c>
      <c r="G1238" s="19">
        <v>44793</v>
      </c>
      <c r="H1238" s="19">
        <v>44805</v>
      </c>
      <c r="I1238" s="18" t="s">
        <v>43</v>
      </c>
      <c r="J1238" s="19" t="b">
        <v>1</v>
      </c>
      <c r="K1238" s="19" t="b">
        <v>0</v>
      </c>
      <c r="L1238" s="19" t="b">
        <v>0</v>
      </c>
      <c r="M1238" s="19" t="b">
        <v>0</v>
      </c>
      <c r="N1238" s="19" t="b">
        <v>0</v>
      </c>
      <c r="O1238" s="19" t="b">
        <v>1</v>
      </c>
      <c r="P1238" s="19" t="b">
        <v>0</v>
      </c>
    </row>
    <row r="1239" spans="1:16" x14ac:dyDescent="0.2">
      <c r="A1239" s="18">
        <v>4854788</v>
      </c>
      <c r="B1239" s="18" t="s">
        <v>3362</v>
      </c>
      <c r="C1239" s="18" t="s">
        <v>32</v>
      </c>
      <c r="D1239" s="18" t="s">
        <v>187</v>
      </c>
      <c r="E1239" s="19">
        <v>44990</v>
      </c>
      <c r="F1239" s="18" t="s">
        <v>3363</v>
      </c>
      <c r="G1239" s="19">
        <v>44999</v>
      </c>
      <c r="H1239" s="19">
        <v>45048</v>
      </c>
      <c r="I1239" s="18" t="s">
        <v>16</v>
      </c>
      <c r="J1239" s="19" t="b">
        <v>1</v>
      </c>
      <c r="K1239" s="19" t="b">
        <v>0</v>
      </c>
      <c r="L1239" s="19" t="b">
        <v>0</v>
      </c>
      <c r="M1239" s="19" t="b">
        <v>0</v>
      </c>
      <c r="N1239" s="19" t="b">
        <v>1</v>
      </c>
      <c r="O1239" s="19" t="b">
        <v>0</v>
      </c>
      <c r="P1239" s="19" t="b">
        <v>0</v>
      </c>
    </row>
    <row r="1240" spans="1:16" x14ac:dyDescent="0.2">
      <c r="A1240" s="18">
        <v>2694421</v>
      </c>
      <c r="B1240" s="18" t="s">
        <v>3368</v>
      </c>
      <c r="C1240" s="18" t="s">
        <v>71</v>
      </c>
      <c r="D1240" s="18" t="s">
        <v>56</v>
      </c>
      <c r="E1240" s="19">
        <v>44924</v>
      </c>
      <c r="F1240" s="18" t="s">
        <v>3006</v>
      </c>
      <c r="G1240" s="19">
        <v>44929</v>
      </c>
      <c r="H1240" s="19">
        <v>44955</v>
      </c>
      <c r="I1240" s="18"/>
      <c r="J1240" s="19" t="b">
        <v>1</v>
      </c>
      <c r="K1240" s="19" t="b">
        <v>0</v>
      </c>
      <c r="L1240" s="19" t="b">
        <v>0</v>
      </c>
      <c r="M1240" s="19" t="b">
        <v>0</v>
      </c>
      <c r="N1240" s="19" t="b">
        <v>0</v>
      </c>
      <c r="O1240" s="19" t="b">
        <v>0</v>
      </c>
      <c r="P1240" s="19" t="b">
        <v>0</v>
      </c>
    </row>
    <row r="1241" spans="1:16" x14ac:dyDescent="0.2">
      <c r="A1241" s="18">
        <v>2694421</v>
      </c>
      <c r="B1241" s="18" t="s">
        <v>3369</v>
      </c>
      <c r="C1241" s="18" t="s">
        <v>71</v>
      </c>
      <c r="D1241" s="18" t="s">
        <v>56</v>
      </c>
      <c r="E1241" s="19">
        <v>44683</v>
      </c>
      <c r="F1241" s="18" t="s">
        <v>3370</v>
      </c>
      <c r="G1241" s="19">
        <v>44694</v>
      </c>
      <c r="H1241" s="19">
        <v>44752</v>
      </c>
      <c r="I1241" s="18" t="s">
        <v>43</v>
      </c>
      <c r="J1241" s="19" t="b">
        <v>1</v>
      </c>
      <c r="K1241" s="19" t="b">
        <v>0</v>
      </c>
      <c r="L1241" s="19" t="b">
        <v>0</v>
      </c>
      <c r="M1241" s="19" t="b">
        <v>0</v>
      </c>
      <c r="N1241" s="19" t="b">
        <v>0</v>
      </c>
      <c r="O1241" s="19" t="b">
        <v>1</v>
      </c>
      <c r="P1241" s="19" t="b">
        <v>0</v>
      </c>
    </row>
    <row r="1242" spans="1:16" x14ac:dyDescent="0.2">
      <c r="A1242" s="18">
        <v>2808110</v>
      </c>
      <c r="B1242" s="18" t="s">
        <v>3371</v>
      </c>
      <c r="C1242" s="18" t="s">
        <v>138</v>
      </c>
      <c r="D1242" s="18" t="s">
        <v>56</v>
      </c>
      <c r="E1242" s="19">
        <v>44980</v>
      </c>
      <c r="F1242" s="18" t="s">
        <v>3372</v>
      </c>
      <c r="G1242" s="19">
        <v>45001</v>
      </c>
      <c r="H1242" s="19">
        <v>45030</v>
      </c>
      <c r="I1242" s="18" t="s">
        <v>28</v>
      </c>
      <c r="J1242" s="19" t="b">
        <v>1</v>
      </c>
      <c r="K1242" s="19" t="b">
        <v>0</v>
      </c>
      <c r="L1242" s="19" t="b">
        <v>0</v>
      </c>
      <c r="M1242" s="19" t="b">
        <v>0</v>
      </c>
      <c r="N1242" s="19" t="b">
        <v>0</v>
      </c>
      <c r="O1242" s="19" t="b">
        <v>0</v>
      </c>
      <c r="P1242" s="19" t="b">
        <v>1</v>
      </c>
    </row>
    <row r="1243" spans="1:16" x14ac:dyDescent="0.2">
      <c r="A1243" s="18">
        <v>8309667</v>
      </c>
      <c r="B1243" s="18" t="s">
        <v>3373</v>
      </c>
      <c r="C1243" s="18" t="s">
        <v>110</v>
      </c>
      <c r="D1243" s="18" t="s">
        <v>77</v>
      </c>
      <c r="E1243" s="19">
        <v>44569</v>
      </c>
      <c r="F1243" s="18" t="s">
        <v>3374</v>
      </c>
      <c r="G1243" s="19">
        <v>44588</v>
      </c>
      <c r="H1243" s="19">
        <v>44626</v>
      </c>
      <c r="I1243" s="18" t="s">
        <v>16</v>
      </c>
      <c r="J1243" s="19" t="b">
        <v>1</v>
      </c>
      <c r="K1243" s="19" t="b">
        <v>0</v>
      </c>
      <c r="L1243" s="19" t="b">
        <v>0</v>
      </c>
      <c r="M1243" s="19" t="b">
        <v>0</v>
      </c>
      <c r="N1243" s="19" t="b">
        <v>1</v>
      </c>
      <c r="O1243" s="19" t="b">
        <v>0</v>
      </c>
      <c r="P1243" s="19" t="b">
        <v>0</v>
      </c>
    </row>
    <row r="1244" spans="1:16" x14ac:dyDescent="0.2">
      <c r="A1244" s="18">
        <v>8309667</v>
      </c>
      <c r="B1244" s="18" t="s">
        <v>3375</v>
      </c>
      <c r="C1244" s="18" t="s">
        <v>110</v>
      </c>
      <c r="D1244" s="18" t="s">
        <v>77</v>
      </c>
      <c r="E1244" s="19">
        <v>45011</v>
      </c>
      <c r="F1244" s="18" t="s">
        <v>3376</v>
      </c>
      <c r="G1244" s="19">
        <v>45017</v>
      </c>
      <c r="H1244" s="19">
        <v>45050</v>
      </c>
      <c r="I1244" s="18"/>
      <c r="J1244" s="19" t="b">
        <v>1</v>
      </c>
      <c r="K1244" s="19" t="b">
        <v>0</v>
      </c>
      <c r="L1244" s="19" t="b">
        <v>0</v>
      </c>
      <c r="M1244" s="19" t="b">
        <v>0</v>
      </c>
      <c r="N1244" s="19" t="b">
        <v>0</v>
      </c>
      <c r="O1244" s="19" t="b">
        <v>0</v>
      </c>
      <c r="P1244" s="19" t="b">
        <v>0</v>
      </c>
    </row>
    <row r="1245" spans="1:16" x14ac:dyDescent="0.2">
      <c r="A1245" s="18">
        <v>5685869</v>
      </c>
      <c r="B1245" s="18" t="s">
        <v>3379</v>
      </c>
      <c r="C1245" s="18" t="s">
        <v>35</v>
      </c>
      <c r="D1245" s="18" t="s">
        <v>122</v>
      </c>
      <c r="E1245" s="19">
        <v>44955</v>
      </c>
      <c r="F1245" s="18" t="s">
        <v>1602</v>
      </c>
      <c r="G1245" s="19">
        <v>44966</v>
      </c>
      <c r="H1245" s="19">
        <v>45015</v>
      </c>
      <c r="I1245" s="18"/>
      <c r="J1245" s="19" t="b">
        <v>1</v>
      </c>
      <c r="K1245" s="19" t="b">
        <v>0</v>
      </c>
      <c r="L1245" s="19" t="b">
        <v>0</v>
      </c>
      <c r="M1245" s="19" t="b">
        <v>0</v>
      </c>
      <c r="N1245" s="19" t="b">
        <v>0</v>
      </c>
      <c r="O1245" s="19" t="b">
        <v>0</v>
      </c>
      <c r="P1245" s="19" t="b">
        <v>0</v>
      </c>
    </row>
    <row r="1246" spans="1:16" x14ac:dyDescent="0.2">
      <c r="A1246" s="18">
        <v>3993320</v>
      </c>
      <c r="B1246" s="18" t="s">
        <v>3380</v>
      </c>
      <c r="C1246" s="18" t="s">
        <v>71</v>
      </c>
      <c r="D1246" s="18" t="s">
        <v>56</v>
      </c>
      <c r="E1246" s="19">
        <v>44883</v>
      </c>
      <c r="F1246" s="18" t="s">
        <v>3381</v>
      </c>
      <c r="G1246" s="19">
        <v>44887</v>
      </c>
      <c r="H1246" s="19">
        <v>44910</v>
      </c>
      <c r="I1246" s="18" t="s">
        <v>28</v>
      </c>
      <c r="J1246" s="19" t="b">
        <v>1</v>
      </c>
      <c r="K1246" s="19" t="b">
        <v>0</v>
      </c>
      <c r="L1246" s="19" t="b">
        <v>0</v>
      </c>
      <c r="M1246" s="19" t="b">
        <v>0</v>
      </c>
      <c r="N1246" s="19" t="b">
        <v>0</v>
      </c>
      <c r="O1246" s="19" t="b">
        <v>0</v>
      </c>
      <c r="P1246" s="19" t="b">
        <v>1</v>
      </c>
    </row>
    <row r="1247" spans="1:16" x14ac:dyDescent="0.2">
      <c r="A1247" s="18">
        <v>8363801</v>
      </c>
      <c r="B1247" s="18" t="s">
        <v>3384</v>
      </c>
      <c r="C1247" s="18" t="s">
        <v>93</v>
      </c>
      <c r="D1247" s="18" t="s">
        <v>187</v>
      </c>
      <c r="E1247" s="19">
        <v>44670</v>
      </c>
      <c r="F1247" s="18" t="s">
        <v>3385</v>
      </c>
      <c r="G1247" s="19">
        <v>44700</v>
      </c>
      <c r="H1247" s="19">
        <v>44715</v>
      </c>
      <c r="I1247" s="18" t="s">
        <v>28</v>
      </c>
      <c r="J1247" s="19" t="b">
        <v>1</v>
      </c>
      <c r="K1247" s="19" t="b">
        <v>0</v>
      </c>
      <c r="L1247" s="19" t="b">
        <v>0</v>
      </c>
      <c r="M1247" s="19" t="b">
        <v>0</v>
      </c>
      <c r="N1247" s="19" t="b">
        <v>0</v>
      </c>
      <c r="O1247" s="19" t="b">
        <v>0</v>
      </c>
      <c r="P1247" s="19" t="b">
        <v>1</v>
      </c>
    </row>
    <row r="1248" spans="1:16" x14ac:dyDescent="0.2">
      <c r="A1248" s="18">
        <v>8363801</v>
      </c>
      <c r="B1248" s="18" t="s">
        <v>3386</v>
      </c>
      <c r="C1248" s="18" t="s">
        <v>93</v>
      </c>
      <c r="D1248" s="18" t="s">
        <v>187</v>
      </c>
      <c r="E1248" s="19">
        <v>45082</v>
      </c>
      <c r="F1248" s="18" t="s">
        <v>2699</v>
      </c>
      <c r="G1248" s="19">
        <v>45107</v>
      </c>
      <c r="H1248" s="19">
        <v>45118</v>
      </c>
      <c r="I1248" s="18" t="s">
        <v>43</v>
      </c>
      <c r="J1248" s="19" t="b">
        <v>1</v>
      </c>
      <c r="K1248" s="19" t="b">
        <v>0</v>
      </c>
      <c r="L1248" s="19" t="b">
        <v>0</v>
      </c>
      <c r="M1248" s="19" t="b">
        <v>0</v>
      </c>
      <c r="N1248" s="19" t="b">
        <v>0</v>
      </c>
      <c r="O1248" s="19" t="b">
        <v>1</v>
      </c>
      <c r="P1248" s="19" t="b">
        <v>0</v>
      </c>
    </row>
    <row r="1249" spans="1:16" x14ac:dyDescent="0.2">
      <c r="A1249" s="18">
        <v>9193420</v>
      </c>
      <c r="B1249" s="18" t="s">
        <v>3390</v>
      </c>
      <c r="C1249" s="18" t="s">
        <v>150</v>
      </c>
      <c r="D1249" s="18" t="s">
        <v>56</v>
      </c>
      <c r="E1249" s="19">
        <v>44864</v>
      </c>
      <c r="F1249" s="18" t="s">
        <v>1987</v>
      </c>
      <c r="G1249" s="19">
        <v>44894</v>
      </c>
      <c r="H1249" s="19">
        <v>44902</v>
      </c>
      <c r="I1249" s="18" t="s">
        <v>43</v>
      </c>
      <c r="J1249" s="19" t="b">
        <v>1</v>
      </c>
      <c r="K1249" s="19" t="b">
        <v>0</v>
      </c>
      <c r="L1249" s="19" t="b">
        <v>0</v>
      </c>
      <c r="M1249" s="19" t="b">
        <v>0</v>
      </c>
      <c r="N1249" s="19" t="b">
        <v>0</v>
      </c>
      <c r="O1249" s="19" t="b">
        <v>1</v>
      </c>
      <c r="P1249" s="19" t="b">
        <v>0</v>
      </c>
    </row>
    <row r="1250" spans="1:16" x14ac:dyDescent="0.2">
      <c r="A1250" s="18">
        <v>9193420</v>
      </c>
      <c r="B1250" s="18" t="s">
        <v>3391</v>
      </c>
      <c r="C1250" s="18" t="s">
        <v>150</v>
      </c>
      <c r="D1250" s="18" t="s">
        <v>56</v>
      </c>
      <c r="E1250" s="19">
        <v>45004</v>
      </c>
      <c r="F1250" s="18" t="s">
        <v>2289</v>
      </c>
      <c r="G1250" s="19">
        <v>45020</v>
      </c>
      <c r="H1250" s="19">
        <v>45037</v>
      </c>
      <c r="I1250" s="18" t="s">
        <v>16</v>
      </c>
      <c r="J1250" s="19" t="b">
        <v>1</v>
      </c>
      <c r="K1250" s="19" t="b">
        <v>0</v>
      </c>
      <c r="L1250" s="19" t="b">
        <v>0</v>
      </c>
      <c r="M1250" s="19" t="b">
        <v>0</v>
      </c>
      <c r="N1250" s="19" t="b">
        <v>1</v>
      </c>
      <c r="O1250" s="19" t="b">
        <v>0</v>
      </c>
      <c r="P1250" s="19" t="b">
        <v>0</v>
      </c>
    </row>
    <row r="1251" spans="1:16" x14ac:dyDescent="0.2">
      <c r="A1251" s="18">
        <v>2457333</v>
      </c>
      <c r="B1251" s="18" t="s">
        <v>3392</v>
      </c>
      <c r="C1251" s="18" t="s">
        <v>90</v>
      </c>
      <c r="D1251" s="18" t="s">
        <v>187</v>
      </c>
      <c r="E1251" s="19">
        <v>44642</v>
      </c>
      <c r="F1251" s="18" t="s">
        <v>3393</v>
      </c>
      <c r="G1251" s="19">
        <v>44666</v>
      </c>
      <c r="H1251" s="19">
        <v>44717</v>
      </c>
      <c r="I1251" s="18" t="s">
        <v>16</v>
      </c>
      <c r="J1251" s="19" t="b">
        <v>1</v>
      </c>
      <c r="K1251" s="19" t="b">
        <v>0</v>
      </c>
      <c r="L1251" s="19" t="b">
        <v>0</v>
      </c>
      <c r="M1251" s="19" t="b">
        <v>0</v>
      </c>
      <c r="N1251" s="19" t="b">
        <v>1</v>
      </c>
      <c r="O1251" s="19" t="b">
        <v>0</v>
      </c>
      <c r="P1251" s="19" t="b">
        <v>0</v>
      </c>
    </row>
    <row r="1252" spans="1:16" x14ac:dyDescent="0.2">
      <c r="A1252" s="18">
        <v>2457333</v>
      </c>
      <c r="B1252" s="18" t="s">
        <v>3396</v>
      </c>
      <c r="C1252" s="18" t="s">
        <v>90</v>
      </c>
      <c r="D1252" s="18" t="s">
        <v>187</v>
      </c>
      <c r="E1252" s="19">
        <v>45087</v>
      </c>
      <c r="F1252" s="18" t="s">
        <v>3397</v>
      </c>
      <c r="G1252" s="19">
        <v>45109</v>
      </c>
      <c r="H1252" s="19">
        <v>45159</v>
      </c>
      <c r="I1252" s="18"/>
      <c r="J1252" s="19" t="b">
        <v>1</v>
      </c>
      <c r="K1252" s="19" t="b">
        <v>0</v>
      </c>
      <c r="L1252" s="19" t="b">
        <v>0</v>
      </c>
      <c r="M1252" s="19" t="b">
        <v>0</v>
      </c>
      <c r="N1252" s="19" t="b">
        <v>0</v>
      </c>
      <c r="O1252" s="19" t="b">
        <v>0</v>
      </c>
      <c r="P1252" s="19" t="b">
        <v>0</v>
      </c>
    </row>
    <row r="1253" spans="1:16" x14ac:dyDescent="0.2">
      <c r="A1253" s="18">
        <v>2242998</v>
      </c>
      <c r="B1253" s="18" t="s">
        <v>3398</v>
      </c>
      <c r="C1253" s="18" t="s">
        <v>240</v>
      </c>
      <c r="D1253" s="18" t="s">
        <v>39</v>
      </c>
      <c r="E1253" s="19">
        <v>44598</v>
      </c>
      <c r="F1253" s="18" t="s">
        <v>3399</v>
      </c>
      <c r="G1253" s="19">
        <v>44619</v>
      </c>
      <c r="H1253" s="19">
        <v>44660</v>
      </c>
      <c r="I1253" s="18" t="s">
        <v>28</v>
      </c>
      <c r="J1253" s="19" t="b">
        <v>1</v>
      </c>
      <c r="K1253" s="19" t="b">
        <v>0</v>
      </c>
      <c r="L1253" s="19" t="b">
        <v>0</v>
      </c>
      <c r="M1253" s="19" t="b">
        <v>0</v>
      </c>
      <c r="N1253" s="19" t="b">
        <v>0</v>
      </c>
      <c r="O1253" s="19" t="b">
        <v>0</v>
      </c>
      <c r="P1253" s="19" t="b">
        <v>1</v>
      </c>
    </row>
    <row r="1254" spans="1:16" x14ac:dyDescent="0.2">
      <c r="A1254" s="18">
        <v>1133724</v>
      </c>
      <c r="B1254" s="18" t="s">
        <v>3402</v>
      </c>
      <c r="C1254" s="18" t="s">
        <v>93</v>
      </c>
      <c r="D1254" s="18" t="s">
        <v>187</v>
      </c>
      <c r="E1254" s="19">
        <v>45070</v>
      </c>
      <c r="F1254" s="18" t="s">
        <v>1039</v>
      </c>
      <c r="G1254" s="19">
        <v>45080</v>
      </c>
      <c r="H1254" s="19">
        <v>45089</v>
      </c>
      <c r="I1254" s="18"/>
      <c r="J1254" s="19" t="b">
        <v>1</v>
      </c>
      <c r="K1254" s="19" t="b">
        <v>0</v>
      </c>
      <c r="L1254" s="19" t="b">
        <v>0</v>
      </c>
      <c r="M1254" s="19" t="b">
        <v>0</v>
      </c>
      <c r="N1254" s="19" t="b">
        <v>0</v>
      </c>
      <c r="O1254" s="19" t="b">
        <v>0</v>
      </c>
      <c r="P1254" s="19" t="b">
        <v>0</v>
      </c>
    </row>
    <row r="1255" spans="1:16" x14ac:dyDescent="0.2">
      <c r="A1255" s="18">
        <v>1133724</v>
      </c>
      <c r="B1255" s="18" t="s">
        <v>3405</v>
      </c>
      <c r="C1255" s="18" t="s">
        <v>93</v>
      </c>
      <c r="D1255" s="18" t="s">
        <v>187</v>
      </c>
      <c r="E1255" s="19">
        <v>44630</v>
      </c>
      <c r="F1255" s="18" t="s">
        <v>3406</v>
      </c>
      <c r="G1255" s="19">
        <v>44646</v>
      </c>
      <c r="H1255" s="19">
        <v>44682</v>
      </c>
      <c r="I1255" s="18" t="s">
        <v>43</v>
      </c>
      <c r="J1255" s="19" t="b">
        <v>1</v>
      </c>
      <c r="K1255" s="19" t="b">
        <v>0</v>
      </c>
      <c r="L1255" s="19" t="b">
        <v>0</v>
      </c>
      <c r="M1255" s="19" t="b">
        <v>0</v>
      </c>
      <c r="N1255" s="19" t="b">
        <v>0</v>
      </c>
      <c r="O1255" s="19" t="b">
        <v>1</v>
      </c>
      <c r="P1255" s="19" t="b">
        <v>0</v>
      </c>
    </row>
    <row r="1256" spans="1:16" x14ac:dyDescent="0.2">
      <c r="A1256" s="18">
        <v>1133724</v>
      </c>
      <c r="B1256" s="18" t="s">
        <v>3407</v>
      </c>
      <c r="C1256" s="18" t="s">
        <v>93</v>
      </c>
      <c r="D1256" s="18" t="s">
        <v>187</v>
      </c>
      <c r="E1256" s="19">
        <v>44831</v>
      </c>
      <c r="F1256" s="18" t="s">
        <v>3408</v>
      </c>
      <c r="G1256" s="19">
        <v>44851</v>
      </c>
      <c r="H1256" s="19">
        <v>44876</v>
      </c>
      <c r="I1256" s="18" t="s">
        <v>43</v>
      </c>
      <c r="J1256" s="19" t="b">
        <v>1</v>
      </c>
      <c r="K1256" s="19" t="b">
        <v>0</v>
      </c>
      <c r="L1256" s="19" t="b">
        <v>0</v>
      </c>
      <c r="M1256" s="19" t="b">
        <v>0</v>
      </c>
      <c r="N1256" s="19" t="b">
        <v>0</v>
      </c>
      <c r="O1256" s="19" t="b">
        <v>1</v>
      </c>
      <c r="P1256" s="19" t="b">
        <v>0</v>
      </c>
    </row>
    <row r="1257" spans="1:16" x14ac:dyDescent="0.2">
      <c r="A1257" s="18">
        <v>4937877</v>
      </c>
      <c r="B1257" s="18" t="s">
        <v>3409</v>
      </c>
      <c r="C1257" s="18" t="s">
        <v>265</v>
      </c>
      <c r="D1257" s="18" t="s">
        <v>39</v>
      </c>
      <c r="E1257" s="19">
        <v>44799</v>
      </c>
      <c r="F1257" s="18" t="s">
        <v>3410</v>
      </c>
      <c r="G1257" s="19">
        <v>44828</v>
      </c>
      <c r="H1257" s="19">
        <v>44847</v>
      </c>
      <c r="I1257" s="18" t="s">
        <v>43</v>
      </c>
      <c r="J1257" s="19" t="b">
        <v>1</v>
      </c>
      <c r="K1257" s="19" t="b">
        <v>0</v>
      </c>
      <c r="L1257" s="19" t="b">
        <v>0</v>
      </c>
      <c r="M1257" s="19" t="b">
        <v>0</v>
      </c>
      <c r="N1257" s="19" t="b">
        <v>0</v>
      </c>
      <c r="O1257" s="19" t="b">
        <v>1</v>
      </c>
      <c r="P1257" s="19" t="b">
        <v>0</v>
      </c>
    </row>
    <row r="1258" spans="1:16" x14ac:dyDescent="0.2">
      <c r="A1258" s="18">
        <v>4937877</v>
      </c>
      <c r="B1258" s="18" t="s">
        <v>3411</v>
      </c>
      <c r="C1258" s="18" t="s">
        <v>265</v>
      </c>
      <c r="D1258" s="18" t="s">
        <v>39</v>
      </c>
      <c r="E1258" s="19">
        <v>44963</v>
      </c>
      <c r="F1258" s="18" t="s">
        <v>3412</v>
      </c>
      <c r="G1258" s="19">
        <v>44983</v>
      </c>
      <c r="H1258" s="19">
        <v>45006</v>
      </c>
      <c r="I1258" s="18"/>
      <c r="J1258" s="19" t="b">
        <v>1</v>
      </c>
      <c r="K1258" s="19" t="b">
        <v>0</v>
      </c>
      <c r="L1258" s="19" t="b">
        <v>0</v>
      </c>
      <c r="M1258" s="19" t="b">
        <v>0</v>
      </c>
      <c r="N1258" s="19" t="b">
        <v>0</v>
      </c>
      <c r="O1258" s="19" t="b">
        <v>0</v>
      </c>
      <c r="P1258" s="19" t="b">
        <v>0</v>
      </c>
    </row>
    <row r="1259" spans="1:16" x14ac:dyDescent="0.2">
      <c r="A1259" s="18">
        <v>4937877</v>
      </c>
      <c r="B1259" s="18" t="s">
        <v>3413</v>
      </c>
      <c r="C1259" s="18" t="s">
        <v>265</v>
      </c>
      <c r="D1259" s="18" t="s">
        <v>39</v>
      </c>
      <c r="E1259" s="19">
        <v>44677</v>
      </c>
      <c r="F1259" s="18" t="s">
        <v>3143</v>
      </c>
      <c r="G1259" s="19">
        <v>44706</v>
      </c>
      <c r="H1259" s="19">
        <v>44764</v>
      </c>
      <c r="I1259" s="18" t="s">
        <v>28</v>
      </c>
      <c r="J1259" s="19" t="b">
        <v>1</v>
      </c>
      <c r="K1259" s="19" t="b">
        <v>0</v>
      </c>
      <c r="L1259" s="19" t="b">
        <v>0</v>
      </c>
      <c r="M1259" s="19" t="b">
        <v>0</v>
      </c>
      <c r="N1259" s="19" t="b">
        <v>0</v>
      </c>
      <c r="O1259" s="19" t="b">
        <v>0</v>
      </c>
      <c r="P1259" s="19" t="b">
        <v>1</v>
      </c>
    </row>
    <row r="1260" spans="1:16" x14ac:dyDescent="0.2">
      <c r="A1260" s="18">
        <v>4937877</v>
      </c>
      <c r="B1260" s="18" t="s">
        <v>3414</v>
      </c>
      <c r="C1260" s="18" t="s">
        <v>265</v>
      </c>
      <c r="D1260" s="18" t="s">
        <v>39</v>
      </c>
      <c r="E1260" s="19">
        <v>44895</v>
      </c>
      <c r="F1260" s="18" t="s">
        <v>3415</v>
      </c>
      <c r="G1260" s="19">
        <v>44903</v>
      </c>
      <c r="H1260" s="19">
        <v>44946</v>
      </c>
      <c r="I1260" s="18" t="s">
        <v>28</v>
      </c>
      <c r="J1260" s="19" t="b">
        <v>1</v>
      </c>
      <c r="K1260" s="19" t="b">
        <v>0</v>
      </c>
      <c r="L1260" s="19" t="b">
        <v>0</v>
      </c>
      <c r="M1260" s="19" t="b">
        <v>0</v>
      </c>
      <c r="N1260" s="19" t="b">
        <v>0</v>
      </c>
      <c r="O1260" s="19" t="b">
        <v>0</v>
      </c>
      <c r="P1260" s="19" t="b">
        <v>1</v>
      </c>
    </row>
    <row r="1261" spans="1:16" x14ac:dyDescent="0.2">
      <c r="A1261" s="18">
        <v>8128056</v>
      </c>
      <c r="B1261" s="18" t="s">
        <v>3416</v>
      </c>
      <c r="C1261" s="18" t="s">
        <v>176</v>
      </c>
      <c r="D1261" s="18" t="s">
        <v>187</v>
      </c>
      <c r="E1261" s="19">
        <v>44969</v>
      </c>
      <c r="F1261" s="18" t="s">
        <v>270</v>
      </c>
      <c r="G1261" s="19">
        <v>44992</v>
      </c>
      <c r="H1261" s="19">
        <v>45001</v>
      </c>
      <c r="I1261" s="18" t="s">
        <v>16</v>
      </c>
      <c r="J1261" s="19" t="b">
        <v>1</v>
      </c>
      <c r="K1261" s="19" t="b">
        <v>0</v>
      </c>
      <c r="L1261" s="19" t="b">
        <v>0</v>
      </c>
      <c r="M1261" s="19" t="b">
        <v>0</v>
      </c>
      <c r="N1261" s="19" t="b">
        <v>1</v>
      </c>
      <c r="O1261" s="19" t="b">
        <v>0</v>
      </c>
      <c r="P1261" s="19" t="b">
        <v>0</v>
      </c>
    </row>
    <row r="1262" spans="1:16" x14ac:dyDescent="0.2">
      <c r="A1262" s="18">
        <v>8128056</v>
      </c>
      <c r="B1262" s="18" t="s">
        <v>3417</v>
      </c>
      <c r="C1262" s="18" t="s">
        <v>176</v>
      </c>
      <c r="D1262" s="18" t="s">
        <v>187</v>
      </c>
      <c r="E1262" s="19">
        <v>45062</v>
      </c>
      <c r="F1262" s="18" t="s">
        <v>1070</v>
      </c>
      <c r="G1262" s="19">
        <v>45082</v>
      </c>
      <c r="H1262" s="19">
        <v>45109</v>
      </c>
      <c r="I1262" s="18"/>
      <c r="J1262" s="19" t="b">
        <v>1</v>
      </c>
      <c r="K1262" s="19" t="b">
        <v>0</v>
      </c>
      <c r="L1262" s="19" t="b">
        <v>0</v>
      </c>
      <c r="M1262" s="19" t="b">
        <v>0</v>
      </c>
      <c r="N1262" s="19" t="b">
        <v>0</v>
      </c>
      <c r="O1262" s="19" t="b">
        <v>0</v>
      </c>
      <c r="P1262" s="19" t="b">
        <v>0</v>
      </c>
    </row>
    <row r="1263" spans="1:16" x14ac:dyDescent="0.2">
      <c r="A1263" s="18">
        <v>8128056</v>
      </c>
      <c r="B1263" s="18" t="s">
        <v>3418</v>
      </c>
      <c r="C1263" s="18" t="s">
        <v>176</v>
      </c>
      <c r="D1263" s="18" t="s">
        <v>187</v>
      </c>
      <c r="E1263" s="19">
        <v>45081</v>
      </c>
      <c r="F1263" s="18" t="s">
        <v>3419</v>
      </c>
      <c r="G1263" s="19">
        <v>45088</v>
      </c>
      <c r="H1263" s="19">
        <v>45145</v>
      </c>
      <c r="I1263" s="18" t="s">
        <v>16</v>
      </c>
      <c r="J1263" s="19" t="b">
        <v>1</v>
      </c>
      <c r="K1263" s="19" t="b">
        <v>0</v>
      </c>
      <c r="L1263" s="19" t="b">
        <v>0</v>
      </c>
      <c r="M1263" s="19" t="b">
        <v>0</v>
      </c>
      <c r="N1263" s="19" t="b">
        <v>1</v>
      </c>
      <c r="O1263" s="19" t="b">
        <v>0</v>
      </c>
      <c r="P1263" s="19" t="b">
        <v>0</v>
      </c>
    </row>
    <row r="1264" spans="1:16" x14ac:dyDescent="0.2">
      <c r="A1264" s="18">
        <v>8128056</v>
      </c>
      <c r="B1264" s="18" t="s">
        <v>3420</v>
      </c>
      <c r="C1264" s="18" t="s">
        <v>176</v>
      </c>
      <c r="D1264" s="18" t="s">
        <v>187</v>
      </c>
      <c r="E1264" s="19">
        <v>44892</v>
      </c>
      <c r="F1264" s="18" t="s">
        <v>3421</v>
      </c>
      <c r="G1264" s="19">
        <v>44901</v>
      </c>
      <c r="H1264" s="19">
        <v>44945</v>
      </c>
      <c r="I1264" s="18"/>
      <c r="J1264" s="19" t="b">
        <v>1</v>
      </c>
      <c r="K1264" s="19" t="b">
        <v>0</v>
      </c>
      <c r="L1264" s="19" t="b">
        <v>0</v>
      </c>
      <c r="M1264" s="19" t="b">
        <v>0</v>
      </c>
      <c r="N1264" s="19" t="b">
        <v>0</v>
      </c>
      <c r="O1264" s="19" t="b">
        <v>0</v>
      </c>
      <c r="P1264" s="19" t="b">
        <v>0</v>
      </c>
    </row>
    <row r="1265" spans="1:16" x14ac:dyDescent="0.2">
      <c r="A1265" s="18">
        <v>6328751</v>
      </c>
      <c r="B1265" s="18" t="s">
        <v>3422</v>
      </c>
      <c r="C1265" s="18" t="s">
        <v>315</v>
      </c>
      <c r="D1265" s="18" t="s">
        <v>60</v>
      </c>
      <c r="E1265" s="19">
        <v>44836</v>
      </c>
      <c r="F1265" s="18" t="s">
        <v>3423</v>
      </c>
      <c r="G1265" s="19">
        <v>44852</v>
      </c>
      <c r="H1265" s="19">
        <v>44899</v>
      </c>
      <c r="I1265" s="18" t="s">
        <v>28</v>
      </c>
      <c r="J1265" s="19" t="b">
        <v>1</v>
      </c>
      <c r="K1265" s="19" t="b">
        <v>0</v>
      </c>
      <c r="L1265" s="19" t="b">
        <v>0</v>
      </c>
      <c r="M1265" s="19" t="b">
        <v>0</v>
      </c>
      <c r="N1265" s="19" t="b">
        <v>0</v>
      </c>
      <c r="O1265" s="19" t="b">
        <v>0</v>
      </c>
      <c r="P1265" s="19" t="b">
        <v>1</v>
      </c>
    </row>
    <row r="1266" spans="1:16" x14ac:dyDescent="0.2">
      <c r="A1266" s="18">
        <v>6328751</v>
      </c>
      <c r="B1266" s="18" t="s">
        <v>3425</v>
      </c>
      <c r="C1266" s="18" t="s">
        <v>315</v>
      </c>
      <c r="D1266" s="18" t="s">
        <v>60</v>
      </c>
      <c r="E1266" s="19">
        <v>44732</v>
      </c>
      <c r="F1266" s="18" t="s">
        <v>3381</v>
      </c>
      <c r="G1266" s="19">
        <v>44750</v>
      </c>
      <c r="H1266" s="19">
        <v>44764</v>
      </c>
      <c r="I1266" s="18" t="s">
        <v>43</v>
      </c>
      <c r="J1266" s="19" t="b">
        <v>1</v>
      </c>
      <c r="K1266" s="19" t="b">
        <v>0</v>
      </c>
      <c r="L1266" s="19" t="b">
        <v>0</v>
      </c>
      <c r="M1266" s="19" t="b">
        <v>0</v>
      </c>
      <c r="N1266" s="19" t="b">
        <v>0</v>
      </c>
      <c r="O1266" s="19" t="b">
        <v>1</v>
      </c>
      <c r="P1266" s="19" t="b">
        <v>0</v>
      </c>
    </row>
    <row r="1267" spans="1:16" x14ac:dyDescent="0.2">
      <c r="A1267" s="18">
        <v>6328751</v>
      </c>
      <c r="B1267" s="18" t="s">
        <v>3426</v>
      </c>
      <c r="C1267" s="18" t="s">
        <v>315</v>
      </c>
      <c r="D1267" s="18" t="s">
        <v>60</v>
      </c>
      <c r="E1267" s="19">
        <v>44899</v>
      </c>
      <c r="F1267" s="18" t="s">
        <v>1662</v>
      </c>
      <c r="G1267" s="19">
        <v>44904</v>
      </c>
      <c r="H1267" s="19">
        <v>44943</v>
      </c>
      <c r="I1267" s="18" t="s">
        <v>16</v>
      </c>
      <c r="J1267" s="19" t="b">
        <v>1</v>
      </c>
      <c r="K1267" s="19" t="b">
        <v>0</v>
      </c>
      <c r="L1267" s="19" t="b">
        <v>0</v>
      </c>
      <c r="M1267" s="19" t="b">
        <v>0</v>
      </c>
      <c r="N1267" s="19" t="b">
        <v>1</v>
      </c>
      <c r="O1267" s="19" t="b">
        <v>0</v>
      </c>
      <c r="P1267" s="19" t="b">
        <v>0</v>
      </c>
    </row>
    <row r="1268" spans="1:16" x14ac:dyDescent="0.2">
      <c r="A1268" s="18">
        <v>1334200</v>
      </c>
      <c r="B1268" s="18" t="s">
        <v>3429</v>
      </c>
      <c r="C1268" s="18" t="s">
        <v>138</v>
      </c>
      <c r="D1268" s="18" t="s">
        <v>56</v>
      </c>
      <c r="E1268" s="19">
        <v>44626</v>
      </c>
      <c r="F1268" s="18" t="s">
        <v>3430</v>
      </c>
      <c r="G1268" s="19">
        <v>44647</v>
      </c>
      <c r="H1268" s="19">
        <v>44651</v>
      </c>
      <c r="I1268" s="18" t="s">
        <v>28</v>
      </c>
      <c r="J1268" s="19" t="b">
        <v>1</v>
      </c>
      <c r="K1268" s="19" t="b">
        <v>0</v>
      </c>
      <c r="L1268" s="19" t="b">
        <v>0</v>
      </c>
      <c r="M1268" s="19" t="b">
        <v>0</v>
      </c>
      <c r="N1268" s="19" t="b">
        <v>0</v>
      </c>
      <c r="O1268" s="19" t="b">
        <v>0</v>
      </c>
      <c r="P1268" s="19" t="b">
        <v>1</v>
      </c>
    </row>
    <row r="1269" spans="1:16" x14ac:dyDescent="0.2">
      <c r="A1269" s="18">
        <v>1334200</v>
      </c>
      <c r="B1269" s="18" t="s">
        <v>3431</v>
      </c>
      <c r="C1269" s="18" t="s">
        <v>138</v>
      </c>
      <c r="D1269" s="18" t="s">
        <v>56</v>
      </c>
      <c r="E1269" s="19">
        <v>44722</v>
      </c>
      <c r="F1269" s="18" t="s">
        <v>3432</v>
      </c>
      <c r="G1269" s="19">
        <v>44749</v>
      </c>
      <c r="H1269" s="19">
        <v>44784</v>
      </c>
      <c r="I1269" s="18" t="s">
        <v>28</v>
      </c>
      <c r="J1269" s="19" t="b">
        <v>1</v>
      </c>
      <c r="K1269" s="19" t="b">
        <v>0</v>
      </c>
      <c r="L1269" s="19" t="b">
        <v>0</v>
      </c>
      <c r="M1269" s="19" t="b">
        <v>0</v>
      </c>
      <c r="N1269" s="19" t="b">
        <v>0</v>
      </c>
      <c r="O1269" s="19" t="b">
        <v>0</v>
      </c>
      <c r="P1269" s="19" t="b">
        <v>1</v>
      </c>
    </row>
    <row r="1270" spans="1:16" x14ac:dyDescent="0.2">
      <c r="A1270" s="18">
        <v>1334200</v>
      </c>
      <c r="B1270" s="18" t="s">
        <v>3433</v>
      </c>
      <c r="C1270" s="18" t="s">
        <v>138</v>
      </c>
      <c r="D1270" s="18" t="s">
        <v>56</v>
      </c>
      <c r="E1270" s="19">
        <v>44727</v>
      </c>
      <c r="F1270" s="18" t="s">
        <v>3434</v>
      </c>
      <c r="G1270" s="19">
        <v>44757</v>
      </c>
      <c r="H1270" s="19">
        <v>44781</v>
      </c>
      <c r="I1270" s="18" t="s">
        <v>43</v>
      </c>
      <c r="J1270" s="19" t="b">
        <v>1</v>
      </c>
      <c r="K1270" s="19" t="b">
        <v>0</v>
      </c>
      <c r="L1270" s="19" t="b">
        <v>0</v>
      </c>
      <c r="M1270" s="19" t="b">
        <v>0</v>
      </c>
      <c r="N1270" s="19" t="b">
        <v>0</v>
      </c>
      <c r="O1270" s="19" t="b">
        <v>1</v>
      </c>
      <c r="P1270" s="19" t="b">
        <v>0</v>
      </c>
    </row>
    <row r="1271" spans="1:16" x14ac:dyDescent="0.2">
      <c r="A1271" s="18">
        <v>5172556</v>
      </c>
      <c r="B1271" s="18" t="s">
        <v>3435</v>
      </c>
      <c r="C1271" s="18" t="s">
        <v>10</v>
      </c>
      <c r="D1271" s="18" t="s">
        <v>56</v>
      </c>
      <c r="E1271" s="19">
        <v>45058</v>
      </c>
      <c r="F1271" s="18" t="s">
        <v>3436</v>
      </c>
      <c r="G1271" s="19">
        <v>45060</v>
      </c>
      <c r="H1271" s="19">
        <v>45071</v>
      </c>
      <c r="I1271" s="18" t="s">
        <v>16</v>
      </c>
      <c r="J1271" s="19" t="b">
        <v>1</v>
      </c>
      <c r="K1271" s="19" t="b">
        <v>0</v>
      </c>
      <c r="L1271" s="19" t="b">
        <v>0</v>
      </c>
      <c r="M1271" s="19" t="b">
        <v>0</v>
      </c>
      <c r="N1271" s="19" t="b">
        <v>1</v>
      </c>
      <c r="O1271" s="19" t="b">
        <v>0</v>
      </c>
      <c r="P1271" s="19" t="b">
        <v>0</v>
      </c>
    </row>
    <row r="1272" spans="1:16" x14ac:dyDescent="0.2">
      <c r="A1272" s="18">
        <v>5749457</v>
      </c>
      <c r="B1272" s="18" t="s">
        <v>3437</v>
      </c>
      <c r="C1272" s="18" t="s">
        <v>110</v>
      </c>
      <c r="D1272" s="18" t="s">
        <v>56</v>
      </c>
      <c r="E1272" s="19">
        <v>44688</v>
      </c>
      <c r="F1272" s="18" t="s">
        <v>3438</v>
      </c>
      <c r="G1272" s="19">
        <v>44715</v>
      </c>
      <c r="H1272" s="19">
        <v>44766</v>
      </c>
      <c r="I1272" s="18" t="s">
        <v>43</v>
      </c>
      <c r="J1272" s="19" t="b">
        <v>1</v>
      </c>
      <c r="K1272" s="19" t="b">
        <v>0</v>
      </c>
      <c r="L1272" s="19" t="b">
        <v>0</v>
      </c>
      <c r="M1272" s="19" t="b">
        <v>0</v>
      </c>
      <c r="N1272" s="19" t="b">
        <v>0</v>
      </c>
      <c r="O1272" s="19" t="b">
        <v>1</v>
      </c>
      <c r="P1272" s="19" t="b">
        <v>0</v>
      </c>
    </row>
    <row r="1273" spans="1:16" x14ac:dyDescent="0.2">
      <c r="A1273" s="18">
        <v>5749457</v>
      </c>
      <c r="B1273" s="18" t="s">
        <v>3439</v>
      </c>
      <c r="C1273" s="18" t="s">
        <v>110</v>
      </c>
      <c r="D1273" s="18" t="s">
        <v>56</v>
      </c>
      <c r="E1273" s="19">
        <v>44838</v>
      </c>
      <c r="F1273" s="18" t="s">
        <v>3440</v>
      </c>
      <c r="G1273" s="19">
        <v>44866</v>
      </c>
      <c r="H1273" s="19">
        <v>44872</v>
      </c>
      <c r="I1273" s="18"/>
      <c r="J1273" s="19" t="b">
        <v>1</v>
      </c>
      <c r="K1273" s="19" t="b">
        <v>0</v>
      </c>
      <c r="L1273" s="19" t="b">
        <v>0</v>
      </c>
      <c r="M1273" s="19" t="b">
        <v>0</v>
      </c>
      <c r="N1273" s="19" t="b">
        <v>0</v>
      </c>
      <c r="O1273" s="19" t="b">
        <v>0</v>
      </c>
      <c r="P1273" s="19" t="b">
        <v>0</v>
      </c>
    </row>
    <row r="1274" spans="1:16" x14ac:dyDescent="0.2">
      <c r="A1274" s="18">
        <v>2283911</v>
      </c>
      <c r="B1274" s="18" t="s">
        <v>3443</v>
      </c>
      <c r="C1274" s="18" t="s">
        <v>76</v>
      </c>
      <c r="D1274" s="18" t="s">
        <v>139</v>
      </c>
      <c r="E1274" s="19">
        <v>44962</v>
      </c>
      <c r="F1274" s="18" t="s">
        <v>3444</v>
      </c>
      <c r="G1274" s="19">
        <v>44969</v>
      </c>
      <c r="H1274" s="19">
        <v>45023</v>
      </c>
      <c r="I1274" s="18" t="s">
        <v>43</v>
      </c>
      <c r="J1274" s="19" t="b">
        <v>1</v>
      </c>
      <c r="K1274" s="19" t="b">
        <v>0</v>
      </c>
      <c r="L1274" s="19" t="b">
        <v>0</v>
      </c>
      <c r="M1274" s="19" t="b">
        <v>0</v>
      </c>
      <c r="N1274" s="19" t="b">
        <v>0</v>
      </c>
      <c r="O1274" s="19" t="b">
        <v>1</v>
      </c>
      <c r="P1274" s="19" t="b">
        <v>0</v>
      </c>
    </row>
    <row r="1275" spans="1:16" x14ac:dyDescent="0.2">
      <c r="A1275" s="18">
        <v>2283911</v>
      </c>
      <c r="B1275" s="18" t="s">
        <v>3445</v>
      </c>
      <c r="C1275" s="18" t="s">
        <v>76</v>
      </c>
      <c r="D1275" s="18" t="s">
        <v>139</v>
      </c>
      <c r="E1275" s="19">
        <v>44997</v>
      </c>
      <c r="F1275" s="18" t="s">
        <v>2227</v>
      </c>
      <c r="G1275" s="19">
        <v>45014</v>
      </c>
      <c r="H1275" s="19">
        <v>45062</v>
      </c>
      <c r="I1275" s="18" t="s">
        <v>28</v>
      </c>
      <c r="J1275" s="19" t="b">
        <v>1</v>
      </c>
      <c r="K1275" s="19" t="b">
        <v>0</v>
      </c>
      <c r="L1275" s="19" t="b">
        <v>0</v>
      </c>
      <c r="M1275" s="19" t="b">
        <v>0</v>
      </c>
      <c r="N1275" s="19" t="b">
        <v>0</v>
      </c>
      <c r="O1275" s="19" t="b">
        <v>0</v>
      </c>
      <c r="P1275" s="19" t="b">
        <v>1</v>
      </c>
    </row>
    <row r="1276" spans="1:16" x14ac:dyDescent="0.2">
      <c r="A1276" s="18">
        <v>5886173</v>
      </c>
      <c r="B1276" s="18" t="s">
        <v>3448</v>
      </c>
      <c r="C1276" s="18" t="s">
        <v>315</v>
      </c>
      <c r="D1276" s="18" t="s">
        <v>122</v>
      </c>
      <c r="E1276" s="19">
        <v>45080</v>
      </c>
      <c r="F1276" s="18" t="s">
        <v>3449</v>
      </c>
      <c r="G1276" s="19">
        <v>45088</v>
      </c>
      <c r="H1276" s="19">
        <v>45113</v>
      </c>
      <c r="I1276" s="18" t="s">
        <v>28</v>
      </c>
      <c r="J1276" s="19" t="b">
        <v>1</v>
      </c>
      <c r="K1276" s="19" t="b">
        <v>0</v>
      </c>
      <c r="L1276" s="19" t="b">
        <v>0</v>
      </c>
      <c r="M1276" s="19" t="b">
        <v>0</v>
      </c>
      <c r="N1276" s="19" t="b">
        <v>0</v>
      </c>
      <c r="O1276" s="19" t="b">
        <v>0</v>
      </c>
      <c r="P1276" s="19" t="b">
        <v>1</v>
      </c>
    </row>
    <row r="1277" spans="1:16" x14ac:dyDescent="0.2">
      <c r="A1277" s="18">
        <v>2817044</v>
      </c>
      <c r="B1277" s="18" t="s">
        <v>3452</v>
      </c>
      <c r="C1277" s="18" t="s">
        <v>287</v>
      </c>
      <c r="D1277" s="18" t="s">
        <v>19</v>
      </c>
      <c r="E1277" s="19">
        <v>45019</v>
      </c>
      <c r="F1277" s="18" t="s">
        <v>1439</v>
      </c>
      <c r="G1277" s="19">
        <v>45031</v>
      </c>
      <c r="H1277" s="19">
        <v>45062</v>
      </c>
      <c r="I1277" s="18"/>
      <c r="J1277" s="19" t="b">
        <v>1</v>
      </c>
      <c r="K1277" s="19" t="b">
        <v>0</v>
      </c>
      <c r="L1277" s="19" t="b">
        <v>0</v>
      </c>
      <c r="M1277" s="19" t="b">
        <v>0</v>
      </c>
      <c r="N1277" s="19" t="b">
        <v>0</v>
      </c>
      <c r="O1277" s="19" t="b">
        <v>0</v>
      </c>
      <c r="P1277" s="19" t="b">
        <v>0</v>
      </c>
    </row>
    <row r="1278" spans="1:16" x14ac:dyDescent="0.2">
      <c r="A1278" s="18">
        <v>2817044</v>
      </c>
      <c r="B1278" s="18" t="s">
        <v>3453</v>
      </c>
      <c r="C1278" s="18" t="s">
        <v>287</v>
      </c>
      <c r="D1278" s="18" t="s">
        <v>19</v>
      </c>
      <c r="E1278" s="19">
        <v>44647</v>
      </c>
      <c r="F1278" s="18" t="s">
        <v>3454</v>
      </c>
      <c r="G1278" s="19">
        <v>44651</v>
      </c>
      <c r="H1278" s="19">
        <v>44687</v>
      </c>
      <c r="I1278" s="18" t="s">
        <v>28</v>
      </c>
      <c r="J1278" s="19" t="b">
        <v>1</v>
      </c>
      <c r="K1278" s="19" t="b">
        <v>0</v>
      </c>
      <c r="L1278" s="19" t="b">
        <v>0</v>
      </c>
      <c r="M1278" s="19" t="b">
        <v>0</v>
      </c>
      <c r="N1278" s="19" t="b">
        <v>0</v>
      </c>
      <c r="O1278" s="19" t="b">
        <v>0</v>
      </c>
      <c r="P1278" s="19" t="b">
        <v>1</v>
      </c>
    </row>
    <row r="1279" spans="1:16" x14ac:dyDescent="0.2">
      <c r="A1279" s="18">
        <v>2817044</v>
      </c>
      <c r="B1279" s="18" t="s">
        <v>3458</v>
      </c>
      <c r="C1279" s="18" t="s">
        <v>287</v>
      </c>
      <c r="D1279" s="18" t="s">
        <v>19</v>
      </c>
      <c r="E1279" s="19">
        <v>45067</v>
      </c>
      <c r="F1279" s="18" t="s">
        <v>3459</v>
      </c>
      <c r="G1279" s="19">
        <v>45076</v>
      </c>
      <c r="H1279" s="19">
        <v>45103</v>
      </c>
      <c r="I1279" s="18" t="s">
        <v>43</v>
      </c>
      <c r="J1279" s="19" t="b">
        <v>1</v>
      </c>
      <c r="K1279" s="19" t="b">
        <v>0</v>
      </c>
      <c r="L1279" s="19" t="b">
        <v>0</v>
      </c>
      <c r="M1279" s="19" t="b">
        <v>0</v>
      </c>
      <c r="N1279" s="19" t="b">
        <v>0</v>
      </c>
      <c r="O1279" s="19" t="b">
        <v>1</v>
      </c>
      <c r="P1279" s="19" t="b">
        <v>0</v>
      </c>
    </row>
    <row r="1280" spans="1:16" x14ac:dyDescent="0.2">
      <c r="A1280" s="18">
        <v>6225347</v>
      </c>
      <c r="B1280" s="18" t="s">
        <v>3462</v>
      </c>
      <c r="C1280" s="18" t="s">
        <v>138</v>
      </c>
      <c r="D1280" s="18" t="s">
        <v>39</v>
      </c>
      <c r="E1280" s="19">
        <v>44836</v>
      </c>
      <c r="F1280" s="18" t="s">
        <v>3463</v>
      </c>
      <c r="G1280" s="19">
        <v>44859</v>
      </c>
      <c r="H1280" s="19">
        <v>44873</v>
      </c>
      <c r="I1280" s="18"/>
      <c r="J1280" s="19" t="b">
        <v>1</v>
      </c>
      <c r="K1280" s="19" t="b">
        <v>0</v>
      </c>
      <c r="L1280" s="19" t="b">
        <v>0</v>
      </c>
      <c r="M1280" s="19" t="b">
        <v>0</v>
      </c>
      <c r="N1280" s="19" t="b">
        <v>0</v>
      </c>
      <c r="O1280" s="19" t="b">
        <v>0</v>
      </c>
      <c r="P1280" s="19" t="b">
        <v>0</v>
      </c>
    </row>
    <row r="1281" spans="1:16" x14ac:dyDescent="0.2">
      <c r="A1281" s="18">
        <v>9385512</v>
      </c>
      <c r="B1281" s="18" t="s">
        <v>3464</v>
      </c>
      <c r="C1281" s="18" t="s">
        <v>720</v>
      </c>
      <c r="D1281" s="18" t="s">
        <v>19</v>
      </c>
      <c r="E1281" s="19">
        <v>44645</v>
      </c>
      <c r="F1281" s="18" t="s">
        <v>3465</v>
      </c>
      <c r="G1281" s="19">
        <v>44675</v>
      </c>
      <c r="H1281" s="19">
        <v>44682</v>
      </c>
      <c r="I1281" s="18"/>
      <c r="J1281" s="19" t="b">
        <v>1</v>
      </c>
      <c r="K1281" s="19" t="b">
        <v>0</v>
      </c>
      <c r="L1281" s="19" t="b">
        <v>0</v>
      </c>
      <c r="M1281" s="19" t="b">
        <v>0</v>
      </c>
      <c r="N1281" s="19" t="b">
        <v>0</v>
      </c>
      <c r="O1281" s="19" t="b">
        <v>0</v>
      </c>
      <c r="P1281" s="19" t="b">
        <v>0</v>
      </c>
    </row>
    <row r="1282" spans="1:16" x14ac:dyDescent="0.2">
      <c r="A1282" s="18">
        <v>9385512</v>
      </c>
      <c r="B1282" s="18" t="s">
        <v>3466</v>
      </c>
      <c r="C1282" s="18" t="s">
        <v>720</v>
      </c>
      <c r="D1282" s="18" t="s">
        <v>19</v>
      </c>
      <c r="E1282" s="19">
        <v>44575</v>
      </c>
      <c r="F1282" s="18" t="s">
        <v>3467</v>
      </c>
      <c r="G1282" s="19">
        <v>44581</v>
      </c>
      <c r="H1282" s="19">
        <v>44615</v>
      </c>
      <c r="I1282" s="18" t="s">
        <v>16</v>
      </c>
      <c r="J1282" s="19" t="b">
        <v>1</v>
      </c>
      <c r="K1282" s="19" t="b">
        <v>0</v>
      </c>
      <c r="L1282" s="19" t="b">
        <v>0</v>
      </c>
      <c r="M1282" s="19" t="b">
        <v>0</v>
      </c>
      <c r="N1282" s="19" t="b">
        <v>1</v>
      </c>
      <c r="O1282" s="19" t="b">
        <v>0</v>
      </c>
      <c r="P1282" s="19" t="b">
        <v>0</v>
      </c>
    </row>
    <row r="1283" spans="1:16" x14ac:dyDescent="0.2">
      <c r="A1283" s="18">
        <v>9385512</v>
      </c>
      <c r="B1283" s="18" t="s">
        <v>3468</v>
      </c>
      <c r="C1283" s="18" t="s">
        <v>720</v>
      </c>
      <c r="D1283" s="18" t="s">
        <v>19</v>
      </c>
      <c r="E1283" s="19">
        <v>44678</v>
      </c>
      <c r="F1283" s="18" t="s">
        <v>1147</v>
      </c>
      <c r="G1283" s="19">
        <v>44680</v>
      </c>
      <c r="H1283" s="19">
        <v>44737</v>
      </c>
      <c r="I1283" s="18" t="s">
        <v>43</v>
      </c>
      <c r="J1283" s="19" t="b">
        <v>1</v>
      </c>
      <c r="K1283" s="19" t="b">
        <v>0</v>
      </c>
      <c r="L1283" s="19" t="b">
        <v>0</v>
      </c>
      <c r="M1283" s="19" t="b">
        <v>0</v>
      </c>
      <c r="N1283" s="19" t="b">
        <v>0</v>
      </c>
      <c r="O1283" s="19" t="b">
        <v>1</v>
      </c>
      <c r="P1283" s="19" t="b">
        <v>0</v>
      </c>
    </row>
    <row r="1284" spans="1:16" x14ac:dyDescent="0.2">
      <c r="A1284" s="18">
        <v>8116596</v>
      </c>
      <c r="B1284" s="18" t="s">
        <v>3469</v>
      </c>
      <c r="C1284" s="18" t="s">
        <v>363</v>
      </c>
      <c r="D1284" s="18" t="s">
        <v>187</v>
      </c>
      <c r="E1284" s="19">
        <v>44865</v>
      </c>
      <c r="F1284" s="18" t="s">
        <v>2813</v>
      </c>
      <c r="G1284" s="19">
        <v>44869</v>
      </c>
      <c r="H1284" s="19">
        <v>44897</v>
      </c>
      <c r="I1284" s="18"/>
      <c r="J1284" s="19" t="b">
        <v>1</v>
      </c>
      <c r="K1284" s="19" t="b">
        <v>0</v>
      </c>
      <c r="L1284" s="19" t="b">
        <v>0</v>
      </c>
      <c r="M1284" s="19" t="b">
        <v>0</v>
      </c>
      <c r="N1284" s="19" t="b">
        <v>0</v>
      </c>
      <c r="O1284" s="19" t="b">
        <v>0</v>
      </c>
      <c r="P1284" s="19" t="b">
        <v>0</v>
      </c>
    </row>
    <row r="1285" spans="1:16" x14ac:dyDescent="0.2">
      <c r="A1285" s="18">
        <v>8116596</v>
      </c>
      <c r="B1285" s="18" t="s">
        <v>3470</v>
      </c>
      <c r="C1285" s="18" t="s">
        <v>363</v>
      </c>
      <c r="D1285" s="18" t="s">
        <v>187</v>
      </c>
      <c r="E1285" s="19">
        <v>44942</v>
      </c>
      <c r="F1285" s="18" t="s">
        <v>2261</v>
      </c>
      <c r="G1285" s="19">
        <v>44961</v>
      </c>
      <c r="H1285" s="19">
        <v>45003</v>
      </c>
      <c r="I1285" s="18" t="s">
        <v>28</v>
      </c>
      <c r="J1285" s="19" t="b">
        <v>1</v>
      </c>
      <c r="K1285" s="19" t="b">
        <v>0</v>
      </c>
      <c r="L1285" s="19" t="b">
        <v>0</v>
      </c>
      <c r="M1285" s="19" t="b">
        <v>0</v>
      </c>
      <c r="N1285" s="19" t="b">
        <v>0</v>
      </c>
      <c r="O1285" s="19" t="b">
        <v>0</v>
      </c>
      <c r="P1285" s="19" t="b">
        <v>1</v>
      </c>
    </row>
    <row r="1286" spans="1:16" x14ac:dyDescent="0.2">
      <c r="A1286" s="18">
        <v>8116596</v>
      </c>
      <c r="B1286" s="18" t="s">
        <v>3473</v>
      </c>
      <c r="C1286" s="18" t="s">
        <v>363</v>
      </c>
      <c r="D1286" s="18" t="s">
        <v>187</v>
      </c>
      <c r="E1286" s="19">
        <v>44819</v>
      </c>
      <c r="F1286" s="18" t="s">
        <v>3474</v>
      </c>
      <c r="G1286" s="19">
        <v>44835</v>
      </c>
      <c r="H1286" s="19">
        <v>44865</v>
      </c>
      <c r="I1286" s="18" t="s">
        <v>28</v>
      </c>
      <c r="J1286" s="19" t="b">
        <v>1</v>
      </c>
      <c r="K1286" s="19" t="b">
        <v>0</v>
      </c>
      <c r="L1286" s="19" t="b">
        <v>0</v>
      </c>
      <c r="M1286" s="19" t="b">
        <v>0</v>
      </c>
      <c r="N1286" s="19" t="b">
        <v>0</v>
      </c>
      <c r="O1286" s="19" t="b">
        <v>0</v>
      </c>
      <c r="P1286" s="19" t="b">
        <v>1</v>
      </c>
    </row>
    <row r="1287" spans="1:16" x14ac:dyDescent="0.2">
      <c r="A1287" s="18">
        <v>1093993</v>
      </c>
      <c r="B1287" s="18" t="s">
        <v>3479</v>
      </c>
      <c r="C1287" s="18" t="s">
        <v>110</v>
      </c>
      <c r="D1287" s="18" t="s">
        <v>19</v>
      </c>
      <c r="E1287" s="19">
        <v>44624</v>
      </c>
      <c r="F1287" s="18" t="s">
        <v>3480</v>
      </c>
      <c r="G1287" s="19">
        <v>44644</v>
      </c>
      <c r="H1287" s="19">
        <v>44674</v>
      </c>
      <c r="I1287" s="18"/>
      <c r="J1287" s="19" t="b">
        <v>1</v>
      </c>
      <c r="K1287" s="19" t="b">
        <v>0</v>
      </c>
      <c r="L1287" s="19" t="b">
        <v>0</v>
      </c>
      <c r="M1287" s="19" t="b">
        <v>0</v>
      </c>
      <c r="N1287" s="19" t="b">
        <v>0</v>
      </c>
      <c r="O1287" s="19" t="b">
        <v>0</v>
      </c>
      <c r="P1287" s="19" t="b">
        <v>0</v>
      </c>
    </row>
    <row r="1288" spans="1:16" x14ac:dyDescent="0.2">
      <c r="A1288" s="18">
        <v>1093993</v>
      </c>
      <c r="B1288" s="18" t="s">
        <v>3481</v>
      </c>
      <c r="C1288" s="18" t="s">
        <v>110</v>
      </c>
      <c r="D1288" s="18" t="s">
        <v>19</v>
      </c>
      <c r="E1288" s="19">
        <v>44793</v>
      </c>
      <c r="F1288" s="18" t="s">
        <v>1014</v>
      </c>
      <c r="G1288" s="19">
        <v>44805</v>
      </c>
      <c r="H1288" s="19">
        <v>44846</v>
      </c>
      <c r="I1288" s="18" t="s">
        <v>16</v>
      </c>
      <c r="J1288" s="19" t="b">
        <v>1</v>
      </c>
      <c r="K1288" s="19" t="b">
        <v>0</v>
      </c>
      <c r="L1288" s="19" t="b">
        <v>0</v>
      </c>
      <c r="M1288" s="19" t="b">
        <v>0</v>
      </c>
      <c r="N1288" s="19" t="b">
        <v>1</v>
      </c>
      <c r="O1288" s="19" t="b">
        <v>0</v>
      </c>
      <c r="P1288" s="19" t="b">
        <v>0</v>
      </c>
    </row>
    <row r="1289" spans="1:16" x14ac:dyDescent="0.2">
      <c r="A1289" s="18">
        <v>1237053</v>
      </c>
      <c r="B1289" s="18" t="s">
        <v>3483</v>
      </c>
      <c r="C1289" s="18" t="s">
        <v>310</v>
      </c>
      <c r="D1289" s="18" t="s">
        <v>19</v>
      </c>
      <c r="E1289" s="19">
        <v>44974</v>
      </c>
      <c r="F1289" s="18" t="s">
        <v>754</v>
      </c>
      <c r="G1289" s="19">
        <v>45004</v>
      </c>
      <c r="H1289" s="19">
        <v>45021</v>
      </c>
      <c r="I1289" s="18" t="s">
        <v>28</v>
      </c>
      <c r="J1289" s="19" t="b">
        <v>1</v>
      </c>
      <c r="K1289" s="19" t="b">
        <v>0</v>
      </c>
      <c r="L1289" s="19" t="b">
        <v>0</v>
      </c>
      <c r="M1289" s="19" t="b">
        <v>0</v>
      </c>
      <c r="N1289" s="19" t="b">
        <v>0</v>
      </c>
      <c r="O1289" s="19" t="b">
        <v>0</v>
      </c>
      <c r="P1289" s="19" t="b">
        <v>1</v>
      </c>
    </row>
    <row r="1290" spans="1:16" x14ac:dyDescent="0.2">
      <c r="A1290" s="18">
        <v>1237053</v>
      </c>
      <c r="B1290" s="18" t="s">
        <v>3484</v>
      </c>
      <c r="C1290" s="18" t="s">
        <v>310</v>
      </c>
      <c r="D1290" s="18" t="s">
        <v>19</v>
      </c>
      <c r="E1290" s="19">
        <v>44718</v>
      </c>
      <c r="F1290" s="18" t="s">
        <v>2060</v>
      </c>
      <c r="G1290" s="19">
        <v>44722</v>
      </c>
      <c r="H1290" s="19">
        <v>44769</v>
      </c>
      <c r="I1290" s="18" t="s">
        <v>43</v>
      </c>
      <c r="J1290" s="19" t="b">
        <v>1</v>
      </c>
      <c r="K1290" s="19" t="b">
        <v>0</v>
      </c>
      <c r="L1290" s="19" t="b">
        <v>0</v>
      </c>
      <c r="M1290" s="19" t="b">
        <v>0</v>
      </c>
      <c r="N1290" s="19" t="b">
        <v>0</v>
      </c>
      <c r="O1290" s="19" t="b">
        <v>1</v>
      </c>
      <c r="P1290" s="19" t="b">
        <v>0</v>
      </c>
    </row>
    <row r="1291" spans="1:16" x14ac:dyDescent="0.2">
      <c r="A1291" s="18">
        <v>4631285</v>
      </c>
      <c r="B1291" s="18" t="s">
        <v>3485</v>
      </c>
      <c r="C1291" s="18" t="s">
        <v>282</v>
      </c>
      <c r="D1291" s="18" t="s">
        <v>187</v>
      </c>
      <c r="E1291" s="19">
        <v>44954</v>
      </c>
      <c r="F1291" s="18" t="s">
        <v>3486</v>
      </c>
      <c r="G1291" s="19">
        <v>44965</v>
      </c>
      <c r="H1291" s="19">
        <v>45002</v>
      </c>
      <c r="I1291" s="18" t="s">
        <v>43</v>
      </c>
      <c r="J1291" s="19" t="b">
        <v>1</v>
      </c>
      <c r="K1291" s="19" t="b">
        <v>0</v>
      </c>
      <c r="L1291" s="19" t="b">
        <v>0</v>
      </c>
      <c r="M1291" s="19" t="b">
        <v>0</v>
      </c>
      <c r="N1291" s="19" t="b">
        <v>0</v>
      </c>
      <c r="O1291" s="19" t="b">
        <v>1</v>
      </c>
      <c r="P1291" s="19" t="b">
        <v>0</v>
      </c>
    </row>
    <row r="1292" spans="1:16" x14ac:dyDescent="0.2">
      <c r="A1292" s="18">
        <v>4631285</v>
      </c>
      <c r="B1292" s="18" t="s">
        <v>3487</v>
      </c>
      <c r="C1292" s="18" t="s">
        <v>282</v>
      </c>
      <c r="D1292" s="18" t="s">
        <v>187</v>
      </c>
      <c r="E1292" s="19">
        <v>45046</v>
      </c>
      <c r="F1292" s="18" t="s">
        <v>2201</v>
      </c>
      <c r="G1292" s="19">
        <v>45053</v>
      </c>
      <c r="H1292" s="19">
        <v>45064</v>
      </c>
      <c r="I1292" s="18" t="s">
        <v>28</v>
      </c>
      <c r="J1292" s="19" t="b">
        <v>1</v>
      </c>
      <c r="K1292" s="19" t="b">
        <v>0</v>
      </c>
      <c r="L1292" s="19" t="b">
        <v>0</v>
      </c>
      <c r="M1292" s="19" t="b">
        <v>0</v>
      </c>
      <c r="N1292" s="19" t="b">
        <v>0</v>
      </c>
      <c r="O1292" s="19" t="b">
        <v>0</v>
      </c>
      <c r="P1292" s="19" t="b">
        <v>1</v>
      </c>
    </row>
    <row r="1293" spans="1:16" x14ac:dyDescent="0.2">
      <c r="A1293" s="18">
        <v>3457722</v>
      </c>
      <c r="B1293" s="18" t="s">
        <v>3490</v>
      </c>
      <c r="C1293" s="18" t="s">
        <v>71</v>
      </c>
      <c r="D1293" s="18" t="s">
        <v>187</v>
      </c>
      <c r="E1293" s="19">
        <v>44615</v>
      </c>
      <c r="F1293" s="18" t="s">
        <v>3491</v>
      </c>
      <c r="G1293" s="19">
        <v>44620</v>
      </c>
      <c r="H1293" s="19">
        <v>44653</v>
      </c>
      <c r="I1293" s="18" t="s">
        <v>28</v>
      </c>
      <c r="J1293" s="19" t="b">
        <v>1</v>
      </c>
      <c r="K1293" s="19" t="b">
        <v>0</v>
      </c>
      <c r="L1293" s="19" t="b">
        <v>0</v>
      </c>
      <c r="M1293" s="19" t="b">
        <v>0</v>
      </c>
      <c r="N1293" s="19" t="b">
        <v>0</v>
      </c>
      <c r="O1293" s="19" t="b">
        <v>0</v>
      </c>
      <c r="P1293" s="19" t="b">
        <v>1</v>
      </c>
    </row>
    <row r="1294" spans="1:16" x14ac:dyDescent="0.2">
      <c r="A1294" s="18">
        <v>3457722</v>
      </c>
      <c r="B1294" s="18" t="s">
        <v>3492</v>
      </c>
      <c r="C1294" s="18" t="s">
        <v>71</v>
      </c>
      <c r="D1294" s="18" t="s">
        <v>187</v>
      </c>
      <c r="E1294" s="19">
        <v>44896</v>
      </c>
      <c r="F1294" s="18" t="s">
        <v>3493</v>
      </c>
      <c r="G1294" s="19">
        <v>44906</v>
      </c>
      <c r="H1294" s="19">
        <v>44939</v>
      </c>
      <c r="I1294" s="18"/>
      <c r="J1294" s="19" t="b">
        <v>1</v>
      </c>
      <c r="K1294" s="19" t="b">
        <v>0</v>
      </c>
      <c r="L1294" s="19" t="b">
        <v>0</v>
      </c>
      <c r="M1294" s="19" t="b">
        <v>0</v>
      </c>
      <c r="N1294" s="19" t="b">
        <v>0</v>
      </c>
      <c r="O1294" s="19" t="b">
        <v>0</v>
      </c>
      <c r="P1294" s="19" t="b">
        <v>0</v>
      </c>
    </row>
    <row r="1295" spans="1:16" x14ac:dyDescent="0.2">
      <c r="A1295" s="18">
        <v>3457722</v>
      </c>
      <c r="B1295" s="18" t="s">
        <v>3494</v>
      </c>
      <c r="C1295" s="18" t="s">
        <v>71</v>
      </c>
      <c r="D1295" s="18" t="s">
        <v>187</v>
      </c>
      <c r="E1295" s="19">
        <v>44948</v>
      </c>
      <c r="F1295" s="18" t="s">
        <v>1651</v>
      </c>
      <c r="G1295" s="19">
        <v>44973</v>
      </c>
      <c r="H1295" s="19">
        <v>44998</v>
      </c>
      <c r="I1295" s="18" t="s">
        <v>43</v>
      </c>
      <c r="J1295" s="19" t="b">
        <v>1</v>
      </c>
      <c r="K1295" s="19" t="b">
        <v>0</v>
      </c>
      <c r="L1295" s="19" t="b">
        <v>0</v>
      </c>
      <c r="M1295" s="19" t="b">
        <v>0</v>
      </c>
      <c r="N1295" s="19" t="b">
        <v>0</v>
      </c>
      <c r="O1295" s="19" t="b">
        <v>1</v>
      </c>
      <c r="P1295" s="19" t="b">
        <v>0</v>
      </c>
    </row>
    <row r="1296" spans="1:16" x14ac:dyDescent="0.2">
      <c r="A1296" s="18">
        <v>3457722</v>
      </c>
      <c r="B1296" s="18" t="s">
        <v>3495</v>
      </c>
      <c r="C1296" s="18" t="s">
        <v>71</v>
      </c>
      <c r="D1296" s="18" t="s">
        <v>187</v>
      </c>
      <c r="E1296" s="19">
        <v>45096</v>
      </c>
      <c r="F1296" s="18" t="s">
        <v>3041</v>
      </c>
      <c r="G1296" s="19">
        <v>45107</v>
      </c>
      <c r="H1296" s="19">
        <v>45141</v>
      </c>
      <c r="I1296" s="18" t="s">
        <v>28</v>
      </c>
      <c r="J1296" s="19" t="b">
        <v>1</v>
      </c>
      <c r="K1296" s="19" t="b">
        <v>0</v>
      </c>
      <c r="L1296" s="19" t="b">
        <v>0</v>
      </c>
      <c r="M1296" s="19" t="b">
        <v>0</v>
      </c>
      <c r="N1296" s="19" t="b">
        <v>0</v>
      </c>
      <c r="O1296" s="19" t="b">
        <v>0</v>
      </c>
      <c r="P1296" s="19" t="b">
        <v>1</v>
      </c>
    </row>
    <row r="1297" spans="1:16" x14ac:dyDescent="0.2">
      <c r="A1297" s="18">
        <v>2311972</v>
      </c>
      <c r="B1297" s="18" t="s">
        <v>3496</v>
      </c>
      <c r="C1297" s="18" t="s">
        <v>131</v>
      </c>
      <c r="D1297" s="18" t="s">
        <v>81</v>
      </c>
      <c r="E1297" s="19">
        <v>45009</v>
      </c>
      <c r="F1297" s="18" t="s">
        <v>3497</v>
      </c>
      <c r="G1297" s="19">
        <v>45027</v>
      </c>
      <c r="H1297" s="19">
        <v>45056</v>
      </c>
      <c r="I1297" s="18" t="s">
        <v>28</v>
      </c>
      <c r="J1297" s="19" t="b">
        <v>1</v>
      </c>
      <c r="K1297" s="19" t="b">
        <v>0</v>
      </c>
      <c r="L1297" s="19" t="b">
        <v>0</v>
      </c>
      <c r="M1297" s="19" t="b">
        <v>0</v>
      </c>
      <c r="N1297" s="19" t="b">
        <v>0</v>
      </c>
      <c r="O1297" s="19" t="b">
        <v>0</v>
      </c>
      <c r="P1297" s="19" t="b">
        <v>1</v>
      </c>
    </row>
    <row r="1298" spans="1:16" x14ac:dyDescent="0.2">
      <c r="A1298" s="18">
        <v>2311972</v>
      </c>
      <c r="B1298" s="18" t="s">
        <v>3498</v>
      </c>
      <c r="C1298" s="18" t="s">
        <v>131</v>
      </c>
      <c r="D1298" s="18" t="s">
        <v>81</v>
      </c>
      <c r="E1298" s="19">
        <v>45007</v>
      </c>
      <c r="F1298" s="18" t="s">
        <v>3499</v>
      </c>
      <c r="G1298" s="19">
        <v>45028</v>
      </c>
      <c r="H1298" s="19">
        <v>45051</v>
      </c>
      <c r="I1298" s="18" t="s">
        <v>28</v>
      </c>
      <c r="J1298" s="19" t="b">
        <v>1</v>
      </c>
      <c r="K1298" s="19" t="b">
        <v>0</v>
      </c>
      <c r="L1298" s="19" t="b">
        <v>0</v>
      </c>
      <c r="M1298" s="19" t="b">
        <v>0</v>
      </c>
      <c r="N1298" s="19" t="b">
        <v>0</v>
      </c>
      <c r="O1298" s="19" t="b">
        <v>0</v>
      </c>
      <c r="P1298" s="19" t="b">
        <v>1</v>
      </c>
    </row>
    <row r="1299" spans="1:16" x14ac:dyDescent="0.2">
      <c r="A1299" s="18">
        <v>3986552</v>
      </c>
      <c r="B1299" s="18" t="s">
        <v>3500</v>
      </c>
      <c r="C1299" s="18" t="s">
        <v>10</v>
      </c>
      <c r="D1299" s="18" t="s">
        <v>39</v>
      </c>
      <c r="E1299" s="19">
        <v>44780</v>
      </c>
      <c r="F1299" s="18" t="s">
        <v>580</v>
      </c>
      <c r="G1299" s="19">
        <v>44800</v>
      </c>
      <c r="H1299" s="19">
        <v>44836</v>
      </c>
      <c r="I1299" s="18" t="s">
        <v>28</v>
      </c>
      <c r="J1299" s="19" t="b">
        <v>1</v>
      </c>
      <c r="K1299" s="19" t="b">
        <v>0</v>
      </c>
      <c r="L1299" s="19" t="b">
        <v>0</v>
      </c>
      <c r="M1299" s="19" t="b">
        <v>0</v>
      </c>
      <c r="N1299" s="19" t="b">
        <v>0</v>
      </c>
      <c r="O1299" s="19" t="b">
        <v>0</v>
      </c>
      <c r="P1299" s="19" t="b">
        <v>1</v>
      </c>
    </row>
    <row r="1300" spans="1:16" x14ac:dyDescent="0.2">
      <c r="A1300" s="18">
        <v>3986552</v>
      </c>
      <c r="B1300" s="18" t="s">
        <v>3501</v>
      </c>
      <c r="C1300" s="18" t="s">
        <v>10</v>
      </c>
      <c r="D1300" s="18" t="s">
        <v>39</v>
      </c>
      <c r="E1300" s="19">
        <v>44745</v>
      </c>
      <c r="F1300" s="18" t="s">
        <v>3502</v>
      </c>
      <c r="G1300" s="19">
        <v>44775</v>
      </c>
      <c r="H1300" s="19">
        <v>44823</v>
      </c>
      <c r="I1300" s="18" t="s">
        <v>43</v>
      </c>
      <c r="J1300" s="19" t="b">
        <v>1</v>
      </c>
      <c r="K1300" s="19" t="b">
        <v>0</v>
      </c>
      <c r="L1300" s="19" t="b">
        <v>0</v>
      </c>
      <c r="M1300" s="19" t="b">
        <v>0</v>
      </c>
      <c r="N1300" s="19" t="b">
        <v>0</v>
      </c>
      <c r="O1300" s="19" t="b">
        <v>1</v>
      </c>
      <c r="P1300" s="19" t="b">
        <v>0</v>
      </c>
    </row>
    <row r="1301" spans="1:16" x14ac:dyDescent="0.2">
      <c r="A1301" s="18">
        <v>3986552</v>
      </c>
      <c r="B1301" s="18" t="s">
        <v>3503</v>
      </c>
      <c r="C1301" s="18" t="s">
        <v>10</v>
      </c>
      <c r="D1301" s="18" t="s">
        <v>39</v>
      </c>
      <c r="E1301" s="19">
        <v>45100</v>
      </c>
      <c r="F1301" s="18" t="s">
        <v>594</v>
      </c>
      <c r="G1301" s="19">
        <v>45107</v>
      </c>
      <c r="H1301" s="19">
        <v>45108</v>
      </c>
      <c r="I1301" s="18" t="s">
        <v>43</v>
      </c>
      <c r="J1301" s="19" t="b">
        <v>1</v>
      </c>
      <c r="K1301" s="19" t="b">
        <v>0</v>
      </c>
      <c r="L1301" s="19" t="b">
        <v>0</v>
      </c>
      <c r="M1301" s="19" t="b">
        <v>0</v>
      </c>
      <c r="N1301" s="19" t="b">
        <v>0</v>
      </c>
      <c r="O1301" s="19" t="b">
        <v>1</v>
      </c>
      <c r="P1301" s="19" t="b">
        <v>0</v>
      </c>
    </row>
    <row r="1302" spans="1:16" x14ac:dyDescent="0.2">
      <c r="A1302" s="18">
        <v>3986552</v>
      </c>
      <c r="B1302" s="18" t="s">
        <v>3504</v>
      </c>
      <c r="C1302" s="18" t="s">
        <v>10</v>
      </c>
      <c r="D1302" s="18" t="s">
        <v>39</v>
      </c>
      <c r="E1302" s="19">
        <v>44939</v>
      </c>
      <c r="F1302" s="18" t="s">
        <v>3505</v>
      </c>
      <c r="G1302" s="19">
        <v>44969</v>
      </c>
      <c r="H1302" s="19">
        <v>44986</v>
      </c>
      <c r="I1302" s="18" t="s">
        <v>28</v>
      </c>
      <c r="J1302" s="19" t="b">
        <v>1</v>
      </c>
      <c r="K1302" s="19" t="b">
        <v>0</v>
      </c>
      <c r="L1302" s="19" t="b">
        <v>0</v>
      </c>
      <c r="M1302" s="19" t="b">
        <v>0</v>
      </c>
      <c r="N1302" s="19" t="b">
        <v>0</v>
      </c>
      <c r="O1302" s="19" t="b">
        <v>0</v>
      </c>
      <c r="P1302" s="19" t="b">
        <v>1</v>
      </c>
    </row>
    <row r="1303" spans="1:16" x14ac:dyDescent="0.2">
      <c r="A1303" s="18">
        <v>9435472</v>
      </c>
      <c r="B1303" s="18" t="s">
        <v>3509</v>
      </c>
      <c r="C1303" s="18" t="s">
        <v>310</v>
      </c>
      <c r="D1303" s="18" t="s">
        <v>56</v>
      </c>
      <c r="E1303" s="19">
        <v>44620</v>
      </c>
      <c r="F1303" s="18" t="s">
        <v>2757</v>
      </c>
      <c r="G1303" s="19">
        <v>44639</v>
      </c>
      <c r="H1303" s="19">
        <v>44692</v>
      </c>
      <c r="I1303" s="18" t="s">
        <v>28</v>
      </c>
      <c r="J1303" s="19" t="b">
        <v>1</v>
      </c>
      <c r="K1303" s="19" t="b">
        <v>0</v>
      </c>
      <c r="L1303" s="19" t="b">
        <v>0</v>
      </c>
      <c r="M1303" s="19" t="b">
        <v>0</v>
      </c>
      <c r="N1303" s="19" t="b">
        <v>0</v>
      </c>
      <c r="O1303" s="19" t="b">
        <v>0</v>
      </c>
      <c r="P1303" s="19" t="b">
        <v>1</v>
      </c>
    </row>
    <row r="1304" spans="1:16" x14ac:dyDescent="0.2">
      <c r="A1304" s="18">
        <v>3968018</v>
      </c>
      <c r="B1304" s="18" t="s">
        <v>3513</v>
      </c>
      <c r="C1304" s="18" t="s">
        <v>90</v>
      </c>
      <c r="D1304" s="18" t="s">
        <v>187</v>
      </c>
      <c r="E1304" s="19">
        <v>44625</v>
      </c>
      <c r="F1304" s="18" t="s">
        <v>499</v>
      </c>
      <c r="G1304" s="19">
        <v>44636</v>
      </c>
      <c r="H1304" s="19">
        <v>44643</v>
      </c>
      <c r="I1304" s="18" t="s">
        <v>16</v>
      </c>
      <c r="J1304" s="19" t="b">
        <v>1</v>
      </c>
      <c r="K1304" s="19" t="b">
        <v>0</v>
      </c>
      <c r="L1304" s="19" t="b">
        <v>0</v>
      </c>
      <c r="M1304" s="19" t="b">
        <v>0</v>
      </c>
      <c r="N1304" s="19" t="b">
        <v>1</v>
      </c>
      <c r="O1304" s="19" t="b">
        <v>0</v>
      </c>
      <c r="P1304" s="19" t="b">
        <v>0</v>
      </c>
    </row>
    <row r="1305" spans="1:16" x14ac:dyDescent="0.2">
      <c r="A1305" s="18">
        <v>5655311</v>
      </c>
      <c r="B1305" s="18" t="s">
        <v>3514</v>
      </c>
      <c r="C1305" s="18" t="s">
        <v>90</v>
      </c>
      <c r="D1305" s="18" t="s">
        <v>19</v>
      </c>
      <c r="E1305" s="19">
        <v>44886</v>
      </c>
      <c r="F1305" s="18" t="s">
        <v>2532</v>
      </c>
      <c r="G1305" s="19">
        <v>44915</v>
      </c>
      <c r="H1305" s="19">
        <v>44961</v>
      </c>
      <c r="I1305" s="18" t="s">
        <v>28</v>
      </c>
      <c r="J1305" s="19" t="b">
        <v>1</v>
      </c>
      <c r="K1305" s="19" t="b">
        <v>0</v>
      </c>
      <c r="L1305" s="19" t="b">
        <v>0</v>
      </c>
      <c r="M1305" s="19" t="b">
        <v>0</v>
      </c>
      <c r="N1305" s="19" t="b">
        <v>0</v>
      </c>
      <c r="O1305" s="19" t="b">
        <v>0</v>
      </c>
      <c r="P1305" s="19" t="b">
        <v>1</v>
      </c>
    </row>
    <row r="1306" spans="1:16" x14ac:dyDescent="0.2">
      <c r="A1306" s="18">
        <v>5655311</v>
      </c>
      <c r="B1306" s="18" t="s">
        <v>3519</v>
      </c>
      <c r="C1306" s="18" t="s">
        <v>90</v>
      </c>
      <c r="D1306" s="18" t="s">
        <v>19</v>
      </c>
      <c r="E1306" s="19">
        <v>45075</v>
      </c>
      <c r="F1306" s="18" t="s">
        <v>1029</v>
      </c>
      <c r="G1306" s="19">
        <v>45080</v>
      </c>
      <c r="H1306" s="19">
        <v>45127</v>
      </c>
      <c r="I1306" s="18" t="s">
        <v>16</v>
      </c>
      <c r="J1306" s="19" t="b">
        <v>1</v>
      </c>
      <c r="K1306" s="19" t="b">
        <v>0</v>
      </c>
      <c r="L1306" s="19" t="b">
        <v>0</v>
      </c>
      <c r="M1306" s="19" t="b">
        <v>0</v>
      </c>
      <c r="N1306" s="19" t="b">
        <v>1</v>
      </c>
      <c r="O1306" s="19" t="b">
        <v>0</v>
      </c>
      <c r="P1306" s="19" t="b">
        <v>0</v>
      </c>
    </row>
    <row r="1307" spans="1:16" x14ac:dyDescent="0.2">
      <c r="A1307" s="18">
        <v>4333354</v>
      </c>
      <c r="B1307" s="18" t="s">
        <v>3524</v>
      </c>
      <c r="C1307" s="18" t="s">
        <v>240</v>
      </c>
      <c r="D1307" s="18" t="s">
        <v>139</v>
      </c>
      <c r="E1307" s="19">
        <v>44652</v>
      </c>
      <c r="F1307" s="18" t="s">
        <v>3525</v>
      </c>
      <c r="G1307" s="19">
        <v>44656</v>
      </c>
      <c r="H1307" s="19">
        <v>44715</v>
      </c>
      <c r="I1307" s="18" t="s">
        <v>16</v>
      </c>
      <c r="J1307" s="19" t="b">
        <v>1</v>
      </c>
      <c r="K1307" s="19" t="b">
        <v>0</v>
      </c>
      <c r="L1307" s="19" t="b">
        <v>0</v>
      </c>
      <c r="M1307" s="19" t="b">
        <v>0</v>
      </c>
      <c r="N1307" s="19" t="b">
        <v>1</v>
      </c>
      <c r="O1307" s="19" t="b">
        <v>0</v>
      </c>
      <c r="P1307" s="19" t="b">
        <v>0</v>
      </c>
    </row>
    <row r="1308" spans="1:16" x14ac:dyDescent="0.2">
      <c r="A1308" s="18">
        <v>4158231</v>
      </c>
      <c r="B1308" s="18" t="s">
        <v>3533</v>
      </c>
      <c r="C1308" s="18" t="s">
        <v>282</v>
      </c>
      <c r="D1308" s="18" t="s">
        <v>19</v>
      </c>
      <c r="E1308" s="19">
        <v>44832</v>
      </c>
      <c r="F1308" s="18" t="s">
        <v>1471</v>
      </c>
      <c r="G1308" s="19">
        <v>44835</v>
      </c>
      <c r="H1308" s="19">
        <v>44867</v>
      </c>
      <c r="I1308" s="18" t="s">
        <v>28</v>
      </c>
      <c r="J1308" s="19" t="b">
        <v>1</v>
      </c>
      <c r="K1308" s="19" t="b">
        <v>0</v>
      </c>
      <c r="L1308" s="19" t="b">
        <v>0</v>
      </c>
      <c r="M1308" s="19" t="b">
        <v>0</v>
      </c>
      <c r="N1308" s="19" t="b">
        <v>0</v>
      </c>
      <c r="O1308" s="19" t="b">
        <v>0</v>
      </c>
      <c r="P1308" s="19" t="b">
        <v>1</v>
      </c>
    </row>
    <row r="1309" spans="1:16" x14ac:dyDescent="0.2">
      <c r="A1309" s="18">
        <v>4158231</v>
      </c>
      <c r="B1309" s="18" t="s">
        <v>3534</v>
      </c>
      <c r="C1309" s="18" t="s">
        <v>282</v>
      </c>
      <c r="D1309" s="18" t="s">
        <v>19</v>
      </c>
      <c r="E1309" s="19">
        <v>45097</v>
      </c>
      <c r="F1309" s="18" t="s">
        <v>3535</v>
      </c>
      <c r="G1309" s="19">
        <v>45112</v>
      </c>
      <c r="H1309" s="19">
        <v>45166</v>
      </c>
      <c r="I1309" s="18" t="s">
        <v>28</v>
      </c>
      <c r="J1309" s="19" t="b">
        <v>1</v>
      </c>
      <c r="K1309" s="19" t="b">
        <v>0</v>
      </c>
      <c r="L1309" s="19" t="b">
        <v>0</v>
      </c>
      <c r="M1309" s="19" t="b">
        <v>0</v>
      </c>
      <c r="N1309" s="19" t="b">
        <v>0</v>
      </c>
      <c r="O1309" s="19" t="b">
        <v>0</v>
      </c>
      <c r="P1309" s="19" t="b">
        <v>1</v>
      </c>
    </row>
    <row r="1310" spans="1:16" x14ac:dyDescent="0.2">
      <c r="A1310" s="18">
        <v>3860089</v>
      </c>
      <c r="B1310" s="18" t="s">
        <v>3538</v>
      </c>
      <c r="C1310" s="18" t="s">
        <v>521</v>
      </c>
      <c r="D1310" s="18" t="s">
        <v>81</v>
      </c>
      <c r="E1310" s="19">
        <v>45077</v>
      </c>
      <c r="F1310" s="18" t="s">
        <v>772</v>
      </c>
      <c r="G1310" s="19">
        <v>45095</v>
      </c>
      <c r="H1310" s="19">
        <v>45149</v>
      </c>
      <c r="I1310" s="18" t="s">
        <v>28</v>
      </c>
      <c r="J1310" s="19" t="b">
        <v>1</v>
      </c>
      <c r="K1310" s="19" t="b">
        <v>0</v>
      </c>
      <c r="L1310" s="19" t="b">
        <v>0</v>
      </c>
      <c r="M1310" s="19" t="b">
        <v>0</v>
      </c>
      <c r="N1310" s="19" t="b">
        <v>0</v>
      </c>
      <c r="O1310" s="19" t="b">
        <v>0</v>
      </c>
      <c r="P1310" s="19" t="b">
        <v>1</v>
      </c>
    </row>
    <row r="1311" spans="1:16" x14ac:dyDescent="0.2">
      <c r="A1311" s="18">
        <v>3860089</v>
      </c>
      <c r="B1311" s="18" t="s">
        <v>3539</v>
      </c>
      <c r="C1311" s="18" t="s">
        <v>521</v>
      </c>
      <c r="D1311" s="18" t="s">
        <v>81</v>
      </c>
      <c r="E1311" s="19">
        <v>44777</v>
      </c>
      <c r="F1311" s="18" t="s">
        <v>3540</v>
      </c>
      <c r="G1311" s="19">
        <v>44786</v>
      </c>
      <c r="H1311" s="19">
        <v>44800</v>
      </c>
      <c r="I1311" s="18" t="s">
        <v>28</v>
      </c>
      <c r="J1311" s="19" t="b">
        <v>1</v>
      </c>
      <c r="K1311" s="19" t="b">
        <v>0</v>
      </c>
      <c r="L1311" s="19" t="b">
        <v>0</v>
      </c>
      <c r="M1311" s="19" t="b">
        <v>0</v>
      </c>
      <c r="N1311" s="19" t="b">
        <v>0</v>
      </c>
      <c r="O1311" s="19" t="b">
        <v>0</v>
      </c>
      <c r="P1311" s="19" t="b">
        <v>1</v>
      </c>
    </row>
    <row r="1312" spans="1:16" x14ac:dyDescent="0.2">
      <c r="A1312" s="18">
        <v>3860089</v>
      </c>
      <c r="B1312" s="18" t="s">
        <v>3541</v>
      </c>
      <c r="C1312" s="18" t="s">
        <v>521</v>
      </c>
      <c r="D1312" s="18" t="s">
        <v>81</v>
      </c>
      <c r="E1312" s="19">
        <v>45091</v>
      </c>
      <c r="F1312" s="18" t="s">
        <v>3216</v>
      </c>
      <c r="G1312" s="19">
        <v>45113</v>
      </c>
      <c r="H1312" s="19">
        <v>45154</v>
      </c>
      <c r="I1312" s="18" t="s">
        <v>16</v>
      </c>
      <c r="J1312" s="19" t="b">
        <v>1</v>
      </c>
      <c r="K1312" s="19" t="b">
        <v>0</v>
      </c>
      <c r="L1312" s="19" t="b">
        <v>0</v>
      </c>
      <c r="M1312" s="19" t="b">
        <v>0</v>
      </c>
      <c r="N1312" s="19" t="b">
        <v>1</v>
      </c>
      <c r="O1312" s="19" t="b">
        <v>0</v>
      </c>
      <c r="P1312" s="19" t="b">
        <v>0</v>
      </c>
    </row>
    <row r="1313" spans="1:16" x14ac:dyDescent="0.2">
      <c r="A1313" s="18">
        <v>4127701</v>
      </c>
      <c r="B1313" s="18" t="s">
        <v>3542</v>
      </c>
      <c r="C1313" s="18" t="s">
        <v>363</v>
      </c>
      <c r="D1313" s="18" t="s">
        <v>187</v>
      </c>
      <c r="E1313" s="19">
        <v>44596</v>
      </c>
      <c r="F1313" s="18" t="s">
        <v>2162</v>
      </c>
      <c r="G1313" s="19">
        <v>44607</v>
      </c>
      <c r="H1313" s="19">
        <v>44652</v>
      </c>
      <c r="I1313" s="18" t="s">
        <v>28</v>
      </c>
      <c r="J1313" s="19" t="b">
        <v>1</v>
      </c>
      <c r="K1313" s="19" t="b">
        <v>0</v>
      </c>
      <c r="L1313" s="19" t="b">
        <v>0</v>
      </c>
      <c r="M1313" s="19" t="b">
        <v>0</v>
      </c>
      <c r="N1313" s="19" t="b">
        <v>0</v>
      </c>
      <c r="O1313" s="19" t="b">
        <v>0</v>
      </c>
      <c r="P1313" s="19" t="b">
        <v>1</v>
      </c>
    </row>
    <row r="1314" spans="1:16" x14ac:dyDescent="0.2">
      <c r="A1314" s="18">
        <v>4127701</v>
      </c>
      <c r="B1314" s="18" t="s">
        <v>3545</v>
      </c>
      <c r="C1314" s="18" t="s">
        <v>363</v>
      </c>
      <c r="D1314" s="18" t="s">
        <v>187</v>
      </c>
      <c r="E1314" s="19">
        <v>44664</v>
      </c>
      <c r="F1314" s="18" t="s">
        <v>2500</v>
      </c>
      <c r="G1314" s="19">
        <v>44670</v>
      </c>
      <c r="H1314" s="19">
        <v>44729</v>
      </c>
      <c r="I1314" s="18" t="s">
        <v>28</v>
      </c>
      <c r="J1314" s="19" t="b">
        <v>1</v>
      </c>
      <c r="K1314" s="19" t="b">
        <v>0</v>
      </c>
      <c r="L1314" s="19" t="b">
        <v>0</v>
      </c>
      <c r="M1314" s="19" t="b">
        <v>0</v>
      </c>
      <c r="N1314" s="19" t="b">
        <v>0</v>
      </c>
      <c r="O1314" s="19" t="b">
        <v>0</v>
      </c>
      <c r="P1314" s="19" t="b">
        <v>1</v>
      </c>
    </row>
    <row r="1315" spans="1:16" x14ac:dyDescent="0.2">
      <c r="A1315" s="18">
        <v>4127701</v>
      </c>
      <c r="B1315" s="18" t="s">
        <v>3546</v>
      </c>
      <c r="C1315" s="18" t="s">
        <v>363</v>
      </c>
      <c r="D1315" s="18" t="s">
        <v>187</v>
      </c>
      <c r="E1315" s="19">
        <v>44752</v>
      </c>
      <c r="F1315" s="18" t="s">
        <v>3547</v>
      </c>
      <c r="G1315" s="19">
        <v>44777</v>
      </c>
      <c r="H1315" s="19">
        <v>44779</v>
      </c>
      <c r="I1315" s="18" t="s">
        <v>43</v>
      </c>
      <c r="J1315" s="19" t="b">
        <v>1</v>
      </c>
      <c r="K1315" s="19" t="b">
        <v>0</v>
      </c>
      <c r="L1315" s="19" t="b">
        <v>0</v>
      </c>
      <c r="M1315" s="19" t="b">
        <v>0</v>
      </c>
      <c r="N1315" s="19" t="b">
        <v>0</v>
      </c>
      <c r="O1315" s="19" t="b">
        <v>1</v>
      </c>
      <c r="P1315" s="19" t="b">
        <v>0</v>
      </c>
    </row>
    <row r="1316" spans="1:16" x14ac:dyDescent="0.2">
      <c r="A1316" s="18">
        <v>8365343</v>
      </c>
      <c r="B1316" s="18" t="s">
        <v>3548</v>
      </c>
      <c r="C1316" s="18" t="s">
        <v>47</v>
      </c>
      <c r="D1316" s="18" t="s">
        <v>81</v>
      </c>
      <c r="E1316" s="19">
        <v>45046</v>
      </c>
      <c r="F1316" s="18" t="s">
        <v>3549</v>
      </c>
      <c r="G1316" s="19">
        <v>45073</v>
      </c>
      <c r="H1316" s="19">
        <v>45089</v>
      </c>
      <c r="I1316" s="18"/>
      <c r="J1316" s="19" t="b">
        <v>1</v>
      </c>
      <c r="K1316" s="19" t="b">
        <v>0</v>
      </c>
      <c r="L1316" s="19" t="b">
        <v>0</v>
      </c>
      <c r="M1316" s="19" t="b">
        <v>0</v>
      </c>
      <c r="N1316" s="19" t="b">
        <v>0</v>
      </c>
      <c r="O1316" s="19" t="b">
        <v>0</v>
      </c>
      <c r="P1316" s="19" t="b">
        <v>0</v>
      </c>
    </row>
    <row r="1317" spans="1:16" x14ac:dyDescent="0.2">
      <c r="A1317" s="18">
        <v>8365343</v>
      </c>
      <c r="B1317" s="18" t="s">
        <v>3552</v>
      </c>
      <c r="C1317" s="18" t="s">
        <v>47</v>
      </c>
      <c r="D1317" s="18" t="s">
        <v>81</v>
      </c>
      <c r="E1317" s="19">
        <v>44801</v>
      </c>
      <c r="F1317" s="18" t="s">
        <v>3553</v>
      </c>
      <c r="G1317" s="19">
        <v>44826</v>
      </c>
      <c r="H1317" s="19">
        <v>44886</v>
      </c>
      <c r="I1317" s="18" t="s">
        <v>28</v>
      </c>
      <c r="J1317" s="19" t="b">
        <v>1</v>
      </c>
      <c r="K1317" s="19" t="b">
        <v>0</v>
      </c>
      <c r="L1317" s="19" t="b">
        <v>0</v>
      </c>
      <c r="M1317" s="19" t="b">
        <v>0</v>
      </c>
      <c r="N1317" s="19" t="b">
        <v>0</v>
      </c>
      <c r="O1317" s="19" t="b">
        <v>0</v>
      </c>
      <c r="P1317" s="19" t="b">
        <v>1</v>
      </c>
    </row>
    <row r="1318" spans="1:16" x14ac:dyDescent="0.2">
      <c r="A1318" s="18">
        <v>8365343</v>
      </c>
      <c r="B1318" s="18" t="s">
        <v>3554</v>
      </c>
      <c r="C1318" s="18" t="s">
        <v>47</v>
      </c>
      <c r="D1318" s="18" t="s">
        <v>81</v>
      </c>
      <c r="E1318" s="19">
        <v>44837</v>
      </c>
      <c r="F1318" s="18" t="s">
        <v>3555</v>
      </c>
      <c r="G1318" s="19">
        <v>44856</v>
      </c>
      <c r="H1318" s="19">
        <v>44882</v>
      </c>
      <c r="I1318" s="18" t="s">
        <v>16</v>
      </c>
      <c r="J1318" s="19" t="b">
        <v>1</v>
      </c>
      <c r="K1318" s="19" t="b">
        <v>0</v>
      </c>
      <c r="L1318" s="19" t="b">
        <v>0</v>
      </c>
      <c r="M1318" s="19" t="b">
        <v>0</v>
      </c>
      <c r="N1318" s="19" t="b">
        <v>1</v>
      </c>
      <c r="O1318" s="19" t="b">
        <v>0</v>
      </c>
      <c r="P1318" s="19" t="b">
        <v>0</v>
      </c>
    </row>
    <row r="1319" spans="1:16" x14ac:dyDescent="0.2">
      <c r="A1319" s="18">
        <v>1479076</v>
      </c>
      <c r="B1319" s="18" t="s">
        <v>3556</v>
      </c>
      <c r="C1319" s="18" t="s">
        <v>38</v>
      </c>
      <c r="D1319" s="18" t="s">
        <v>139</v>
      </c>
      <c r="E1319" s="19">
        <v>44704</v>
      </c>
      <c r="F1319" s="18" t="s">
        <v>1401</v>
      </c>
      <c r="G1319" s="19">
        <v>44709</v>
      </c>
      <c r="H1319" s="19">
        <v>44752</v>
      </c>
      <c r="I1319" s="18" t="s">
        <v>43</v>
      </c>
      <c r="J1319" s="19" t="b">
        <v>1</v>
      </c>
      <c r="K1319" s="19" t="b">
        <v>0</v>
      </c>
      <c r="L1319" s="19" t="b">
        <v>0</v>
      </c>
      <c r="M1319" s="19" t="b">
        <v>0</v>
      </c>
      <c r="N1319" s="19" t="b">
        <v>0</v>
      </c>
      <c r="O1319" s="19" t="b">
        <v>1</v>
      </c>
      <c r="P1319" s="19" t="b">
        <v>0</v>
      </c>
    </row>
    <row r="1320" spans="1:16" x14ac:dyDescent="0.2">
      <c r="A1320" s="18">
        <v>1479076</v>
      </c>
      <c r="B1320" s="18" t="s">
        <v>3557</v>
      </c>
      <c r="C1320" s="18" t="s">
        <v>38</v>
      </c>
      <c r="D1320" s="18" t="s">
        <v>139</v>
      </c>
      <c r="E1320" s="19">
        <v>44706</v>
      </c>
      <c r="F1320" s="18" t="s">
        <v>3558</v>
      </c>
      <c r="G1320" s="19">
        <v>44732</v>
      </c>
      <c r="H1320" s="19">
        <v>44755</v>
      </c>
      <c r="I1320" s="18" t="s">
        <v>16</v>
      </c>
      <c r="J1320" s="19" t="b">
        <v>1</v>
      </c>
      <c r="K1320" s="19" t="b">
        <v>0</v>
      </c>
      <c r="L1320" s="19" t="b">
        <v>0</v>
      </c>
      <c r="M1320" s="19" t="b">
        <v>0</v>
      </c>
      <c r="N1320" s="19" t="b">
        <v>1</v>
      </c>
      <c r="O1320" s="19" t="b">
        <v>0</v>
      </c>
      <c r="P1320" s="19" t="b">
        <v>0</v>
      </c>
    </row>
    <row r="1321" spans="1:16" x14ac:dyDescent="0.2">
      <c r="A1321" s="18">
        <v>6488025</v>
      </c>
      <c r="B1321" s="18" t="s">
        <v>3569</v>
      </c>
      <c r="C1321" s="18" t="s">
        <v>131</v>
      </c>
      <c r="D1321" s="18" t="s">
        <v>11</v>
      </c>
      <c r="E1321" s="19">
        <v>44589</v>
      </c>
      <c r="F1321" s="18" t="s">
        <v>3570</v>
      </c>
      <c r="G1321" s="19">
        <v>44597</v>
      </c>
      <c r="H1321" s="19">
        <v>44654</v>
      </c>
      <c r="I1321" s="18" t="s">
        <v>16</v>
      </c>
      <c r="J1321" s="19" t="b">
        <v>1</v>
      </c>
      <c r="K1321" s="19" t="b">
        <v>0</v>
      </c>
      <c r="L1321" s="19" t="b">
        <v>0</v>
      </c>
      <c r="M1321" s="19" t="b">
        <v>0</v>
      </c>
      <c r="N1321" s="19" t="b">
        <v>1</v>
      </c>
      <c r="O1321" s="19" t="b">
        <v>0</v>
      </c>
      <c r="P1321" s="19" t="b">
        <v>0</v>
      </c>
    </row>
    <row r="1322" spans="1:16" x14ac:dyDescent="0.2">
      <c r="A1322" s="18">
        <v>6488025</v>
      </c>
      <c r="B1322" s="18" t="s">
        <v>3571</v>
      </c>
      <c r="C1322" s="18" t="s">
        <v>131</v>
      </c>
      <c r="D1322" s="18" t="s">
        <v>11</v>
      </c>
      <c r="E1322" s="19">
        <v>44910</v>
      </c>
      <c r="F1322" s="18" t="s">
        <v>3086</v>
      </c>
      <c r="G1322" s="19">
        <v>44927</v>
      </c>
      <c r="H1322" s="19">
        <v>44980</v>
      </c>
      <c r="I1322" s="18" t="s">
        <v>43</v>
      </c>
      <c r="J1322" s="19" t="b">
        <v>1</v>
      </c>
      <c r="K1322" s="19" t="b">
        <v>0</v>
      </c>
      <c r="L1322" s="19" t="b">
        <v>0</v>
      </c>
      <c r="M1322" s="19" t="b">
        <v>0</v>
      </c>
      <c r="N1322" s="19" t="b">
        <v>0</v>
      </c>
      <c r="O1322" s="19" t="b">
        <v>1</v>
      </c>
      <c r="P1322" s="19" t="b">
        <v>0</v>
      </c>
    </row>
    <row r="1323" spans="1:16" x14ac:dyDescent="0.2">
      <c r="A1323" s="18">
        <v>9679668</v>
      </c>
      <c r="B1323" s="18" t="s">
        <v>3580</v>
      </c>
      <c r="C1323" s="18" t="s">
        <v>150</v>
      </c>
      <c r="D1323" s="18" t="s">
        <v>122</v>
      </c>
      <c r="E1323" s="19">
        <v>44665</v>
      </c>
      <c r="F1323" s="18" t="s">
        <v>1386</v>
      </c>
      <c r="G1323" s="19">
        <v>44686</v>
      </c>
      <c r="H1323" s="19">
        <v>44742</v>
      </c>
      <c r="I1323" s="18" t="s">
        <v>28</v>
      </c>
      <c r="J1323" s="19" t="b">
        <v>1</v>
      </c>
      <c r="K1323" s="19" t="b">
        <v>0</v>
      </c>
      <c r="L1323" s="19" t="b">
        <v>0</v>
      </c>
      <c r="M1323" s="19" t="b">
        <v>0</v>
      </c>
      <c r="N1323" s="19" t="b">
        <v>0</v>
      </c>
      <c r="O1323" s="19" t="b">
        <v>0</v>
      </c>
      <c r="P1323" s="19" t="b">
        <v>1</v>
      </c>
    </row>
    <row r="1324" spans="1:16" x14ac:dyDescent="0.2">
      <c r="A1324" s="18">
        <v>9679668</v>
      </c>
      <c r="B1324" s="18" t="s">
        <v>3581</v>
      </c>
      <c r="C1324" s="18" t="s">
        <v>150</v>
      </c>
      <c r="D1324" s="18" t="s">
        <v>122</v>
      </c>
      <c r="E1324" s="19">
        <v>44693</v>
      </c>
      <c r="F1324" s="18" t="s">
        <v>3582</v>
      </c>
      <c r="G1324" s="19">
        <v>44712</v>
      </c>
      <c r="H1324" s="19">
        <v>44745</v>
      </c>
      <c r="I1324" s="18" t="s">
        <v>16</v>
      </c>
      <c r="J1324" s="19" t="b">
        <v>1</v>
      </c>
      <c r="K1324" s="19" t="b">
        <v>0</v>
      </c>
      <c r="L1324" s="19" t="b">
        <v>0</v>
      </c>
      <c r="M1324" s="19" t="b">
        <v>0</v>
      </c>
      <c r="N1324" s="19" t="b">
        <v>1</v>
      </c>
      <c r="O1324" s="19" t="b">
        <v>0</v>
      </c>
      <c r="P1324" s="19" t="b">
        <v>0</v>
      </c>
    </row>
    <row r="1325" spans="1:16" x14ac:dyDescent="0.2">
      <c r="A1325" s="18">
        <v>9679668</v>
      </c>
      <c r="B1325" s="18" t="s">
        <v>3583</v>
      </c>
      <c r="C1325" s="18" t="s">
        <v>150</v>
      </c>
      <c r="D1325" s="18" t="s">
        <v>122</v>
      </c>
      <c r="E1325" s="19">
        <v>44973</v>
      </c>
      <c r="F1325" s="18" t="s">
        <v>906</v>
      </c>
      <c r="G1325" s="19">
        <v>44987</v>
      </c>
      <c r="H1325" s="19">
        <v>45037</v>
      </c>
      <c r="I1325" s="18"/>
      <c r="J1325" s="19" t="b">
        <v>1</v>
      </c>
      <c r="K1325" s="19" t="b">
        <v>0</v>
      </c>
      <c r="L1325" s="19" t="b">
        <v>0</v>
      </c>
      <c r="M1325" s="19" t="b">
        <v>0</v>
      </c>
      <c r="N1325" s="19" t="b">
        <v>0</v>
      </c>
      <c r="O1325" s="19" t="b">
        <v>0</v>
      </c>
      <c r="P1325" s="19" t="b">
        <v>0</v>
      </c>
    </row>
    <row r="1326" spans="1:16" x14ac:dyDescent="0.2">
      <c r="A1326" s="18">
        <v>8554276</v>
      </c>
      <c r="B1326" s="18" t="s">
        <v>3585</v>
      </c>
      <c r="C1326" s="18" t="s">
        <v>80</v>
      </c>
      <c r="D1326" s="18" t="s">
        <v>39</v>
      </c>
      <c r="E1326" s="19">
        <v>44745</v>
      </c>
      <c r="F1326" s="18" t="s">
        <v>3586</v>
      </c>
      <c r="G1326" s="19">
        <v>44759</v>
      </c>
      <c r="H1326" s="19">
        <v>44794</v>
      </c>
      <c r="I1326" s="18" t="s">
        <v>28</v>
      </c>
      <c r="J1326" s="19" t="b">
        <v>1</v>
      </c>
      <c r="K1326" s="19" t="b">
        <v>0</v>
      </c>
      <c r="L1326" s="19" t="b">
        <v>0</v>
      </c>
      <c r="M1326" s="19" t="b">
        <v>0</v>
      </c>
      <c r="N1326" s="19" t="b">
        <v>0</v>
      </c>
      <c r="O1326" s="19" t="b">
        <v>0</v>
      </c>
      <c r="P1326" s="19" t="b">
        <v>1</v>
      </c>
    </row>
    <row r="1327" spans="1:16" x14ac:dyDescent="0.2">
      <c r="A1327" s="18">
        <v>8554276</v>
      </c>
      <c r="B1327" s="18" t="s">
        <v>3587</v>
      </c>
      <c r="C1327" s="18" t="s">
        <v>80</v>
      </c>
      <c r="D1327" s="18" t="s">
        <v>39</v>
      </c>
      <c r="E1327" s="19">
        <v>44907</v>
      </c>
      <c r="F1327" s="18" t="s">
        <v>3588</v>
      </c>
      <c r="G1327" s="19">
        <v>44937</v>
      </c>
      <c r="H1327" s="19">
        <v>44983</v>
      </c>
      <c r="I1327" s="18" t="s">
        <v>16</v>
      </c>
      <c r="J1327" s="19" t="b">
        <v>1</v>
      </c>
      <c r="K1327" s="19" t="b">
        <v>0</v>
      </c>
      <c r="L1327" s="19" t="b">
        <v>0</v>
      </c>
      <c r="M1327" s="19" t="b">
        <v>0</v>
      </c>
      <c r="N1327" s="19" t="b">
        <v>1</v>
      </c>
      <c r="O1327" s="19" t="b">
        <v>0</v>
      </c>
      <c r="P1327" s="19" t="b">
        <v>0</v>
      </c>
    </row>
    <row r="1328" spans="1:16" x14ac:dyDescent="0.2">
      <c r="A1328" s="18">
        <v>8554276</v>
      </c>
      <c r="B1328" s="18" t="s">
        <v>3589</v>
      </c>
      <c r="C1328" s="18" t="s">
        <v>80</v>
      </c>
      <c r="D1328" s="18" t="s">
        <v>39</v>
      </c>
      <c r="E1328" s="19">
        <v>45027</v>
      </c>
      <c r="F1328" s="18" t="s">
        <v>3590</v>
      </c>
      <c r="G1328" s="19">
        <v>45041</v>
      </c>
      <c r="H1328" s="19">
        <v>45045</v>
      </c>
      <c r="I1328" s="18" t="s">
        <v>43</v>
      </c>
      <c r="J1328" s="19" t="b">
        <v>1</v>
      </c>
      <c r="K1328" s="19" t="b">
        <v>0</v>
      </c>
      <c r="L1328" s="19" t="b">
        <v>0</v>
      </c>
      <c r="M1328" s="19" t="b">
        <v>0</v>
      </c>
      <c r="N1328" s="19" t="b">
        <v>0</v>
      </c>
      <c r="O1328" s="19" t="b">
        <v>1</v>
      </c>
      <c r="P1328" s="19" t="b">
        <v>0</v>
      </c>
    </row>
    <row r="1329" spans="1:16" x14ac:dyDescent="0.2">
      <c r="A1329" s="18">
        <v>8554276</v>
      </c>
      <c r="B1329" s="18" t="s">
        <v>3591</v>
      </c>
      <c r="C1329" s="18" t="s">
        <v>80</v>
      </c>
      <c r="D1329" s="18" t="s">
        <v>39</v>
      </c>
      <c r="E1329" s="19">
        <v>45063</v>
      </c>
      <c r="F1329" s="18" t="s">
        <v>1840</v>
      </c>
      <c r="G1329" s="19">
        <v>45078</v>
      </c>
      <c r="H1329" s="19">
        <v>45102</v>
      </c>
      <c r="I1329" s="18" t="s">
        <v>16</v>
      </c>
      <c r="J1329" s="19" t="b">
        <v>1</v>
      </c>
      <c r="K1329" s="19" t="b">
        <v>0</v>
      </c>
      <c r="L1329" s="19" t="b">
        <v>0</v>
      </c>
      <c r="M1329" s="19" t="b">
        <v>0</v>
      </c>
      <c r="N1329" s="19" t="b">
        <v>1</v>
      </c>
      <c r="O1329" s="19" t="b">
        <v>0</v>
      </c>
      <c r="P1329" s="19" t="b">
        <v>0</v>
      </c>
    </row>
    <row r="1330" spans="1:16" x14ac:dyDescent="0.2">
      <c r="A1330" s="18">
        <v>1840094</v>
      </c>
      <c r="B1330" s="18" t="s">
        <v>3594</v>
      </c>
      <c r="C1330" s="18" t="s">
        <v>131</v>
      </c>
      <c r="D1330" s="18" t="s">
        <v>81</v>
      </c>
      <c r="E1330" s="19">
        <v>44927</v>
      </c>
      <c r="F1330" s="18" t="s">
        <v>3595</v>
      </c>
      <c r="G1330" s="19">
        <v>44941</v>
      </c>
      <c r="H1330" s="19">
        <v>44943</v>
      </c>
      <c r="I1330" s="18" t="s">
        <v>28</v>
      </c>
      <c r="J1330" s="19" t="b">
        <v>1</v>
      </c>
      <c r="K1330" s="19" t="b">
        <v>0</v>
      </c>
      <c r="L1330" s="19" t="b">
        <v>0</v>
      </c>
      <c r="M1330" s="19" t="b">
        <v>0</v>
      </c>
      <c r="N1330" s="19" t="b">
        <v>0</v>
      </c>
      <c r="O1330" s="19" t="b">
        <v>0</v>
      </c>
      <c r="P1330" s="19" t="b">
        <v>1</v>
      </c>
    </row>
    <row r="1331" spans="1:16" x14ac:dyDescent="0.2">
      <c r="A1331" s="18">
        <v>1840094</v>
      </c>
      <c r="B1331" s="18" t="s">
        <v>3596</v>
      </c>
      <c r="C1331" s="18" t="s">
        <v>131</v>
      </c>
      <c r="D1331" s="18" t="s">
        <v>81</v>
      </c>
      <c r="E1331" s="19">
        <v>44676</v>
      </c>
      <c r="F1331" s="18" t="s">
        <v>3597</v>
      </c>
      <c r="G1331" s="19">
        <v>44688</v>
      </c>
      <c r="H1331" s="19">
        <v>44735</v>
      </c>
      <c r="I1331" s="18" t="s">
        <v>28</v>
      </c>
      <c r="J1331" s="19" t="b">
        <v>1</v>
      </c>
      <c r="K1331" s="19" t="b">
        <v>0</v>
      </c>
      <c r="L1331" s="19" t="b">
        <v>0</v>
      </c>
      <c r="M1331" s="19" t="b">
        <v>0</v>
      </c>
      <c r="N1331" s="19" t="b">
        <v>0</v>
      </c>
      <c r="O1331" s="19" t="b">
        <v>0</v>
      </c>
      <c r="P1331" s="19" t="b">
        <v>1</v>
      </c>
    </row>
    <row r="1332" spans="1:16" x14ac:dyDescent="0.2">
      <c r="A1332" s="18">
        <v>8684482</v>
      </c>
      <c r="B1332" s="18" t="s">
        <v>3602</v>
      </c>
      <c r="C1332" s="18" t="s">
        <v>240</v>
      </c>
      <c r="D1332" s="18" t="s">
        <v>81</v>
      </c>
      <c r="E1332" s="19">
        <v>44896</v>
      </c>
      <c r="F1332" s="18" t="s">
        <v>2634</v>
      </c>
      <c r="G1332" s="19">
        <v>44908</v>
      </c>
      <c r="H1332" s="19">
        <v>44911</v>
      </c>
      <c r="I1332" s="18"/>
      <c r="J1332" s="19" t="b">
        <v>1</v>
      </c>
      <c r="K1332" s="19" t="b">
        <v>0</v>
      </c>
      <c r="L1332" s="19" t="b">
        <v>0</v>
      </c>
      <c r="M1332" s="19" t="b">
        <v>0</v>
      </c>
      <c r="N1332" s="19" t="b">
        <v>0</v>
      </c>
      <c r="O1332" s="19" t="b">
        <v>0</v>
      </c>
      <c r="P1332" s="19" t="b">
        <v>0</v>
      </c>
    </row>
    <row r="1333" spans="1:16" x14ac:dyDescent="0.2">
      <c r="A1333" s="18">
        <v>9600542</v>
      </c>
      <c r="B1333" s="18" t="s">
        <v>3605</v>
      </c>
      <c r="C1333" s="18" t="s">
        <v>138</v>
      </c>
      <c r="D1333" s="18" t="s">
        <v>122</v>
      </c>
      <c r="E1333" s="19">
        <v>44584</v>
      </c>
      <c r="F1333" s="18" t="s">
        <v>3606</v>
      </c>
      <c r="G1333" s="19">
        <v>44590</v>
      </c>
      <c r="H1333" s="19">
        <v>44638</v>
      </c>
      <c r="I1333" s="18" t="s">
        <v>28</v>
      </c>
      <c r="J1333" s="19" t="b">
        <v>1</v>
      </c>
      <c r="K1333" s="19" t="b">
        <v>0</v>
      </c>
      <c r="L1333" s="19" t="b">
        <v>0</v>
      </c>
      <c r="M1333" s="19" t="b">
        <v>0</v>
      </c>
      <c r="N1333" s="19" t="b">
        <v>0</v>
      </c>
      <c r="O1333" s="19" t="b">
        <v>0</v>
      </c>
      <c r="P1333" s="19" t="b">
        <v>1</v>
      </c>
    </row>
    <row r="1334" spans="1:16" x14ac:dyDescent="0.2">
      <c r="A1334" s="18">
        <v>9600542</v>
      </c>
      <c r="B1334" s="18" t="s">
        <v>3609</v>
      </c>
      <c r="C1334" s="18" t="s">
        <v>138</v>
      </c>
      <c r="D1334" s="18" t="s">
        <v>122</v>
      </c>
      <c r="E1334" s="19">
        <v>44829</v>
      </c>
      <c r="F1334" s="18" t="s">
        <v>2536</v>
      </c>
      <c r="G1334" s="19">
        <v>44839</v>
      </c>
      <c r="H1334" s="19">
        <v>44879</v>
      </c>
      <c r="I1334" s="18" t="s">
        <v>16</v>
      </c>
      <c r="J1334" s="19" t="b">
        <v>1</v>
      </c>
      <c r="K1334" s="19" t="b">
        <v>0</v>
      </c>
      <c r="L1334" s="19" t="b">
        <v>0</v>
      </c>
      <c r="M1334" s="19" t="b">
        <v>0</v>
      </c>
      <c r="N1334" s="19" t="b">
        <v>1</v>
      </c>
      <c r="O1334" s="19" t="b">
        <v>0</v>
      </c>
      <c r="P1334" s="19" t="b">
        <v>0</v>
      </c>
    </row>
    <row r="1335" spans="1:16" x14ac:dyDescent="0.2">
      <c r="A1335" s="18">
        <v>4115755</v>
      </c>
      <c r="B1335" s="18" t="s">
        <v>3611</v>
      </c>
      <c r="C1335" s="18" t="s">
        <v>282</v>
      </c>
      <c r="D1335" s="18" t="s">
        <v>139</v>
      </c>
      <c r="E1335" s="19">
        <v>44841</v>
      </c>
      <c r="F1335" s="18" t="s">
        <v>3612</v>
      </c>
      <c r="G1335" s="19">
        <v>44842</v>
      </c>
      <c r="H1335" s="19">
        <v>44869</v>
      </c>
      <c r="I1335" s="18" t="s">
        <v>43</v>
      </c>
      <c r="J1335" s="19" t="b">
        <v>1</v>
      </c>
      <c r="K1335" s="19" t="b">
        <v>0</v>
      </c>
      <c r="L1335" s="19" t="b">
        <v>0</v>
      </c>
      <c r="M1335" s="19" t="b">
        <v>0</v>
      </c>
      <c r="N1335" s="19" t="b">
        <v>0</v>
      </c>
      <c r="O1335" s="19" t="b">
        <v>1</v>
      </c>
      <c r="P1335" s="19" t="b">
        <v>0</v>
      </c>
    </row>
    <row r="1336" spans="1:16" x14ac:dyDescent="0.2">
      <c r="A1336" s="18">
        <v>2069085</v>
      </c>
      <c r="B1336" s="18" t="s">
        <v>3617</v>
      </c>
      <c r="C1336" s="18" t="s">
        <v>121</v>
      </c>
      <c r="D1336" s="18" t="s">
        <v>11</v>
      </c>
      <c r="E1336" s="19">
        <v>44898</v>
      </c>
      <c r="F1336" s="18" t="s">
        <v>326</v>
      </c>
      <c r="G1336" s="19">
        <v>44916</v>
      </c>
      <c r="H1336" s="19">
        <v>44941</v>
      </c>
      <c r="I1336" s="18"/>
      <c r="J1336" s="19" t="b">
        <v>1</v>
      </c>
      <c r="K1336" s="19" t="b">
        <v>0</v>
      </c>
      <c r="L1336" s="19" t="b">
        <v>0</v>
      </c>
      <c r="M1336" s="19" t="b">
        <v>0</v>
      </c>
      <c r="N1336" s="19" t="b">
        <v>0</v>
      </c>
      <c r="O1336" s="19" t="b">
        <v>0</v>
      </c>
      <c r="P1336" s="19" t="b">
        <v>0</v>
      </c>
    </row>
    <row r="1337" spans="1:16" x14ac:dyDescent="0.2">
      <c r="A1337" s="18">
        <v>2069085</v>
      </c>
      <c r="B1337" s="18" t="s">
        <v>3618</v>
      </c>
      <c r="C1337" s="18" t="s">
        <v>121</v>
      </c>
      <c r="D1337" s="18" t="s">
        <v>11</v>
      </c>
      <c r="E1337" s="19">
        <v>44889</v>
      </c>
      <c r="F1337" s="18" t="s">
        <v>3619</v>
      </c>
      <c r="G1337" s="19">
        <v>44901</v>
      </c>
      <c r="H1337" s="19">
        <v>44954</v>
      </c>
      <c r="I1337" s="18" t="s">
        <v>16</v>
      </c>
      <c r="J1337" s="19" t="b">
        <v>1</v>
      </c>
      <c r="K1337" s="19" t="b">
        <v>0</v>
      </c>
      <c r="L1337" s="19" t="b">
        <v>0</v>
      </c>
      <c r="M1337" s="19" t="b">
        <v>0</v>
      </c>
      <c r="N1337" s="19" t="b">
        <v>1</v>
      </c>
      <c r="O1337" s="19" t="b">
        <v>0</v>
      </c>
      <c r="P1337" s="19" t="b">
        <v>0</v>
      </c>
    </row>
    <row r="1338" spans="1:16" x14ac:dyDescent="0.2">
      <c r="A1338" s="18">
        <v>2069085</v>
      </c>
      <c r="B1338" s="18" t="s">
        <v>3620</v>
      </c>
      <c r="C1338" s="18" t="s">
        <v>121</v>
      </c>
      <c r="D1338" s="18" t="s">
        <v>11</v>
      </c>
      <c r="E1338" s="19">
        <v>45072</v>
      </c>
      <c r="F1338" s="18" t="s">
        <v>3621</v>
      </c>
      <c r="G1338" s="19">
        <v>45079</v>
      </c>
      <c r="H1338" s="19">
        <v>45114</v>
      </c>
      <c r="I1338" s="18"/>
      <c r="J1338" s="19" t="b">
        <v>1</v>
      </c>
      <c r="K1338" s="19" t="b">
        <v>0</v>
      </c>
      <c r="L1338" s="19" t="b">
        <v>0</v>
      </c>
      <c r="M1338" s="19" t="b">
        <v>0</v>
      </c>
      <c r="N1338" s="19" t="b">
        <v>0</v>
      </c>
      <c r="O1338" s="19" t="b">
        <v>0</v>
      </c>
      <c r="P1338" s="19" t="b">
        <v>0</v>
      </c>
    </row>
    <row r="1339" spans="1:16" x14ac:dyDescent="0.2">
      <c r="A1339" s="18">
        <v>2069085</v>
      </c>
      <c r="B1339" s="18" t="s">
        <v>3622</v>
      </c>
      <c r="C1339" s="18" t="s">
        <v>121</v>
      </c>
      <c r="D1339" s="18" t="s">
        <v>11</v>
      </c>
      <c r="E1339" s="19">
        <v>44595</v>
      </c>
      <c r="F1339" s="18" t="s">
        <v>3623</v>
      </c>
      <c r="G1339" s="19">
        <v>44617</v>
      </c>
      <c r="H1339" s="19">
        <v>44672</v>
      </c>
      <c r="I1339" s="18"/>
      <c r="J1339" s="19" t="b">
        <v>1</v>
      </c>
      <c r="K1339" s="19" t="b">
        <v>0</v>
      </c>
      <c r="L1339" s="19" t="b">
        <v>0</v>
      </c>
      <c r="M1339" s="19" t="b">
        <v>0</v>
      </c>
      <c r="N1339" s="19" t="b">
        <v>0</v>
      </c>
      <c r="O1339" s="19" t="b">
        <v>0</v>
      </c>
      <c r="P1339" s="19" t="b">
        <v>0</v>
      </c>
    </row>
    <row r="1340" spans="1:16" x14ac:dyDescent="0.2">
      <c r="A1340" s="18">
        <v>2069085</v>
      </c>
      <c r="B1340" s="18" t="s">
        <v>3624</v>
      </c>
      <c r="C1340" s="18" t="s">
        <v>121</v>
      </c>
      <c r="D1340" s="18" t="s">
        <v>11</v>
      </c>
      <c r="E1340" s="19">
        <v>44915</v>
      </c>
      <c r="F1340" s="18" t="s">
        <v>3625</v>
      </c>
      <c r="G1340" s="19">
        <v>44918</v>
      </c>
      <c r="H1340" s="19">
        <v>44932</v>
      </c>
      <c r="I1340" s="18" t="s">
        <v>16</v>
      </c>
      <c r="J1340" s="19" t="b">
        <v>1</v>
      </c>
      <c r="K1340" s="19" t="b">
        <v>0</v>
      </c>
      <c r="L1340" s="19" t="b">
        <v>0</v>
      </c>
      <c r="M1340" s="19" t="b">
        <v>0</v>
      </c>
      <c r="N1340" s="19" t="b">
        <v>1</v>
      </c>
      <c r="O1340" s="19" t="b">
        <v>0</v>
      </c>
      <c r="P1340" s="19" t="b">
        <v>0</v>
      </c>
    </row>
    <row r="1341" spans="1:16" x14ac:dyDescent="0.2">
      <c r="A1341" s="18">
        <v>9885075</v>
      </c>
      <c r="B1341" s="18" t="s">
        <v>3626</v>
      </c>
      <c r="C1341" s="18" t="s">
        <v>542</v>
      </c>
      <c r="D1341" s="18" t="s">
        <v>11</v>
      </c>
      <c r="E1341" s="19">
        <v>44592</v>
      </c>
      <c r="F1341" s="18" t="s">
        <v>3627</v>
      </c>
      <c r="G1341" s="19">
        <v>44597</v>
      </c>
      <c r="H1341" s="19">
        <v>44637</v>
      </c>
      <c r="I1341" s="18"/>
      <c r="J1341" s="19" t="b">
        <v>1</v>
      </c>
      <c r="K1341" s="19" t="b">
        <v>0</v>
      </c>
      <c r="L1341" s="19" t="b">
        <v>0</v>
      </c>
      <c r="M1341" s="19" t="b">
        <v>0</v>
      </c>
      <c r="N1341" s="19" t="b">
        <v>0</v>
      </c>
      <c r="O1341" s="19" t="b">
        <v>0</v>
      </c>
      <c r="P1341" s="19" t="b">
        <v>0</v>
      </c>
    </row>
    <row r="1342" spans="1:16" x14ac:dyDescent="0.2">
      <c r="A1342" s="18">
        <v>9885075</v>
      </c>
      <c r="B1342" s="18" t="s">
        <v>3628</v>
      </c>
      <c r="C1342" s="18" t="s">
        <v>542</v>
      </c>
      <c r="D1342" s="18" t="s">
        <v>11</v>
      </c>
      <c r="E1342" s="19">
        <v>44987</v>
      </c>
      <c r="F1342" s="18" t="s">
        <v>3629</v>
      </c>
      <c r="G1342" s="19">
        <v>45012</v>
      </c>
      <c r="H1342" s="19">
        <v>45014</v>
      </c>
      <c r="I1342" s="18" t="s">
        <v>28</v>
      </c>
      <c r="J1342" s="19" t="b">
        <v>1</v>
      </c>
      <c r="K1342" s="19" t="b">
        <v>0</v>
      </c>
      <c r="L1342" s="19" t="b">
        <v>0</v>
      </c>
      <c r="M1342" s="19" t="b">
        <v>0</v>
      </c>
      <c r="N1342" s="19" t="b">
        <v>0</v>
      </c>
      <c r="O1342" s="19" t="b">
        <v>0</v>
      </c>
      <c r="P1342" s="19" t="b">
        <v>1</v>
      </c>
    </row>
    <row r="1343" spans="1:16" x14ac:dyDescent="0.2">
      <c r="A1343" s="18">
        <v>9885075</v>
      </c>
      <c r="B1343" s="18" t="s">
        <v>3630</v>
      </c>
      <c r="C1343" s="18" t="s">
        <v>542</v>
      </c>
      <c r="D1343" s="18" t="s">
        <v>11</v>
      </c>
      <c r="E1343" s="19">
        <v>45064</v>
      </c>
      <c r="F1343" s="18" t="s">
        <v>1611</v>
      </c>
      <c r="G1343" s="19">
        <v>45072</v>
      </c>
      <c r="H1343" s="19">
        <v>45097</v>
      </c>
      <c r="I1343" s="18" t="s">
        <v>28</v>
      </c>
      <c r="J1343" s="19" t="b">
        <v>1</v>
      </c>
      <c r="K1343" s="19" t="b">
        <v>0</v>
      </c>
      <c r="L1343" s="19" t="b">
        <v>0</v>
      </c>
      <c r="M1343" s="19" t="b">
        <v>0</v>
      </c>
      <c r="N1343" s="19" t="b">
        <v>0</v>
      </c>
      <c r="O1343" s="19" t="b">
        <v>0</v>
      </c>
      <c r="P1343" s="19" t="b">
        <v>1</v>
      </c>
    </row>
    <row r="1344" spans="1:16" x14ac:dyDescent="0.2">
      <c r="A1344" s="18">
        <v>4662556</v>
      </c>
      <c r="B1344" s="18" t="s">
        <v>3633</v>
      </c>
      <c r="C1344" s="18" t="s">
        <v>454</v>
      </c>
      <c r="D1344" s="18" t="s">
        <v>122</v>
      </c>
      <c r="E1344" s="19">
        <v>44847</v>
      </c>
      <c r="F1344" s="18" t="s">
        <v>2431</v>
      </c>
      <c r="G1344" s="19">
        <v>44858</v>
      </c>
      <c r="H1344" s="19">
        <v>44908</v>
      </c>
      <c r="I1344" s="18" t="s">
        <v>43</v>
      </c>
      <c r="J1344" s="19" t="b">
        <v>1</v>
      </c>
      <c r="K1344" s="19" t="b">
        <v>0</v>
      </c>
      <c r="L1344" s="19" t="b">
        <v>0</v>
      </c>
      <c r="M1344" s="19" t="b">
        <v>0</v>
      </c>
      <c r="N1344" s="19" t="b">
        <v>0</v>
      </c>
      <c r="O1344" s="19" t="b">
        <v>1</v>
      </c>
      <c r="P1344" s="19" t="b">
        <v>0</v>
      </c>
    </row>
    <row r="1345" spans="1:16" x14ac:dyDescent="0.2">
      <c r="A1345" s="18">
        <v>4662556</v>
      </c>
      <c r="B1345" s="18" t="s">
        <v>3634</v>
      </c>
      <c r="C1345" s="18" t="s">
        <v>454</v>
      </c>
      <c r="D1345" s="18" t="s">
        <v>122</v>
      </c>
      <c r="E1345" s="19">
        <v>44887</v>
      </c>
      <c r="F1345" s="18" t="s">
        <v>2413</v>
      </c>
      <c r="G1345" s="19">
        <v>44904</v>
      </c>
      <c r="H1345" s="19">
        <v>44939</v>
      </c>
      <c r="I1345" s="18" t="s">
        <v>16</v>
      </c>
      <c r="J1345" s="19" t="b">
        <v>1</v>
      </c>
      <c r="K1345" s="19" t="b">
        <v>0</v>
      </c>
      <c r="L1345" s="19" t="b">
        <v>0</v>
      </c>
      <c r="M1345" s="19" t="b">
        <v>0</v>
      </c>
      <c r="N1345" s="19" t="b">
        <v>1</v>
      </c>
      <c r="O1345" s="19" t="b">
        <v>0</v>
      </c>
      <c r="P1345" s="19" t="b">
        <v>0</v>
      </c>
    </row>
    <row r="1346" spans="1:16" x14ac:dyDescent="0.2">
      <c r="A1346" s="18">
        <v>4662556</v>
      </c>
      <c r="B1346" s="18" t="s">
        <v>3635</v>
      </c>
      <c r="C1346" s="18" t="s">
        <v>454</v>
      </c>
      <c r="D1346" s="18" t="s">
        <v>122</v>
      </c>
      <c r="E1346" s="19">
        <v>45068</v>
      </c>
      <c r="F1346" s="18" t="s">
        <v>3636</v>
      </c>
      <c r="G1346" s="19">
        <v>45093</v>
      </c>
      <c r="H1346" s="19">
        <v>45123</v>
      </c>
      <c r="I1346" s="18" t="s">
        <v>43</v>
      </c>
      <c r="J1346" s="19" t="b">
        <v>1</v>
      </c>
      <c r="K1346" s="19" t="b">
        <v>0</v>
      </c>
      <c r="L1346" s="19" t="b">
        <v>0</v>
      </c>
      <c r="M1346" s="19" t="b">
        <v>0</v>
      </c>
      <c r="N1346" s="19" t="b">
        <v>0</v>
      </c>
      <c r="O1346" s="19" t="b">
        <v>1</v>
      </c>
      <c r="P1346" s="19" t="b">
        <v>0</v>
      </c>
    </row>
    <row r="1347" spans="1:16" x14ac:dyDescent="0.2">
      <c r="A1347" s="18">
        <v>3980080</v>
      </c>
      <c r="B1347" s="18" t="s">
        <v>3639</v>
      </c>
      <c r="C1347" s="18" t="s">
        <v>59</v>
      </c>
      <c r="D1347" s="18" t="s">
        <v>11</v>
      </c>
      <c r="E1347" s="19">
        <v>44738</v>
      </c>
      <c r="F1347" s="18" t="s">
        <v>257</v>
      </c>
      <c r="G1347" s="19">
        <v>44760</v>
      </c>
      <c r="H1347" s="19">
        <v>44819</v>
      </c>
      <c r="I1347" s="18" t="s">
        <v>28</v>
      </c>
      <c r="J1347" s="19" t="b">
        <v>1</v>
      </c>
      <c r="K1347" s="19" t="b">
        <v>0</v>
      </c>
      <c r="L1347" s="19" t="b">
        <v>0</v>
      </c>
      <c r="M1347" s="19" t="b">
        <v>0</v>
      </c>
      <c r="N1347" s="19" t="b">
        <v>0</v>
      </c>
      <c r="O1347" s="19" t="b">
        <v>0</v>
      </c>
      <c r="P1347" s="19" t="b">
        <v>1</v>
      </c>
    </row>
    <row r="1348" spans="1:16" x14ac:dyDescent="0.2">
      <c r="A1348" s="18">
        <v>2649587</v>
      </c>
      <c r="B1348" s="18" t="s">
        <v>3640</v>
      </c>
      <c r="C1348" s="18" t="s">
        <v>59</v>
      </c>
      <c r="D1348" s="18" t="s">
        <v>81</v>
      </c>
      <c r="E1348" s="19">
        <v>44591</v>
      </c>
      <c r="F1348" s="18" t="s">
        <v>3641</v>
      </c>
      <c r="G1348" s="19">
        <v>44611</v>
      </c>
      <c r="H1348" s="19">
        <v>44626</v>
      </c>
      <c r="I1348" s="18"/>
      <c r="J1348" s="19" t="b">
        <v>1</v>
      </c>
      <c r="K1348" s="19" t="b">
        <v>0</v>
      </c>
      <c r="L1348" s="19" t="b">
        <v>0</v>
      </c>
      <c r="M1348" s="19" t="b">
        <v>0</v>
      </c>
      <c r="N1348" s="19" t="b">
        <v>0</v>
      </c>
      <c r="O1348" s="19" t="b">
        <v>0</v>
      </c>
      <c r="P1348" s="19" t="b">
        <v>0</v>
      </c>
    </row>
    <row r="1349" spans="1:16" x14ac:dyDescent="0.2">
      <c r="A1349" s="18">
        <v>2649587</v>
      </c>
      <c r="B1349" s="18" t="s">
        <v>3644</v>
      </c>
      <c r="C1349" s="18" t="s">
        <v>59</v>
      </c>
      <c r="D1349" s="18" t="s">
        <v>81</v>
      </c>
      <c r="E1349" s="19">
        <v>44894</v>
      </c>
      <c r="F1349" s="18" t="s">
        <v>3645</v>
      </c>
      <c r="G1349" s="19">
        <v>44914</v>
      </c>
      <c r="H1349" s="19">
        <v>44930</v>
      </c>
      <c r="I1349" s="18"/>
      <c r="J1349" s="19" t="b">
        <v>1</v>
      </c>
      <c r="K1349" s="19" t="b">
        <v>0</v>
      </c>
      <c r="L1349" s="19" t="b">
        <v>0</v>
      </c>
      <c r="M1349" s="19" t="b">
        <v>0</v>
      </c>
      <c r="N1349" s="19" t="b">
        <v>0</v>
      </c>
      <c r="O1349" s="19" t="b">
        <v>0</v>
      </c>
      <c r="P1349" s="19" t="b">
        <v>0</v>
      </c>
    </row>
    <row r="1350" spans="1:16" x14ac:dyDescent="0.2">
      <c r="A1350" s="18">
        <v>1381170</v>
      </c>
      <c r="B1350" s="18" t="s">
        <v>3648</v>
      </c>
      <c r="C1350" s="18" t="s">
        <v>138</v>
      </c>
      <c r="D1350" s="18" t="s">
        <v>81</v>
      </c>
      <c r="E1350" s="19">
        <v>44727</v>
      </c>
      <c r="F1350" s="18" t="s">
        <v>1521</v>
      </c>
      <c r="G1350" s="19">
        <v>44742</v>
      </c>
      <c r="H1350" s="19">
        <v>44766</v>
      </c>
      <c r="I1350" s="18" t="s">
        <v>43</v>
      </c>
      <c r="J1350" s="19" t="b">
        <v>1</v>
      </c>
      <c r="K1350" s="19" t="b">
        <v>0</v>
      </c>
      <c r="L1350" s="19" t="b">
        <v>0</v>
      </c>
      <c r="M1350" s="19" t="b">
        <v>0</v>
      </c>
      <c r="N1350" s="19" t="b">
        <v>0</v>
      </c>
      <c r="O1350" s="19" t="b">
        <v>1</v>
      </c>
      <c r="P1350" s="19" t="b">
        <v>0</v>
      </c>
    </row>
    <row r="1351" spans="1:16" x14ac:dyDescent="0.2">
      <c r="A1351" s="18">
        <v>1381170</v>
      </c>
      <c r="B1351" s="18" t="s">
        <v>3649</v>
      </c>
      <c r="C1351" s="18" t="s">
        <v>138</v>
      </c>
      <c r="D1351" s="18" t="s">
        <v>81</v>
      </c>
      <c r="E1351" s="19">
        <v>44766</v>
      </c>
      <c r="F1351" s="18" t="s">
        <v>3650</v>
      </c>
      <c r="G1351" s="19">
        <v>44777</v>
      </c>
      <c r="H1351" s="19">
        <v>44786</v>
      </c>
      <c r="I1351" s="18" t="s">
        <v>43</v>
      </c>
      <c r="J1351" s="19" t="b">
        <v>1</v>
      </c>
      <c r="K1351" s="19" t="b">
        <v>0</v>
      </c>
      <c r="L1351" s="19" t="b">
        <v>0</v>
      </c>
      <c r="M1351" s="19" t="b">
        <v>0</v>
      </c>
      <c r="N1351" s="19" t="b">
        <v>0</v>
      </c>
      <c r="O1351" s="19" t="b">
        <v>1</v>
      </c>
      <c r="P1351" s="19" t="b">
        <v>0</v>
      </c>
    </row>
    <row r="1352" spans="1:16" x14ac:dyDescent="0.2">
      <c r="A1352" s="18">
        <v>1381170</v>
      </c>
      <c r="B1352" s="18" t="s">
        <v>3653</v>
      </c>
      <c r="C1352" s="18" t="s">
        <v>138</v>
      </c>
      <c r="D1352" s="18" t="s">
        <v>81</v>
      </c>
      <c r="E1352" s="19">
        <v>45016</v>
      </c>
      <c r="F1352" s="18" t="s">
        <v>3654</v>
      </c>
      <c r="G1352" s="19">
        <v>45024</v>
      </c>
      <c r="H1352" s="19">
        <v>45075</v>
      </c>
      <c r="I1352" s="18" t="s">
        <v>43</v>
      </c>
      <c r="J1352" s="19" t="b">
        <v>1</v>
      </c>
      <c r="K1352" s="19" t="b">
        <v>0</v>
      </c>
      <c r="L1352" s="19" t="b">
        <v>0</v>
      </c>
      <c r="M1352" s="19" t="b">
        <v>0</v>
      </c>
      <c r="N1352" s="19" t="b">
        <v>0</v>
      </c>
      <c r="O1352" s="19" t="b">
        <v>1</v>
      </c>
      <c r="P1352" s="19" t="b">
        <v>0</v>
      </c>
    </row>
    <row r="1353" spans="1:16" x14ac:dyDescent="0.2">
      <c r="A1353" s="18">
        <v>3967518</v>
      </c>
      <c r="B1353" s="18" t="s">
        <v>3655</v>
      </c>
      <c r="C1353" s="18" t="s">
        <v>287</v>
      </c>
      <c r="D1353" s="18" t="s">
        <v>139</v>
      </c>
      <c r="E1353" s="19">
        <v>44725</v>
      </c>
      <c r="F1353" s="18" t="s">
        <v>586</v>
      </c>
      <c r="G1353" s="19">
        <v>44733</v>
      </c>
      <c r="H1353" s="19">
        <v>44763</v>
      </c>
      <c r="I1353" s="18" t="s">
        <v>28</v>
      </c>
      <c r="J1353" s="19" t="b">
        <v>1</v>
      </c>
      <c r="K1353" s="19" t="b">
        <v>0</v>
      </c>
      <c r="L1353" s="19" t="b">
        <v>0</v>
      </c>
      <c r="M1353" s="19" t="b">
        <v>0</v>
      </c>
      <c r="N1353" s="19" t="b">
        <v>0</v>
      </c>
      <c r="O1353" s="19" t="b">
        <v>0</v>
      </c>
      <c r="P1353" s="19" t="b">
        <v>1</v>
      </c>
    </row>
    <row r="1354" spans="1:16" x14ac:dyDescent="0.2">
      <c r="A1354" s="18">
        <v>2171758</v>
      </c>
      <c r="B1354" s="18" t="s">
        <v>3656</v>
      </c>
      <c r="C1354" s="18" t="s">
        <v>10</v>
      </c>
      <c r="D1354" s="18" t="s">
        <v>56</v>
      </c>
      <c r="E1354" s="19">
        <v>44634</v>
      </c>
      <c r="F1354" s="18" t="s">
        <v>3657</v>
      </c>
      <c r="G1354" s="19">
        <v>44660</v>
      </c>
      <c r="H1354" s="19">
        <v>44687</v>
      </c>
      <c r="I1354" s="18"/>
      <c r="J1354" s="19" t="b">
        <v>1</v>
      </c>
      <c r="K1354" s="19" t="b">
        <v>0</v>
      </c>
      <c r="L1354" s="19" t="b">
        <v>0</v>
      </c>
      <c r="M1354" s="19" t="b">
        <v>0</v>
      </c>
      <c r="N1354" s="19" t="b">
        <v>0</v>
      </c>
      <c r="O1354" s="19" t="b">
        <v>0</v>
      </c>
      <c r="P1354" s="19" t="b">
        <v>0</v>
      </c>
    </row>
    <row r="1355" spans="1:16" x14ac:dyDescent="0.2">
      <c r="A1355" s="18">
        <v>2171758</v>
      </c>
      <c r="B1355" s="18" t="s">
        <v>3658</v>
      </c>
      <c r="C1355" s="18" t="s">
        <v>10</v>
      </c>
      <c r="D1355" s="18" t="s">
        <v>56</v>
      </c>
      <c r="E1355" s="19">
        <v>44586</v>
      </c>
      <c r="F1355" s="18" t="s">
        <v>2127</v>
      </c>
      <c r="G1355" s="19">
        <v>44601</v>
      </c>
      <c r="H1355" s="19">
        <v>44632</v>
      </c>
      <c r="I1355" s="18" t="s">
        <v>16</v>
      </c>
      <c r="J1355" s="19" t="b">
        <v>1</v>
      </c>
      <c r="K1355" s="19" t="b">
        <v>0</v>
      </c>
      <c r="L1355" s="19" t="b">
        <v>0</v>
      </c>
      <c r="M1355" s="19" t="b">
        <v>0</v>
      </c>
      <c r="N1355" s="19" t="b">
        <v>1</v>
      </c>
      <c r="O1355" s="19" t="b">
        <v>0</v>
      </c>
      <c r="P1355" s="19" t="b">
        <v>0</v>
      </c>
    </row>
    <row r="1356" spans="1:16" x14ac:dyDescent="0.2">
      <c r="A1356" s="18">
        <v>2171758</v>
      </c>
      <c r="B1356" s="18" t="s">
        <v>3659</v>
      </c>
      <c r="C1356" s="18" t="s">
        <v>10</v>
      </c>
      <c r="D1356" s="18" t="s">
        <v>56</v>
      </c>
      <c r="E1356" s="19">
        <v>44969</v>
      </c>
      <c r="F1356" s="18" t="s">
        <v>3434</v>
      </c>
      <c r="G1356" s="19">
        <v>44996</v>
      </c>
      <c r="H1356" s="19">
        <v>45049</v>
      </c>
      <c r="I1356" s="18" t="s">
        <v>16</v>
      </c>
      <c r="J1356" s="19" t="b">
        <v>1</v>
      </c>
      <c r="K1356" s="19" t="b">
        <v>0</v>
      </c>
      <c r="L1356" s="19" t="b">
        <v>0</v>
      </c>
      <c r="M1356" s="19" t="b">
        <v>0</v>
      </c>
      <c r="N1356" s="19" t="b">
        <v>1</v>
      </c>
      <c r="O1356" s="19" t="b">
        <v>0</v>
      </c>
      <c r="P1356" s="19" t="b">
        <v>0</v>
      </c>
    </row>
    <row r="1357" spans="1:16" x14ac:dyDescent="0.2">
      <c r="A1357" s="18">
        <v>2171758</v>
      </c>
      <c r="B1357" s="18" t="s">
        <v>3660</v>
      </c>
      <c r="C1357" s="18" t="s">
        <v>10</v>
      </c>
      <c r="D1357" s="18" t="s">
        <v>56</v>
      </c>
      <c r="E1357" s="19">
        <v>45085</v>
      </c>
      <c r="F1357" s="18" t="s">
        <v>3661</v>
      </c>
      <c r="G1357" s="19">
        <v>45106</v>
      </c>
      <c r="H1357" s="19">
        <v>45148</v>
      </c>
      <c r="I1357" s="18" t="s">
        <v>16</v>
      </c>
      <c r="J1357" s="19" t="b">
        <v>1</v>
      </c>
      <c r="K1357" s="19" t="b">
        <v>0</v>
      </c>
      <c r="L1357" s="19" t="b">
        <v>0</v>
      </c>
      <c r="M1357" s="19" t="b">
        <v>0</v>
      </c>
      <c r="N1357" s="19" t="b">
        <v>1</v>
      </c>
      <c r="O1357" s="19" t="b">
        <v>0</v>
      </c>
      <c r="P1357" s="19" t="b">
        <v>0</v>
      </c>
    </row>
    <row r="1358" spans="1:16" x14ac:dyDescent="0.2">
      <c r="A1358" s="18">
        <v>3834568</v>
      </c>
      <c r="B1358" s="18" t="s">
        <v>3667</v>
      </c>
      <c r="C1358" s="18" t="s">
        <v>542</v>
      </c>
      <c r="D1358" s="18" t="s">
        <v>60</v>
      </c>
      <c r="E1358" s="19">
        <v>44828</v>
      </c>
      <c r="F1358" s="18" t="s">
        <v>728</v>
      </c>
      <c r="G1358" s="19">
        <v>44839</v>
      </c>
      <c r="H1358" s="19">
        <v>44858</v>
      </c>
      <c r="I1358" s="18"/>
      <c r="J1358" s="19" t="b">
        <v>1</v>
      </c>
      <c r="K1358" s="19" t="b">
        <v>0</v>
      </c>
      <c r="L1358" s="19" t="b">
        <v>0</v>
      </c>
      <c r="M1358" s="19" t="b">
        <v>0</v>
      </c>
      <c r="N1358" s="19" t="b">
        <v>0</v>
      </c>
      <c r="O1358" s="19" t="b">
        <v>0</v>
      </c>
      <c r="P1358" s="19" t="b">
        <v>0</v>
      </c>
    </row>
    <row r="1359" spans="1:16" x14ac:dyDescent="0.2">
      <c r="A1359" s="18">
        <v>8460359</v>
      </c>
      <c r="B1359" s="18" t="s">
        <v>3668</v>
      </c>
      <c r="C1359" s="18" t="s">
        <v>720</v>
      </c>
      <c r="D1359" s="18" t="s">
        <v>77</v>
      </c>
      <c r="E1359" s="19">
        <v>44713</v>
      </c>
      <c r="F1359" s="18" t="s">
        <v>1653</v>
      </c>
      <c r="G1359" s="19">
        <v>44730</v>
      </c>
      <c r="H1359" s="19">
        <v>44749</v>
      </c>
      <c r="I1359" s="18" t="s">
        <v>16</v>
      </c>
      <c r="J1359" s="19" t="b">
        <v>1</v>
      </c>
      <c r="K1359" s="19" t="b">
        <v>0</v>
      </c>
      <c r="L1359" s="19" t="b">
        <v>0</v>
      </c>
      <c r="M1359" s="19" t="b">
        <v>0</v>
      </c>
      <c r="N1359" s="19" t="b">
        <v>1</v>
      </c>
      <c r="O1359" s="19" t="b">
        <v>0</v>
      </c>
      <c r="P1359" s="19" t="b">
        <v>0</v>
      </c>
    </row>
    <row r="1360" spans="1:16" x14ac:dyDescent="0.2">
      <c r="A1360" s="18">
        <v>6112711</v>
      </c>
      <c r="B1360" s="18" t="s">
        <v>3674</v>
      </c>
      <c r="C1360" s="18" t="s">
        <v>363</v>
      </c>
      <c r="D1360" s="18" t="s">
        <v>77</v>
      </c>
      <c r="E1360" s="19">
        <v>44795</v>
      </c>
      <c r="F1360" s="18" t="s">
        <v>3675</v>
      </c>
      <c r="G1360" s="19">
        <v>44796</v>
      </c>
      <c r="H1360" s="19">
        <v>44851</v>
      </c>
      <c r="I1360" s="18"/>
      <c r="J1360" s="19" t="b">
        <v>1</v>
      </c>
      <c r="K1360" s="19" t="b">
        <v>0</v>
      </c>
      <c r="L1360" s="19" t="b">
        <v>0</v>
      </c>
      <c r="M1360" s="19" t="b">
        <v>0</v>
      </c>
      <c r="N1360" s="19" t="b">
        <v>0</v>
      </c>
      <c r="O1360" s="19" t="b">
        <v>0</v>
      </c>
      <c r="P1360" s="19" t="b">
        <v>0</v>
      </c>
    </row>
    <row r="1361" spans="1:16" x14ac:dyDescent="0.2">
      <c r="A1361" s="18">
        <v>7109621</v>
      </c>
      <c r="B1361" s="18" t="s">
        <v>3678</v>
      </c>
      <c r="C1361" s="18" t="s">
        <v>138</v>
      </c>
      <c r="D1361" s="18" t="s">
        <v>139</v>
      </c>
      <c r="E1361" s="19">
        <v>44721</v>
      </c>
      <c r="F1361" s="18" t="s">
        <v>2919</v>
      </c>
      <c r="G1361" s="19">
        <v>44740</v>
      </c>
      <c r="H1361" s="19">
        <v>44795</v>
      </c>
      <c r="I1361" s="18" t="s">
        <v>43</v>
      </c>
      <c r="J1361" s="19" t="b">
        <v>1</v>
      </c>
      <c r="K1361" s="19" t="b">
        <v>0</v>
      </c>
      <c r="L1361" s="19" t="b">
        <v>0</v>
      </c>
      <c r="M1361" s="19" t="b">
        <v>0</v>
      </c>
      <c r="N1361" s="19" t="b">
        <v>0</v>
      </c>
      <c r="O1361" s="19" t="b">
        <v>1</v>
      </c>
      <c r="P1361" s="19" t="b">
        <v>0</v>
      </c>
    </row>
    <row r="1362" spans="1:16" x14ac:dyDescent="0.2">
      <c r="A1362" s="18">
        <v>7109621</v>
      </c>
      <c r="B1362" s="18" t="s">
        <v>3679</v>
      </c>
      <c r="C1362" s="18" t="s">
        <v>138</v>
      </c>
      <c r="D1362" s="18" t="s">
        <v>139</v>
      </c>
      <c r="E1362" s="19">
        <v>45058</v>
      </c>
      <c r="F1362" s="18" t="s">
        <v>561</v>
      </c>
      <c r="G1362" s="19">
        <v>45079</v>
      </c>
      <c r="H1362" s="19">
        <v>45090</v>
      </c>
      <c r="I1362" s="18" t="s">
        <v>28</v>
      </c>
      <c r="J1362" s="19" t="b">
        <v>1</v>
      </c>
      <c r="K1362" s="19" t="b">
        <v>0</v>
      </c>
      <c r="L1362" s="19" t="b">
        <v>0</v>
      </c>
      <c r="M1362" s="19" t="b">
        <v>0</v>
      </c>
      <c r="N1362" s="19" t="b">
        <v>0</v>
      </c>
      <c r="O1362" s="19" t="b">
        <v>0</v>
      </c>
      <c r="P1362" s="19" t="b">
        <v>1</v>
      </c>
    </row>
    <row r="1363" spans="1:16" x14ac:dyDescent="0.2">
      <c r="A1363" s="18">
        <v>7109621</v>
      </c>
      <c r="B1363" s="18" t="s">
        <v>3680</v>
      </c>
      <c r="C1363" s="18" t="s">
        <v>138</v>
      </c>
      <c r="D1363" s="18" t="s">
        <v>139</v>
      </c>
      <c r="E1363" s="19">
        <v>44950</v>
      </c>
      <c r="F1363" s="18" t="s">
        <v>3650</v>
      </c>
      <c r="G1363" s="19">
        <v>44951</v>
      </c>
      <c r="H1363" s="19">
        <v>44994</v>
      </c>
      <c r="I1363" s="18"/>
      <c r="J1363" s="19" t="b">
        <v>1</v>
      </c>
      <c r="K1363" s="19" t="b">
        <v>0</v>
      </c>
      <c r="L1363" s="19" t="b">
        <v>0</v>
      </c>
      <c r="M1363" s="19" t="b">
        <v>0</v>
      </c>
      <c r="N1363" s="19" t="b">
        <v>0</v>
      </c>
      <c r="O1363" s="19" t="b">
        <v>0</v>
      </c>
      <c r="P1363" s="19" t="b">
        <v>0</v>
      </c>
    </row>
    <row r="1364" spans="1:16" x14ac:dyDescent="0.2">
      <c r="A1364" s="18">
        <v>7109621</v>
      </c>
      <c r="B1364" s="18" t="s">
        <v>3681</v>
      </c>
      <c r="C1364" s="18" t="s">
        <v>138</v>
      </c>
      <c r="D1364" s="18" t="s">
        <v>139</v>
      </c>
      <c r="E1364" s="19">
        <v>44773</v>
      </c>
      <c r="F1364" s="18" t="s">
        <v>3682</v>
      </c>
      <c r="G1364" s="19">
        <v>44781</v>
      </c>
      <c r="H1364" s="19">
        <v>44791</v>
      </c>
      <c r="I1364" s="18" t="s">
        <v>28</v>
      </c>
      <c r="J1364" s="19" t="b">
        <v>1</v>
      </c>
      <c r="K1364" s="19" t="b">
        <v>0</v>
      </c>
      <c r="L1364" s="19" t="b">
        <v>0</v>
      </c>
      <c r="M1364" s="19" t="b">
        <v>0</v>
      </c>
      <c r="N1364" s="19" t="b">
        <v>0</v>
      </c>
      <c r="O1364" s="19" t="b">
        <v>0</v>
      </c>
      <c r="P1364" s="19" t="b">
        <v>1</v>
      </c>
    </row>
    <row r="1365" spans="1:16" x14ac:dyDescent="0.2">
      <c r="A1365" s="18">
        <v>4304141</v>
      </c>
      <c r="B1365" s="18" t="s">
        <v>3685</v>
      </c>
      <c r="C1365" s="18" t="s">
        <v>542</v>
      </c>
      <c r="D1365" s="18" t="s">
        <v>77</v>
      </c>
      <c r="E1365" s="19">
        <v>45098</v>
      </c>
      <c r="F1365" s="18" t="s">
        <v>1406</v>
      </c>
      <c r="G1365" s="19">
        <v>45127</v>
      </c>
      <c r="H1365" s="19">
        <v>45142</v>
      </c>
      <c r="I1365" s="18" t="s">
        <v>16</v>
      </c>
      <c r="J1365" s="19" t="b">
        <v>1</v>
      </c>
      <c r="K1365" s="19" t="b">
        <v>0</v>
      </c>
      <c r="L1365" s="19" t="b">
        <v>0</v>
      </c>
      <c r="M1365" s="19" t="b">
        <v>0</v>
      </c>
      <c r="N1365" s="19" t="b">
        <v>1</v>
      </c>
      <c r="O1365" s="19" t="b">
        <v>0</v>
      </c>
      <c r="P1365" s="19" t="b">
        <v>0</v>
      </c>
    </row>
    <row r="1366" spans="1:16" x14ac:dyDescent="0.2">
      <c r="A1366" s="18">
        <v>4304141</v>
      </c>
      <c r="B1366" s="18" t="s">
        <v>3686</v>
      </c>
      <c r="C1366" s="18" t="s">
        <v>542</v>
      </c>
      <c r="D1366" s="18" t="s">
        <v>77</v>
      </c>
      <c r="E1366" s="19">
        <v>44970</v>
      </c>
      <c r="F1366" s="18" t="s">
        <v>1964</v>
      </c>
      <c r="G1366" s="19">
        <v>44991</v>
      </c>
      <c r="H1366" s="19">
        <v>44998</v>
      </c>
      <c r="I1366" s="18" t="s">
        <v>28</v>
      </c>
      <c r="J1366" s="19" t="b">
        <v>1</v>
      </c>
      <c r="K1366" s="19" t="b">
        <v>0</v>
      </c>
      <c r="L1366" s="19" t="b">
        <v>0</v>
      </c>
      <c r="M1366" s="19" t="b">
        <v>0</v>
      </c>
      <c r="N1366" s="19" t="b">
        <v>0</v>
      </c>
      <c r="O1366" s="19" t="b">
        <v>0</v>
      </c>
      <c r="P1366" s="19" t="b">
        <v>1</v>
      </c>
    </row>
    <row r="1367" spans="1:16" x14ac:dyDescent="0.2">
      <c r="A1367" s="18">
        <v>4304141</v>
      </c>
      <c r="B1367" s="18" t="s">
        <v>3687</v>
      </c>
      <c r="C1367" s="18" t="s">
        <v>542</v>
      </c>
      <c r="D1367" s="18" t="s">
        <v>77</v>
      </c>
      <c r="E1367" s="19">
        <v>44643</v>
      </c>
      <c r="F1367" s="18" t="s">
        <v>1325</v>
      </c>
      <c r="G1367" s="19">
        <v>44669</v>
      </c>
      <c r="H1367" s="19">
        <v>44673</v>
      </c>
      <c r="I1367" s="18" t="s">
        <v>16</v>
      </c>
      <c r="J1367" s="19" t="b">
        <v>1</v>
      </c>
      <c r="K1367" s="19" t="b">
        <v>0</v>
      </c>
      <c r="L1367" s="19" t="b">
        <v>0</v>
      </c>
      <c r="M1367" s="19" t="b">
        <v>0</v>
      </c>
      <c r="N1367" s="19" t="b">
        <v>1</v>
      </c>
      <c r="O1367" s="19" t="b">
        <v>0</v>
      </c>
      <c r="P1367" s="19" t="b">
        <v>0</v>
      </c>
    </row>
    <row r="1368" spans="1:16" x14ac:dyDescent="0.2">
      <c r="A1368" s="18">
        <v>4304141</v>
      </c>
      <c r="B1368" s="18" t="s">
        <v>3688</v>
      </c>
      <c r="C1368" s="18" t="s">
        <v>542</v>
      </c>
      <c r="D1368" s="18" t="s">
        <v>77</v>
      </c>
      <c r="E1368" s="19">
        <v>44749</v>
      </c>
      <c r="F1368" s="18" t="s">
        <v>3689</v>
      </c>
      <c r="G1368" s="19">
        <v>44772</v>
      </c>
      <c r="H1368" s="19">
        <v>44832</v>
      </c>
      <c r="I1368" s="18" t="s">
        <v>43</v>
      </c>
      <c r="J1368" s="19" t="b">
        <v>1</v>
      </c>
      <c r="K1368" s="19" t="b">
        <v>0</v>
      </c>
      <c r="L1368" s="19" t="b">
        <v>0</v>
      </c>
      <c r="M1368" s="19" t="b">
        <v>0</v>
      </c>
      <c r="N1368" s="19" t="b">
        <v>0</v>
      </c>
      <c r="O1368" s="19" t="b">
        <v>1</v>
      </c>
      <c r="P1368" s="19" t="b">
        <v>0</v>
      </c>
    </row>
    <row r="1369" spans="1:16" x14ac:dyDescent="0.2">
      <c r="A1369" s="18">
        <v>5111878</v>
      </c>
      <c r="B1369" s="18" t="s">
        <v>3692</v>
      </c>
      <c r="C1369" s="18" t="s">
        <v>93</v>
      </c>
      <c r="D1369" s="18" t="s">
        <v>77</v>
      </c>
      <c r="E1369" s="19">
        <v>44756</v>
      </c>
      <c r="F1369" s="18" t="s">
        <v>3693</v>
      </c>
      <c r="G1369" s="19">
        <v>44780</v>
      </c>
      <c r="H1369" s="19">
        <v>44834</v>
      </c>
      <c r="I1369" s="18" t="s">
        <v>28</v>
      </c>
      <c r="J1369" s="19" t="b">
        <v>1</v>
      </c>
      <c r="K1369" s="19" t="b">
        <v>0</v>
      </c>
      <c r="L1369" s="19" t="b">
        <v>0</v>
      </c>
      <c r="M1369" s="19" t="b">
        <v>0</v>
      </c>
      <c r="N1369" s="19" t="b">
        <v>0</v>
      </c>
      <c r="O1369" s="19" t="b">
        <v>0</v>
      </c>
      <c r="P1369" s="19" t="b">
        <v>1</v>
      </c>
    </row>
    <row r="1370" spans="1:16" x14ac:dyDescent="0.2">
      <c r="A1370" s="18">
        <v>1857027</v>
      </c>
      <c r="B1370" s="18" t="s">
        <v>3696</v>
      </c>
      <c r="C1370" s="18" t="s">
        <v>720</v>
      </c>
      <c r="D1370" s="18" t="s">
        <v>122</v>
      </c>
      <c r="E1370" s="19">
        <v>44764</v>
      </c>
      <c r="F1370" s="18" t="s">
        <v>3697</v>
      </c>
      <c r="G1370" s="19">
        <v>44768</v>
      </c>
      <c r="H1370" s="19">
        <v>44803</v>
      </c>
      <c r="I1370" s="18"/>
      <c r="J1370" s="19" t="b">
        <v>1</v>
      </c>
      <c r="K1370" s="19" t="b">
        <v>0</v>
      </c>
      <c r="L1370" s="19" t="b">
        <v>0</v>
      </c>
      <c r="M1370" s="19" t="b">
        <v>0</v>
      </c>
      <c r="N1370" s="19" t="b">
        <v>0</v>
      </c>
      <c r="O1370" s="19" t="b">
        <v>0</v>
      </c>
      <c r="P1370" s="19" t="b">
        <v>0</v>
      </c>
    </row>
    <row r="1371" spans="1:16" x14ac:dyDescent="0.2">
      <c r="A1371" s="18">
        <v>1857027</v>
      </c>
      <c r="B1371" s="18" t="s">
        <v>3698</v>
      </c>
      <c r="C1371" s="18" t="s">
        <v>720</v>
      </c>
      <c r="D1371" s="18" t="s">
        <v>122</v>
      </c>
      <c r="E1371" s="19">
        <v>44571</v>
      </c>
      <c r="F1371" s="18" t="s">
        <v>288</v>
      </c>
      <c r="G1371" s="19">
        <v>44590</v>
      </c>
      <c r="H1371" s="19">
        <v>44618</v>
      </c>
      <c r="I1371" s="18"/>
      <c r="J1371" s="19" t="b">
        <v>1</v>
      </c>
      <c r="K1371" s="19" t="b">
        <v>0</v>
      </c>
      <c r="L1371" s="19" t="b">
        <v>0</v>
      </c>
      <c r="M1371" s="19" t="b">
        <v>0</v>
      </c>
      <c r="N1371" s="19" t="b">
        <v>0</v>
      </c>
      <c r="O1371" s="19" t="b">
        <v>0</v>
      </c>
      <c r="P1371" s="19" t="b">
        <v>0</v>
      </c>
    </row>
    <row r="1372" spans="1:16" x14ac:dyDescent="0.2">
      <c r="A1372" s="18">
        <v>2871060</v>
      </c>
      <c r="B1372" s="18" t="s">
        <v>3699</v>
      </c>
      <c r="C1372" s="18" t="s">
        <v>138</v>
      </c>
      <c r="D1372" s="18" t="s">
        <v>77</v>
      </c>
      <c r="E1372" s="19">
        <v>44978</v>
      </c>
      <c r="F1372" s="18" t="s">
        <v>2251</v>
      </c>
      <c r="G1372" s="19">
        <v>44998</v>
      </c>
      <c r="H1372" s="19">
        <v>45016</v>
      </c>
      <c r="I1372" s="18"/>
      <c r="J1372" s="19" t="b">
        <v>1</v>
      </c>
      <c r="K1372" s="19" t="b">
        <v>0</v>
      </c>
      <c r="L1372" s="19" t="b">
        <v>0</v>
      </c>
      <c r="M1372" s="19" t="b">
        <v>0</v>
      </c>
      <c r="N1372" s="19" t="b">
        <v>0</v>
      </c>
      <c r="O1372" s="19" t="b">
        <v>0</v>
      </c>
      <c r="P1372" s="19" t="b">
        <v>0</v>
      </c>
    </row>
    <row r="1373" spans="1:16" x14ac:dyDescent="0.2">
      <c r="A1373" s="18">
        <v>2871060</v>
      </c>
      <c r="B1373" s="18" t="s">
        <v>3700</v>
      </c>
      <c r="C1373" s="18" t="s">
        <v>138</v>
      </c>
      <c r="D1373" s="18" t="s">
        <v>77</v>
      </c>
      <c r="E1373" s="19">
        <v>45056</v>
      </c>
      <c r="F1373" s="18" t="s">
        <v>3701</v>
      </c>
      <c r="G1373" s="19">
        <v>45073</v>
      </c>
      <c r="H1373" s="19">
        <v>45092</v>
      </c>
      <c r="I1373" s="18" t="s">
        <v>43</v>
      </c>
      <c r="J1373" s="19" t="b">
        <v>1</v>
      </c>
      <c r="K1373" s="19" t="b">
        <v>0</v>
      </c>
      <c r="L1373" s="19" t="b">
        <v>0</v>
      </c>
      <c r="M1373" s="19" t="b">
        <v>0</v>
      </c>
      <c r="N1373" s="19" t="b">
        <v>0</v>
      </c>
      <c r="O1373" s="19" t="b">
        <v>1</v>
      </c>
      <c r="P1373" s="19" t="b">
        <v>0</v>
      </c>
    </row>
    <row r="1374" spans="1:16" x14ac:dyDescent="0.2">
      <c r="A1374" s="18">
        <v>6027079</v>
      </c>
      <c r="B1374" s="18" t="s">
        <v>3703</v>
      </c>
      <c r="C1374" s="18" t="s">
        <v>282</v>
      </c>
      <c r="D1374" s="18" t="s">
        <v>139</v>
      </c>
      <c r="E1374" s="19">
        <v>45061</v>
      </c>
      <c r="F1374" s="18" t="s">
        <v>3704</v>
      </c>
      <c r="G1374" s="19">
        <v>45062</v>
      </c>
      <c r="H1374" s="19">
        <v>45083</v>
      </c>
      <c r="I1374" s="18" t="s">
        <v>16</v>
      </c>
      <c r="J1374" s="19" t="b">
        <v>1</v>
      </c>
      <c r="K1374" s="19" t="b">
        <v>0</v>
      </c>
      <c r="L1374" s="19" t="b">
        <v>0</v>
      </c>
      <c r="M1374" s="19" t="b">
        <v>0</v>
      </c>
      <c r="N1374" s="19" t="b">
        <v>1</v>
      </c>
      <c r="O1374" s="19" t="b">
        <v>0</v>
      </c>
      <c r="P1374" s="19" t="b">
        <v>0</v>
      </c>
    </row>
    <row r="1375" spans="1:16" x14ac:dyDescent="0.2">
      <c r="A1375" s="18">
        <v>9548795</v>
      </c>
      <c r="B1375" s="18" t="s">
        <v>3706</v>
      </c>
      <c r="C1375" s="18" t="s">
        <v>363</v>
      </c>
      <c r="D1375" s="18" t="s">
        <v>77</v>
      </c>
      <c r="E1375" s="19">
        <v>44749</v>
      </c>
      <c r="F1375" s="18" t="s">
        <v>3707</v>
      </c>
      <c r="G1375" s="19">
        <v>44756</v>
      </c>
      <c r="H1375" s="19">
        <v>44806</v>
      </c>
      <c r="I1375" s="18"/>
      <c r="J1375" s="19" t="b">
        <v>1</v>
      </c>
      <c r="K1375" s="19" t="b">
        <v>0</v>
      </c>
      <c r="L1375" s="19" t="b">
        <v>0</v>
      </c>
      <c r="M1375" s="19" t="b">
        <v>0</v>
      </c>
      <c r="N1375" s="19" t="b">
        <v>0</v>
      </c>
      <c r="O1375" s="19" t="b">
        <v>0</v>
      </c>
      <c r="P1375" s="19" t="b">
        <v>0</v>
      </c>
    </row>
    <row r="1376" spans="1:16" x14ac:dyDescent="0.2">
      <c r="A1376" s="18">
        <v>3593718</v>
      </c>
      <c r="B1376" s="18" t="s">
        <v>3710</v>
      </c>
      <c r="C1376" s="18" t="s">
        <v>720</v>
      </c>
      <c r="D1376" s="18" t="s">
        <v>187</v>
      </c>
      <c r="E1376" s="19">
        <v>44722</v>
      </c>
      <c r="F1376" s="18" t="s">
        <v>3711</v>
      </c>
      <c r="G1376" s="19">
        <v>44733</v>
      </c>
      <c r="H1376" s="19">
        <v>44767</v>
      </c>
      <c r="I1376" s="18" t="s">
        <v>43</v>
      </c>
      <c r="J1376" s="19" t="b">
        <v>1</v>
      </c>
      <c r="K1376" s="19" t="b">
        <v>0</v>
      </c>
      <c r="L1376" s="19" t="b">
        <v>0</v>
      </c>
      <c r="M1376" s="19" t="b">
        <v>0</v>
      </c>
      <c r="N1376" s="19" t="b">
        <v>0</v>
      </c>
      <c r="O1376" s="19" t="b">
        <v>1</v>
      </c>
      <c r="P1376" s="19" t="b">
        <v>0</v>
      </c>
    </row>
    <row r="1377" spans="1:16" x14ac:dyDescent="0.2">
      <c r="A1377" s="18">
        <v>3593718</v>
      </c>
      <c r="B1377" s="18" t="s">
        <v>3712</v>
      </c>
      <c r="C1377" s="18" t="s">
        <v>720</v>
      </c>
      <c r="D1377" s="18" t="s">
        <v>187</v>
      </c>
      <c r="E1377" s="19">
        <v>44837</v>
      </c>
      <c r="F1377" s="18" t="s">
        <v>3684</v>
      </c>
      <c r="G1377" s="19">
        <v>44845</v>
      </c>
      <c r="H1377" s="19">
        <v>44905</v>
      </c>
      <c r="I1377" s="18"/>
      <c r="J1377" s="19" t="b">
        <v>1</v>
      </c>
      <c r="K1377" s="19" t="b">
        <v>0</v>
      </c>
      <c r="L1377" s="19" t="b">
        <v>0</v>
      </c>
      <c r="M1377" s="19" t="b">
        <v>0</v>
      </c>
      <c r="N1377" s="19" t="b">
        <v>0</v>
      </c>
      <c r="O1377" s="19" t="b">
        <v>0</v>
      </c>
      <c r="P1377" s="19" t="b">
        <v>0</v>
      </c>
    </row>
    <row r="1378" spans="1:16" x14ac:dyDescent="0.2">
      <c r="A1378" s="18">
        <v>5409982</v>
      </c>
      <c r="B1378" s="18" t="s">
        <v>3714</v>
      </c>
      <c r="C1378" s="18" t="s">
        <v>363</v>
      </c>
      <c r="D1378" s="18" t="s">
        <v>11</v>
      </c>
      <c r="E1378" s="19">
        <v>44964</v>
      </c>
      <c r="F1378" s="18" t="s">
        <v>3715</v>
      </c>
      <c r="G1378" s="19">
        <v>44989</v>
      </c>
      <c r="H1378" s="19">
        <v>45016</v>
      </c>
      <c r="I1378" s="18"/>
      <c r="J1378" s="19" t="b">
        <v>1</v>
      </c>
      <c r="K1378" s="19" t="b">
        <v>0</v>
      </c>
      <c r="L1378" s="19" t="b">
        <v>0</v>
      </c>
      <c r="M1378" s="19" t="b">
        <v>0</v>
      </c>
      <c r="N1378" s="19" t="b">
        <v>0</v>
      </c>
      <c r="O1378" s="19" t="b">
        <v>0</v>
      </c>
      <c r="P1378" s="19" t="b">
        <v>0</v>
      </c>
    </row>
    <row r="1379" spans="1:16" x14ac:dyDescent="0.2">
      <c r="A1379" s="18">
        <v>6932624</v>
      </c>
      <c r="B1379" s="18" t="s">
        <v>3717</v>
      </c>
      <c r="C1379" s="18" t="s">
        <v>265</v>
      </c>
      <c r="D1379" s="18" t="s">
        <v>187</v>
      </c>
      <c r="E1379" s="19">
        <v>44769</v>
      </c>
      <c r="F1379" s="18" t="s">
        <v>1815</v>
      </c>
      <c r="G1379" s="19">
        <v>44776</v>
      </c>
      <c r="H1379" s="19">
        <v>44819</v>
      </c>
      <c r="I1379" s="18" t="s">
        <v>16</v>
      </c>
      <c r="J1379" s="19" t="b">
        <v>1</v>
      </c>
      <c r="K1379" s="19" t="b">
        <v>0</v>
      </c>
      <c r="L1379" s="19" t="b">
        <v>0</v>
      </c>
      <c r="M1379" s="19" t="b">
        <v>0</v>
      </c>
      <c r="N1379" s="19" t="b">
        <v>1</v>
      </c>
      <c r="O1379" s="19" t="b">
        <v>0</v>
      </c>
      <c r="P1379" s="19" t="b">
        <v>0</v>
      </c>
    </row>
    <row r="1380" spans="1:16" x14ac:dyDescent="0.2">
      <c r="A1380" s="18">
        <v>6932624</v>
      </c>
      <c r="B1380" s="18" t="s">
        <v>3718</v>
      </c>
      <c r="C1380" s="18" t="s">
        <v>265</v>
      </c>
      <c r="D1380" s="18" t="s">
        <v>187</v>
      </c>
      <c r="E1380" s="19">
        <v>44586</v>
      </c>
      <c r="F1380" s="18" t="s">
        <v>2150</v>
      </c>
      <c r="G1380" s="19">
        <v>44597</v>
      </c>
      <c r="H1380" s="19">
        <v>44625</v>
      </c>
      <c r="I1380" s="18" t="s">
        <v>28</v>
      </c>
      <c r="J1380" s="19" t="b">
        <v>1</v>
      </c>
      <c r="K1380" s="19" t="b">
        <v>0</v>
      </c>
      <c r="L1380" s="19" t="b">
        <v>0</v>
      </c>
      <c r="M1380" s="19" t="b">
        <v>0</v>
      </c>
      <c r="N1380" s="19" t="b">
        <v>0</v>
      </c>
      <c r="O1380" s="19" t="b">
        <v>0</v>
      </c>
      <c r="P1380" s="19" t="b">
        <v>1</v>
      </c>
    </row>
    <row r="1381" spans="1:16" x14ac:dyDescent="0.2">
      <c r="A1381" s="18">
        <v>6932624</v>
      </c>
      <c r="B1381" s="18" t="s">
        <v>3719</v>
      </c>
      <c r="C1381" s="18" t="s">
        <v>265</v>
      </c>
      <c r="D1381" s="18" t="s">
        <v>187</v>
      </c>
      <c r="E1381" s="19">
        <v>44766</v>
      </c>
      <c r="F1381" s="18" t="s">
        <v>1271</v>
      </c>
      <c r="G1381" s="19">
        <v>44792</v>
      </c>
      <c r="H1381" s="19">
        <v>44806</v>
      </c>
      <c r="I1381" s="18" t="s">
        <v>28</v>
      </c>
      <c r="J1381" s="19" t="b">
        <v>1</v>
      </c>
      <c r="K1381" s="19" t="b">
        <v>0</v>
      </c>
      <c r="L1381" s="19" t="b">
        <v>0</v>
      </c>
      <c r="M1381" s="19" t="b">
        <v>0</v>
      </c>
      <c r="N1381" s="19" t="b">
        <v>0</v>
      </c>
      <c r="O1381" s="19" t="b">
        <v>0</v>
      </c>
      <c r="P1381" s="19" t="b">
        <v>1</v>
      </c>
    </row>
    <row r="1382" spans="1:16" x14ac:dyDescent="0.2">
      <c r="A1382" s="18">
        <v>6932624</v>
      </c>
      <c r="B1382" s="18" t="s">
        <v>3720</v>
      </c>
      <c r="C1382" s="18" t="s">
        <v>265</v>
      </c>
      <c r="D1382" s="18" t="s">
        <v>187</v>
      </c>
      <c r="E1382" s="19">
        <v>44671</v>
      </c>
      <c r="F1382" s="18" t="s">
        <v>3721</v>
      </c>
      <c r="G1382" s="19">
        <v>44674</v>
      </c>
      <c r="H1382" s="19">
        <v>44690</v>
      </c>
      <c r="I1382" s="18"/>
      <c r="J1382" s="19" t="b">
        <v>1</v>
      </c>
      <c r="K1382" s="19" t="b">
        <v>0</v>
      </c>
      <c r="L1382" s="19" t="b">
        <v>0</v>
      </c>
      <c r="M1382" s="19" t="b">
        <v>0</v>
      </c>
      <c r="N1382" s="19" t="b">
        <v>0</v>
      </c>
      <c r="O1382" s="19" t="b">
        <v>0</v>
      </c>
      <c r="P1382" s="19" t="b">
        <v>0</v>
      </c>
    </row>
    <row r="1383" spans="1:16" x14ac:dyDescent="0.2">
      <c r="A1383" s="18">
        <v>3691366</v>
      </c>
      <c r="B1383" s="18" t="s">
        <v>3722</v>
      </c>
      <c r="C1383" s="18" t="s">
        <v>720</v>
      </c>
      <c r="D1383" s="18" t="s">
        <v>77</v>
      </c>
      <c r="E1383" s="19">
        <v>44961</v>
      </c>
      <c r="F1383" s="18" t="s">
        <v>3723</v>
      </c>
      <c r="G1383" s="19">
        <v>44984</v>
      </c>
      <c r="H1383" s="19">
        <v>45043</v>
      </c>
      <c r="I1383" s="18" t="s">
        <v>16</v>
      </c>
      <c r="J1383" s="19" t="b">
        <v>1</v>
      </c>
      <c r="K1383" s="19" t="b">
        <v>0</v>
      </c>
      <c r="L1383" s="19" t="b">
        <v>0</v>
      </c>
      <c r="M1383" s="19" t="b">
        <v>0</v>
      </c>
      <c r="N1383" s="19" t="b">
        <v>1</v>
      </c>
      <c r="O1383" s="19" t="b">
        <v>0</v>
      </c>
      <c r="P1383" s="19" t="b">
        <v>0</v>
      </c>
    </row>
    <row r="1384" spans="1:16" x14ac:dyDescent="0.2">
      <c r="A1384" s="18">
        <v>3691366</v>
      </c>
      <c r="B1384" s="18" t="s">
        <v>3724</v>
      </c>
      <c r="C1384" s="18" t="s">
        <v>720</v>
      </c>
      <c r="D1384" s="18" t="s">
        <v>77</v>
      </c>
      <c r="E1384" s="19">
        <v>44946</v>
      </c>
      <c r="F1384" s="18" t="s">
        <v>3725</v>
      </c>
      <c r="G1384" s="19">
        <v>44948</v>
      </c>
      <c r="H1384" s="19">
        <v>44955</v>
      </c>
      <c r="I1384" s="18" t="s">
        <v>43</v>
      </c>
      <c r="J1384" s="19" t="b">
        <v>1</v>
      </c>
      <c r="K1384" s="19" t="b">
        <v>0</v>
      </c>
      <c r="L1384" s="19" t="b">
        <v>0</v>
      </c>
      <c r="M1384" s="19" t="b">
        <v>0</v>
      </c>
      <c r="N1384" s="19" t="b">
        <v>0</v>
      </c>
      <c r="O1384" s="19" t="b">
        <v>1</v>
      </c>
      <c r="P1384" s="19" t="b">
        <v>0</v>
      </c>
    </row>
    <row r="1385" spans="1:16" x14ac:dyDescent="0.2">
      <c r="A1385" s="18">
        <v>3691366</v>
      </c>
      <c r="B1385" s="18" t="s">
        <v>3727</v>
      </c>
      <c r="C1385" s="18" t="s">
        <v>720</v>
      </c>
      <c r="D1385" s="18" t="s">
        <v>77</v>
      </c>
      <c r="E1385" s="19">
        <v>44637</v>
      </c>
      <c r="F1385" s="18" t="s">
        <v>3728</v>
      </c>
      <c r="G1385" s="19">
        <v>44648</v>
      </c>
      <c r="H1385" s="19">
        <v>44698</v>
      </c>
      <c r="I1385" s="18" t="s">
        <v>16</v>
      </c>
      <c r="J1385" s="19" t="b">
        <v>1</v>
      </c>
      <c r="K1385" s="19" t="b">
        <v>0</v>
      </c>
      <c r="L1385" s="19" t="b">
        <v>0</v>
      </c>
      <c r="M1385" s="19" t="b">
        <v>0</v>
      </c>
      <c r="N1385" s="19" t="b">
        <v>1</v>
      </c>
      <c r="O1385" s="19" t="b">
        <v>0</v>
      </c>
      <c r="P1385" s="19" t="b">
        <v>0</v>
      </c>
    </row>
    <row r="1386" spans="1:16" x14ac:dyDescent="0.2">
      <c r="A1386" s="18">
        <v>3691366</v>
      </c>
      <c r="B1386" s="18" t="s">
        <v>3729</v>
      </c>
      <c r="C1386" s="18" t="s">
        <v>720</v>
      </c>
      <c r="D1386" s="18" t="s">
        <v>77</v>
      </c>
      <c r="E1386" s="19">
        <v>44868</v>
      </c>
      <c r="F1386" s="18" t="s">
        <v>337</v>
      </c>
      <c r="G1386" s="19">
        <v>44887</v>
      </c>
      <c r="H1386" s="19">
        <v>44900</v>
      </c>
      <c r="I1386" s="18" t="s">
        <v>43</v>
      </c>
      <c r="J1386" s="19" t="b">
        <v>1</v>
      </c>
      <c r="K1386" s="19" t="b">
        <v>0</v>
      </c>
      <c r="L1386" s="19" t="b">
        <v>0</v>
      </c>
      <c r="M1386" s="19" t="b">
        <v>0</v>
      </c>
      <c r="N1386" s="19" t="b">
        <v>0</v>
      </c>
      <c r="O1386" s="19" t="b">
        <v>1</v>
      </c>
      <c r="P1386" s="19" t="b">
        <v>0</v>
      </c>
    </row>
    <row r="1387" spans="1:16" x14ac:dyDescent="0.2">
      <c r="A1387" s="18">
        <v>2476481</v>
      </c>
      <c r="B1387" s="18" t="s">
        <v>3730</v>
      </c>
      <c r="C1387" s="18" t="s">
        <v>287</v>
      </c>
      <c r="D1387" s="18" t="s">
        <v>19</v>
      </c>
      <c r="E1387" s="19">
        <v>44860</v>
      </c>
      <c r="F1387" s="18" t="s">
        <v>1280</v>
      </c>
      <c r="G1387" s="19">
        <v>44883</v>
      </c>
      <c r="H1387" s="19">
        <v>44885</v>
      </c>
      <c r="I1387" s="18" t="s">
        <v>28</v>
      </c>
      <c r="J1387" s="19" t="b">
        <v>1</v>
      </c>
      <c r="K1387" s="19" t="b">
        <v>0</v>
      </c>
      <c r="L1387" s="19" t="b">
        <v>0</v>
      </c>
      <c r="M1387" s="19" t="b">
        <v>0</v>
      </c>
      <c r="N1387" s="19" t="b">
        <v>0</v>
      </c>
      <c r="O1387" s="19" t="b">
        <v>0</v>
      </c>
      <c r="P1387" s="19" t="b">
        <v>1</v>
      </c>
    </row>
    <row r="1388" spans="1:16" x14ac:dyDescent="0.2">
      <c r="A1388" s="18">
        <v>2476481</v>
      </c>
      <c r="B1388" s="18" t="s">
        <v>3733</v>
      </c>
      <c r="C1388" s="18" t="s">
        <v>287</v>
      </c>
      <c r="D1388" s="18" t="s">
        <v>19</v>
      </c>
      <c r="E1388" s="19">
        <v>44781</v>
      </c>
      <c r="F1388" s="18" t="s">
        <v>3734</v>
      </c>
      <c r="G1388" s="19">
        <v>44787</v>
      </c>
      <c r="H1388" s="19">
        <v>44808</v>
      </c>
      <c r="I1388" s="18"/>
      <c r="J1388" s="19" t="b">
        <v>1</v>
      </c>
      <c r="K1388" s="19" t="b">
        <v>0</v>
      </c>
      <c r="L1388" s="19" t="b">
        <v>0</v>
      </c>
      <c r="M1388" s="19" t="b">
        <v>0</v>
      </c>
      <c r="N1388" s="19" t="b">
        <v>0</v>
      </c>
      <c r="O1388" s="19" t="b">
        <v>0</v>
      </c>
      <c r="P1388" s="19" t="b">
        <v>0</v>
      </c>
    </row>
    <row r="1389" spans="1:16" x14ac:dyDescent="0.2">
      <c r="A1389" s="18">
        <v>8857213</v>
      </c>
      <c r="B1389" s="18" t="s">
        <v>3737</v>
      </c>
      <c r="C1389" s="18" t="s">
        <v>93</v>
      </c>
      <c r="D1389" s="18" t="s">
        <v>77</v>
      </c>
      <c r="E1389" s="19">
        <v>44982</v>
      </c>
      <c r="F1389" s="18" t="s">
        <v>3738</v>
      </c>
      <c r="G1389" s="19">
        <v>44996</v>
      </c>
      <c r="H1389" s="19">
        <v>45022</v>
      </c>
      <c r="I1389" s="18" t="s">
        <v>16</v>
      </c>
      <c r="J1389" s="19" t="b">
        <v>1</v>
      </c>
      <c r="K1389" s="19" t="b">
        <v>0</v>
      </c>
      <c r="L1389" s="19" t="b">
        <v>0</v>
      </c>
      <c r="M1389" s="19" t="b">
        <v>0</v>
      </c>
      <c r="N1389" s="19" t="b">
        <v>1</v>
      </c>
      <c r="O1389" s="19" t="b">
        <v>0</v>
      </c>
      <c r="P1389" s="19" t="b">
        <v>0</v>
      </c>
    </row>
    <row r="1390" spans="1:16" x14ac:dyDescent="0.2">
      <c r="A1390" s="18">
        <v>8857213</v>
      </c>
      <c r="B1390" s="18" t="s">
        <v>3739</v>
      </c>
      <c r="C1390" s="18" t="s">
        <v>93</v>
      </c>
      <c r="D1390" s="18" t="s">
        <v>77</v>
      </c>
      <c r="E1390" s="19">
        <v>44623</v>
      </c>
      <c r="F1390" s="18" t="s">
        <v>3740</v>
      </c>
      <c r="G1390" s="19">
        <v>44653</v>
      </c>
      <c r="H1390" s="19">
        <v>44686</v>
      </c>
      <c r="I1390" s="18" t="s">
        <v>16</v>
      </c>
      <c r="J1390" s="19" t="b">
        <v>1</v>
      </c>
      <c r="K1390" s="19" t="b">
        <v>0</v>
      </c>
      <c r="L1390" s="19" t="b">
        <v>0</v>
      </c>
      <c r="M1390" s="19" t="b">
        <v>0</v>
      </c>
      <c r="N1390" s="19" t="b">
        <v>1</v>
      </c>
      <c r="O1390" s="19" t="b">
        <v>0</v>
      </c>
      <c r="P1390" s="19" t="b">
        <v>0</v>
      </c>
    </row>
    <row r="1391" spans="1:16" x14ac:dyDescent="0.2">
      <c r="A1391" s="18">
        <v>7265860</v>
      </c>
      <c r="B1391" s="18" t="s">
        <v>3741</v>
      </c>
      <c r="C1391" s="18" t="s">
        <v>10</v>
      </c>
      <c r="D1391" s="18" t="s">
        <v>81</v>
      </c>
      <c r="E1391" s="19">
        <v>45065</v>
      </c>
      <c r="F1391" s="18" t="s">
        <v>3742</v>
      </c>
      <c r="G1391" s="19">
        <v>45075</v>
      </c>
      <c r="H1391" s="19">
        <v>45112</v>
      </c>
      <c r="I1391" s="18" t="s">
        <v>28</v>
      </c>
      <c r="J1391" s="19" t="b">
        <v>1</v>
      </c>
      <c r="K1391" s="19" t="b">
        <v>0</v>
      </c>
      <c r="L1391" s="19" t="b">
        <v>0</v>
      </c>
      <c r="M1391" s="19" t="b">
        <v>0</v>
      </c>
      <c r="N1391" s="19" t="b">
        <v>0</v>
      </c>
      <c r="O1391" s="19" t="b">
        <v>0</v>
      </c>
      <c r="P1391" s="19" t="b">
        <v>1</v>
      </c>
    </row>
    <row r="1392" spans="1:16" x14ac:dyDescent="0.2">
      <c r="A1392" s="18">
        <v>7265860</v>
      </c>
      <c r="B1392" s="18" t="s">
        <v>3743</v>
      </c>
      <c r="C1392" s="18" t="s">
        <v>10</v>
      </c>
      <c r="D1392" s="18" t="s">
        <v>81</v>
      </c>
      <c r="E1392" s="19">
        <v>44656</v>
      </c>
      <c r="F1392" s="18" t="s">
        <v>421</v>
      </c>
      <c r="G1392" s="19">
        <v>44674</v>
      </c>
      <c r="H1392" s="19">
        <v>44724</v>
      </c>
      <c r="I1392" s="18" t="s">
        <v>16</v>
      </c>
      <c r="J1392" s="19" t="b">
        <v>1</v>
      </c>
      <c r="K1392" s="19" t="b">
        <v>0</v>
      </c>
      <c r="L1392" s="19" t="b">
        <v>0</v>
      </c>
      <c r="M1392" s="19" t="b">
        <v>0</v>
      </c>
      <c r="N1392" s="19" t="b">
        <v>1</v>
      </c>
      <c r="O1392" s="19" t="b">
        <v>0</v>
      </c>
      <c r="P1392" s="19" t="b">
        <v>0</v>
      </c>
    </row>
    <row r="1393" spans="1:16" x14ac:dyDescent="0.2">
      <c r="A1393" s="18">
        <v>7265860</v>
      </c>
      <c r="B1393" s="18" t="s">
        <v>3745</v>
      </c>
      <c r="C1393" s="18" t="s">
        <v>10</v>
      </c>
      <c r="D1393" s="18" t="s">
        <v>81</v>
      </c>
      <c r="E1393" s="19">
        <v>44757</v>
      </c>
      <c r="F1393" s="18" t="s">
        <v>2332</v>
      </c>
      <c r="G1393" s="19">
        <v>44782</v>
      </c>
      <c r="H1393" s="19">
        <v>44787</v>
      </c>
      <c r="I1393" s="18"/>
      <c r="J1393" s="19" t="b">
        <v>1</v>
      </c>
      <c r="K1393" s="19" t="b">
        <v>0</v>
      </c>
      <c r="L1393" s="19" t="b">
        <v>0</v>
      </c>
      <c r="M1393" s="19" t="b">
        <v>0</v>
      </c>
      <c r="N1393" s="19" t="b">
        <v>0</v>
      </c>
      <c r="O1393" s="19" t="b">
        <v>0</v>
      </c>
      <c r="P1393" s="19" t="b">
        <v>0</v>
      </c>
    </row>
    <row r="1394" spans="1:16" x14ac:dyDescent="0.2">
      <c r="A1394" s="18">
        <v>8230086</v>
      </c>
      <c r="B1394" s="18" t="s">
        <v>3746</v>
      </c>
      <c r="C1394" s="18" t="s">
        <v>150</v>
      </c>
      <c r="D1394" s="18" t="s">
        <v>11</v>
      </c>
      <c r="E1394" s="19">
        <v>44636</v>
      </c>
      <c r="F1394" s="18" t="s">
        <v>249</v>
      </c>
      <c r="G1394" s="19">
        <v>44642</v>
      </c>
      <c r="H1394" s="19">
        <v>44684</v>
      </c>
      <c r="I1394" s="18" t="s">
        <v>43</v>
      </c>
      <c r="J1394" s="19" t="b">
        <v>1</v>
      </c>
      <c r="K1394" s="19" t="b">
        <v>0</v>
      </c>
      <c r="L1394" s="19" t="b">
        <v>0</v>
      </c>
      <c r="M1394" s="19" t="b">
        <v>0</v>
      </c>
      <c r="N1394" s="19" t="b">
        <v>0</v>
      </c>
      <c r="O1394" s="19" t="b">
        <v>1</v>
      </c>
      <c r="P1394" s="19" t="b">
        <v>0</v>
      </c>
    </row>
    <row r="1395" spans="1:16" x14ac:dyDescent="0.2">
      <c r="A1395" s="18">
        <v>8230086</v>
      </c>
      <c r="B1395" s="18" t="s">
        <v>3747</v>
      </c>
      <c r="C1395" s="18" t="s">
        <v>150</v>
      </c>
      <c r="D1395" s="18" t="s">
        <v>11</v>
      </c>
      <c r="E1395" s="19">
        <v>45004</v>
      </c>
      <c r="F1395" s="18" t="s">
        <v>2272</v>
      </c>
      <c r="G1395" s="19">
        <v>45033</v>
      </c>
      <c r="H1395" s="19">
        <v>45035</v>
      </c>
      <c r="I1395" s="18"/>
      <c r="J1395" s="19" t="b">
        <v>1</v>
      </c>
      <c r="K1395" s="19" t="b">
        <v>0</v>
      </c>
      <c r="L1395" s="19" t="b">
        <v>0</v>
      </c>
      <c r="M1395" s="19" t="b">
        <v>0</v>
      </c>
      <c r="N1395" s="19" t="b">
        <v>0</v>
      </c>
      <c r="O1395" s="19" t="b">
        <v>0</v>
      </c>
      <c r="P1395" s="19" t="b">
        <v>0</v>
      </c>
    </row>
    <row r="1396" spans="1:16" x14ac:dyDescent="0.2">
      <c r="A1396" s="18">
        <v>8230086</v>
      </c>
      <c r="B1396" s="18" t="s">
        <v>3748</v>
      </c>
      <c r="C1396" s="18" t="s">
        <v>150</v>
      </c>
      <c r="D1396" s="18" t="s">
        <v>11</v>
      </c>
      <c r="E1396" s="19">
        <v>44961</v>
      </c>
      <c r="F1396" s="18" t="s">
        <v>3749</v>
      </c>
      <c r="G1396" s="19">
        <v>44962</v>
      </c>
      <c r="H1396" s="19">
        <v>44963</v>
      </c>
      <c r="I1396" s="18" t="s">
        <v>28</v>
      </c>
      <c r="J1396" s="19" t="b">
        <v>1</v>
      </c>
      <c r="K1396" s="19" t="b">
        <v>0</v>
      </c>
      <c r="L1396" s="19" t="b">
        <v>0</v>
      </c>
      <c r="M1396" s="19" t="b">
        <v>0</v>
      </c>
      <c r="N1396" s="19" t="b">
        <v>0</v>
      </c>
      <c r="O1396" s="19" t="b">
        <v>0</v>
      </c>
      <c r="P1396" s="19" t="b">
        <v>1</v>
      </c>
    </row>
    <row r="1397" spans="1:16" x14ac:dyDescent="0.2">
      <c r="A1397" s="18">
        <v>4739473</v>
      </c>
      <c r="B1397" s="18" t="s">
        <v>3751</v>
      </c>
      <c r="C1397" s="18" t="s">
        <v>32</v>
      </c>
      <c r="D1397" s="18" t="s">
        <v>39</v>
      </c>
      <c r="E1397" s="19">
        <v>44925</v>
      </c>
      <c r="F1397" s="18" t="s">
        <v>3752</v>
      </c>
      <c r="G1397" s="19">
        <v>44954</v>
      </c>
      <c r="H1397" s="19">
        <v>45011</v>
      </c>
      <c r="I1397" s="18" t="s">
        <v>43</v>
      </c>
      <c r="J1397" s="19" t="b">
        <v>1</v>
      </c>
      <c r="K1397" s="19" t="b">
        <v>0</v>
      </c>
      <c r="L1397" s="19" t="b">
        <v>0</v>
      </c>
      <c r="M1397" s="19" t="b">
        <v>0</v>
      </c>
      <c r="N1397" s="19" t="b">
        <v>0</v>
      </c>
      <c r="O1397" s="19" t="b">
        <v>1</v>
      </c>
      <c r="P1397" s="19" t="b">
        <v>0</v>
      </c>
    </row>
    <row r="1398" spans="1:16" x14ac:dyDescent="0.2">
      <c r="A1398" s="18">
        <v>4739473</v>
      </c>
      <c r="B1398" s="18" t="s">
        <v>3753</v>
      </c>
      <c r="C1398" s="18" t="s">
        <v>32</v>
      </c>
      <c r="D1398" s="18" t="s">
        <v>39</v>
      </c>
      <c r="E1398" s="19">
        <v>44713</v>
      </c>
      <c r="F1398" s="18" t="s">
        <v>3754</v>
      </c>
      <c r="G1398" s="19">
        <v>44720</v>
      </c>
      <c r="H1398" s="19">
        <v>44740</v>
      </c>
      <c r="I1398" s="18" t="s">
        <v>43</v>
      </c>
      <c r="J1398" s="19" t="b">
        <v>1</v>
      </c>
      <c r="K1398" s="19" t="b">
        <v>0</v>
      </c>
      <c r="L1398" s="19" t="b">
        <v>0</v>
      </c>
      <c r="M1398" s="19" t="b">
        <v>0</v>
      </c>
      <c r="N1398" s="19" t="b">
        <v>0</v>
      </c>
      <c r="O1398" s="19" t="b">
        <v>1</v>
      </c>
      <c r="P1398" s="19" t="b">
        <v>0</v>
      </c>
    </row>
    <row r="1399" spans="1:16" x14ac:dyDescent="0.2">
      <c r="A1399" s="18">
        <v>4739473</v>
      </c>
      <c r="B1399" s="18" t="s">
        <v>3757</v>
      </c>
      <c r="C1399" s="18" t="s">
        <v>32</v>
      </c>
      <c r="D1399" s="18" t="s">
        <v>39</v>
      </c>
      <c r="E1399" s="19">
        <v>44768</v>
      </c>
      <c r="F1399" s="18" t="s">
        <v>3120</v>
      </c>
      <c r="G1399" s="19">
        <v>44778</v>
      </c>
      <c r="H1399" s="19">
        <v>44789</v>
      </c>
      <c r="I1399" s="18" t="s">
        <v>43</v>
      </c>
      <c r="J1399" s="19" t="b">
        <v>1</v>
      </c>
      <c r="K1399" s="19" t="b">
        <v>0</v>
      </c>
      <c r="L1399" s="19" t="b">
        <v>0</v>
      </c>
      <c r="M1399" s="19" t="b">
        <v>0</v>
      </c>
      <c r="N1399" s="19" t="b">
        <v>0</v>
      </c>
      <c r="O1399" s="19" t="b">
        <v>1</v>
      </c>
      <c r="P1399" s="19" t="b">
        <v>0</v>
      </c>
    </row>
    <row r="1400" spans="1:16" x14ac:dyDescent="0.2">
      <c r="A1400" s="18">
        <v>8118298</v>
      </c>
      <c r="B1400" s="18" t="s">
        <v>3758</v>
      </c>
      <c r="C1400" s="18" t="s">
        <v>282</v>
      </c>
      <c r="D1400" s="18" t="s">
        <v>19</v>
      </c>
      <c r="E1400" s="19">
        <v>45012</v>
      </c>
      <c r="F1400" s="18" t="s">
        <v>1627</v>
      </c>
      <c r="G1400" s="19">
        <v>45016</v>
      </c>
      <c r="H1400" s="19">
        <v>45070</v>
      </c>
      <c r="I1400" s="18" t="s">
        <v>16</v>
      </c>
      <c r="J1400" s="19" t="b">
        <v>1</v>
      </c>
      <c r="K1400" s="19" t="b">
        <v>0</v>
      </c>
      <c r="L1400" s="19" t="b">
        <v>0</v>
      </c>
      <c r="M1400" s="19" t="b">
        <v>0</v>
      </c>
      <c r="N1400" s="19" t="b">
        <v>1</v>
      </c>
      <c r="O1400" s="19" t="b">
        <v>0</v>
      </c>
      <c r="P1400" s="19" t="b">
        <v>0</v>
      </c>
    </row>
    <row r="1401" spans="1:16" x14ac:dyDescent="0.2">
      <c r="A1401" s="18">
        <v>8118298</v>
      </c>
      <c r="B1401" s="18" t="s">
        <v>3759</v>
      </c>
      <c r="C1401" s="18" t="s">
        <v>282</v>
      </c>
      <c r="D1401" s="18" t="s">
        <v>19</v>
      </c>
      <c r="E1401" s="19">
        <v>44775</v>
      </c>
      <c r="F1401" s="18" t="s">
        <v>744</v>
      </c>
      <c r="G1401" s="19">
        <v>44788</v>
      </c>
      <c r="H1401" s="19">
        <v>44792</v>
      </c>
      <c r="I1401" s="18" t="s">
        <v>16</v>
      </c>
      <c r="J1401" s="19" t="b">
        <v>1</v>
      </c>
      <c r="K1401" s="19" t="b">
        <v>0</v>
      </c>
      <c r="L1401" s="19" t="b">
        <v>0</v>
      </c>
      <c r="M1401" s="19" t="b">
        <v>0</v>
      </c>
      <c r="N1401" s="19" t="b">
        <v>1</v>
      </c>
      <c r="O1401" s="19" t="b">
        <v>0</v>
      </c>
      <c r="P1401" s="19" t="b">
        <v>0</v>
      </c>
    </row>
    <row r="1402" spans="1:16" x14ac:dyDescent="0.2">
      <c r="A1402" s="18">
        <v>8496267</v>
      </c>
      <c r="B1402" s="18" t="s">
        <v>3762</v>
      </c>
      <c r="C1402" s="18" t="s">
        <v>287</v>
      </c>
      <c r="D1402" s="18" t="s">
        <v>60</v>
      </c>
      <c r="E1402" s="19">
        <v>44776</v>
      </c>
      <c r="F1402" s="18" t="s">
        <v>3763</v>
      </c>
      <c r="G1402" s="19">
        <v>44780</v>
      </c>
      <c r="H1402" s="19">
        <v>44812</v>
      </c>
      <c r="I1402" s="18" t="s">
        <v>16</v>
      </c>
      <c r="J1402" s="19" t="b">
        <v>1</v>
      </c>
      <c r="K1402" s="19" t="b">
        <v>0</v>
      </c>
      <c r="L1402" s="19" t="b">
        <v>0</v>
      </c>
      <c r="M1402" s="19" t="b">
        <v>0</v>
      </c>
      <c r="N1402" s="19" t="b">
        <v>1</v>
      </c>
      <c r="O1402" s="19" t="b">
        <v>0</v>
      </c>
      <c r="P1402" s="19" t="b">
        <v>0</v>
      </c>
    </row>
    <row r="1403" spans="1:16" x14ac:dyDescent="0.2">
      <c r="A1403" s="18">
        <v>7012792</v>
      </c>
      <c r="B1403" s="18" t="s">
        <v>3766</v>
      </c>
      <c r="C1403" s="18" t="s">
        <v>138</v>
      </c>
      <c r="D1403" s="18" t="s">
        <v>39</v>
      </c>
      <c r="E1403" s="19">
        <v>44578</v>
      </c>
      <c r="F1403" s="18" t="s">
        <v>3767</v>
      </c>
      <c r="G1403" s="19">
        <v>44579</v>
      </c>
      <c r="H1403" s="19">
        <v>44604</v>
      </c>
      <c r="I1403" s="18" t="s">
        <v>16</v>
      </c>
      <c r="J1403" s="19" t="b">
        <v>1</v>
      </c>
      <c r="K1403" s="19" t="b">
        <v>0</v>
      </c>
      <c r="L1403" s="19" t="b">
        <v>0</v>
      </c>
      <c r="M1403" s="19" t="b">
        <v>0</v>
      </c>
      <c r="N1403" s="19" t="b">
        <v>1</v>
      </c>
      <c r="O1403" s="19" t="b">
        <v>0</v>
      </c>
      <c r="P1403" s="19" t="b">
        <v>0</v>
      </c>
    </row>
    <row r="1404" spans="1:16" x14ac:dyDescent="0.2">
      <c r="A1404" s="18">
        <v>7012792</v>
      </c>
      <c r="B1404" s="18" t="s">
        <v>3768</v>
      </c>
      <c r="C1404" s="18" t="s">
        <v>138</v>
      </c>
      <c r="D1404" s="18" t="s">
        <v>39</v>
      </c>
      <c r="E1404" s="19">
        <v>44925</v>
      </c>
      <c r="F1404" s="18" t="s">
        <v>3769</v>
      </c>
      <c r="G1404" s="19">
        <v>44937</v>
      </c>
      <c r="H1404" s="19">
        <v>44957</v>
      </c>
      <c r="I1404" s="18"/>
      <c r="J1404" s="19" t="b">
        <v>1</v>
      </c>
      <c r="K1404" s="19" t="b">
        <v>0</v>
      </c>
      <c r="L1404" s="19" t="b">
        <v>0</v>
      </c>
      <c r="M1404" s="19" t="b">
        <v>0</v>
      </c>
      <c r="N1404" s="19" t="b">
        <v>0</v>
      </c>
      <c r="O1404" s="19" t="b">
        <v>0</v>
      </c>
      <c r="P1404" s="19" t="b">
        <v>0</v>
      </c>
    </row>
    <row r="1405" spans="1:16" x14ac:dyDescent="0.2">
      <c r="A1405" s="18">
        <v>7012792</v>
      </c>
      <c r="B1405" s="18" t="s">
        <v>3770</v>
      </c>
      <c r="C1405" s="18" t="s">
        <v>138</v>
      </c>
      <c r="D1405" s="18" t="s">
        <v>39</v>
      </c>
      <c r="E1405" s="19">
        <v>44869</v>
      </c>
      <c r="F1405" s="18" t="s">
        <v>2363</v>
      </c>
      <c r="G1405" s="19">
        <v>44877</v>
      </c>
      <c r="H1405" s="19">
        <v>44922</v>
      </c>
      <c r="I1405" s="18"/>
      <c r="J1405" s="19" t="b">
        <v>1</v>
      </c>
      <c r="K1405" s="19" t="b">
        <v>0</v>
      </c>
      <c r="L1405" s="19" t="b">
        <v>0</v>
      </c>
      <c r="M1405" s="19" t="b">
        <v>0</v>
      </c>
      <c r="N1405" s="19" t="b">
        <v>0</v>
      </c>
      <c r="O1405" s="19" t="b">
        <v>0</v>
      </c>
      <c r="P1405" s="19" t="b">
        <v>0</v>
      </c>
    </row>
    <row r="1406" spans="1:16" x14ac:dyDescent="0.2">
      <c r="A1406" s="18">
        <v>2416860</v>
      </c>
      <c r="B1406" s="18" t="s">
        <v>3773</v>
      </c>
      <c r="C1406" s="18" t="s">
        <v>265</v>
      </c>
      <c r="D1406" s="18" t="s">
        <v>60</v>
      </c>
      <c r="E1406" s="19">
        <v>44816</v>
      </c>
      <c r="F1406" s="18" t="s">
        <v>3774</v>
      </c>
      <c r="G1406" s="19">
        <v>44822</v>
      </c>
      <c r="H1406" s="19">
        <v>44859</v>
      </c>
      <c r="I1406" s="18" t="s">
        <v>28</v>
      </c>
      <c r="J1406" s="19" t="b">
        <v>1</v>
      </c>
      <c r="K1406" s="19" t="b">
        <v>0</v>
      </c>
      <c r="L1406" s="19" t="b">
        <v>0</v>
      </c>
      <c r="M1406" s="19" t="b">
        <v>0</v>
      </c>
      <c r="N1406" s="19" t="b">
        <v>0</v>
      </c>
      <c r="O1406" s="19" t="b">
        <v>0</v>
      </c>
      <c r="P1406" s="19" t="b">
        <v>1</v>
      </c>
    </row>
    <row r="1407" spans="1:16" x14ac:dyDescent="0.2">
      <c r="A1407" s="18">
        <v>2416860</v>
      </c>
      <c r="B1407" s="18" t="s">
        <v>3776</v>
      </c>
      <c r="C1407" s="18" t="s">
        <v>265</v>
      </c>
      <c r="D1407" s="18" t="s">
        <v>60</v>
      </c>
      <c r="E1407" s="19">
        <v>44776</v>
      </c>
      <c r="F1407" s="18" t="s">
        <v>3777</v>
      </c>
      <c r="G1407" s="19">
        <v>44804</v>
      </c>
      <c r="H1407" s="19">
        <v>44852</v>
      </c>
      <c r="I1407" s="18" t="s">
        <v>16</v>
      </c>
      <c r="J1407" s="19" t="b">
        <v>1</v>
      </c>
      <c r="K1407" s="19" t="b">
        <v>0</v>
      </c>
      <c r="L1407" s="19" t="b">
        <v>0</v>
      </c>
      <c r="M1407" s="19" t="b">
        <v>0</v>
      </c>
      <c r="N1407" s="19" t="b">
        <v>1</v>
      </c>
      <c r="O1407" s="19" t="b">
        <v>0</v>
      </c>
      <c r="P1407" s="19" t="b">
        <v>0</v>
      </c>
    </row>
    <row r="1408" spans="1:16" x14ac:dyDescent="0.2">
      <c r="A1408" s="18">
        <v>7960470</v>
      </c>
      <c r="B1408" s="18" t="s">
        <v>3780</v>
      </c>
      <c r="C1408" s="18" t="s">
        <v>150</v>
      </c>
      <c r="D1408" s="18" t="s">
        <v>187</v>
      </c>
      <c r="E1408" s="19">
        <v>44674</v>
      </c>
      <c r="F1408" s="18" t="s">
        <v>3781</v>
      </c>
      <c r="G1408" s="19">
        <v>44700</v>
      </c>
      <c r="H1408" s="19">
        <v>44711</v>
      </c>
      <c r="I1408" s="18" t="s">
        <v>43</v>
      </c>
      <c r="J1408" s="19" t="b">
        <v>1</v>
      </c>
      <c r="K1408" s="19" t="b">
        <v>0</v>
      </c>
      <c r="L1408" s="19" t="b">
        <v>0</v>
      </c>
      <c r="M1408" s="19" t="b">
        <v>0</v>
      </c>
      <c r="N1408" s="19" t="b">
        <v>0</v>
      </c>
      <c r="O1408" s="19" t="b">
        <v>1</v>
      </c>
      <c r="P1408" s="19" t="b">
        <v>0</v>
      </c>
    </row>
    <row r="1409" spans="1:16" x14ac:dyDescent="0.2">
      <c r="A1409" s="18">
        <v>7960470</v>
      </c>
      <c r="B1409" s="18" t="s">
        <v>3784</v>
      </c>
      <c r="C1409" s="18" t="s">
        <v>150</v>
      </c>
      <c r="D1409" s="18" t="s">
        <v>187</v>
      </c>
      <c r="E1409" s="19">
        <v>44591</v>
      </c>
      <c r="F1409" s="18" t="s">
        <v>2429</v>
      </c>
      <c r="G1409" s="19">
        <v>44617</v>
      </c>
      <c r="H1409" s="19">
        <v>44619</v>
      </c>
      <c r="I1409" s="18" t="s">
        <v>28</v>
      </c>
      <c r="J1409" s="19" t="b">
        <v>1</v>
      </c>
      <c r="K1409" s="19" t="b">
        <v>0</v>
      </c>
      <c r="L1409" s="19" t="b">
        <v>0</v>
      </c>
      <c r="M1409" s="19" t="b">
        <v>0</v>
      </c>
      <c r="N1409" s="19" t="b">
        <v>0</v>
      </c>
      <c r="O1409" s="19" t="b">
        <v>0</v>
      </c>
      <c r="P1409" s="19" t="b">
        <v>1</v>
      </c>
    </row>
    <row r="1410" spans="1:16" x14ac:dyDescent="0.2">
      <c r="A1410" s="18">
        <v>6563023</v>
      </c>
      <c r="B1410" s="18" t="s">
        <v>3785</v>
      </c>
      <c r="C1410" s="18" t="s">
        <v>10</v>
      </c>
      <c r="D1410" s="18" t="s">
        <v>77</v>
      </c>
      <c r="E1410" s="19">
        <v>44609</v>
      </c>
      <c r="F1410" s="18" t="s">
        <v>959</v>
      </c>
      <c r="G1410" s="19">
        <v>44627</v>
      </c>
      <c r="H1410" s="19">
        <v>44652</v>
      </c>
      <c r="I1410" s="18" t="s">
        <v>43</v>
      </c>
      <c r="J1410" s="19" t="b">
        <v>1</v>
      </c>
      <c r="K1410" s="19" t="b">
        <v>0</v>
      </c>
      <c r="L1410" s="19" t="b">
        <v>0</v>
      </c>
      <c r="M1410" s="19" t="b">
        <v>0</v>
      </c>
      <c r="N1410" s="19" t="b">
        <v>0</v>
      </c>
      <c r="O1410" s="19" t="b">
        <v>1</v>
      </c>
      <c r="P1410" s="19" t="b">
        <v>0</v>
      </c>
    </row>
    <row r="1411" spans="1:16" x14ac:dyDescent="0.2">
      <c r="A1411" s="18">
        <v>6416968</v>
      </c>
      <c r="B1411" s="18" t="s">
        <v>3790</v>
      </c>
      <c r="C1411" s="18" t="s">
        <v>167</v>
      </c>
      <c r="D1411" s="18" t="s">
        <v>139</v>
      </c>
      <c r="E1411" s="19">
        <v>44762</v>
      </c>
      <c r="F1411" s="18" t="s">
        <v>2811</v>
      </c>
      <c r="G1411" s="19">
        <v>44767</v>
      </c>
      <c r="H1411" s="19">
        <v>44782</v>
      </c>
      <c r="I1411" s="18" t="s">
        <v>16</v>
      </c>
      <c r="J1411" s="19" t="b">
        <v>1</v>
      </c>
      <c r="K1411" s="19" t="b">
        <v>0</v>
      </c>
      <c r="L1411" s="19" t="b">
        <v>0</v>
      </c>
      <c r="M1411" s="19" t="b">
        <v>0</v>
      </c>
      <c r="N1411" s="19" t="b">
        <v>1</v>
      </c>
      <c r="O1411" s="19" t="b">
        <v>0</v>
      </c>
      <c r="P1411" s="19" t="b">
        <v>0</v>
      </c>
    </row>
    <row r="1412" spans="1:16" x14ac:dyDescent="0.2">
      <c r="A1412" s="18">
        <v>6416968</v>
      </c>
      <c r="B1412" s="18" t="s">
        <v>3791</v>
      </c>
      <c r="C1412" s="18" t="s">
        <v>167</v>
      </c>
      <c r="D1412" s="18" t="s">
        <v>139</v>
      </c>
      <c r="E1412" s="19">
        <v>44646</v>
      </c>
      <c r="F1412" s="18" t="s">
        <v>1083</v>
      </c>
      <c r="G1412" s="19">
        <v>44670</v>
      </c>
      <c r="H1412" s="19">
        <v>44677</v>
      </c>
      <c r="I1412" s="18" t="s">
        <v>43</v>
      </c>
      <c r="J1412" s="19" t="b">
        <v>1</v>
      </c>
      <c r="K1412" s="19" t="b">
        <v>0</v>
      </c>
      <c r="L1412" s="19" t="b">
        <v>0</v>
      </c>
      <c r="M1412" s="19" t="b">
        <v>0</v>
      </c>
      <c r="N1412" s="19" t="b">
        <v>0</v>
      </c>
      <c r="O1412" s="19" t="b">
        <v>1</v>
      </c>
      <c r="P1412" s="19" t="b">
        <v>0</v>
      </c>
    </row>
    <row r="1413" spans="1:16" x14ac:dyDescent="0.2">
      <c r="A1413" s="18">
        <v>6416968</v>
      </c>
      <c r="B1413" s="18" t="s">
        <v>3792</v>
      </c>
      <c r="C1413" s="18" t="s">
        <v>167</v>
      </c>
      <c r="D1413" s="18" t="s">
        <v>139</v>
      </c>
      <c r="E1413" s="19">
        <v>44669</v>
      </c>
      <c r="F1413" s="18" t="s">
        <v>3793</v>
      </c>
      <c r="G1413" s="19">
        <v>44677</v>
      </c>
      <c r="H1413" s="19">
        <v>44692</v>
      </c>
      <c r="I1413" s="18" t="s">
        <v>28</v>
      </c>
      <c r="J1413" s="19" t="b">
        <v>1</v>
      </c>
      <c r="K1413" s="19" t="b">
        <v>0</v>
      </c>
      <c r="L1413" s="19" t="b">
        <v>0</v>
      </c>
      <c r="M1413" s="19" t="b">
        <v>0</v>
      </c>
      <c r="N1413" s="19" t="b">
        <v>0</v>
      </c>
      <c r="O1413" s="19" t="b">
        <v>0</v>
      </c>
      <c r="P1413" s="19" t="b">
        <v>1</v>
      </c>
    </row>
    <row r="1414" spans="1:16" x14ac:dyDescent="0.2">
      <c r="A1414" s="18">
        <v>5205556</v>
      </c>
      <c r="B1414" s="18" t="s">
        <v>3794</v>
      </c>
      <c r="C1414" s="18" t="s">
        <v>38</v>
      </c>
      <c r="D1414" s="18" t="s">
        <v>11</v>
      </c>
      <c r="E1414" s="19">
        <v>45094</v>
      </c>
      <c r="F1414" s="18" t="s">
        <v>3795</v>
      </c>
      <c r="G1414" s="19">
        <v>45111</v>
      </c>
      <c r="H1414" s="19">
        <v>45148</v>
      </c>
      <c r="I1414" s="18"/>
      <c r="J1414" s="19" t="b">
        <v>1</v>
      </c>
      <c r="K1414" s="19" t="b">
        <v>0</v>
      </c>
      <c r="L1414" s="19" t="b">
        <v>0</v>
      </c>
      <c r="M1414" s="19" t="b">
        <v>0</v>
      </c>
      <c r="N1414" s="19" t="b">
        <v>0</v>
      </c>
      <c r="O1414" s="19" t="b">
        <v>0</v>
      </c>
      <c r="P1414" s="19" t="b">
        <v>0</v>
      </c>
    </row>
    <row r="1415" spans="1:16" x14ac:dyDescent="0.2">
      <c r="A1415" s="18">
        <v>5205556</v>
      </c>
      <c r="B1415" s="18" t="s">
        <v>3796</v>
      </c>
      <c r="C1415" s="18" t="s">
        <v>38</v>
      </c>
      <c r="D1415" s="18" t="s">
        <v>11</v>
      </c>
      <c r="E1415" s="19">
        <v>44696</v>
      </c>
      <c r="F1415" s="18" t="s">
        <v>1899</v>
      </c>
      <c r="G1415" s="19">
        <v>44707</v>
      </c>
      <c r="H1415" s="19">
        <v>44735</v>
      </c>
      <c r="I1415" s="18" t="s">
        <v>28</v>
      </c>
      <c r="J1415" s="19" t="b">
        <v>1</v>
      </c>
      <c r="K1415" s="19" t="b">
        <v>0</v>
      </c>
      <c r="L1415" s="19" t="b">
        <v>0</v>
      </c>
      <c r="M1415" s="19" t="b">
        <v>0</v>
      </c>
      <c r="N1415" s="19" t="b">
        <v>0</v>
      </c>
      <c r="O1415" s="19" t="b">
        <v>0</v>
      </c>
      <c r="P1415" s="19" t="b">
        <v>1</v>
      </c>
    </row>
    <row r="1416" spans="1:16" x14ac:dyDescent="0.2">
      <c r="A1416" s="18">
        <v>5205556</v>
      </c>
      <c r="B1416" s="18" t="s">
        <v>3797</v>
      </c>
      <c r="C1416" s="18" t="s">
        <v>38</v>
      </c>
      <c r="D1416" s="18" t="s">
        <v>11</v>
      </c>
      <c r="E1416" s="19">
        <v>44597</v>
      </c>
      <c r="F1416" s="18" t="s">
        <v>400</v>
      </c>
      <c r="G1416" s="19">
        <v>44621</v>
      </c>
      <c r="H1416" s="19">
        <v>44679</v>
      </c>
      <c r="I1416" s="18" t="s">
        <v>43</v>
      </c>
      <c r="J1416" s="19" t="b">
        <v>1</v>
      </c>
      <c r="K1416" s="19" t="b">
        <v>0</v>
      </c>
      <c r="L1416" s="19" t="b">
        <v>0</v>
      </c>
      <c r="M1416" s="19" t="b">
        <v>0</v>
      </c>
      <c r="N1416" s="19" t="b">
        <v>0</v>
      </c>
      <c r="O1416" s="19" t="b">
        <v>1</v>
      </c>
      <c r="P1416" s="19" t="b">
        <v>0</v>
      </c>
    </row>
    <row r="1417" spans="1:16" x14ac:dyDescent="0.2">
      <c r="A1417" s="18">
        <v>7459731</v>
      </c>
      <c r="B1417" s="18" t="s">
        <v>3798</v>
      </c>
      <c r="C1417" s="18" t="s">
        <v>265</v>
      </c>
      <c r="D1417" s="18" t="s">
        <v>56</v>
      </c>
      <c r="E1417" s="19">
        <v>44596</v>
      </c>
      <c r="F1417" s="18" t="s">
        <v>3799</v>
      </c>
      <c r="G1417" s="19">
        <v>44623</v>
      </c>
      <c r="H1417" s="19">
        <v>44674</v>
      </c>
      <c r="I1417" s="18" t="s">
        <v>16</v>
      </c>
      <c r="J1417" s="19" t="b">
        <v>1</v>
      </c>
      <c r="K1417" s="19" t="b">
        <v>0</v>
      </c>
      <c r="L1417" s="19" t="b">
        <v>0</v>
      </c>
      <c r="M1417" s="19" t="b">
        <v>0</v>
      </c>
      <c r="N1417" s="19" t="b">
        <v>1</v>
      </c>
      <c r="O1417" s="19" t="b">
        <v>0</v>
      </c>
      <c r="P1417" s="19" t="b">
        <v>0</v>
      </c>
    </row>
    <row r="1418" spans="1:16" x14ac:dyDescent="0.2">
      <c r="A1418" s="18">
        <v>9066089</v>
      </c>
      <c r="B1418" s="18" t="s">
        <v>3802</v>
      </c>
      <c r="C1418" s="18" t="s">
        <v>363</v>
      </c>
      <c r="D1418" s="18" t="s">
        <v>39</v>
      </c>
      <c r="E1418" s="19">
        <v>45026</v>
      </c>
      <c r="F1418" s="18" t="s">
        <v>3803</v>
      </c>
      <c r="G1418" s="19">
        <v>45046</v>
      </c>
      <c r="H1418" s="19">
        <v>45063</v>
      </c>
      <c r="I1418" s="18"/>
      <c r="J1418" s="19" t="b">
        <v>1</v>
      </c>
      <c r="K1418" s="19" t="b">
        <v>0</v>
      </c>
      <c r="L1418" s="19" t="b">
        <v>0</v>
      </c>
      <c r="M1418" s="19" t="b">
        <v>0</v>
      </c>
      <c r="N1418" s="19" t="b">
        <v>0</v>
      </c>
      <c r="O1418" s="19" t="b">
        <v>0</v>
      </c>
      <c r="P1418" s="19" t="b">
        <v>0</v>
      </c>
    </row>
    <row r="1419" spans="1:16" x14ac:dyDescent="0.2">
      <c r="A1419" s="18">
        <v>9066089</v>
      </c>
      <c r="B1419" s="18" t="s">
        <v>3804</v>
      </c>
      <c r="C1419" s="18" t="s">
        <v>363</v>
      </c>
      <c r="D1419" s="18" t="s">
        <v>39</v>
      </c>
      <c r="E1419" s="19">
        <v>45088</v>
      </c>
      <c r="F1419" s="18" t="s">
        <v>3805</v>
      </c>
      <c r="G1419" s="19">
        <v>45118</v>
      </c>
      <c r="H1419" s="19">
        <v>45140</v>
      </c>
      <c r="I1419" s="18" t="s">
        <v>16</v>
      </c>
      <c r="J1419" s="19" t="b">
        <v>1</v>
      </c>
      <c r="K1419" s="19" t="b">
        <v>0</v>
      </c>
      <c r="L1419" s="19" t="b">
        <v>0</v>
      </c>
      <c r="M1419" s="19" t="b">
        <v>0</v>
      </c>
      <c r="N1419" s="19" t="b">
        <v>1</v>
      </c>
      <c r="O1419" s="19" t="b">
        <v>0</v>
      </c>
      <c r="P1419" s="19" t="b">
        <v>0</v>
      </c>
    </row>
    <row r="1420" spans="1:16" x14ac:dyDescent="0.2">
      <c r="A1420" s="18">
        <v>6658193</v>
      </c>
      <c r="B1420" s="18" t="s">
        <v>3808</v>
      </c>
      <c r="C1420" s="18" t="s">
        <v>131</v>
      </c>
      <c r="D1420" s="18" t="s">
        <v>187</v>
      </c>
      <c r="E1420" s="19">
        <v>44936</v>
      </c>
      <c r="F1420" s="18" t="s">
        <v>3809</v>
      </c>
      <c r="G1420" s="19">
        <v>44950</v>
      </c>
      <c r="H1420" s="19">
        <v>44992</v>
      </c>
      <c r="I1420" s="18" t="s">
        <v>28</v>
      </c>
      <c r="J1420" s="19" t="b">
        <v>1</v>
      </c>
      <c r="K1420" s="19" t="b">
        <v>0</v>
      </c>
      <c r="L1420" s="19" t="b">
        <v>0</v>
      </c>
      <c r="M1420" s="19" t="b">
        <v>0</v>
      </c>
      <c r="N1420" s="19" t="b">
        <v>0</v>
      </c>
      <c r="O1420" s="19" t="b">
        <v>0</v>
      </c>
      <c r="P1420" s="19" t="b">
        <v>1</v>
      </c>
    </row>
    <row r="1421" spans="1:16" x14ac:dyDescent="0.2">
      <c r="A1421" s="18">
        <v>4810526</v>
      </c>
      <c r="B1421" s="18" t="s">
        <v>3810</v>
      </c>
      <c r="C1421" s="18" t="s">
        <v>287</v>
      </c>
      <c r="D1421" s="18" t="s">
        <v>122</v>
      </c>
      <c r="E1421" s="19">
        <v>44917</v>
      </c>
      <c r="F1421" s="18" t="s">
        <v>3811</v>
      </c>
      <c r="G1421" s="19">
        <v>44927</v>
      </c>
      <c r="H1421" s="19">
        <v>44956</v>
      </c>
      <c r="I1421" s="18" t="s">
        <v>28</v>
      </c>
      <c r="J1421" s="19" t="b">
        <v>1</v>
      </c>
      <c r="K1421" s="19" t="b">
        <v>0</v>
      </c>
      <c r="L1421" s="19" t="b">
        <v>0</v>
      </c>
      <c r="M1421" s="19" t="b">
        <v>0</v>
      </c>
      <c r="N1421" s="19" t="b">
        <v>0</v>
      </c>
      <c r="O1421" s="19" t="b">
        <v>0</v>
      </c>
      <c r="P1421" s="19" t="b">
        <v>1</v>
      </c>
    </row>
    <row r="1422" spans="1:16" x14ac:dyDescent="0.2">
      <c r="A1422" s="18">
        <v>8317619</v>
      </c>
      <c r="B1422" s="18" t="s">
        <v>3815</v>
      </c>
      <c r="C1422" s="18" t="s">
        <v>18</v>
      </c>
      <c r="D1422" s="18" t="s">
        <v>122</v>
      </c>
      <c r="E1422" s="19">
        <v>44717</v>
      </c>
      <c r="F1422" s="18" t="s">
        <v>3474</v>
      </c>
      <c r="G1422" s="19">
        <v>44736</v>
      </c>
      <c r="H1422" s="19">
        <v>44792</v>
      </c>
      <c r="I1422" s="18" t="s">
        <v>28</v>
      </c>
      <c r="J1422" s="19" t="b">
        <v>1</v>
      </c>
      <c r="K1422" s="19" t="b">
        <v>0</v>
      </c>
      <c r="L1422" s="19" t="b">
        <v>0</v>
      </c>
      <c r="M1422" s="19" t="b">
        <v>0</v>
      </c>
      <c r="N1422" s="19" t="b">
        <v>0</v>
      </c>
      <c r="O1422" s="19" t="b">
        <v>0</v>
      </c>
      <c r="P1422" s="19" t="b">
        <v>1</v>
      </c>
    </row>
    <row r="1423" spans="1:16" x14ac:dyDescent="0.2">
      <c r="A1423" s="18">
        <v>8317619</v>
      </c>
      <c r="B1423" s="18" t="s">
        <v>3816</v>
      </c>
      <c r="C1423" s="18" t="s">
        <v>18</v>
      </c>
      <c r="D1423" s="18" t="s">
        <v>122</v>
      </c>
      <c r="E1423" s="19">
        <v>44933</v>
      </c>
      <c r="F1423" s="18" t="s">
        <v>3817</v>
      </c>
      <c r="G1423" s="19">
        <v>44951</v>
      </c>
      <c r="H1423" s="19">
        <v>44966</v>
      </c>
      <c r="I1423" s="18" t="s">
        <v>16</v>
      </c>
      <c r="J1423" s="19" t="b">
        <v>1</v>
      </c>
      <c r="K1423" s="19" t="b">
        <v>0</v>
      </c>
      <c r="L1423" s="19" t="b">
        <v>0</v>
      </c>
      <c r="M1423" s="19" t="b">
        <v>0</v>
      </c>
      <c r="N1423" s="19" t="b">
        <v>1</v>
      </c>
      <c r="O1423" s="19" t="b">
        <v>0</v>
      </c>
      <c r="P1423" s="19" t="b">
        <v>0</v>
      </c>
    </row>
    <row r="1424" spans="1:16" x14ac:dyDescent="0.2">
      <c r="A1424" s="18">
        <v>8317619</v>
      </c>
      <c r="B1424" s="18" t="s">
        <v>3818</v>
      </c>
      <c r="C1424" s="18" t="s">
        <v>18</v>
      </c>
      <c r="D1424" s="18" t="s">
        <v>122</v>
      </c>
      <c r="E1424" s="19">
        <v>44664</v>
      </c>
      <c r="F1424" s="18" t="s">
        <v>2355</v>
      </c>
      <c r="G1424" s="19">
        <v>44686</v>
      </c>
      <c r="H1424" s="19">
        <v>44697</v>
      </c>
      <c r="I1424" s="18" t="s">
        <v>43</v>
      </c>
      <c r="J1424" s="19" t="b">
        <v>1</v>
      </c>
      <c r="K1424" s="19" t="b">
        <v>0</v>
      </c>
      <c r="L1424" s="19" t="b">
        <v>0</v>
      </c>
      <c r="M1424" s="19" t="b">
        <v>0</v>
      </c>
      <c r="N1424" s="19" t="b">
        <v>0</v>
      </c>
      <c r="O1424" s="19" t="b">
        <v>1</v>
      </c>
      <c r="P1424" s="19" t="b">
        <v>0</v>
      </c>
    </row>
    <row r="1425" spans="1:16" x14ac:dyDescent="0.2">
      <c r="A1425" s="18">
        <v>4795970</v>
      </c>
      <c r="B1425" s="18" t="s">
        <v>3819</v>
      </c>
      <c r="C1425" s="18" t="s">
        <v>150</v>
      </c>
      <c r="D1425" s="18" t="s">
        <v>187</v>
      </c>
      <c r="E1425" s="19">
        <v>44847</v>
      </c>
      <c r="F1425" s="18" t="s">
        <v>2572</v>
      </c>
      <c r="G1425" s="19">
        <v>44849</v>
      </c>
      <c r="H1425" s="19">
        <v>44875</v>
      </c>
      <c r="I1425" s="18"/>
      <c r="J1425" s="19" t="b">
        <v>1</v>
      </c>
      <c r="K1425" s="19" t="b">
        <v>0</v>
      </c>
      <c r="L1425" s="19" t="b">
        <v>0</v>
      </c>
      <c r="M1425" s="19" t="b">
        <v>0</v>
      </c>
      <c r="N1425" s="19" t="b">
        <v>0</v>
      </c>
      <c r="O1425" s="19" t="b">
        <v>0</v>
      </c>
      <c r="P1425" s="19" t="b">
        <v>0</v>
      </c>
    </row>
    <row r="1426" spans="1:16" x14ac:dyDescent="0.2">
      <c r="A1426" s="18">
        <v>4795970</v>
      </c>
      <c r="B1426" s="18" t="s">
        <v>3821</v>
      </c>
      <c r="C1426" s="18" t="s">
        <v>150</v>
      </c>
      <c r="D1426" s="18" t="s">
        <v>187</v>
      </c>
      <c r="E1426" s="19">
        <v>44869</v>
      </c>
      <c r="F1426" s="18" t="s">
        <v>3822</v>
      </c>
      <c r="G1426" s="19">
        <v>44870</v>
      </c>
      <c r="H1426" s="19">
        <v>44875</v>
      </c>
      <c r="I1426" s="18" t="s">
        <v>28</v>
      </c>
      <c r="J1426" s="19" t="b">
        <v>1</v>
      </c>
      <c r="K1426" s="19" t="b">
        <v>0</v>
      </c>
      <c r="L1426" s="19" t="b">
        <v>0</v>
      </c>
      <c r="M1426" s="19" t="b">
        <v>0</v>
      </c>
      <c r="N1426" s="19" t="b">
        <v>0</v>
      </c>
      <c r="O1426" s="19" t="b">
        <v>0</v>
      </c>
      <c r="P1426" s="19" t="b">
        <v>1</v>
      </c>
    </row>
    <row r="1427" spans="1:16" x14ac:dyDescent="0.2">
      <c r="A1427" s="18">
        <v>4795970</v>
      </c>
      <c r="B1427" s="18" t="s">
        <v>3824</v>
      </c>
      <c r="C1427" s="18" t="s">
        <v>150</v>
      </c>
      <c r="D1427" s="18" t="s">
        <v>187</v>
      </c>
      <c r="E1427" s="19">
        <v>44982</v>
      </c>
      <c r="F1427" s="18" t="s">
        <v>3203</v>
      </c>
      <c r="G1427" s="19">
        <v>44987</v>
      </c>
      <c r="H1427" s="19">
        <v>44997</v>
      </c>
      <c r="I1427" s="18" t="s">
        <v>16</v>
      </c>
      <c r="J1427" s="19" t="b">
        <v>1</v>
      </c>
      <c r="K1427" s="19" t="b">
        <v>0</v>
      </c>
      <c r="L1427" s="19" t="b">
        <v>0</v>
      </c>
      <c r="M1427" s="19" t="b">
        <v>0</v>
      </c>
      <c r="N1427" s="19" t="b">
        <v>1</v>
      </c>
      <c r="O1427" s="19" t="b">
        <v>0</v>
      </c>
      <c r="P1427" s="19" t="b">
        <v>0</v>
      </c>
    </row>
    <row r="1428" spans="1:16" x14ac:dyDescent="0.2">
      <c r="A1428" s="18">
        <v>9068702</v>
      </c>
      <c r="B1428" s="18" t="s">
        <v>3827</v>
      </c>
      <c r="C1428" s="18" t="s">
        <v>150</v>
      </c>
      <c r="D1428" s="18" t="s">
        <v>187</v>
      </c>
      <c r="E1428" s="19">
        <v>44634</v>
      </c>
      <c r="F1428" s="18" t="s">
        <v>3828</v>
      </c>
      <c r="G1428" s="19">
        <v>44642</v>
      </c>
      <c r="H1428" s="19">
        <v>44660</v>
      </c>
      <c r="I1428" s="18" t="s">
        <v>43</v>
      </c>
      <c r="J1428" s="19" t="b">
        <v>1</v>
      </c>
      <c r="K1428" s="19" t="b">
        <v>0</v>
      </c>
      <c r="L1428" s="19" t="b">
        <v>0</v>
      </c>
      <c r="M1428" s="19" t="b">
        <v>0</v>
      </c>
      <c r="N1428" s="19" t="b">
        <v>0</v>
      </c>
      <c r="O1428" s="19" t="b">
        <v>1</v>
      </c>
      <c r="P1428" s="19" t="b">
        <v>0</v>
      </c>
    </row>
    <row r="1429" spans="1:16" x14ac:dyDescent="0.2">
      <c r="A1429" s="18">
        <v>3356197</v>
      </c>
      <c r="B1429" s="18" t="s">
        <v>3829</v>
      </c>
      <c r="C1429" s="18" t="s">
        <v>131</v>
      </c>
      <c r="D1429" s="18" t="s">
        <v>60</v>
      </c>
      <c r="E1429" s="19">
        <v>44707</v>
      </c>
      <c r="F1429" s="18" t="s">
        <v>3830</v>
      </c>
      <c r="G1429" s="19">
        <v>44729</v>
      </c>
      <c r="H1429" s="19">
        <v>44747</v>
      </c>
      <c r="I1429" s="18" t="s">
        <v>43</v>
      </c>
      <c r="J1429" s="19" t="b">
        <v>1</v>
      </c>
      <c r="K1429" s="19" t="b">
        <v>0</v>
      </c>
      <c r="L1429" s="19" t="b">
        <v>0</v>
      </c>
      <c r="M1429" s="19" t="b">
        <v>0</v>
      </c>
      <c r="N1429" s="19" t="b">
        <v>0</v>
      </c>
      <c r="O1429" s="19" t="b">
        <v>1</v>
      </c>
      <c r="P1429" s="19" t="b">
        <v>0</v>
      </c>
    </row>
    <row r="1430" spans="1:16" x14ac:dyDescent="0.2">
      <c r="A1430" s="18">
        <v>6494025</v>
      </c>
      <c r="B1430" s="18" t="s">
        <v>3833</v>
      </c>
      <c r="C1430" s="18" t="s">
        <v>10</v>
      </c>
      <c r="D1430" s="18" t="s">
        <v>122</v>
      </c>
      <c r="E1430" s="19">
        <v>45027</v>
      </c>
      <c r="F1430" s="18" t="s">
        <v>3834</v>
      </c>
      <c r="G1430" s="19">
        <v>45032</v>
      </c>
      <c r="H1430" s="19">
        <v>45037</v>
      </c>
      <c r="I1430" s="18" t="s">
        <v>28</v>
      </c>
      <c r="J1430" s="19" t="b">
        <v>1</v>
      </c>
      <c r="K1430" s="19" t="b">
        <v>0</v>
      </c>
      <c r="L1430" s="19" t="b">
        <v>0</v>
      </c>
      <c r="M1430" s="19" t="b">
        <v>0</v>
      </c>
      <c r="N1430" s="19" t="b">
        <v>0</v>
      </c>
      <c r="O1430" s="19" t="b">
        <v>0</v>
      </c>
      <c r="P1430" s="19" t="b">
        <v>1</v>
      </c>
    </row>
    <row r="1431" spans="1:16" x14ac:dyDescent="0.2">
      <c r="A1431" s="18">
        <v>6494025</v>
      </c>
      <c r="B1431" s="18" t="s">
        <v>3835</v>
      </c>
      <c r="C1431" s="18" t="s">
        <v>10</v>
      </c>
      <c r="D1431" s="18" t="s">
        <v>122</v>
      </c>
      <c r="E1431" s="19">
        <v>44603</v>
      </c>
      <c r="F1431" s="18" t="s">
        <v>2884</v>
      </c>
      <c r="G1431" s="19">
        <v>44616</v>
      </c>
      <c r="H1431" s="19">
        <v>44670</v>
      </c>
      <c r="I1431" s="18" t="s">
        <v>28</v>
      </c>
      <c r="J1431" s="19" t="b">
        <v>1</v>
      </c>
      <c r="K1431" s="19" t="b">
        <v>0</v>
      </c>
      <c r="L1431" s="19" t="b">
        <v>0</v>
      </c>
      <c r="M1431" s="19" t="b">
        <v>0</v>
      </c>
      <c r="N1431" s="19" t="b">
        <v>0</v>
      </c>
      <c r="O1431" s="19" t="b">
        <v>0</v>
      </c>
      <c r="P1431" s="19" t="b">
        <v>1</v>
      </c>
    </row>
    <row r="1432" spans="1:16" x14ac:dyDescent="0.2">
      <c r="A1432" s="18">
        <v>6494025</v>
      </c>
      <c r="B1432" s="18" t="s">
        <v>3836</v>
      </c>
      <c r="C1432" s="18" t="s">
        <v>10</v>
      </c>
      <c r="D1432" s="18" t="s">
        <v>122</v>
      </c>
      <c r="E1432" s="19">
        <v>44998</v>
      </c>
      <c r="F1432" s="18" t="s">
        <v>3837</v>
      </c>
      <c r="G1432" s="19">
        <v>45017</v>
      </c>
      <c r="H1432" s="19">
        <v>45028</v>
      </c>
      <c r="I1432" s="18" t="s">
        <v>16</v>
      </c>
      <c r="J1432" s="19" t="b">
        <v>1</v>
      </c>
      <c r="K1432" s="19" t="b">
        <v>0</v>
      </c>
      <c r="L1432" s="19" t="b">
        <v>0</v>
      </c>
      <c r="M1432" s="19" t="b">
        <v>0</v>
      </c>
      <c r="N1432" s="19" t="b">
        <v>1</v>
      </c>
      <c r="O1432" s="19" t="b">
        <v>0</v>
      </c>
      <c r="P1432" s="19" t="b">
        <v>0</v>
      </c>
    </row>
    <row r="1433" spans="1:16" x14ac:dyDescent="0.2">
      <c r="A1433" s="18">
        <v>6494025</v>
      </c>
      <c r="B1433" s="18" t="s">
        <v>3838</v>
      </c>
      <c r="C1433" s="18" t="s">
        <v>10</v>
      </c>
      <c r="D1433" s="18" t="s">
        <v>122</v>
      </c>
      <c r="E1433" s="19">
        <v>44792</v>
      </c>
      <c r="F1433" s="18" t="s">
        <v>3839</v>
      </c>
      <c r="G1433" s="19">
        <v>44809</v>
      </c>
      <c r="H1433" s="19">
        <v>44816</v>
      </c>
      <c r="I1433" s="18"/>
      <c r="J1433" s="19" t="b">
        <v>1</v>
      </c>
      <c r="K1433" s="19" t="b">
        <v>0</v>
      </c>
      <c r="L1433" s="19" t="b">
        <v>0</v>
      </c>
      <c r="M1433" s="19" t="b">
        <v>0</v>
      </c>
      <c r="N1433" s="19" t="b">
        <v>0</v>
      </c>
      <c r="O1433" s="19" t="b">
        <v>0</v>
      </c>
      <c r="P1433" s="19" t="b">
        <v>0</v>
      </c>
    </row>
    <row r="1434" spans="1:16" x14ac:dyDescent="0.2">
      <c r="A1434" s="18">
        <v>2486007</v>
      </c>
      <c r="B1434" s="18" t="s">
        <v>3840</v>
      </c>
      <c r="C1434" s="18" t="s">
        <v>138</v>
      </c>
      <c r="D1434" s="18" t="s">
        <v>81</v>
      </c>
      <c r="E1434" s="19">
        <v>45068</v>
      </c>
      <c r="F1434" s="18" t="s">
        <v>495</v>
      </c>
      <c r="G1434" s="19">
        <v>45095</v>
      </c>
      <c r="H1434" s="19">
        <v>45140</v>
      </c>
      <c r="I1434" s="18" t="s">
        <v>43</v>
      </c>
      <c r="J1434" s="19" t="b">
        <v>1</v>
      </c>
      <c r="K1434" s="19" t="b">
        <v>0</v>
      </c>
      <c r="L1434" s="19" t="b">
        <v>0</v>
      </c>
      <c r="M1434" s="19" t="b">
        <v>0</v>
      </c>
      <c r="N1434" s="19" t="b">
        <v>0</v>
      </c>
      <c r="O1434" s="19" t="b">
        <v>1</v>
      </c>
      <c r="P1434" s="19" t="b">
        <v>0</v>
      </c>
    </row>
    <row r="1435" spans="1:16" x14ac:dyDescent="0.2">
      <c r="A1435" s="18">
        <v>2486007</v>
      </c>
      <c r="B1435" s="18" t="s">
        <v>3841</v>
      </c>
      <c r="C1435" s="18" t="s">
        <v>138</v>
      </c>
      <c r="D1435" s="18" t="s">
        <v>81</v>
      </c>
      <c r="E1435" s="19">
        <v>44669</v>
      </c>
      <c r="F1435" s="18" t="s">
        <v>1920</v>
      </c>
      <c r="G1435" s="19">
        <v>44697</v>
      </c>
      <c r="H1435" s="19">
        <v>44747</v>
      </c>
      <c r="I1435" s="18"/>
      <c r="J1435" s="19" t="b">
        <v>1</v>
      </c>
      <c r="K1435" s="19" t="b">
        <v>0</v>
      </c>
      <c r="L1435" s="19" t="b">
        <v>0</v>
      </c>
      <c r="M1435" s="19" t="b">
        <v>0</v>
      </c>
      <c r="N1435" s="19" t="b">
        <v>0</v>
      </c>
      <c r="O1435" s="19" t="b">
        <v>0</v>
      </c>
      <c r="P1435" s="19" t="b">
        <v>0</v>
      </c>
    </row>
    <row r="1436" spans="1:16" x14ac:dyDescent="0.2">
      <c r="A1436" s="18">
        <v>2486007</v>
      </c>
      <c r="B1436" s="18" t="s">
        <v>3844</v>
      </c>
      <c r="C1436" s="18" t="s">
        <v>138</v>
      </c>
      <c r="D1436" s="18" t="s">
        <v>81</v>
      </c>
      <c r="E1436" s="19">
        <v>44665</v>
      </c>
      <c r="F1436" s="18" t="s">
        <v>2245</v>
      </c>
      <c r="G1436" s="19">
        <v>44688</v>
      </c>
      <c r="H1436" s="19">
        <v>44740</v>
      </c>
      <c r="I1436" s="18" t="s">
        <v>28</v>
      </c>
      <c r="J1436" s="19" t="b">
        <v>1</v>
      </c>
      <c r="K1436" s="19" t="b">
        <v>0</v>
      </c>
      <c r="L1436" s="19" t="b">
        <v>0</v>
      </c>
      <c r="M1436" s="19" t="b">
        <v>0</v>
      </c>
      <c r="N1436" s="19" t="b">
        <v>0</v>
      </c>
      <c r="O1436" s="19" t="b">
        <v>0</v>
      </c>
      <c r="P1436" s="19" t="b">
        <v>1</v>
      </c>
    </row>
    <row r="1437" spans="1:16" x14ac:dyDescent="0.2">
      <c r="A1437" s="18">
        <v>9146156</v>
      </c>
      <c r="B1437" s="18" t="s">
        <v>3846</v>
      </c>
      <c r="C1437" s="18" t="s">
        <v>93</v>
      </c>
      <c r="D1437" s="18" t="s">
        <v>81</v>
      </c>
      <c r="E1437" s="19">
        <v>44946</v>
      </c>
      <c r="F1437" s="18" t="s">
        <v>2669</v>
      </c>
      <c r="G1437" s="19">
        <v>44966</v>
      </c>
      <c r="H1437" s="19">
        <v>45000</v>
      </c>
      <c r="I1437" s="18"/>
      <c r="J1437" s="19" t="b">
        <v>1</v>
      </c>
      <c r="K1437" s="19" t="b">
        <v>0</v>
      </c>
      <c r="L1437" s="19" t="b">
        <v>0</v>
      </c>
      <c r="M1437" s="19" t="b">
        <v>0</v>
      </c>
      <c r="N1437" s="19" t="b">
        <v>0</v>
      </c>
      <c r="O1437" s="19" t="b">
        <v>0</v>
      </c>
      <c r="P1437" s="19" t="b">
        <v>0</v>
      </c>
    </row>
    <row r="1438" spans="1:16" x14ac:dyDescent="0.2">
      <c r="A1438" s="18">
        <v>9146156</v>
      </c>
      <c r="B1438" s="18" t="s">
        <v>3847</v>
      </c>
      <c r="C1438" s="18" t="s">
        <v>93</v>
      </c>
      <c r="D1438" s="18" t="s">
        <v>81</v>
      </c>
      <c r="E1438" s="19">
        <v>44672</v>
      </c>
      <c r="F1438" s="18" t="s">
        <v>3001</v>
      </c>
      <c r="G1438" s="19">
        <v>44691</v>
      </c>
      <c r="H1438" s="19">
        <v>44745</v>
      </c>
      <c r="I1438" s="18"/>
      <c r="J1438" s="19" t="b">
        <v>1</v>
      </c>
      <c r="K1438" s="19" t="b">
        <v>0</v>
      </c>
      <c r="L1438" s="19" t="b">
        <v>0</v>
      </c>
      <c r="M1438" s="19" t="b">
        <v>0</v>
      </c>
      <c r="N1438" s="19" t="b">
        <v>0</v>
      </c>
      <c r="O1438" s="19" t="b">
        <v>0</v>
      </c>
      <c r="P1438" s="19" t="b">
        <v>0</v>
      </c>
    </row>
    <row r="1439" spans="1:16" x14ac:dyDescent="0.2">
      <c r="A1439" s="18">
        <v>9146156</v>
      </c>
      <c r="B1439" s="18" t="s">
        <v>3848</v>
      </c>
      <c r="C1439" s="18" t="s">
        <v>93</v>
      </c>
      <c r="D1439" s="18" t="s">
        <v>81</v>
      </c>
      <c r="E1439" s="19">
        <v>44682</v>
      </c>
      <c r="F1439" s="18" t="s">
        <v>892</v>
      </c>
      <c r="G1439" s="19">
        <v>44707</v>
      </c>
      <c r="H1439" s="19">
        <v>44723</v>
      </c>
      <c r="I1439" s="18" t="s">
        <v>16</v>
      </c>
      <c r="J1439" s="19" t="b">
        <v>1</v>
      </c>
      <c r="K1439" s="19" t="b">
        <v>0</v>
      </c>
      <c r="L1439" s="19" t="b">
        <v>0</v>
      </c>
      <c r="M1439" s="19" t="b">
        <v>0</v>
      </c>
      <c r="N1439" s="19" t="b">
        <v>1</v>
      </c>
      <c r="O1439" s="19" t="b">
        <v>0</v>
      </c>
      <c r="P1439" s="19" t="b">
        <v>0</v>
      </c>
    </row>
    <row r="1440" spans="1:16" x14ac:dyDescent="0.2">
      <c r="A1440" s="18">
        <v>7051555</v>
      </c>
      <c r="B1440" s="18" t="s">
        <v>3849</v>
      </c>
      <c r="C1440" s="18" t="s">
        <v>32</v>
      </c>
      <c r="D1440" s="18" t="s">
        <v>81</v>
      </c>
      <c r="E1440" s="19">
        <v>45012</v>
      </c>
      <c r="F1440" s="18" t="s">
        <v>2919</v>
      </c>
      <c r="G1440" s="19">
        <v>45040</v>
      </c>
      <c r="H1440" s="19">
        <v>45070</v>
      </c>
      <c r="I1440" s="18" t="s">
        <v>16</v>
      </c>
      <c r="J1440" s="19" t="b">
        <v>1</v>
      </c>
      <c r="K1440" s="19" t="b">
        <v>0</v>
      </c>
      <c r="L1440" s="19" t="b">
        <v>0</v>
      </c>
      <c r="M1440" s="19" t="b">
        <v>0</v>
      </c>
      <c r="N1440" s="19" t="b">
        <v>1</v>
      </c>
      <c r="O1440" s="19" t="b">
        <v>0</v>
      </c>
      <c r="P1440" s="19" t="b">
        <v>0</v>
      </c>
    </row>
    <row r="1441" spans="1:16" x14ac:dyDescent="0.2">
      <c r="A1441" s="18">
        <v>7051555</v>
      </c>
      <c r="B1441" s="18" t="s">
        <v>3850</v>
      </c>
      <c r="C1441" s="18" t="s">
        <v>32</v>
      </c>
      <c r="D1441" s="18" t="s">
        <v>81</v>
      </c>
      <c r="E1441" s="19">
        <v>45004</v>
      </c>
      <c r="F1441" s="18" t="s">
        <v>2672</v>
      </c>
      <c r="G1441" s="19">
        <v>45026</v>
      </c>
      <c r="H1441" s="19">
        <v>45085</v>
      </c>
      <c r="I1441" s="18" t="s">
        <v>16</v>
      </c>
      <c r="J1441" s="19" t="b">
        <v>1</v>
      </c>
      <c r="K1441" s="19" t="b">
        <v>0</v>
      </c>
      <c r="L1441" s="19" t="b">
        <v>0</v>
      </c>
      <c r="M1441" s="19" t="b">
        <v>0</v>
      </c>
      <c r="N1441" s="19" t="b">
        <v>1</v>
      </c>
      <c r="O1441" s="19" t="b">
        <v>0</v>
      </c>
      <c r="P1441" s="19" t="b">
        <v>0</v>
      </c>
    </row>
    <row r="1442" spans="1:16" x14ac:dyDescent="0.2">
      <c r="A1442" s="18">
        <v>7051555</v>
      </c>
      <c r="B1442" s="18" t="s">
        <v>3853</v>
      </c>
      <c r="C1442" s="18" t="s">
        <v>32</v>
      </c>
      <c r="D1442" s="18" t="s">
        <v>81</v>
      </c>
      <c r="E1442" s="19">
        <v>44984</v>
      </c>
      <c r="F1442" s="18" t="s">
        <v>3854</v>
      </c>
      <c r="G1442" s="19">
        <v>45010</v>
      </c>
      <c r="H1442" s="19">
        <v>45012</v>
      </c>
      <c r="I1442" s="18" t="s">
        <v>16</v>
      </c>
      <c r="J1442" s="19" t="b">
        <v>1</v>
      </c>
      <c r="K1442" s="19" t="b">
        <v>0</v>
      </c>
      <c r="L1442" s="19" t="b">
        <v>0</v>
      </c>
      <c r="M1442" s="19" t="b">
        <v>0</v>
      </c>
      <c r="N1442" s="19" t="b">
        <v>1</v>
      </c>
      <c r="O1442" s="19" t="b">
        <v>0</v>
      </c>
      <c r="P1442" s="19" t="b">
        <v>0</v>
      </c>
    </row>
    <row r="1443" spans="1:16" x14ac:dyDescent="0.2">
      <c r="A1443" s="18">
        <v>8660865</v>
      </c>
      <c r="B1443" s="18" t="s">
        <v>3855</v>
      </c>
      <c r="C1443" s="18" t="s">
        <v>90</v>
      </c>
      <c r="D1443" s="18" t="s">
        <v>11</v>
      </c>
      <c r="E1443" s="19">
        <v>44845</v>
      </c>
      <c r="F1443" s="18" t="s">
        <v>3856</v>
      </c>
      <c r="G1443" s="19">
        <v>44860</v>
      </c>
      <c r="H1443" s="19">
        <v>44911</v>
      </c>
      <c r="I1443" s="18" t="s">
        <v>28</v>
      </c>
      <c r="J1443" s="19" t="b">
        <v>1</v>
      </c>
      <c r="K1443" s="19" t="b">
        <v>0</v>
      </c>
      <c r="L1443" s="19" t="b">
        <v>0</v>
      </c>
      <c r="M1443" s="19" t="b">
        <v>0</v>
      </c>
      <c r="N1443" s="19" t="b">
        <v>0</v>
      </c>
      <c r="O1443" s="19" t="b">
        <v>0</v>
      </c>
      <c r="P1443" s="19" t="b">
        <v>1</v>
      </c>
    </row>
    <row r="1444" spans="1:16" x14ac:dyDescent="0.2">
      <c r="A1444" s="18">
        <v>8660865</v>
      </c>
      <c r="B1444" s="18" t="s">
        <v>3858</v>
      </c>
      <c r="C1444" s="18" t="s">
        <v>90</v>
      </c>
      <c r="D1444" s="18" t="s">
        <v>11</v>
      </c>
      <c r="E1444" s="19">
        <v>44891</v>
      </c>
      <c r="F1444" s="18" t="s">
        <v>3859</v>
      </c>
      <c r="G1444" s="19">
        <v>44915</v>
      </c>
      <c r="H1444" s="19">
        <v>44941</v>
      </c>
      <c r="I1444" s="18" t="s">
        <v>43</v>
      </c>
      <c r="J1444" s="19" t="b">
        <v>1</v>
      </c>
      <c r="K1444" s="19" t="b">
        <v>0</v>
      </c>
      <c r="L1444" s="19" t="b">
        <v>0</v>
      </c>
      <c r="M1444" s="19" t="b">
        <v>0</v>
      </c>
      <c r="N1444" s="19" t="b">
        <v>0</v>
      </c>
      <c r="O1444" s="19" t="b">
        <v>1</v>
      </c>
      <c r="P1444" s="19" t="b">
        <v>0</v>
      </c>
    </row>
    <row r="1445" spans="1:16" x14ac:dyDescent="0.2">
      <c r="A1445" s="18">
        <v>6847516</v>
      </c>
      <c r="B1445" s="18" t="s">
        <v>3860</v>
      </c>
      <c r="C1445" s="18" t="s">
        <v>35</v>
      </c>
      <c r="D1445" s="18" t="s">
        <v>187</v>
      </c>
      <c r="E1445" s="19">
        <v>44795</v>
      </c>
      <c r="F1445" s="18" t="s">
        <v>1658</v>
      </c>
      <c r="G1445" s="19">
        <v>44806</v>
      </c>
      <c r="H1445" s="19">
        <v>44860</v>
      </c>
      <c r="I1445" s="18" t="s">
        <v>28</v>
      </c>
      <c r="J1445" s="19" t="b">
        <v>1</v>
      </c>
      <c r="K1445" s="19" t="b">
        <v>0</v>
      </c>
      <c r="L1445" s="19" t="b">
        <v>0</v>
      </c>
      <c r="M1445" s="19" t="b">
        <v>0</v>
      </c>
      <c r="N1445" s="19" t="b">
        <v>0</v>
      </c>
      <c r="O1445" s="19" t="b">
        <v>0</v>
      </c>
      <c r="P1445" s="19" t="b">
        <v>1</v>
      </c>
    </row>
    <row r="1446" spans="1:16" x14ac:dyDescent="0.2">
      <c r="A1446" s="18">
        <v>6847516</v>
      </c>
      <c r="B1446" s="18" t="s">
        <v>3861</v>
      </c>
      <c r="C1446" s="18" t="s">
        <v>35</v>
      </c>
      <c r="D1446" s="18" t="s">
        <v>187</v>
      </c>
      <c r="E1446" s="19">
        <v>44882</v>
      </c>
      <c r="F1446" s="18" t="s">
        <v>3862</v>
      </c>
      <c r="G1446" s="19">
        <v>44902</v>
      </c>
      <c r="H1446" s="19">
        <v>44934</v>
      </c>
      <c r="I1446" s="18" t="s">
        <v>16</v>
      </c>
      <c r="J1446" s="19" t="b">
        <v>1</v>
      </c>
      <c r="K1446" s="19" t="b">
        <v>0</v>
      </c>
      <c r="L1446" s="19" t="b">
        <v>0</v>
      </c>
      <c r="M1446" s="19" t="b">
        <v>0</v>
      </c>
      <c r="N1446" s="19" t="b">
        <v>1</v>
      </c>
      <c r="O1446" s="19" t="b">
        <v>0</v>
      </c>
      <c r="P1446" s="19" t="b">
        <v>0</v>
      </c>
    </row>
    <row r="1447" spans="1:16" x14ac:dyDescent="0.2">
      <c r="A1447" s="18">
        <v>6847516</v>
      </c>
      <c r="B1447" s="18" t="s">
        <v>3863</v>
      </c>
      <c r="C1447" s="18" t="s">
        <v>35</v>
      </c>
      <c r="D1447" s="18" t="s">
        <v>187</v>
      </c>
      <c r="E1447" s="19">
        <v>45059</v>
      </c>
      <c r="F1447" s="18" t="s">
        <v>3864</v>
      </c>
      <c r="G1447" s="19">
        <v>45071</v>
      </c>
      <c r="H1447" s="19">
        <v>45093</v>
      </c>
      <c r="I1447" s="18"/>
      <c r="J1447" s="19" t="b">
        <v>1</v>
      </c>
      <c r="K1447" s="19" t="b">
        <v>0</v>
      </c>
      <c r="L1447" s="19" t="b">
        <v>0</v>
      </c>
      <c r="M1447" s="19" t="b">
        <v>0</v>
      </c>
      <c r="N1447" s="19" t="b">
        <v>0</v>
      </c>
      <c r="O1447" s="19" t="b">
        <v>0</v>
      </c>
      <c r="P1447" s="19" t="b">
        <v>0</v>
      </c>
    </row>
    <row r="1448" spans="1:16" x14ac:dyDescent="0.2">
      <c r="A1448" s="18">
        <v>6847516</v>
      </c>
      <c r="B1448" s="18" t="s">
        <v>3865</v>
      </c>
      <c r="C1448" s="18" t="s">
        <v>35</v>
      </c>
      <c r="D1448" s="18" t="s">
        <v>187</v>
      </c>
      <c r="E1448" s="19">
        <v>44734</v>
      </c>
      <c r="F1448" s="18" t="s">
        <v>3866</v>
      </c>
      <c r="G1448" s="19">
        <v>44745</v>
      </c>
      <c r="H1448" s="19">
        <v>44747</v>
      </c>
      <c r="I1448" s="18" t="s">
        <v>28</v>
      </c>
      <c r="J1448" s="19" t="b">
        <v>1</v>
      </c>
      <c r="K1448" s="19" t="b">
        <v>0</v>
      </c>
      <c r="L1448" s="19" t="b">
        <v>0</v>
      </c>
      <c r="M1448" s="19" t="b">
        <v>0</v>
      </c>
      <c r="N1448" s="19" t="b">
        <v>0</v>
      </c>
      <c r="O1448" s="19" t="b">
        <v>0</v>
      </c>
      <c r="P1448" s="19" t="b">
        <v>1</v>
      </c>
    </row>
    <row r="1449" spans="1:16" x14ac:dyDescent="0.2">
      <c r="A1449" s="18">
        <v>2870334</v>
      </c>
      <c r="B1449" s="18" t="s">
        <v>3867</v>
      </c>
      <c r="C1449" s="18" t="s">
        <v>454</v>
      </c>
      <c r="D1449" s="18" t="s">
        <v>81</v>
      </c>
      <c r="E1449" s="19">
        <v>44744</v>
      </c>
      <c r="F1449" s="18" t="s">
        <v>3461</v>
      </c>
      <c r="G1449" s="19">
        <v>44757</v>
      </c>
      <c r="H1449" s="19">
        <v>44797</v>
      </c>
      <c r="I1449" s="18" t="s">
        <v>28</v>
      </c>
      <c r="J1449" s="19" t="b">
        <v>1</v>
      </c>
      <c r="K1449" s="19" t="b">
        <v>0</v>
      </c>
      <c r="L1449" s="19" t="b">
        <v>0</v>
      </c>
      <c r="M1449" s="19" t="b">
        <v>0</v>
      </c>
      <c r="N1449" s="19" t="b">
        <v>0</v>
      </c>
      <c r="O1449" s="19" t="b">
        <v>0</v>
      </c>
      <c r="P1449" s="19" t="b">
        <v>1</v>
      </c>
    </row>
    <row r="1450" spans="1:16" x14ac:dyDescent="0.2">
      <c r="A1450" s="18">
        <v>2870334</v>
      </c>
      <c r="B1450" s="18" t="s">
        <v>3868</v>
      </c>
      <c r="C1450" s="18" t="s">
        <v>454</v>
      </c>
      <c r="D1450" s="18" t="s">
        <v>81</v>
      </c>
      <c r="E1450" s="19">
        <v>44976</v>
      </c>
      <c r="F1450" s="18" t="s">
        <v>3869</v>
      </c>
      <c r="G1450" s="19">
        <v>45004</v>
      </c>
      <c r="H1450" s="19">
        <v>45021</v>
      </c>
      <c r="I1450" s="18" t="s">
        <v>43</v>
      </c>
      <c r="J1450" s="19" t="b">
        <v>1</v>
      </c>
      <c r="K1450" s="19" t="b">
        <v>0</v>
      </c>
      <c r="L1450" s="19" t="b">
        <v>0</v>
      </c>
      <c r="M1450" s="19" t="b">
        <v>0</v>
      </c>
      <c r="N1450" s="19" t="b">
        <v>0</v>
      </c>
      <c r="O1450" s="19" t="b">
        <v>1</v>
      </c>
      <c r="P1450" s="19" t="b">
        <v>0</v>
      </c>
    </row>
    <row r="1451" spans="1:16" x14ac:dyDescent="0.2">
      <c r="A1451" s="18">
        <v>3231911</v>
      </c>
      <c r="B1451" s="18" t="s">
        <v>3872</v>
      </c>
      <c r="C1451" s="18" t="s">
        <v>310</v>
      </c>
      <c r="D1451" s="18" t="s">
        <v>60</v>
      </c>
      <c r="E1451" s="19">
        <v>44646</v>
      </c>
      <c r="F1451" s="18" t="s">
        <v>1832</v>
      </c>
      <c r="G1451" s="19">
        <v>44657</v>
      </c>
      <c r="H1451" s="19">
        <v>44672</v>
      </c>
      <c r="I1451" s="18" t="s">
        <v>28</v>
      </c>
      <c r="J1451" s="19" t="b">
        <v>1</v>
      </c>
      <c r="K1451" s="19" t="b">
        <v>0</v>
      </c>
      <c r="L1451" s="19" t="b">
        <v>0</v>
      </c>
      <c r="M1451" s="19" t="b">
        <v>0</v>
      </c>
      <c r="N1451" s="19" t="b">
        <v>0</v>
      </c>
      <c r="O1451" s="19" t="b">
        <v>0</v>
      </c>
      <c r="P1451" s="19" t="b">
        <v>1</v>
      </c>
    </row>
    <row r="1452" spans="1:16" x14ac:dyDescent="0.2">
      <c r="A1452" s="18">
        <v>8424522</v>
      </c>
      <c r="B1452" s="18" t="s">
        <v>3873</v>
      </c>
      <c r="C1452" s="18" t="s">
        <v>150</v>
      </c>
      <c r="D1452" s="18" t="s">
        <v>56</v>
      </c>
      <c r="E1452" s="19">
        <v>44791</v>
      </c>
      <c r="F1452" s="18" t="s">
        <v>3874</v>
      </c>
      <c r="G1452" s="19">
        <v>44818</v>
      </c>
      <c r="H1452" s="19">
        <v>44863</v>
      </c>
      <c r="I1452" s="18" t="s">
        <v>28</v>
      </c>
      <c r="J1452" s="19" t="b">
        <v>1</v>
      </c>
      <c r="K1452" s="19" t="b">
        <v>0</v>
      </c>
      <c r="L1452" s="19" t="b">
        <v>0</v>
      </c>
      <c r="M1452" s="19" t="b">
        <v>0</v>
      </c>
      <c r="N1452" s="19" t="b">
        <v>0</v>
      </c>
      <c r="O1452" s="19" t="b">
        <v>0</v>
      </c>
      <c r="P1452" s="19" t="b">
        <v>1</v>
      </c>
    </row>
    <row r="1453" spans="1:16" x14ac:dyDescent="0.2">
      <c r="A1453" s="18">
        <v>8424522</v>
      </c>
      <c r="B1453" s="18" t="s">
        <v>3875</v>
      </c>
      <c r="C1453" s="18" t="s">
        <v>150</v>
      </c>
      <c r="D1453" s="18" t="s">
        <v>56</v>
      </c>
      <c r="E1453" s="19">
        <v>45012</v>
      </c>
      <c r="F1453" s="18" t="s">
        <v>3876</v>
      </c>
      <c r="G1453" s="19">
        <v>45033</v>
      </c>
      <c r="H1453" s="19">
        <v>45085</v>
      </c>
      <c r="I1453" s="18" t="s">
        <v>43</v>
      </c>
      <c r="J1453" s="19" t="b">
        <v>1</v>
      </c>
      <c r="K1453" s="19" t="b">
        <v>0</v>
      </c>
      <c r="L1453" s="19" t="b">
        <v>0</v>
      </c>
      <c r="M1453" s="19" t="b">
        <v>0</v>
      </c>
      <c r="N1453" s="19" t="b">
        <v>0</v>
      </c>
      <c r="O1453" s="19" t="b">
        <v>1</v>
      </c>
      <c r="P1453" s="19" t="b">
        <v>0</v>
      </c>
    </row>
    <row r="1454" spans="1:16" x14ac:dyDescent="0.2">
      <c r="A1454" s="18">
        <v>4623343</v>
      </c>
      <c r="B1454" s="18" t="s">
        <v>3879</v>
      </c>
      <c r="C1454" s="18" t="s">
        <v>71</v>
      </c>
      <c r="D1454" s="18" t="s">
        <v>56</v>
      </c>
      <c r="E1454" s="19">
        <v>45093</v>
      </c>
      <c r="F1454" s="18" t="s">
        <v>2069</v>
      </c>
      <c r="G1454" s="19">
        <v>45112</v>
      </c>
      <c r="H1454" s="19">
        <v>45138</v>
      </c>
      <c r="I1454" s="18" t="s">
        <v>43</v>
      </c>
      <c r="J1454" s="19" t="b">
        <v>1</v>
      </c>
      <c r="K1454" s="19" t="b">
        <v>0</v>
      </c>
      <c r="L1454" s="19" t="b">
        <v>0</v>
      </c>
      <c r="M1454" s="19" t="b">
        <v>0</v>
      </c>
      <c r="N1454" s="19" t="b">
        <v>0</v>
      </c>
      <c r="O1454" s="19" t="b">
        <v>1</v>
      </c>
      <c r="P1454" s="19" t="b">
        <v>0</v>
      </c>
    </row>
    <row r="1455" spans="1:16" x14ac:dyDescent="0.2">
      <c r="A1455" s="18">
        <v>4623343</v>
      </c>
      <c r="B1455" s="18" t="s">
        <v>3880</v>
      </c>
      <c r="C1455" s="18" t="s">
        <v>71</v>
      </c>
      <c r="D1455" s="18" t="s">
        <v>56</v>
      </c>
      <c r="E1455" s="19">
        <v>44934</v>
      </c>
      <c r="F1455" s="18" t="s">
        <v>3881</v>
      </c>
      <c r="G1455" s="19">
        <v>44960</v>
      </c>
      <c r="H1455" s="19">
        <v>45012</v>
      </c>
      <c r="I1455" s="18"/>
      <c r="J1455" s="19" t="b">
        <v>1</v>
      </c>
      <c r="K1455" s="19" t="b">
        <v>0</v>
      </c>
      <c r="L1455" s="19" t="b">
        <v>0</v>
      </c>
      <c r="M1455" s="19" t="b">
        <v>0</v>
      </c>
      <c r="N1455" s="19" t="b">
        <v>0</v>
      </c>
      <c r="O1455" s="19" t="b">
        <v>0</v>
      </c>
      <c r="P1455" s="19" t="b">
        <v>0</v>
      </c>
    </row>
    <row r="1456" spans="1:16" x14ac:dyDescent="0.2">
      <c r="A1456" s="18">
        <v>5421758</v>
      </c>
      <c r="B1456" s="18" t="s">
        <v>3882</v>
      </c>
      <c r="C1456" s="18" t="s">
        <v>315</v>
      </c>
      <c r="D1456" s="18" t="s">
        <v>39</v>
      </c>
      <c r="E1456" s="19">
        <v>44927</v>
      </c>
      <c r="F1456" s="18" t="s">
        <v>3883</v>
      </c>
      <c r="G1456" s="19">
        <v>44930</v>
      </c>
      <c r="H1456" s="19">
        <v>44975</v>
      </c>
      <c r="I1456" s="18" t="s">
        <v>43</v>
      </c>
      <c r="J1456" s="19" t="b">
        <v>1</v>
      </c>
      <c r="K1456" s="19" t="b">
        <v>0</v>
      </c>
      <c r="L1456" s="19" t="b">
        <v>0</v>
      </c>
      <c r="M1456" s="19" t="b">
        <v>0</v>
      </c>
      <c r="N1456" s="19" t="b">
        <v>0</v>
      </c>
      <c r="O1456" s="19" t="b">
        <v>1</v>
      </c>
      <c r="P1456" s="19" t="b">
        <v>0</v>
      </c>
    </row>
    <row r="1457" spans="1:16" x14ac:dyDescent="0.2">
      <c r="A1457" s="18">
        <v>5421758</v>
      </c>
      <c r="B1457" s="18" t="s">
        <v>3886</v>
      </c>
      <c r="C1457" s="18" t="s">
        <v>315</v>
      </c>
      <c r="D1457" s="18" t="s">
        <v>39</v>
      </c>
      <c r="E1457" s="19">
        <v>45081</v>
      </c>
      <c r="F1457" s="18" t="s">
        <v>3505</v>
      </c>
      <c r="G1457" s="19">
        <v>45104</v>
      </c>
      <c r="H1457" s="19">
        <v>45135</v>
      </c>
      <c r="I1457" s="18" t="s">
        <v>43</v>
      </c>
      <c r="J1457" s="19" t="b">
        <v>1</v>
      </c>
      <c r="K1457" s="19" t="b">
        <v>0</v>
      </c>
      <c r="L1457" s="19" t="b">
        <v>0</v>
      </c>
      <c r="M1457" s="19" t="b">
        <v>0</v>
      </c>
      <c r="N1457" s="19" t="b">
        <v>0</v>
      </c>
      <c r="O1457" s="19" t="b">
        <v>1</v>
      </c>
      <c r="P1457" s="19" t="b">
        <v>0</v>
      </c>
    </row>
    <row r="1458" spans="1:16" x14ac:dyDescent="0.2">
      <c r="A1458" s="18">
        <v>9981848</v>
      </c>
      <c r="B1458" s="18" t="s">
        <v>3887</v>
      </c>
      <c r="C1458" s="18" t="s">
        <v>720</v>
      </c>
      <c r="D1458" s="18" t="s">
        <v>122</v>
      </c>
      <c r="E1458" s="19">
        <v>44616</v>
      </c>
      <c r="F1458" s="18" t="s">
        <v>3888</v>
      </c>
      <c r="G1458" s="19">
        <v>44631</v>
      </c>
      <c r="H1458" s="19">
        <v>44671</v>
      </c>
      <c r="I1458" s="18" t="s">
        <v>43</v>
      </c>
      <c r="J1458" s="19" t="b">
        <v>1</v>
      </c>
      <c r="K1458" s="19" t="b">
        <v>0</v>
      </c>
      <c r="L1458" s="19" t="b">
        <v>0</v>
      </c>
      <c r="M1458" s="19" t="b">
        <v>0</v>
      </c>
      <c r="N1458" s="19" t="b">
        <v>0</v>
      </c>
      <c r="O1458" s="19" t="b">
        <v>1</v>
      </c>
      <c r="P1458" s="19" t="b">
        <v>0</v>
      </c>
    </row>
    <row r="1459" spans="1:16" x14ac:dyDescent="0.2">
      <c r="A1459" s="18">
        <v>9981848</v>
      </c>
      <c r="B1459" s="18" t="s">
        <v>3889</v>
      </c>
      <c r="C1459" s="18" t="s">
        <v>720</v>
      </c>
      <c r="D1459" s="18" t="s">
        <v>122</v>
      </c>
      <c r="E1459" s="19">
        <v>44584</v>
      </c>
      <c r="F1459" s="18" t="s">
        <v>3150</v>
      </c>
      <c r="G1459" s="19">
        <v>44602</v>
      </c>
      <c r="H1459" s="19">
        <v>44631</v>
      </c>
      <c r="I1459" s="18"/>
      <c r="J1459" s="19" t="b">
        <v>1</v>
      </c>
      <c r="K1459" s="19" t="b">
        <v>0</v>
      </c>
      <c r="L1459" s="19" t="b">
        <v>0</v>
      </c>
      <c r="M1459" s="19" t="b">
        <v>0</v>
      </c>
      <c r="N1459" s="19" t="b">
        <v>0</v>
      </c>
      <c r="O1459" s="19" t="b">
        <v>0</v>
      </c>
      <c r="P1459" s="19" t="b">
        <v>0</v>
      </c>
    </row>
    <row r="1460" spans="1:16" x14ac:dyDescent="0.2">
      <c r="A1460" s="18">
        <v>1965457</v>
      </c>
      <c r="B1460" s="18" t="s">
        <v>3890</v>
      </c>
      <c r="C1460" s="18" t="s">
        <v>131</v>
      </c>
      <c r="D1460" s="18" t="s">
        <v>39</v>
      </c>
      <c r="E1460" s="19">
        <v>44924</v>
      </c>
      <c r="F1460" s="18" t="s">
        <v>117</v>
      </c>
      <c r="G1460" s="19">
        <v>44927</v>
      </c>
      <c r="H1460" s="19">
        <v>44974</v>
      </c>
      <c r="I1460" s="18" t="s">
        <v>43</v>
      </c>
      <c r="J1460" s="19" t="b">
        <v>1</v>
      </c>
      <c r="K1460" s="19" t="b">
        <v>0</v>
      </c>
      <c r="L1460" s="19" t="b">
        <v>0</v>
      </c>
      <c r="M1460" s="19" t="b">
        <v>0</v>
      </c>
      <c r="N1460" s="19" t="b">
        <v>0</v>
      </c>
      <c r="O1460" s="19" t="b">
        <v>1</v>
      </c>
      <c r="P1460" s="19" t="b">
        <v>0</v>
      </c>
    </row>
  </sheetData>
  <conditionalFormatting sqref="A2:P1460">
    <cfRule type="expression" dxfId="82" priority="1">
      <formula>OR(ISNUMBER(SEARCH("decline", $I2)), ISNUMBER(SEARCH("rescind", $I2)), ISNUMBER(SEARCH("cancel", $I2)))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B76B6-FBC4-374A-B079-CC3E0BC0DAFA}">
  <dimension ref="A3:G24"/>
  <sheetViews>
    <sheetView workbookViewId="0">
      <selection activeCell="B36" sqref="B36"/>
    </sheetView>
  </sheetViews>
  <sheetFormatPr baseColWidth="10" defaultRowHeight="16" x14ac:dyDescent="0.2"/>
  <cols>
    <col min="1" max="1" width="13" bestFit="1" customWidth="1"/>
    <col min="2" max="2" width="23.33203125" bestFit="1" customWidth="1"/>
    <col min="3" max="3" width="14.83203125" bestFit="1" customWidth="1"/>
    <col min="4" max="12" width="24" bestFit="1" customWidth="1"/>
    <col min="13" max="13" width="10.5" bestFit="1" customWidth="1"/>
  </cols>
  <sheetData>
    <row r="3" spans="1:7" x14ac:dyDescent="0.2">
      <c r="A3" s="4" t="s">
        <v>3931</v>
      </c>
      <c r="B3" s="21" t="s">
        <v>3932</v>
      </c>
      <c r="C3" s="5" t="s">
        <v>3901</v>
      </c>
      <c r="E3" t="s">
        <v>3933</v>
      </c>
      <c r="F3" t="s">
        <v>3934</v>
      </c>
      <c r="G3" t="s">
        <v>3905</v>
      </c>
    </row>
    <row r="4" spans="1:7" x14ac:dyDescent="0.2">
      <c r="A4" s="6" t="s">
        <v>3917</v>
      </c>
      <c r="B4" t="s">
        <v>3919</v>
      </c>
      <c r="C4" s="22">
        <v>8</v>
      </c>
      <c r="E4" t="s">
        <v>3917</v>
      </c>
      <c r="F4" t="s">
        <v>3919</v>
      </c>
      <c r="G4">
        <v>8</v>
      </c>
    </row>
    <row r="5" spans="1:7" x14ac:dyDescent="0.2">
      <c r="A5" s="6"/>
      <c r="B5" t="s">
        <v>3920</v>
      </c>
      <c r="C5" s="22">
        <v>35</v>
      </c>
      <c r="F5" t="s">
        <v>3920</v>
      </c>
      <c r="G5">
        <v>35</v>
      </c>
    </row>
    <row r="6" spans="1:7" x14ac:dyDescent="0.2">
      <c r="A6" s="6"/>
      <c r="B6" t="s">
        <v>3921</v>
      </c>
      <c r="C6" s="22">
        <v>79</v>
      </c>
      <c r="F6" t="s">
        <v>3921</v>
      </c>
      <c r="G6">
        <v>79</v>
      </c>
    </row>
    <row r="7" spans="1:7" x14ac:dyDescent="0.2">
      <c r="A7" s="6"/>
      <c r="B7" t="s">
        <v>3922</v>
      </c>
      <c r="C7" s="22">
        <v>80</v>
      </c>
      <c r="F7" t="s">
        <v>3922</v>
      </c>
      <c r="G7">
        <v>80</v>
      </c>
    </row>
    <row r="8" spans="1:7" x14ac:dyDescent="0.2">
      <c r="A8" s="6"/>
      <c r="B8" t="s">
        <v>3923</v>
      </c>
      <c r="C8" s="22">
        <v>78</v>
      </c>
      <c r="F8" t="s">
        <v>3923</v>
      </c>
      <c r="G8">
        <v>78</v>
      </c>
    </row>
    <row r="9" spans="1:7" x14ac:dyDescent="0.2">
      <c r="A9" s="6"/>
      <c r="B9" t="s">
        <v>3924</v>
      </c>
      <c r="C9" s="22">
        <v>73</v>
      </c>
      <c r="F9" t="s">
        <v>3924</v>
      </c>
      <c r="G9">
        <v>73</v>
      </c>
    </row>
    <row r="10" spans="1:7" x14ac:dyDescent="0.2">
      <c r="A10" s="6"/>
      <c r="B10" t="s">
        <v>3925</v>
      </c>
      <c r="C10" s="22">
        <v>83</v>
      </c>
      <c r="F10" t="s">
        <v>3925</v>
      </c>
      <c r="G10">
        <v>83</v>
      </c>
    </row>
    <row r="11" spans="1:7" x14ac:dyDescent="0.2">
      <c r="A11" s="6"/>
      <c r="B11" t="s">
        <v>3926</v>
      </c>
      <c r="C11" s="22">
        <v>76</v>
      </c>
      <c r="F11" t="s">
        <v>3926</v>
      </c>
      <c r="G11">
        <v>76</v>
      </c>
    </row>
    <row r="12" spans="1:7" x14ac:dyDescent="0.2">
      <c r="A12" s="6"/>
      <c r="B12" t="s">
        <v>3927</v>
      </c>
      <c r="C12" s="22">
        <v>94</v>
      </c>
      <c r="F12" t="s">
        <v>3927</v>
      </c>
      <c r="G12">
        <v>94</v>
      </c>
    </row>
    <row r="13" spans="1:7" x14ac:dyDescent="0.2">
      <c r="A13" s="6"/>
      <c r="B13" t="s">
        <v>3928</v>
      </c>
      <c r="C13" s="22">
        <v>59</v>
      </c>
      <c r="F13" t="s">
        <v>3928</v>
      </c>
      <c r="G13">
        <v>59</v>
      </c>
    </row>
    <row r="14" spans="1:7" x14ac:dyDescent="0.2">
      <c r="A14" s="6"/>
      <c r="B14" t="s">
        <v>3929</v>
      </c>
      <c r="C14" s="22">
        <v>73</v>
      </c>
      <c r="F14" t="s">
        <v>3929</v>
      </c>
      <c r="G14">
        <v>73</v>
      </c>
    </row>
    <row r="15" spans="1:7" x14ac:dyDescent="0.2">
      <c r="A15" s="6"/>
      <c r="B15" t="s">
        <v>3930</v>
      </c>
      <c r="C15" s="22">
        <v>90</v>
      </c>
      <c r="F15" t="s">
        <v>3930</v>
      </c>
      <c r="G15">
        <v>90</v>
      </c>
    </row>
    <row r="16" spans="1:7" x14ac:dyDescent="0.2">
      <c r="A16" s="6" t="s">
        <v>3918</v>
      </c>
      <c r="B16" t="s">
        <v>3919</v>
      </c>
      <c r="C16" s="22">
        <v>86</v>
      </c>
      <c r="E16" t="s">
        <v>3918</v>
      </c>
      <c r="F16" t="s">
        <v>3919</v>
      </c>
      <c r="G16">
        <v>86</v>
      </c>
    </row>
    <row r="17" spans="1:7" x14ac:dyDescent="0.2">
      <c r="A17" s="6"/>
      <c r="B17" t="s">
        <v>3920</v>
      </c>
      <c r="C17" s="22">
        <v>75</v>
      </c>
      <c r="F17" t="s">
        <v>3920</v>
      </c>
      <c r="G17">
        <v>75</v>
      </c>
    </row>
    <row r="18" spans="1:7" x14ac:dyDescent="0.2">
      <c r="A18" s="6"/>
      <c r="B18" t="s">
        <v>3921</v>
      </c>
      <c r="C18" s="22">
        <v>88</v>
      </c>
      <c r="F18" t="s">
        <v>3921</v>
      </c>
      <c r="G18">
        <v>88</v>
      </c>
    </row>
    <row r="19" spans="1:7" x14ac:dyDescent="0.2">
      <c r="A19" s="6"/>
      <c r="B19" t="s">
        <v>3922</v>
      </c>
      <c r="C19" s="22">
        <v>82</v>
      </c>
      <c r="F19" t="s">
        <v>3922</v>
      </c>
      <c r="G19">
        <v>82</v>
      </c>
    </row>
    <row r="20" spans="1:7" x14ac:dyDescent="0.2">
      <c r="A20" s="6"/>
      <c r="B20" t="s">
        <v>3923</v>
      </c>
      <c r="C20" s="22">
        <v>96</v>
      </c>
      <c r="F20" t="s">
        <v>3923</v>
      </c>
      <c r="G20">
        <v>96</v>
      </c>
    </row>
    <row r="21" spans="1:7" x14ac:dyDescent="0.2">
      <c r="A21" s="6"/>
      <c r="B21" t="s">
        <v>3924</v>
      </c>
      <c r="C21" s="22">
        <v>79</v>
      </c>
      <c r="F21" t="s">
        <v>3924</v>
      </c>
      <c r="G21">
        <v>79</v>
      </c>
    </row>
    <row r="22" spans="1:7" x14ac:dyDescent="0.2">
      <c r="A22" s="6"/>
      <c r="B22" t="s">
        <v>3925</v>
      </c>
      <c r="C22" s="22">
        <v>71</v>
      </c>
      <c r="F22" t="s">
        <v>3925</v>
      </c>
      <c r="G22">
        <v>71</v>
      </c>
    </row>
    <row r="23" spans="1:7" x14ac:dyDescent="0.2">
      <c r="A23" s="6"/>
      <c r="B23" t="s">
        <v>3926</v>
      </c>
      <c r="C23" s="22">
        <v>53</v>
      </c>
      <c r="F23" t="s">
        <v>3926</v>
      </c>
      <c r="G23">
        <v>53</v>
      </c>
    </row>
    <row r="24" spans="1:7" x14ac:dyDescent="0.2">
      <c r="A24" s="8"/>
      <c r="B24" s="23" t="s">
        <v>3927</v>
      </c>
      <c r="C24" s="24">
        <v>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1D5-47F1-EB4C-8F6E-719DA3F10E10}">
  <dimension ref="A1:XFD1048575"/>
  <sheetViews>
    <sheetView workbookViewId="0">
      <selection activeCell="D19" sqref="D19"/>
    </sheetView>
  </sheetViews>
  <sheetFormatPr baseColWidth="10" defaultRowHeight="16" x14ac:dyDescent="0.2"/>
  <cols>
    <col min="1" max="1" width="11.1640625" customWidth="1"/>
    <col min="4" max="4" width="17.83203125" bestFit="1" customWidth="1"/>
  </cols>
  <sheetData>
    <row r="1" spans="1:4" x14ac:dyDescent="0.2">
      <c r="A1" s="33" t="s">
        <v>3937</v>
      </c>
      <c r="B1" s="34" t="s">
        <v>3936</v>
      </c>
      <c r="C1" s="20" t="s">
        <v>3938</v>
      </c>
      <c r="D1" t="s">
        <v>3952</v>
      </c>
    </row>
    <row r="2" spans="1:4" x14ac:dyDescent="0.2">
      <c r="A2" s="32">
        <v>44562</v>
      </c>
      <c r="B2" s="31">
        <v>8</v>
      </c>
      <c r="C2" s="18" t="s">
        <v>3939</v>
      </c>
      <c r="D2" s="35"/>
    </row>
    <row r="3" spans="1:4" x14ac:dyDescent="0.2">
      <c r="A3" s="32">
        <v>44593</v>
      </c>
      <c r="B3" s="31">
        <v>35</v>
      </c>
      <c r="C3" s="18" t="s">
        <v>3939</v>
      </c>
      <c r="D3" s="35"/>
    </row>
    <row r="4" spans="1:4" x14ac:dyDescent="0.2">
      <c r="A4" s="32">
        <v>44621</v>
      </c>
      <c r="B4" s="31">
        <v>79</v>
      </c>
      <c r="C4" s="18" t="s">
        <v>3939</v>
      </c>
      <c r="D4" s="35"/>
    </row>
    <row r="5" spans="1:4" x14ac:dyDescent="0.2">
      <c r="A5" s="32">
        <v>44652</v>
      </c>
      <c r="B5" s="31">
        <v>80</v>
      </c>
      <c r="C5" s="18" t="s">
        <v>3939</v>
      </c>
      <c r="D5" s="35"/>
    </row>
    <row r="6" spans="1:4" x14ac:dyDescent="0.2">
      <c r="A6" s="32">
        <v>44682</v>
      </c>
      <c r="B6" s="31">
        <v>78</v>
      </c>
      <c r="C6" s="18" t="s">
        <v>3939</v>
      </c>
      <c r="D6" s="35"/>
    </row>
    <row r="7" spans="1:4" x14ac:dyDescent="0.2">
      <c r="A7" s="32">
        <v>44713</v>
      </c>
      <c r="B7" s="31">
        <v>73</v>
      </c>
      <c r="C7" s="18" t="s">
        <v>3939</v>
      </c>
      <c r="D7" s="35"/>
    </row>
    <row r="8" spans="1:4" x14ac:dyDescent="0.2">
      <c r="A8" s="32">
        <v>44743</v>
      </c>
      <c r="B8" s="31">
        <v>83</v>
      </c>
      <c r="C8" s="18" t="s">
        <v>3939</v>
      </c>
      <c r="D8" s="35"/>
    </row>
    <row r="9" spans="1:4" x14ac:dyDescent="0.2">
      <c r="A9" s="32">
        <v>44774</v>
      </c>
      <c r="B9" s="31">
        <v>76</v>
      </c>
      <c r="C9" s="18" t="s">
        <v>3939</v>
      </c>
      <c r="D9" s="35"/>
    </row>
    <row r="10" spans="1:4" x14ac:dyDescent="0.2">
      <c r="A10" s="32">
        <v>44805</v>
      </c>
      <c r="B10" s="31">
        <v>94</v>
      </c>
      <c r="C10" s="18" t="s">
        <v>3939</v>
      </c>
      <c r="D10" s="35"/>
    </row>
    <row r="11" spans="1:4" x14ac:dyDescent="0.2">
      <c r="A11" s="32">
        <v>44835</v>
      </c>
      <c r="B11" s="31">
        <v>59</v>
      </c>
      <c r="C11" s="18" t="s">
        <v>3939</v>
      </c>
      <c r="D11" s="35"/>
    </row>
    <row r="12" spans="1:4" x14ac:dyDescent="0.2">
      <c r="A12" s="32">
        <v>44866</v>
      </c>
      <c r="B12" s="31">
        <v>73</v>
      </c>
      <c r="C12" s="18" t="s">
        <v>3939</v>
      </c>
      <c r="D12" s="35"/>
    </row>
    <row r="13" spans="1:4" x14ac:dyDescent="0.2">
      <c r="A13" s="32">
        <v>44896</v>
      </c>
      <c r="B13" s="31">
        <v>90</v>
      </c>
      <c r="C13" s="18" t="s">
        <v>3939</v>
      </c>
      <c r="D13" s="35"/>
    </row>
    <row r="14" spans="1:4" x14ac:dyDescent="0.2">
      <c r="A14" s="32">
        <v>44927</v>
      </c>
      <c r="B14" s="31">
        <v>86</v>
      </c>
      <c r="C14" s="18" t="s">
        <v>3939</v>
      </c>
      <c r="D14" s="35"/>
    </row>
    <row r="15" spans="1:4" x14ac:dyDescent="0.2">
      <c r="A15" s="32">
        <v>44958</v>
      </c>
      <c r="B15" s="31">
        <v>75</v>
      </c>
      <c r="C15" s="18" t="s">
        <v>3939</v>
      </c>
      <c r="D15" s="35"/>
    </row>
    <row r="16" spans="1:4" x14ac:dyDescent="0.2">
      <c r="A16" s="32">
        <v>44986</v>
      </c>
      <c r="B16" s="31">
        <v>88</v>
      </c>
      <c r="C16" s="18" t="s">
        <v>3939</v>
      </c>
      <c r="D16" s="35"/>
    </row>
    <row r="17" spans="1:4" x14ac:dyDescent="0.2">
      <c r="A17" s="32">
        <v>45017</v>
      </c>
      <c r="B17" s="31">
        <v>82</v>
      </c>
      <c r="C17" s="18" t="s">
        <v>3939</v>
      </c>
      <c r="D17" s="35"/>
    </row>
    <row r="18" spans="1:4" x14ac:dyDescent="0.2">
      <c r="A18" s="32">
        <v>45047</v>
      </c>
      <c r="B18" s="31">
        <v>96</v>
      </c>
      <c r="C18" s="18" t="s">
        <v>3939</v>
      </c>
      <c r="D18" s="35"/>
    </row>
    <row r="19" spans="1:4" x14ac:dyDescent="0.2">
      <c r="A19" s="32">
        <v>45078</v>
      </c>
      <c r="B19" s="31">
        <v>79</v>
      </c>
      <c r="C19" s="18" t="s">
        <v>3940</v>
      </c>
      <c r="D19">
        <f>ROUND(_xlfn.FORECAST.ETS(Table12[[#This Row],[MM-YYYY]], B2:B18, A2:A18, 1), 0)</f>
        <v>98</v>
      </c>
    </row>
    <row r="20" spans="1:4" x14ac:dyDescent="0.2">
      <c r="A20" s="32">
        <v>45108</v>
      </c>
      <c r="B20" s="31">
        <v>71</v>
      </c>
      <c r="C20" s="18" t="s">
        <v>3940</v>
      </c>
      <c r="D20">
        <f>ROUND(_xlfn.FORECAST.ETS(Table12[[#This Row],[MM-YYYY]], B3:B19, A3:A19, 1), 0)</f>
        <v>87</v>
      </c>
    </row>
    <row r="21" spans="1:4" x14ac:dyDescent="0.2">
      <c r="A21" s="32">
        <v>45139</v>
      </c>
      <c r="B21" s="31">
        <v>53</v>
      </c>
      <c r="C21" s="18" t="s">
        <v>3940</v>
      </c>
      <c r="D21">
        <f>ROUND(_xlfn.FORECAST.ETS(Table12[[#This Row],[MM-YYYY]], B4:B20, A4:A20, 1), 0)</f>
        <v>84</v>
      </c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D19:D21" formulaRange="1"/>
  </ignoredErrors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DD7DB-8B81-9B46-9C9E-988E3DFD8DF3}">
  <dimension ref="A1:F12"/>
  <sheetViews>
    <sheetView workbookViewId="0">
      <selection activeCell="F2" sqref="F2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7.5" customWidth="1"/>
    <col min="4" max="4" width="15.33203125" bestFit="1" customWidth="1"/>
    <col min="5" max="5" width="14.5" customWidth="1"/>
    <col min="6" max="6" width="25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'ETS Forecast'!D19</f>
        <v>98</v>
      </c>
      <c r="C2" s="28">
        <f>B2 - A2</f>
        <v>19</v>
      </c>
      <c r="D2" s="28">
        <f>ABS(C2)</f>
        <v>19</v>
      </c>
      <c r="E2" s="27">
        <f>C2^2</f>
        <v>361</v>
      </c>
      <c r="F2" s="27">
        <f>IF(A2=0, 0, ABS(C2 / A2))</f>
        <v>0.24050632911392406</v>
      </c>
    </row>
    <row r="3" spans="1:6" x14ac:dyDescent="0.2">
      <c r="A3" s="28">
        <f>'Poisson Regression'!B20</f>
        <v>71</v>
      </c>
      <c r="B3" s="28">
        <f>'ETS Forecast'!D20</f>
        <v>87</v>
      </c>
      <c r="C3" s="28">
        <f t="shared" ref="C3:C4" si="0">B3 - A3</f>
        <v>16</v>
      </c>
      <c r="D3" s="28">
        <f t="shared" ref="D3:D4" si="1">ABS(C3)</f>
        <v>16</v>
      </c>
      <c r="E3" s="27">
        <f t="shared" ref="E3:E4" si="2">C3^2</f>
        <v>256</v>
      </c>
      <c r="F3" s="27">
        <f t="shared" ref="F3:F4" si="3">IF(A3=0, 0, ABS(C3 / A3))</f>
        <v>0.22535211267605634</v>
      </c>
    </row>
    <row r="4" spans="1:6" x14ac:dyDescent="0.2">
      <c r="A4" s="28">
        <f>'Poisson Regression'!B21</f>
        <v>53</v>
      </c>
      <c r="B4" s="28">
        <f>'ETS Forecast'!D21</f>
        <v>84</v>
      </c>
      <c r="C4" s="28">
        <f t="shared" si="0"/>
        <v>31</v>
      </c>
      <c r="D4" s="28">
        <f t="shared" si="1"/>
        <v>31</v>
      </c>
      <c r="E4" s="27">
        <f t="shared" si="2"/>
        <v>961</v>
      </c>
      <c r="F4" s="27">
        <f t="shared" si="3"/>
        <v>0.58490566037735847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526</v>
      </c>
    </row>
    <row r="10" spans="1:6" x14ac:dyDescent="0.2">
      <c r="A10" t="s">
        <v>3958</v>
      </c>
      <c r="B10" s="27">
        <f>SQRT(B9)</f>
        <v>22.934689882359429</v>
      </c>
    </row>
    <row r="11" spans="1:6" x14ac:dyDescent="0.2">
      <c r="A11" t="s">
        <v>3959</v>
      </c>
      <c r="B11" s="27">
        <f>AVERAGE(D2:D4)</f>
        <v>22</v>
      </c>
    </row>
    <row r="12" spans="1:6" x14ac:dyDescent="0.2">
      <c r="A12" t="s">
        <v>3960</v>
      </c>
      <c r="B12" s="27">
        <f>AVERAGE(F2:F4)</f>
        <v>0.3502547007224463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563F-B24C-DD4C-A0A3-B838A511B223}">
  <dimension ref="A1:XFD1048575"/>
  <sheetViews>
    <sheetView workbookViewId="0">
      <selection activeCell="G2" sqref="G2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3" width="10.83203125" customWidth="1"/>
  </cols>
  <sheetData>
    <row r="1" spans="1:11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1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54.003197260164939</v>
      </c>
      <c r="H2" s="27">
        <f>-G2 + B2*LN(G2) - GAMMALN(B2 + 1)</f>
        <v>-32.695454136245459</v>
      </c>
      <c r="J2" t="s">
        <v>3946</v>
      </c>
      <c r="K2" s="36">
        <v>3.9520139526599265</v>
      </c>
    </row>
    <row r="3" spans="1:11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 t="shared" ref="G3:G21" si="3">EXP($K$2 + $K$3*D3 + $K$4*E3 + $K$5*F3)</f>
        <v>56.040382896706866</v>
      </c>
      <c r="H3" s="27">
        <f t="shared" ref="H3:H21" si="4">-G3 + B3*LN(G3) - GAMMALN(B3 + 1)</f>
        <v>-7.2640191101749139</v>
      </c>
      <c r="J3" t="s">
        <v>3947</v>
      </c>
      <c r="K3" s="36">
        <v>3.7029300673165462E-2</v>
      </c>
    </row>
    <row r="4" spans="1:11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si="3"/>
        <v>58.154418155646823</v>
      </c>
      <c r="H4" s="27">
        <f t="shared" si="4"/>
        <v>-6.4604692869921791</v>
      </c>
      <c r="J4" t="s">
        <v>3948</v>
      </c>
      <c r="K4" s="36">
        <v>0</v>
      </c>
    </row>
    <row r="5" spans="1:11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3"/>
        <v>60.348202068058363</v>
      </c>
      <c r="H5" s="27">
        <f t="shared" si="4"/>
        <v>-6.0108339255450005</v>
      </c>
      <c r="J5" t="s">
        <v>3949</v>
      </c>
      <c r="K5" s="36">
        <v>0</v>
      </c>
    </row>
    <row r="6" spans="1:11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3"/>
        <v>62.624743026400125</v>
      </c>
      <c r="H6" s="27">
        <f t="shared" si="4"/>
        <v>-4.8478772549440805</v>
      </c>
    </row>
    <row r="7" spans="1:11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3"/>
        <v>64.987162910002439</v>
      </c>
      <c r="H7" s="27">
        <f t="shared" si="4"/>
        <v>-3.5401596739640127</v>
      </c>
      <c r="J7" s="29" t="s">
        <v>3953</v>
      </c>
    </row>
    <row r="8" spans="1:11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3"/>
        <v>67.438701366180496</v>
      </c>
      <c r="H8" s="27">
        <f t="shared" si="4"/>
        <v>-4.8006528997244686</v>
      </c>
      <c r="J8" s="30">
        <f>-SUMIF(C2:C21, "Train", H2:H21)</f>
        <v>104.3035822628984</v>
      </c>
    </row>
    <row r="9" spans="1:11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3"/>
        <v>69.982720252846761</v>
      </c>
      <c r="H9" s="27">
        <f t="shared" si="4"/>
        <v>-3.336980591417273</v>
      </c>
    </row>
    <row r="10" spans="1:11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3"/>
        <v>72.622708248712925</v>
      </c>
      <c r="H10" s="27">
        <f t="shared" si="4"/>
        <v>-6.0677903083803244</v>
      </c>
    </row>
    <row r="11" spans="1:11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3"/>
        <v>75.362285637405506</v>
      </c>
      <c r="H11" s="27">
        <f t="shared" si="4"/>
        <v>-4.8800038947516668</v>
      </c>
    </row>
    <row r="12" spans="1:11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3"/>
        <v>78.205209272053651</v>
      </c>
      <c r="H12" s="27">
        <f t="shared" si="4"/>
        <v>-3.242511290309892</v>
      </c>
    </row>
    <row r="13" spans="1:11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3"/>
        <v>81.155377727159234</v>
      </c>
      <c r="H13" s="27">
        <f t="shared" si="4"/>
        <v>-3.6351168809564456</v>
      </c>
    </row>
    <row r="14" spans="1:11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3"/>
        <v>84.216836644812119</v>
      </c>
      <c r="H14" s="27">
        <f t="shared" si="4"/>
        <v>-3.1658272104735943</v>
      </c>
    </row>
    <row r="15" spans="1:11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3"/>
        <v>87.393784282583979</v>
      </c>
      <c r="H15" s="27">
        <f t="shared" si="4"/>
        <v>-4.0023743359888897</v>
      </c>
    </row>
    <row r="16" spans="1:11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3"/>
        <v>90.690577270706697</v>
      </c>
      <c r="H16" s="27">
        <f t="shared" si="4"/>
        <v>-3.1988661282016437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3"/>
        <v>94.111736586432272</v>
      </c>
      <c r="H17" s="27">
        <f t="shared" si="4"/>
        <v>-3.9384426727556843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3"/>
        <v>97.66195375376499</v>
      </c>
      <c r="H18" s="27">
        <f t="shared" si="4"/>
        <v>-3.2162026620728739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3"/>
        <v>101.34609727706986</v>
      </c>
      <c r="H19" s="27">
        <f t="shared" si="4"/>
        <v>-5.7724271107141476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3"/>
        <v>105.1692193173776</v>
      </c>
      <c r="H20" s="27">
        <f t="shared" si="4"/>
        <v>-9.325425513240873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3"/>
        <v>109.136562620544</v>
      </c>
      <c r="H21" s="27">
        <f t="shared" si="4"/>
        <v>-20.759892632643414</v>
      </c>
    </row>
    <row r="23" spans="1:8" x14ac:dyDescent="0.2">
      <c r="H23"/>
    </row>
    <row r="24" spans="1:8" x14ac:dyDescent="0.2">
      <c r="A24" s="26"/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honeticPr fontId="18" type="noConversion"/>
  <pageMargins left="0.7" right="0.7" top="0.75" bottom="0.75" header="0.3" footer="0.3"/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E4CCDC32-5C1C-1A4E-9E5B-8327D06FF9B2}">
          <xm:f>'ETS Forecast'!1:1048576</xm:f>
        </x15:webExtension>
        <x15:webExtension appRef="{2ACF1D85-7E47-3847-B349-80DEA0D01E12}">
          <xm:f>'Poisson Regression'!1:1048576</xm:f>
        </x15:webExtension>
        <x15:webExtension appRef="{EF08CC10-AA7B-9D42-A654-D7BEC8BFAAC6}">
          <xm:f>'Poisson Regression'!XFD1048550:XFD1048575</xm:f>
        </x15:webExtension>
        <x15:webExtension appRef="{72098FCE-37D5-7641-9261-B7C4596CD38D}">
          <xm:f>'Poisson Regression'!$K$2:$K$5</xm:f>
        </x15:webExtension>
      </x15:webExtens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F9D6-682F-CD48-A6E2-4FD3B32E00FA}">
  <dimension ref="A1:H12"/>
  <sheetViews>
    <sheetView workbookViewId="0">
      <selection activeCell="B11" sqref="B11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8.33203125" customWidth="1"/>
    <col min="4" max="4" width="15.33203125" bestFit="1" customWidth="1"/>
    <col min="5" max="5" width="14.5" customWidth="1"/>
    <col min="6" max="6" width="25" customWidth="1"/>
    <col min="8" max="8" width="13.6640625" bestFit="1" customWidth="1"/>
  </cols>
  <sheetData>
    <row r="1" spans="1:8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  <c r="H1" s="27"/>
    </row>
    <row r="2" spans="1:8" x14ac:dyDescent="0.2">
      <c r="A2" s="28">
        <f>'Poisson Regression'!B19</f>
        <v>79</v>
      </c>
      <c r="B2" s="28">
        <f>'Poisson Regression'!G19</f>
        <v>101.34609727706986</v>
      </c>
      <c r="C2" s="28">
        <f>B2 - A2</f>
        <v>22.346097277069859</v>
      </c>
      <c r="D2" s="28">
        <f>ABS(C2)</f>
        <v>22.346097277069859</v>
      </c>
      <c r="E2" s="27">
        <f>C2^2</f>
        <v>499.34806351626895</v>
      </c>
      <c r="F2" s="27">
        <f>IF(A2=0, 0, ABS(C2 / A2))</f>
        <v>0.28286199084898556</v>
      </c>
      <c r="H2" s="27"/>
    </row>
    <row r="3" spans="1:8" x14ac:dyDescent="0.2">
      <c r="A3" s="28">
        <f>'Poisson Regression'!B20</f>
        <v>71</v>
      </c>
      <c r="B3" s="28">
        <f>'Poisson Regression'!G20</f>
        <v>105.1692193173776</v>
      </c>
      <c r="C3" s="28">
        <f t="shared" ref="C3:C4" si="0">B3 - A3</f>
        <v>34.169219317377596</v>
      </c>
      <c r="D3" s="28">
        <f t="shared" ref="D3:D4" si="1">ABS(C3)</f>
        <v>34.169219317377596</v>
      </c>
      <c r="E3" s="27">
        <f t="shared" ref="E3:E4" si="2">C3^2</f>
        <v>1167.5355487590502</v>
      </c>
      <c r="F3" s="27">
        <f t="shared" ref="F3:F4" si="3">IF(A3=0, 0, ABS(C3 / A3))</f>
        <v>0.4812566101039098</v>
      </c>
      <c r="H3" s="27"/>
    </row>
    <row r="4" spans="1:8" x14ac:dyDescent="0.2">
      <c r="A4" s="28">
        <f>'Poisson Regression'!B21</f>
        <v>53</v>
      </c>
      <c r="B4" s="28">
        <f>'Poisson Regression'!G21</f>
        <v>109.136562620544</v>
      </c>
      <c r="C4" s="28">
        <f t="shared" si="0"/>
        <v>56.136562620543998</v>
      </c>
      <c r="D4" s="28">
        <f t="shared" si="1"/>
        <v>56.136562620543998</v>
      </c>
      <c r="E4" s="27">
        <f t="shared" si="2"/>
        <v>3151.3136628502575</v>
      </c>
      <c r="F4" s="27">
        <f t="shared" si="3"/>
        <v>1.059180426802717</v>
      </c>
    </row>
    <row r="8" spans="1:8" x14ac:dyDescent="0.2">
      <c r="A8" t="s">
        <v>3962</v>
      </c>
      <c r="B8" t="s">
        <v>3945</v>
      </c>
    </row>
    <row r="9" spans="1:8" x14ac:dyDescent="0.2">
      <c r="A9" t="s">
        <v>3957</v>
      </c>
      <c r="B9" s="27">
        <f>AVERAGE(E2:E4)</f>
        <v>1606.065758375192</v>
      </c>
    </row>
    <row r="10" spans="1:8" x14ac:dyDescent="0.2">
      <c r="A10" t="s">
        <v>3958</v>
      </c>
      <c r="B10" s="27">
        <f>SQRT(B9)</f>
        <v>40.075750253428716</v>
      </c>
    </row>
    <row r="11" spans="1:8" x14ac:dyDescent="0.2">
      <c r="A11" t="s">
        <v>3959</v>
      </c>
      <c r="B11" s="27">
        <f>AVERAGE(D2:D4)</f>
        <v>37.550626404997153</v>
      </c>
    </row>
    <row r="12" spans="1:8" x14ac:dyDescent="0.2">
      <c r="A12" t="s">
        <v>3960</v>
      </c>
      <c r="B12" s="27">
        <f>AVERAGE(F2:F4)</f>
        <v>0.60776634258520412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F40C0-9518-7E4A-8E05-3F7597D817CE}">
  <dimension ref="A1:XFD1048575"/>
  <sheetViews>
    <sheetView workbookViewId="0">
      <selection activeCell="I1" sqref="I1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45.558495598787864</v>
      </c>
      <c r="H2" s="27">
        <f>GAMMALN($K$6 + B2) - GAMMALN($K$6) - GAMMALN(B2 + 1) + B2 * LN(G2 / ($K$6 + G2)) - ($K$6 + B2) * LN(1 + G2 / $K$6)</f>
        <v>-24.635970641081716</v>
      </c>
      <c r="J2" t="s">
        <v>3946</v>
      </c>
      <c r="K2" s="36">
        <v>3.788200069515729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46.983391462105359</v>
      </c>
      <c r="H3" s="27">
        <f t="shared" ref="H3:H21" si="3">GAMMALN($K$6 + B3) - GAMMALN($K$6) - GAMMALN(B3 + 1) + B3 * LN(G3 / ($K$6 + G3)) - ($K$6 + B3) * LN(1 + G3 / $K$6)</f>
        <v>-9.3149268300232038</v>
      </c>
      <c r="J3" t="s">
        <v>3947</v>
      </c>
      <c r="K3" s="36">
        <v>3.0797048298315928E-2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1" si="4">EXP($K$2 + $K$3*D4 + $K$4*E4 + $K$5*F4)</f>
        <v>48.452852629755519</v>
      </c>
      <c r="H4" s="27">
        <f t="shared" si="3"/>
        <v>-21.820633244943444</v>
      </c>
      <c r="J4" t="s">
        <v>3948</v>
      </c>
      <c r="K4" s="36">
        <v>0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49.96827293436953</v>
      </c>
      <c r="H5" s="27">
        <f t="shared" si="3"/>
        <v>-21.920192874433418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51.531089802343459</v>
      </c>
      <c r="H6" s="27">
        <f t="shared" si="3"/>
        <v>-20.469729015542718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53.142785617285035</v>
      </c>
      <c r="H7" s="27">
        <f t="shared" si="3"/>
        <v>-17.850338207146095</v>
      </c>
    </row>
    <row r="8" spans="1:18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54.804889126103546</v>
      </c>
      <c r="H8" s="27">
        <f t="shared" si="3"/>
        <v>-22.340984781288498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56.518976889076932</v>
      </c>
      <c r="H9" s="27">
        <f t="shared" si="3"/>
        <v>-18.820434627304479</v>
      </c>
      <c r="J9" s="30">
        <f>-SUMIF(C2:C21, "Train", H2:H21)</f>
        <v>353.81238515011069</v>
      </c>
      <c r="N9" s="27"/>
    </row>
    <row r="10" spans="1:18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58.286674775271472</v>
      </c>
      <c r="H10" s="27">
        <f t="shared" si="3"/>
        <v>-27.505327733626345</v>
      </c>
      <c r="N10" s="27"/>
    </row>
    <row r="11" spans="1:18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60.109659504732697</v>
      </c>
      <c r="H11" s="27">
        <f t="shared" si="3"/>
        <v>-13.832471027365983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61.989660238909607</v>
      </c>
      <c r="H12" s="27">
        <f t="shared" si="3"/>
        <v>-17.644874553889991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63.928460220821805</v>
      </c>
      <c r="H13" s="27">
        <f t="shared" si="3"/>
        <v>-24.486925482620961</v>
      </c>
    </row>
    <row r="14" spans="1:18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65.927898466524766</v>
      </c>
      <c r="H14" s="27">
        <f t="shared" si="3"/>
        <v>-22.602155380023945</v>
      </c>
    </row>
    <row r="15" spans="1:18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67.989871509477183</v>
      </c>
      <c r="H15" s="27">
        <f t="shared" si="3"/>
        <v>-18.794114898996312</v>
      </c>
    </row>
    <row r="16" spans="1:18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70.116335199466036</v>
      </c>
      <c r="H16" s="27">
        <f t="shared" si="3"/>
        <v>-23.453299421163024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72.309306557795097</v>
      </c>
      <c r="H17" s="27">
        <f t="shared" si="3"/>
        <v>-21.448592713501441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74.570865690496134</v>
      </c>
      <c r="H18" s="27">
        <f t="shared" si="3"/>
        <v>-26.871413717159115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76.903157761378736</v>
      </c>
      <c r="H19" s="27">
        <f t="shared" si="3"/>
        <v>-21.272418567291538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79.308395026789086</v>
      </c>
      <c r="H20" s="27">
        <f t="shared" si="3"/>
        <v>-20.171557355811132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81.788858934008815</v>
      </c>
      <c r="H21" s="27">
        <f t="shared" si="3"/>
        <v>-20.445641159521756</v>
      </c>
    </row>
    <row r="23" spans="1:8" x14ac:dyDescent="0.2">
      <c r="H23"/>
    </row>
    <row r="24" spans="1:8" x14ac:dyDescent="0.2">
      <c r="A24" s="26" t="s">
        <v>3970</v>
      </c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G2:G21" calculatedColumn="1"/>
  </ignoredErrors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5400BBE2-E1DF-4E48-A66C-7F6A80CC2417}">
          <xm:f>'Negative Binomial Regression'!1:1048576</xm:f>
        </x15:webExtension>
        <x15:webExtension appRef="{5DBC3BE4-37FD-E941-8459-85648BDF45EB}">
          <xm:f>'Negative Binomial Regression'!XFD1048550:XFD1048575</xm:f>
        </x15:webExtension>
        <x15:webExtension appRef="{30A79CEC-304B-6545-BD3F-BEBCEF6EFE99}">
          <xm:f>'Negative Binomial Regression'!$K$2:$K$6</xm:f>
        </x15:webExtension>
        <x15:webExtension appRef="{95981DF6-38AE-3647-BBD5-A39A3CC3DB86}">
          <xm:f>'Negative Binomial Regression'!$J$9</xm:f>
        </x15:webExtension>
        <x15:webExtension appRef="{3737379E-6F0F-2D4F-B963-F15C92E1B98A}">
          <xm:f>'Negative Binomial Regression'!$K$2:$K$6</xm:f>
        </x15:webExtension>
      </x15:webExtens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9F753-EAFF-9C4B-909A-8B1D7AF86BD4}">
  <dimension ref="A1:F12"/>
  <sheetViews>
    <sheetView workbookViewId="0">
      <selection activeCell="B2" sqref="B2"/>
    </sheetView>
  </sheetViews>
  <sheetFormatPr baseColWidth="10" defaultRowHeight="16" x14ac:dyDescent="0.2"/>
  <cols>
    <col min="1" max="1" width="13.83203125" bestFit="1" customWidth="1"/>
    <col min="2" max="2" width="17.83203125" bestFit="1" customWidth="1"/>
    <col min="3" max="3" width="7.6640625" bestFit="1" customWidth="1"/>
    <col min="4" max="4" width="15.33203125" bestFit="1" customWidth="1"/>
    <col min="5" max="5" width="14.6640625" bestFit="1" customWidth="1"/>
    <col min="6" max="6" width="25.5" bestFit="1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'Negative Binomial Regression'!G19</f>
        <v>76.903157761378736</v>
      </c>
      <c r="C2" s="28">
        <f>B2 - A2</f>
        <v>-2.0968422386212637</v>
      </c>
      <c r="D2" s="28">
        <f>ABS(C2)</f>
        <v>2.0968422386212637</v>
      </c>
      <c r="E2" s="27">
        <f>C2^2</f>
        <v>4.3967473736662326</v>
      </c>
      <c r="F2" s="27">
        <f>IF(A2=0, 0, ABS(C2 / A2))</f>
        <v>2.654230681799068E-2</v>
      </c>
    </row>
    <row r="3" spans="1:6" x14ac:dyDescent="0.2">
      <c r="A3" s="28">
        <f>'Poisson Regression'!B20</f>
        <v>71</v>
      </c>
      <c r="B3" s="28">
        <f>'Negative Binomial Regression'!G20</f>
        <v>79.308395026789086</v>
      </c>
      <c r="C3" s="28">
        <f t="shared" ref="C3:C4" si="0">B3 - A3</f>
        <v>8.3083950267890856</v>
      </c>
      <c r="D3" s="28">
        <f t="shared" ref="D3:D4" si="1">ABS(C3)</f>
        <v>8.3083950267890856</v>
      </c>
      <c r="E3" s="27">
        <f t="shared" ref="E3:E4" si="2">C3^2</f>
        <v>69.029427921173607</v>
      </c>
      <c r="F3" s="27">
        <f t="shared" ref="F3:F4" si="3">IF(A3=0, 0, ABS(C3 / A3))</f>
        <v>0.11701964826463501</v>
      </c>
    </row>
    <row r="4" spans="1:6" x14ac:dyDescent="0.2">
      <c r="A4" s="28">
        <f>'Poisson Regression'!B21</f>
        <v>53</v>
      </c>
      <c r="B4" s="28">
        <f>'Negative Binomial Regression'!G21</f>
        <v>81.788858934008815</v>
      </c>
      <c r="C4" s="28">
        <f t="shared" si="0"/>
        <v>28.788858934008815</v>
      </c>
      <c r="D4" s="28">
        <f t="shared" si="1"/>
        <v>28.788858934008815</v>
      </c>
      <c r="E4" s="27">
        <f t="shared" si="2"/>
        <v>828.79839872225909</v>
      </c>
      <c r="F4" s="27">
        <f t="shared" si="3"/>
        <v>0.54318601762280783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300.74152467236632</v>
      </c>
    </row>
    <row r="10" spans="1:6" x14ac:dyDescent="0.2">
      <c r="A10" t="s">
        <v>3958</v>
      </c>
      <c r="B10" s="27">
        <f>SQRT(B9)</f>
        <v>17.341900837923344</v>
      </c>
    </row>
    <row r="11" spans="1:6" x14ac:dyDescent="0.2">
      <c r="A11" t="s">
        <v>3959</v>
      </c>
      <c r="B11" s="27">
        <f>AVERAGE(D2:D4)</f>
        <v>13.064698733139721</v>
      </c>
    </row>
    <row r="12" spans="1:6" x14ac:dyDescent="0.2">
      <c r="A12" t="s">
        <v>3960</v>
      </c>
      <c r="B12" s="27">
        <f>AVERAGE(F2:F4)</f>
        <v>0.22891599090181117</v>
      </c>
    </row>
  </sheetData>
  <pageMargins left="0.7" right="0.7" top="0.75" bottom="0.75" header="0.3" footer="0.3"/>
  <ignoredErrors>
    <ignoredError sqref="B2" calculatedColumn="1"/>
  </ignoredErrors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F55A-9905-F04C-83DE-09920D88194D}">
  <dimension ref="A1:E4"/>
  <sheetViews>
    <sheetView workbookViewId="0">
      <selection activeCell="I3" sqref="I3"/>
    </sheetView>
  </sheetViews>
  <sheetFormatPr baseColWidth="10" defaultRowHeight="16" x14ac:dyDescent="0.2"/>
  <sheetData>
    <row r="1" spans="1:5" x14ac:dyDescent="0.2">
      <c r="A1" t="s">
        <v>3971</v>
      </c>
      <c r="B1" t="s">
        <v>3957</v>
      </c>
      <c r="C1" t="s">
        <v>3958</v>
      </c>
      <c r="D1" t="s">
        <v>3959</v>
      </c>
      <c r="E1" t="s">
        <v>3975</v>
      </c>
    </row>
    <row r="2" spans="1:5" x14ac:dyDescent="0.2">
      <c r="A2" t="s">
        <v>3972</v>
      </c>
      <c r="B2" s="27">
        <f>'Forecast Evaluation 1'!B9</f>
        <v>526</v>
      </c>
      <c r="C2" s="27">
        <f>'Forecast Evaluation 1'!B10</f>
        <v>22.934689882359429</v>
      </c>
      <c r="D2" s="27">
        <f>'Forecast Evaluation 1'!B11</f>
        <v>22</v>
      </c>
      <c r="E2" s="45">
        <f>'Forecast Evaluation 1'!B12 * 100</f>
        <v>35.02547007224463</v>
      </c>
    </row>
    <row r="3" spans="1:5" x14ac:dyDescent="0.2">
      <c r="A3" t="s">
        <v>3973</v>
      </c>
      <c r="B3" s="27">
        <f>'Forecast Evaluation 2'!B9</f>
        <v>1606.065758375192</v>
      </c>
      <c r="C3" s="27">
        <f>'Forecast Evaluation 2'!B10</f>
        <v>40.075750253428716</v>
      </c>
      <c r="D3" s="27">
        <f>'Forecast Evaluation 2'!B11</f>
        <v>37.550626404997153</v>
      </c>
      <c r="E3" s="45">
        <f>'Forecast Evaluation 2'!B12 * 100</f>
        <v>60.77663425852041</v>
      </c>
    </row>
    <row r="4" spans="1:5" x14ac:dyDescent="0.2">
      <c r="A4" t="s">
        <v>3974</v>
      </c>
      <c r="B4" s="27">
        <f>'Forecast Evaluation 3'!B9</f>
        <v>300.74152467236632</v>
      </c>
      <c r="C4" s="27">
        <f>'Forecast Evaluation 3'!B10</f>
        <v>17.341900837923344</v>
      </c>
      <c r="D4" s="27">
        <f>'Forecast Evaluation 3'!B11</f>
        <v>13.064698733139721</v>
      </c>
      <c r="E4" s="45">
        <f>'Forecast Evaluation 3'!B12 * 100</f>
        <v>22.891599090181117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58E6-99CB-A14E-8893-F432001C5488}">
  <dimension ref="A1:XFD1048575"/>
  <sheetViews>
    <sheetView workbookViewId="0">
      <selection activeCell="F28" sqref="F28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3969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50.106444529796185</v>
      </c>
      <c r="H2" s="27">
        <f>GAMMALN($K$6 + B2) - GAMMALN($K$6) - GAMMALN(B2 + 1) + B2 * LN(G2 / ($K$6 + G2)) - ($K$6 + B2) * LN(1 + G2 / $K$6)</f>
        <v>-28.006545163440023</v>
      </c>
      <c r="J2" t="s">
        <v>3946</v>
      </c>
      <c r="K2" s="36">
        <v>3.889208158489128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3969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51.256973255814557</v>
      </c>
      <c r="H3" s="27">
        <f t="shared" ref="H3:H25" si="3">GAMMALN($K$6 + B3) - GAMMALN($K$6) - GAMMALN(B3 + 1) + B3 * LN(G3 / ($K$6 + G3)) - ($K$6 + B3) * LN(1 + G3 / $K$6)</f>
        <v>-10.797142409758997</v>
      </c>
      <c r="J3" t="s">
        <v>3947</v>
      </c>
      <c r="K3" s="36">
        <v>1.6583787535692E-2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3969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5" si="4">EXP($K$2 + $K$3*D4 + $K$4*E4 + $K$5*F4)</f>
        <v>52.230932464946385</v>
      </c>
      <c r="H4" s="27">
        <f t="shared" si="3"/>
        <v>-20.828132991312472</v>
      </c>
      <c r="J4" t="s">
        <v>3948</v>
      </c>
      <c r="K4" s="36">
        <v>1.6715374245413382E-2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3969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52.985550661946021</v>
      </c>
      <c r="H5" s="27">
        <f t="shared" si="3"/>
        <v>-21.178639997173583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3969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53.542984681095703</v>
      </c>
      <c r="H6" s="27">
        <f t="shared" si="3"/>
        <v>-20.08472527141214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3969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53.985251220007491</v>
      </c>
      <c r="H7" s="27">
        <f t="shared" si="3"/>
        <v>-17.764876726359461</v>
      </c>
    </row>
    <row r="8" spans="1:18" x14ac:dyDescent="0.2">
      <c r="A8" s="25">
        <v>44743</v>
      </c>
      <c r="B8" s="28">
        <v>83</v>
      </c>
      <c r="C8" t="s">
        <v>3969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54.431170892800502</v>
      </c>
      <c r="H8" s="27">
        <f t="shared" si="3"/>
        <v>-22.417806499547304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3969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55.003813546858801</v>
      </c>
      <c r="H9" s="27">
        <f t="shared" si="3"/>
        <v>-18.960613894115802</v>
      </c>
      <c r="J9" s="30">
        <f>-SUMIF(C2:C25, "Past", H2:H25)</f>
        <v>409.62053317649429</v>
      </c>
      <c r="N9" s="27"/>
    </row>
    <row r="10" spans="1:18" x14ac:dyDescent="0.2">
      <c r="A10" s="25">
        <v>44805</v>
      </c>
      <c r="B10" s="28">
        <v>94</v>
      </c>
      <c r="C10" t="s">
        <v>3969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55.798493569749262</v>
      </c>
      <c r="H10" s="27">
        <f t="shared" si="3"/>
        <v>-28.205411766819267</v>
      </c>
      <c r="N10" s="27"/>
    </row>
    <row r="11" spans="1:18" x14ac:dyDescent="0.2">
      <c r="A11" s="25">
        <v>44835</v>
      </c>
      <c r="B11" s="28">
        <v>59</v>
      </c>
      <c r="C11" t="s">
        <v>3969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56.858748462224334</v>
      </c>
      <c r="H11" s="27">
        <f t="shared" si="3"/>
        <v>-13.322242487934368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3969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58.164321508668344</v>
      </c>
      <c r="H12" s="27">
        <f t="shared" si="3"/>
        <v>-17.556442716883083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3969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59.633268158361702</v>
      </c>
      <c r="H13" s="27">
        <f t="shared" si="3"/>
        <v>-25.04772015332307</v>
      </c>
    </row>
    <row r="14" spans="1:18" x14ac:dyDescent="0.2">
      <c r="A14" s="25">
        <v>44927</v>
      </c>
      <c r="B14" s="28">
        <v>86</v>
      </c>
      <c r="C14" t="s">
        <v>3969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61.139313225154751</v>
      </c>
      <c r="H14" s="27">
        <f t="shared" si="3"/>
        <v>-22.869693704510823</v>
      </c>
    </row>
    <row r="15" spans="1:18" x14ac:dyDescent="0.2">
      <c r="A15" s="25">
        <v>44958</v>
      </c>
      <c r="B15" s="28">
        <v>75</v>
      </c>
      <c r="C15" t="s">
        <v>3969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62.543175279520725</v>
      </c>
      <c r="H15" s="27">
        <f t="shared" si="3"/>
        <v>-18.34640713862224</v>
      </c>
    </row>
    <row r="16" spans="1:18" x14ac:dyDescent="0.2">
      <c r="A16" s="25">
        <v>44986</v>
      </c>
      <c r="B16" s="28">
        <v>88</v>
      </c>
      <c r="C16" t="s">
        <v>3969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63.731589219372879</v>
      </c>
      <c r="H16" s="27">
        <f t="shared" si="3"/>
        <v>-23.5721808488329</v>
      </c>
    </row>
    <row r="17" spans="1:8" x14ac:dyDescent="0.2">
      <c r="A17" s="25">
        <v>45017</v>
      </c>
      <c r="B17" s="28">
        <v>82</v>
      </c>
      <c r="C17" t="s">
        <v>3969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64.652365753104434</v>
      </c>
      <c r="H17" s="27">
        <f t="shared" si="3"/>
        <v>-20.98454814949271</v>
      </c>
    </row>
    <row r="18" spans="1:8" x14ac:dyDescent="0.2">
      <c r="A18" s="25">
        <v>45047</v>
      </c>
      <c r="B18" s="28">
        <v>96</v>
      </c>
      <c r="C18" t="s">
        <v>3969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65.332540397683033</v>
      </c>
      <c r="H18" s="27">
        <f t="shared" si="3"/>
        <v>-27.281622739273359</v>
      </c>
    </row>
    <row r="19" spans="1:8" x14ac:dyDescent="0.2">
      <c r="A19" s="25">
        <v>45078</v>
      </c>
      <c r="B19" s="28">
        <v>79</v>
      </c>
      <c r="C19" t="s">
        <v>3969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65.872188993892109</v>
      </c>
      <c r="H19" s="27">
        <f t="shared" si="3"/>
        <v>-19.899505199033612</v>
      </c>
    </row>
    <row r="20" spans="1:8" x14ac:dyDescent="0.2">
      <c r="A20" s="25">
        <v>45108</v>
      </c>
      <c r="B20" s="28">
        <v>71</v>
      </c>
      <c r="C20" t="s">
        <v>3969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66.416295102477434</v>
      </c>
      <c r="H20" s="27">
        <f t="shared" si="3"/>
        <v>-17.482939177817428</v>
      </c>
    </row>
    <row r="21" spans="1:8" x14ac:dyDescent="0.2">
      <c r="A21" s="25">
        <v>45139</v>
      </c>
      <c r="B21" s="28">
        <v>53</v>
      </c>
      <c r="C21" t="s">
        <v>3969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67.115027150242923</v>
      </c>
      <c r="H21" s="27">
        <f t="shared" si="3"/>
        <v>-15.013336140831726</v>
      </c>
    </row>
    <row r="22" spans="1:8" x14ac:dyDescent="0.2">
      <c r="A22" s="37">
        <v>45170</v>
      </c>
      <c r="B22" s="38"/>
      <c r="C22" s="39" t="s">
        <v>3968</v>
      </c>
      <c r="D22" s="38">
        <f t="shared" ref="D22:D25" si="5">ROW()-1</f>
        <v>21</v>
      </c>
      <c r="E22" s="40">
        <f t="shared" ref="E22:E25" si="6">SIN(2*PI()*D22/12)</f>
        <v>-1</v>
      </c>
      <c r="F22" s="40">
        <f t="shared" ref="F22:F25" si="7">COS(2*PI()*D22/12)</f>
        <v>-4.2862637970157361E-16</v>
      </c>
      <c r="G22" s="38">
        <f t="shared" si="4"/>
        <v>68.084686667880035</v>
      </c>
      <c r="H22" s="40">
        <f t="shared" si="3"/>
        <v>-61.359169155752227</v>
      </c>
    </row>
    <row r="23" spans="1:8" x14ac:dyDescent="0.2">
      <c r="A23" s="41">
        <v>45200</v>
      </c>
      <c r="B23" s="42"/>
      <c r="C23" s="43" t="s">
        <v>3968</v>
      </c>
      <c r="D23" s="42">
        <f t="shared" si="5"/>
        <v>22</v>
      </c>
      <c r="E23" s="44">
        <f t="shared" si="6"/>
        <v>-0.86602540378443915</v>
      </c>
      <c r="F23" s="44">
        <f t="shared" si="7"/>
        <v>0.49999999999999911</v>
      </c>
      <c r="G23" s="42">
        <f t="shared" si="4"/>
        <v>69.378397618194796</v>
      </c>
      <c r="H23" s="44">
        <f t="shared" si="3"/>
        <v>-62.411733525415976</v>
      </c>
    </row>
    <row r="24" spans="1:8" x14ac:dyDescent="0.2">
      <c r="A24" s="41">
        <v>45231</v>
      </c>
      <c r="B24" s="42"/>
      <c r="C24" s="43" t="s">
        <v>3968</v>
      </c>
      <c r="D24" s="42">
        <f t="shared" si="5"/>
        <v>23</v>
      </c>
      <c r="E24" s="44">
        <f t="shared" si="6"/>
        <v>-0.50000000000000144</v>
      </c>
      <c r="F24" s="44">
        <f t="shared" si="7"/>
        <v>0.86602540378443782</v>
      </c>
      <c r="G24" s="42">
        <f t="shared" si="4"/>
        <v>70.971442987386638</v>
      </c>
      <c r="H24" s="44">
        <f t="shared" si="3"/>
        <v>-63.70278357265024</v>
      </c>
    </row>
    <row r="25" spans="1:8" x14ac:dyDescent="0.2">
      <c r="A25" s="41">
        <v>45261</v>
      </c>
      <c r="B25" s="42"/>
      <c r="C25" s="43" t="s">
        <v>3968</v>
      </c>
      <c r="D25" s="42">
        <f t="shared" si="5"/>
        <v>24</v>
      </c>
      <c r="E25" s="44">
        <f t="shared" si="6"/>
        <v>-4.8985871965894128E-16</v>
      </c>
      <c r="F25" s="44">
        <f t="shared" si="7"/>
        <v>1</v>
      </c>
      <c r="G25" s="42">
        <f t="shared" si="4"/>
        <v>72.763834967488876</v>
      </c>
      <c r="H25" s="44">
        <f t="shared" si="3"/>
        <v>-65.148778272647391</v>
      </c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34B71-C086-8A4C-B72B-10ED2BA7E945}">
  <dimension ref="A1:F22"/>
  <sheetViews>
    <sheetView workbookViewId="0">
      <selection activeCell="G1" sqref="G1"/>
    </sheetView>
  </sheetViews>
  <sheetFormatPr baseColWidth="10" defaultRowHeight="16" x14ac:dyDescent="0.2"/>
  <cols>
    <col min="5" max="5" width="14" customWidth="1"/>
    <col min="6" max="6" width="13.6640625" customWidth="1"/>
  </cols>
  <sheetData>
    <row r="1" spans="1:6" x14ac:dyDescent="0.2">
      <c r="A1" t="s">
        <v>3935</v>
      </c>
      <c r="B1" t="s">
        <v>3936</v>
      </c>
      <c r="D1" t="s">
        <v>3935</v>
      </c>
      <c r="E1" t="s">
        <v>3966</v>
      </c>
      <c r="F1" t="s">
        <v>3967</v>
      </c>
    </row>
    <row r="2" spans="1:6" x14ac:dyDescent="0.2">
      <c r="A2" s="25">
        <v>44562</v>
      </c>
      <c r="B2">
        <v>8</v>
      </c>
      <c r="D2" s="25">
        <v>45170</v>
      </c>
      <c r="E2">
        <f>ROUND(_xlfn.FORECAST.ETS(D2, $B$2:$B$21, A$2:A$21, 1), 0)</f>
        <v>60</v>
      </c>
      <c r="F2" s="28">
        <f>'NB Forecasts'!G22</f>
        <v>68.084686667880035</v>
      </c>
    </row>
    <row r="3" spans="1:6" x14ac:dyDescent="0.2">
      <c r="A3" s="25">
        <v>44593</v>
      </c>
      <c r="B3">
        <v>35</v>
      </c>
      <c r="D3" s="25">
        <v>45200</v>
      </c>
      <c r="E3">
        <f t="shared" ref="E3:E5" si="0">ROUND(_xlfn.FORECAST.ETS(D3, $B$2:$B$21, A$2:A$21, 1), 0)</f>
        <v>62</v>
      </c>
      <c r="F3" s="28">
        <f>'NB Forecasts'!G23</f>
        <v>69.378397618194796</v>
      </c>
    </row>
    <row r="4" spans="1:6" x14ac:dyDescent="0.2">
      <c r="A4" s="25">
        <v>44621</v>
      </c>
      <c r="B4">
        <v>79</v>
      </c>
      <c r="D4" s="25">
        <v>45231</v>
      </c>
      <c r="E4">
        <f t="shared" si="0"/>
        <v>63</v>
      </c>
      <c r="F4" s="28">
        <f>'NB Forecasts'!G24</f>
        <v>70.971442987386638</v>
      </c>
    </row>
    <row r="5" spans="1:6" x14ac:dyDescent="0.2">
      <c r="A5" s="25">
        <v>44652</v>
      </c>
      <c r="B5">
        <v>80</v>
      </c>
      <c r="D5" s="25">
        <v>45261</v>
      </c>
      <c r="E5">
        <f t="shared" si="0"/>
        <v>64</v>
      </c>
      <c r="F5" s="28">
        <f>'NB Forecasts'!G25</f>
        <v>72.763834967488876</v>
      </c>
    </row>
    <row r="6" spans="1:6" x14ac:dyDescent="0.2">
      <c r="A6" s="25">
        <v>44682</v>
      </c>
      <c r="B6">
        <v>78</v>
      </c>
    </row>
    <row r="7" spans="1:6" x14ac:dyDescent="0.2">
      <c r="A7" s="25">
        <v>44713</v>
      </c>
      <c r="B7">
        <v>73</v>
      </c>
    </row>
    <row r="8" spans="1:6" x14ac:dyDescent="0.2">
      <c r="A8" s="25">
        <v>44743</v>
      </c>
      <c r="B8">
        <v>83</v>
      </c>
    </row>
    <row r="9" spans="1:6" x14ac:dyDescent="0.2">
      <c r="A9" s="25">
        <v>44774</v>
      </c>
      <c r="B9">
        <v>76</v>
      </c>
    </row>
    <row r="10" spans="1:6" x14ac:dyDescent="0.2">
      <c r="A10" s="25">
        <v>44805</v>
      </c>
      <c r="B10">
        <v>94</v>
      </c>
    </row>
    <row r="11" spans="1:6" x14ac:dyDescent="0.2">
      <c r="A11" s="25">
        <v>44835</v>
      </c>
      <c r="B11">
        <v>59</v>
      </c>
    </row>
    <row r="12" spans="1:6" x14ac:dyDescent="0.2">
      <c r="A12" s="25">
        <v>44866</v>
      </c>
      <c r="B12">
        <v>73</v>
      </c>
    </row>
    <row r="13" spans="1:6" x14ac:dyDescent="0.2">
      <c r="A13" s="25">
        <v>44896</v>
      </c>
      <c r="B13">
        <v>90</v>
      </c>
    </row>
    <row r="14" spans="1:6" x14ac:dyDescent="0.2">
      <c r="A14" s="25">
        <v>44927</v>
      </c>
      <c r="B14">
        <v>86</v>
      </c>
    </row>
    <row r="15" spans="1:6" x14ac:dyDescent="0.2">
      <c r="A15" s="25">
        <v>44958</v>
      </c>
      <c r="B15">
        <v>75</v>
      </c>
    </row>
    <row r="16" spans="1:6" x14ac:dyDescent="0.2">
      <c r="A16" s="25">
        <v>44986</v>
      </c>
      <c r="B16">
        <v>88</v>
      </c>
    </row>
    <row r="17" spans="1:2" x14ac:dyDescent="0.2">
      <c r="A17" s="25">
        <v>45017</v>
      </c>
      <c r="B17">
        <v>82</v>
      </c>
    </row>
    <row r="18" spans="1:2" x14ac:dyDescent="0.2">
      <c r="A18" s="25">
        <v>45047</v>
      </c>
      <c r="B18">
        <v>96</v>
      </c>
    </row>
    <row r="19" spans="1:2" x14ac:dyDescent="0.2">
      <c r="A19" s="25">
        <v>45078</v>
      </c>
      <c r="B19">
        <v>79</v>
      </c>
    </row>
    <row r="20" spans="1:2" x14ac:dyDescent="0.2">
      <c r="A20" s="25">
        <v>45108</v>
      </c>
      <c r="B20">
        <v>71</v>
      </c>
    </row>
    <row r="21" spans="1:2" x14ac:dyDescent="0.2">
      <c r="A21" s="25">
        <v>45139</v>
      </c>
      <c r="B21">
        <v>53</v>
      </c>
    </row>
    <row r="22" spans="1:2" x14ac:dyDescent="0.2">
      <c r="A22" s="25"/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hr_hiring_data_original</vt:lpstr>
      <vt:lpstr>Hires by Dept</vt:lpstr>
      <vt:lpstr>Declinations by Dept</vt:lpstr>
      <vt:lpstr>Rescinded by Dept</vt:lpstr>
      <vt:lpstr>Transfers by Dept</vt:lpstr>
      <vt:lpstr>Promos by Dept</vt:lpstr>
      <vt:lpstr>Dept Analysis Table</vt:lpstr>
      <vt:lpstr>Hires by Classification</vt:lpstr>
      <vt:lpstr>Declinations by Classification</vt:lpstr>
      <vt:lpstr>Rescinded by Classification</vt:lpstr>
      <vt:lpstr>Transfers by Classification</vt:lpstr>
      <vt:lpstr>Promos by Classification</vt:lpstr>
      <vt:lpstr>Classification Analysis Table</vt:lpstr>
      <vt:lpstr>Hires Only Table</vt:lpstr>
      <vt:lpstr>Hires by Month</vt:lpstr>
      <vt:lpstr>ETS Forecast</vt:lpstr>
      <vt:lpstr>Forecast Evaluation 1</vt:lpstr>
      <vt:lpstr>Poisson Regression</vt:lpstr>
      <vt:lpstr>Forecast Evaluation 2</vt:lpstr>
      <vt:lpstr>Negative Binomial Regression</vt:lpstr>
      <vt:lpstr>Forecast Evaluation 3</vt:lpstr>
      <vt:lpstr>Metrics Comparison</vt:lpstr>
      <vt:lpstr>NB Forecasts</vt:lpstr>
      <vt:lpstr>Future Forecasts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Owens</dc:creator>
  <cp:lastModifiedBy>Will Owens</cp:lastModifiedBy>
  <dcterms:created xsi:type="dcterms:W3CDTF">2024-11-09T02:28:46Z</dcterms:created>
  <dcterms:modified xsi:type="dcterms:W3CDTF">2024-11-11T03:39:41Z</dcterms:modified>
</cp:coreProperties>
</file>